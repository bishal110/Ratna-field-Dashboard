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mc:AlternateContent xmlns:mc="http://schemas.openxmlformats.org/markup-compatibility/2006">
    <mc:Choice Requires="x15">
      <x15ac:absPath xmlns:x15ac="http://schemas.microsoft.com/office/spreadsheetml/2010/11/ac" url="\\10.205.146.77\ratna common folder\RATNA daily working folder\Heera Control room\2026\4. April 2026\"/>
    </mc:Choice>
  </mc:AlternateContent>
  <xr:revisionPtr revIDLastSave="0" documentId="13_ncr:1_{E987C0D8-A250-450B-A095-84E111E87F71}" xr6:coauthVersionLast="47" xr6:coauthVersionMax="47" xr10:uidLastSave="{00000000-0000-0000-0000-000000000000}"/>
  <bookViews>
    <workbookView xWindow="-120" yWindow="-120" windowWidth="29040" windowHeight="15720" tabRatio="501" xr2:uid="{00000000-000D-0000-FFFF-FFFF00000000}"/>
  </bookViews>
  <sheets>
    <sheet name=" Overall_Sheet (Oil Production)" sheetId="1" r:id="rId1"/>
    <sheet name="Sheet1" sheetId="2" state="hidden" r:id="rId2"/>
    <sheet name="Water Injection_Sheet" sheetId="3" r:id="rId3"/>
    <sheet name="Water Injection Sheet (Base)" sheetId="4" r:id="rId4"/>
  </sheets>
  <externalReferences>
    <externalReference r:id="rId5"/>
    <externalReference r:id="rId6"/>
  </externalReferences>
  <definedNames>
    <definedName name="Z_1176EABB_6C4E_4738_9604_BF2FD7BB31F6_.wvu.Rows" localSheetId="2" hidden="1">'Water Injection_Sheet'!#REF!</definedName>
    <definedName name="Z_28D06F0D_B554_48ED_BC78_EE3C848CEAFF_.wvu.Rows" localSheetId="2" hidden="1">'Water Injection_Sheet'!#REF!</definedName>
    <definedName name="Z_302905F9_7AA5_4A52_9D6E_32DEF95AB0A9_.wvu.Rows" localSheetId="2" hidden="1">'Water Injection_Sheet'!#REF!</definedName>
    <definedName name="Z_4A21AB6B_B5B8_4FB9_9517_5430E92A9998_.wvu.Rows" localSheetId="2" hidden="1">'Water Injection_Sheet'!#REF!</definedName>
    <definedName name="Z_8CF3887D_76B9_42DA_9030_D2FDE7A0EE67_.wvu.Cols" localSheetId="3" hidden="1">'Water Injection Sheet (Base)'!$E:$F</definedName>
    <definedName name="Z_8CF3887D_76B9_42DA_9030_D2FDE7A0EE67_.wvu.Rows" localSheetId="2" hidden="1">'Water Injection_Sheet'!#REF!</definedName>
    <definedName name="Z_93113985_986B_4DE2_9E04_7E2F87348EC0_.wvu.Rows" localSheetId="2" hidden="1">'Water Injection_Sheet'!#REF!</definedName>
    <definedName name="Z_AA3FA99D_26F1_4DA4_A7B4_C2A14CFF1A72_.wvu.Cols" localSheetId="3" hidden="1">'Water Injection Sheet (Base)'!$E:$F</definedName>
    <definedName name="Z_AA3FA99D_26F1_4DA4_A7B4_C2A14CFF1A72_.wvu.Rows" localSheetId="2" hidden="1">'Water Injection_Sheet'!#REF!</definedName>
    <definedName name="Z_C285E4F1_A700_4AE8_BAB6_D703B211FFCD_.wvu.Rows" localSheetId="2" hidden="1">'Water Injection_Sheet'!#REF!</definedName>
    <definedName name="Z_D3FB0A7D_A6DF_422B_9189_7F890F37D0DC_.wvu.Rows" localSheetId="2" hidden="1">'Water Injection_Sheet'!#REF!</definedName>
  </definedNames>
  <calcPr calcId="191029"/>
  <customWorkbookViews>
    <customWorkbookView name="VAMSI - Personal View" guid="{C25DFEEE-C99A-4236-8B38-5775D1622BC8}" mergeInterval="0" personalView="1" maximized="1" xWindow="-9" yWindow="-9" windowWidth="1938" windowHeight="1038" activeSheetId="4"/>
    <customWorkbookView name="Shivam - Personal View" guid="{84BCB69E-2FDC-413F-9E56-82D61B802F23}" mergeInterval="0" personalView="1" maximized="1" xWindow="-13" yWindow="-13" windowWidth="2762" windowHeight="1754" activeSheetId="1"/>
    <customWorkbookView name="R-13A - Personal View" guid="{AA3FA99D-26F1-4DA4-A7B4-C2A14CFF1A72}" mergeInterval="0" personalView="1" maximized="1" xWindow="-8" yWindow="-8" windowWidth="1936" windowHeight="1056" activeSheetId="4"/>
    <customWorkbookView name="R-12B - Personal View" guid="{D3FB0A7D-A6DF-422B-9189-7F890F37D0DC}" mergeInterval="0" personalView="1" maximized="1" xWindow="-8" yWindow="-8" windowWidth="1936" windowHeight="1056" activeSheetId="1"/>
    <customWorkbookView name="Shah Nawaaz - Personal View" guid="{C285E4F1-A700-4AE8-BAB6-D703B211FFCD}" mergeInterval="0" personalView="1" maximized="1" windowWidth="1362" windowHeight="542" activeSheetId="1"/>
    <customWorkbookView name="MUMRATNA062 - Personal View" guid="{4A21AB6B-B5B8-4FB9-9517-5430E92A9998}" mergeInterval="0" personalView="1" maximized="1" xWindow="-8" yWindow="-8" windowWidth="1456" windowHeight="876" activeSheetId="3"/>
    <customWorkbookView name="hp - Personal View" guid="{302905F9-7AA5-4A52-9D6E-32DEF95AB0A9}" mergeInterval="0" personalView="1" maximized="1" xWindow="-13" yWindow="-13" windowWidth="3026" windowHeight="1930" activeSheetId="3"/>
    <customWorkbookView name="HEERA - Personal View" guid="{1176EABB-6C4E-4738-9604-BF2FD7BB31F6}" mergeInterval="0" personalView="1" maximized="1" xWindow="-8" yWindow="-8" windowWidth="1296" windowHeight="1000" activeSheetId="1"/>
    <customWorkbookView name="R12 - Personal View" guid="{28D06F0D-B554-48ED-BC78-EE3C848CEAFF}" mergeInterval="0" personalView="1" maximized="1" xWindow="-8" yWindow="-8" windowWidth="1616" windowHeight="876" activeSheetId="1" showComments="commIndAndComment"/>
    <customWorkbookView name="R12-B - Personal View" guid="{8CF3887D-76B9-42DA-9030-D2FDE7A0EE67}" mergeInterval="0" personalView="1" maximized="1" xWindow="-8" yWindow="-8" windowWidth="1936" windowHeight="1048" activeSheetId="4"/>
    <customWorkbookView name="R9A-CONTROLPC - Personal View" guid="{93113985-986B-4DE2-9E04-7E2F87348EC0}" mergeInterval="0" personalView="1" maximized="1" xWindow="-8" yWindow="-8" windowWidth="1616" windowHeight="876" activeSheetId="1"/>
    <customWorkbookView name="RATNA OIM - Personal View" guid="{5C3B7966-2173-42B9-A6C8-6E8A3E55959D}" mergeInterval="0" personalView="1" maximized="1" xWindow="-8" yWindow="-8" windowWidth="1936" windowHeight="1048" activeSheetId="1"/>
    <customWorkbookView name="acer - Personal View" guid="{78ED598E-7F8D-4E8C-A6B9-BABB5EBD4FA6}" mergeInterval="0" personalView="1" maximized="1" xWindow="-8" yWindow="-8" windowWidth="1936" windowHeight="1048" tabRatio="607" activeSheetId="1"/>
    <customWorkbookView name="TEST - Personal View" guid="{67D43945-87C9-49F0-B348-E61A6D541E46}" mergeInterval="0" personalView="1" maximized="1" xWindow="-8" yWindow="-8" windowWidth="1456" windowHeight="876" activeSheetId="3"/>
    <customWorkbookView name="R13A-CR - Personal View" guid="{3D43EA6A-5CA3-482D-8DF3-AD9B0AC39A00}" mergeInterval="0" personalView="1" maximized="1" xWindow="1" yWindow="1" windowWidth="1920" windowHeight="850" activeSheetId="1"/>
    <customWorkbookView name="R9A - Personal View" guid="{94833610-ABF8-4F5D-AABE-92971246E249}" mergeInterval="0" personalView="1" maximized="1" xWindow="-8" yWindow="-8" windowWidth="1936" windowHeight="1048" tabRatio="531"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5" i="1" l="1"/>
  <c r="B45" i="1"/>
  <c r="B44" i="1"/>
  <c r="B43" i="1"/>
  <c r="B42" i="1"/>
  <c r="B41" i="1"/>
  <c r="C40" i="1"/>
  <c r="B40" i="1"/>
  <c r="C39" i="1"/>
  <c r="B39" i="1"/>
  <c r="G3914" i="4"/>
  <c r="I3914" i="4" s="1"/>
  <c r="G3913" i="4"/>
  <c r="I3913" i="4" s="1"/>
  <c r="G3912" i="4"/>
  <c r="I3912" i="4" s="1"/>
  <c r="G3911" i="4"/>
  <c r="I3911" i="4" s="1"/>
  <c r="G3910" i="4"/>
  <c r="I3910" i="4" s="1"/>
  <c r="G3909" i="4"/>
  <c r="I3909" i="4" s="1"/>
  <c r="I3915" i="4" l="1"/>
  <c r="G3907" i="4"/>
  <c r="I3907" i="4" s="1"/>
  <c r="G3906" i="4"/>
  <c r="I3906" i="4" s="1"/>
  <c r="G3905" i="4"/>
  <c r="I3905" i="4" s="1"/>
  <c r="G3904" i="4"/>
  <c r="I3904" i="4" s="1"/>
  <c r="G3903" i="4"/>
  <c r="I3903" i="4" s="1"/>
  <c r="G3902" i="4"/>
  <c r="I3902" i="4" s="1"/>
  <c r="I3908" i="4" l="1"/>
  <c r="F34" i="1"/>
  <c r="F5" i="1" l="1"/>
  <c r="F6" i="1"/>
  <c r="F7" i="1"/>
  <c r="F8" i="1"/>
  <c r="F9" i="1"/>
  <c r="F10" i="1"/>
  <c r="F11" i="1"/>
  <c r="F12" i="1"/>
  <c r="F13" i="1"/>
  <c r="F14" i="1"/>
  <c r="F15" i="1"/>
  <c r="F17" i="1"/>
  <c r="F19" i="1"/>
  <c r="F20" i="1"/>
  <c r="F21" i="1"/>
  <c r="F22" i="1"/>
  <c r="F23" i="1"/>
  <c r="F24" i="1"/>
  <c r="F25" i="1"/>
  <c r="F27" i="1"/>
  <c r="F28" i="1"/>
  <c r="F29" i="1"/>
  <c r="F30" i="1"/>
  <c r="F31" i="1"/>
  <c r="F32" i="1"/>
  <c r="F33" i="1"/>
  <c r="F4" i="1"/>
  <c r="F3" i="1"/>
  <c r="E5" i="1"/>
  <c r="G3893" i="4"/>
  <c r="I3893" i="4" s="1"/>
  <c r="G3892" i="4"/>
  <c r="I3892" i="4" s="1"/>
  <c r="G3891" i="4"/>
  <c r="I3891" i="4" s="1"/>
  <c r="G3890" i="4"/>
  <c r="I3890" i="4" s="1"/>
  <c r="G3889" i="4"/>
  <c r="I3889" i="4" s="1"/>
  <c r="G3888" i="4"/>
  <c r="I3888" i="4" s="1"/>
  <c r="E32" i="1"/>
  <c r="E33" i="1"/>
  <c r="E34" i="1"/>
  <c r="E4" i="1"/>
  <c r="E6" i="1"/>
  <c r="E7" i="1"/>
  <c r="E8" i="1"/>
  <c r="E9" i="1"/>
  <c r="E10" i="1"/>
  <c r="E11" i="1"/>
  <c r="E12" i="1"/>
  <c r="E13" i="1"/>
  <c r="E14" i="1"/>
  <c r="E15" i="1"/>
  <c r="E16" i="1"/>
  <c r="E17" i="1"/>
  <c r="E18" i="1"/>
  <c r="E19" i="1"/>
  <c r="E20" i="1"/>
  <c r="E21" i="1"/>
  <c r="E22" i="1"/>
  <c r="E23" i="1"/>
  <c r="E24" i="1"/>
  <c r="E25" i="1"/>
  <c r="E26" i="1"/>
  <c r="E27" i="1"/>
  <c r="E28" i="1"/>
  <c r="E29" i="1"/>
  <c r="E30" i="1"/>
  <c r="E31" i="1"/>
  <c r="E3" i="1"/>
  <c r="I3894" i="4" l="1"/>
  <c r="E35" i="1"/>
  <c r="G3886" i="4"/>
  <c r="I3886" i="4" s="1"/>
  <c r="G3885" i="4"/>
  <c r="I3885" i="4" s="1"/>
  <c r="G3884" i="4"/>
  <c r="I3884" i="4" s="1"/>
  <c r="G3883" i="4"/>
  <c r="I3883" i="4" s="1"/>
  <c r="G3882" i="4"/>
  <c r="I3882" i="4" s="1"/>
  <c r="G3881" i="4"/>
  <c r="I3881" i="4" s="1"/>
  <c r="G3879" i="4"/>
  <c r="I3879" i="4" s="1"/>
  <c r="G3878" i="4"/>
  <c r="I3878" i="4" s="1"/>
  <c r="G3877" i="4"/>
  <c r="I3877" i="4" s="1"/>
  <c r="G3876" i="4"/>
  <c r="I3876" i="4" s="1"/>
  <c r="G3875" i="4"/>
  <c r="I3875" i="4" s="1"/>
  <c r="G3874" i="4"/>
  <c r="I3874" i="4" s="1"/>
  <c r="G3872" i="4"/>
  <c r="I3872" i="4" s="1"/>
  <c r="G3871" i="4"/>
  <c r="I3871" i="4" s="1"/>
  <c r="G3870" i="4"/>
  <c r="I3870" i="4" s="1"/>
  <c r="G3869" i="4"/>
  <c r="I3869" i="4" s="1"/>
  <c r="G3868" i="4"/>
  <c r="I3868" i="4" s="1"/>
  <c r="G3867" i="4"/>
  <c r="I3867" i="4" s="1"/>
  <c r="G3865" i="4"/>
  <c r="I3865" i="4" s="1"/>
  <c r="G3864" i="4"/>
  <c r="I3864" i="4" s="1"/>
  <c r="G3863" i="4"/>
  <c r="I3863" i="4" s="1"/>
  <c r="G3862" i="4"/>
  <c r="I3862" i="4" s="1"/>
  <c r="G3861" i="4"/>
  <c r="I3861" i="4" s="1"/>
  <c r="G3860" i="4"/>
  <c r="I3860" i="4" s="1"/>
  <c r="G3858" i="4"/>
  <c r="I3858" i="4" s="1"/>
  <c r="G3857" i="4"/>
  <c r="I3857" i="4" s="1"/>
  <c r="G3856" i="4"/>
  <c r="I3856" i="4" s="1"/>
  <c r="G3855" i="4"/>
  <c r="I3855" i="4" s="1"/>
  <c r="G3854" i="4"/>
  <c r="I3854" i="4" s="1"/>
  <c r="G3853" i="4"/>
  <c r="I3853" i="4" s="1"/>
  <c r="I3859" i="4" s="1"/>
  <c r="G3851" i="4"/>
  <c r="I3851" i="4" s="1"/>
  <c r="G3850" i="4"/>
  <c r="I3850" i="4" s="1"/>
  <c r="G3849" i="4"/>
  <c r="I3849" i="4" s="1"/>
  <c r="G3848" i="4"/>
  <c r="I3848" i="4" s="1"/>
  <c r="G3847" i="4"/>
  <c r="I3847" i="4" s="1"/>
  <c r="G3846" i="4"/>
  <c r="I3846" i="4" s="1"/>
  <c r="G3844" i="4"/>
  <c r="I3844" i="4" s="1"/>
  <c r="I3843" i="4"/>
  <c r="G3843" i="4"/>
  <c r="G3842" i="4"/>
  <c r="I3842" i="4" s="1"/>
  <c r="G3841" i="4"/>
  <c r="I3841" i="4" s="1"/>
  <c r="G3840" i="4"/>
  <c r="I3840" i="4" s="1"/>
  <c r="G3839" i="4"/>
  <c r="I3839" i="4" s="1"/>
  <c r="G3837" i="4"/>
  <c r="I3837" i="4" s="1"/>
  <c r="G3836" i="4"/>
  <c r="I3836" i="4" s="1"/>
  <c r="G3835" i="4"/>
  <c r="I3835" i="4" s="1"/>
  <c r="G3834" i="4"/>
  <c r="I3834" i="4" s="1"/>
  <c r="G3833" i="4"/>
  <c r="I3833" i="4" s="1"/>
  <c r="G3832" i="4"/>
  <c r="I3832" i="4" s="1"/>
  <c r="I3838" i="4" s="1"/>
  <c r="G3830" i="4"/>
  <c r="I3830" i="4" s="1"/>
  <c r="G3829" i="4"/>
  <c r="I3829" i="4" s="1"/>
  <c r="G3828" i="4"/>
  <c r="I3828" i="4" s="1"/>
  <c r="G3827" i="4"/>
  <c r="I3827" i="4" s="1"/>
  <c r="G3826" i="4"/>
  <c r="I3826" i="4" s="1"/>
  <c r="G3825" i="4"/>
  <c r="I3825" i="4" s="1"/>
  <c r="G3823" i="4"/>
  <c r="I3823" i="4" s="1"/>
  <c r="G3822" i="4"/>
  <c r="I3822" i="4" s="1"/>
  <c r="G3821" i="4"/>
  <c r="I3821" i="4" s="1"/>
  <c r="G3820" i="4"/>
  <c r="I3820" i="4" s="1"/>
  <c r="G3819" i="4"/>
  <c r="I3819" i="4" s="1"/>
  <c r="G3818" i="4"/>
  <c r="I3818" i="4" s="1"/>
  <c r="G3816" i="4"/>
  <c r="I3816" i="4" s="1"/>
  <c r="G3815" i="4"/>
  <c r="I3815" i="4" s="1"/>
  <c r="G3814" i="4"/>
  <c r="I3814" i="4" s="1"/>
  <c r="G3813" i="4"/>
  <c r="I3813" i="4" s="1"/>
  <c r="G3812" i="4"/>
  <c r="I3812" i="4" s="1"/>
  <c r="G3811" i="4"/>
  <c r="I3811" i="4" s="1"/>
  <c r="G3809" i="4"/>
  <c r="I3809" i="4" s="1"/>
  <c r="G3808" i="4"/>
  <c r="I3808" i="4" s="1"/>
  <c r="G3807" i="4"/>
  <c r="I3807" i="4" s="1"/>
  <c r="G3806" i="4"/>
  <c r="I3806" i="4" s="1"/>
  <c r="G3805" i="4"/>
  <c r="I3805" i="4" s="1"/>
  <c r="G3804" i="4"/>
  <c r="I3804" i="4" s="1"/>
  <c r="G3802" i="4"/>
  <c r="I3802" i="4" s="1"/>
  <c r="G3801" i="4"/>
  <c r="I3801" i="4" s="1"/>
  <c r="G3800" i="4"/>
  <c r="I3800" i="4" s="1"/>
  <c r="G3799" i="4"/>
  <c r="I3799" i="4" s="1"/>
  <c r="G3798" i="4"/>
  <c r="I3798" i="4" s="1"/>
  <c r="G3797" i="4"/>
  <c r="I3797" i="4" s="1"/>
  <c r="G3795" i="4"/>
  <c r="I3795" i="4" s="1"/>
  <c r="G3794" i="4"/>
  <c r="I3794" i="4" s="1"/>
  <c r="G3793" i="4"/>
  <c r="I3793" i="4" s="1"/>
  <c r="G3792" i="4"/>
  <c r="I3792" i="4" s="1"/>
  <c r="G3791" i="4"/>
  <c r="I3791" i="4" s="1"/>
  <c r="G3790" i="4"/>
  <c r="I3790" i="4" s="1"/>
  <c r="G3788" i="4"/>
  <c r="I3788" i="4" s="1"/>
  <c r="G3787" i="4"/>
  <c r="I3787" i="4" s="1"/>
  <c r="G3786" i="4"/>
  <c r="I3786" i="4" s="1"/>
  <c r="G3785" i="4"/>
  <c r="I3785" i="4" s="1"/>
  <c r="G3784" i="4"/>
  <c r="I3784" i="4" s="1"/>
  <c r="G3783" i="4"/>
  <c r="I3783" i="4" s="1"/>
  <c r="I3789" i="4" s="1"/>
  <c r="G3781" i="4"/>
  <c r="I3781" i="4" s="1"/>
  <c r="G3780" i="4"/>
  <c r="I3780" i="4" s="1"/>
  <c r="G3779" i="4"/>
  <c r="I3779" i="4" s="1"/>
  <c r="G3778" i="4"/>
  <c r="I3778" i="4" s="1"/>
  <c r="G3777" i="4"/>
  <c r="I3777" i="4" s="1"/>
  <c r="G3776" i="4"/>
  <c r="I3776" i="4" s="1"/>
  <c r="I3782" i="4" s="1"/>
  <c r="I3887" i="4" l="1"/>
  <c r="I3866" i="4"/>
  <c r="I3803" i="4"/>
  <c r="I3880" i="4"/>
  <c r="I3796" i="4"/>
  <c r="I3845" i="4"/>
  <c r="I3831" i="4"/>
  <c r="I3817" i="4"/>
  <c r="I3873" i="4"/>
  <c r="I3852" i="4"/>
  <c r="I3824" i="4"/>
  <c r="I3810" i="4"/>
  <c r="G3774" i="4"/>
  <c r="I3774" i="4" s="1"/>
  <c r="G3773" i="4"/>
  <c r="I3773" i="4" s="1"/>
  <c r="G3772" i="4"/>
  <c r="I3772" i="4" s="1"/>
  <c r="G3771" i="4"/>
  <c r="I3771" i="4" s="1"/>
  <c r="G3770" i="4"/>
  <c r="I3770" i="4" s="1"/>
  <c r="G3769" i="4"/>
  <c r="I3769" i="4" s="1"/>
  <c r="G3767" i="4"/>
  <c r="I3767" i="4" s="1"/>
  <c r="G3766" i="4"/>
  <c r="I3766" i="4" s="1"/>
  <c r="G3765" i="4"/>
  <c r="I3765" i="4" s="1"/>
  <c r="G3764" i="4"/>
  <c r="I3764" i="4" s="1"/>
  <c r="G3763" i="4"/>
  <c r="I3763" i="4" s="1"/>
  <c r="G3762" i="4"/>
  <c r="I3762" i="4" s="1"/>
  <c r="G3760" i="4"/>
  <c r="I3760" i="4" s="1"/>
  <c r="G3759" i="4"/>
  <c r="I3759" i="4" s="1"/>
  <c r="G3758" i="4"/>
  <c r="I3758" i="4" s="1"/>
  <c r="G3757" i="4"/>
  <c r="I3757" i="4" s="1"/>
  <c r="G3756" i="4"/>
  <c r="I3756" i="4" s="1"/>
  <c r="G3755" i="4"/>
  <c r="I3755" i="4" s="1"/>
  <c r="I3761" i="4" s="1"/>
  <c r="G3753" i="4"/>
  <c r="I3753" i="4" s="1"/>
  <c r="G3752" i="4"/>
  <c r="I3752" i="4" s="1"/>
  <c r="G3751" i="4"/>
  <c r="I3751" i="4" s="1"/>
  <c r="G3750" i="4"/>
  <c r="I3750" i="4" s="1"/>
  <c r="G3749" i="4"/>
  <c r="I3749" i="4" s="1"/>
  <c r="G3748" i="4"/>
  <c r="I3748" i="4" s="1"/>
  <c r="I3754" i="4" s="1"/>
  <c r="I3768" i="4" l="1"/>
  <c r="I3775" i="4"/>
  <c r="G3746" i="4"/>
  <c r="I3746" i="4" s="1"/>
  <c r="G3745" i="4"/>
  <c r="I3745" i="4" s="1"/>
  <c r="G3744" i="4"/>
  <c r="I3744" i="4" s="1"/>
  <c r="G3743" i="4"/>
  <c r="I3743" i="4" s="1"/>
  <c r="G3742" i="4"/>
  <c r="I3742" i="4" s="1"/>
  <c r="G3741" i="4"/>
  <c r="I3741" i="4" s="1"/>
  <c r="I3747" i="4" l="1"/>
  <c r="G3739" i="4"/>
  <c r="I3739" i="4" s="1"/>
  <c r="G3738" i="4"/>
  <c r="I3738" i="4" s="1"/>
  <c r="G3737" i="4"/>
  <c r="I3737" i="4" s="1"/>
  <c r="G3736" i="4"/>
  <c r="I3736" i="4" s="1"/>
  <c r="G3735" i="4"/>
  <c r="I3735" i="4" s="1"/>
  <c r="G3734" i="4"/>
  <c r="I3734" i="4" s="1"/>
  <c r="G3732" i="4"/>
  <c r="I3732" i="4" s="1"/>
  <c r="G3731" i="4"/>
  <c r="I3731" i="4" s="1"/>
  <c r="G3730" i="4"/>
  <c r="I3730" i="4" s="1"/>
  <c r="G3729" i="4"/>
  <c r="I3729" i="4" s="1"/>
  <c r="G3728" i="4"/>
  <c r="I3728" i="4" s="1"/>
  <c r="G3727" i="4"/>
  <c r="I3727" i="4" s="1"/>
  <c r="G3704" i="4"/>
  <c r="I3704" i="4" s="1"/>
  <c r="G3703" i="4"/>
  <c r="I3703" i="4" s="1"/>
  <c r="G3702" i="4"/>
  <c r="I3702" i="4" s="1"/>
  <c r="G3701" i="4"/>
  <c r="I3701" i="4" s="1"/>
  <c r="G3700" i="4"/>
  <c r="I3700" i="4" s="1"/>
  <c r="G3699" i="4"/>
  <c r="I3699" i="4" s="1"/>
  <c r="G3697" i="4"/>
  <c r="I3697" i="4" s="1"/>
  <c r="G3696" i="4"/>
  <c r="I3696" i="4" s="1"/>
  <c r="G3695" i="4"/>
  <c r="I3695" i="4" s="1"/>
  <c r="G3694" i="4"/>
  <c r="I3694" i="4" s="1"/>
  <c r="G3693" i="4"/>
  <c r="I3693" i="4" s="1"/>
  <c r="G3692" i="4"/>
  <c r="I3692" i="4" s="1"/>
  <c r="G3690" i="4"/>
  <c r="I3690" i="4" s="1"/>
  <c r="G3689" i="4"/>
  <c r="I3689" i="4" s="1"/>
  <c r="G3688" i="4"/>
  <c r="I3688" i="4" s="1"/>
  <c r="G3687" i="4"/>
  <c r="I3687" i="4" s="1"/>
  <c r="G3686" i="4"/>
  <c r="I3686" i="4" s="1"/>
  <c r="G3685" i="4"/>
  <c r="I3685" i="4" s="1"/>
  <c r="G3676" i="4"/>
  <c r="I3676" i="4" s="1"/>
  <c r="G3675" i="4"/>
  <c r="I3675" i="4" s="1"/>
  <c r="G3674" i="4"/>
  <c r="I3674" i="4" s="1"/>
  <c r="G3673" i="4"/>
  <c r="I3673" i="4" s="1"/>
  <c r="G3672" i="4"/>
  <c r="I3672" i="4" s="1"/>
  <c r="G3671" i="4"/>
  <c r="I3671" i="4" s="1"/>
  <c r="I3677" i="4" s="1"/>
  <c r="I3733" i="4" l="1"/>
  <c r="I3740" i="4"/>
  <c r="I3698" i="4"/>
  <c r="I3705" i="4"/>
  <c r="I3691" i="4"/>
  <c r="G3683" i="4"/>
  <c r="I3683" i="4" s="1"/>
  <c r="G3682" i="4"/>
  <c r="I3682" i="4" s="1"/>
  <c r="G3681" i="4"/>
  <c r="I3681" i="4" s="1"/>
  <c r="G3680" i="4"/>
  <c r="I3680" i="4" s="1"/>
  <c r="G3679" i="4"/>
  <c r="I3679" i="4" s="1"/>
  <c r="G3678" i="4"/>
  <c r="I3678" i="4" s="1"/>
  <c r="I3684" i="4" l="1"/>
  <c r="G3669" i="4" l="1"/>
  <c r="I3669" i="4" s="1"/>
  <c r="G3668" i="4"/>
  <c r="I3668" i="4" s="1"/>
  <c r="G3667" i="4"/>
  <c r="I3667" i="4" s="1"/>
  <c r="G3666" i="4"/>
  <c r="I3666" i="4" s="1"/>
  <c r="G3665" i="4"/>
  <c r="I3665" i="4" s="1"/>
  <c r="G3664" i="4"/>
  <c r="I3664" i="4" s="1"/>
  <c r="G3662" i="4"/>
  <c r="I3662" i="4" s="1"/>
  <c r="G3661" i="4"/>
  <c r="I3661" i="4" s="1"/>
  <c r="G3660" i="4"/>
  <c r="I3660" i="4" s="1"/>
  <c r="G3659" i="4"/>
  <c r="I3659" i="4" s="1"/>
  <c r="G3658" i="4"/>
  <c r="I3658" i="4" s="1"/>
  <c r="G3657" i="4"/>
  <c r="I3657" i="4" s="1"/>
  <c r="I3670" i="4" l="1"/>
  <c r="I3663" i="4"/>
  <c r="G3655" i="4"/>
  <c r="I3655" i="4" s="1"/>
  <c r="G3654" i="4"/>
  <c r="I3654" i="4" s="1"/>
  <c r="G3653" i="4"/>
  <c r="I3653" i="4" s="1"/>
  <c r="G3652" i="4"/>
  <c r="I3652" i="4" s="1"/>
  <c r="G3651" i="4"/>
  <c r="I3651" i="4" s="1"/>
  <c r="G3650" i="4"/>
  <c r="I3650" i="4" s="1"/>
  <c r="G3648" i="4"/>
  <c r="I3648" i="4" s="1"/>
  <c r="G3647" i="4"/>
  <c r="I3647" i="4" s="1"/>
  <c r="G3646" i="4"/>
  <c r="I3646" i="4" s="1"/>
  <c r="G3645" i="4"/>
  <c r="I3645" i="4" s="1"/>
  <c r="G3644" i="4"/>
  <c r="I3644" i="4" s="1"/>
  <c r="G3643" i="4"/>
  <c r="I3643" i="4" s="1"/>
  <c r="G3641" i="4"/>
  <c r="I3641" i="4" s="1"/>
  <c r="G3640" i="4"/>
  <c r="I3640" i="4" s="1"/>
  <c r="G3639" i="4"/>
  <c r="I3639" i="4" s="1"/>
  <c r="G3638" i="4"/>
  <c r="I3638" i="4" s="1"/>
  <c r="G3637" i="4"/>
  <c r="I3637" i="4" s="1"/>
  <c r="G3636" i="4"/>
  <c r="I3636" i="4" s="1"/>
  <c r="G3634" i="4"/>
  <c r="I3634" i="4" s="1"/>
  <c r="G3633" i="4"/>
  <c r="I3633" i="4" s="1"/>
  <c r="G3632" i="4"/>
  <c r="I3632" i="4" s="1"/>
  <c r="G3631" i="4"/>
  <c r="I3631" i="4" s="1"/>
  <c r="G3630" i="4"/>
  <c r="I3630" i="4" s="1"/>
  <c r="G3629" i="4"/>
  <c r="I3629" i="4" s="1"/>
  <c r="G3627" i="4"/>
  <c r="I3627" i="4" s="1"/>
  <c r="G3626" i="4"/>
  <c r="I3626" i="4" s="1"/>
  <c r="G3625" i="4"/>
  <c r="I3625" i="4" s="1"/>
  <c r="G3624" i="4"/>
  <c r="I3624" i="4" s="1"/>
  <c r="G3623" i="4"/>
  <c r="I3623" i="4" s="1"/>
  <c r="G3622" i="4"/>
  <c r="I3622" i="4" s="1"/>
  <c r="I3628" i="4" s="1"/>
  <c r="G3620" i="4"/>
  <c r="I3620" i="4" s="1"/>
  <c r="G3619" i="4"/>
  <c r="I3619" i="4" s="1"/>
  <c r="G3618" i="4"/>
  <c r="I3618" i="4" s="1"/>
  <c r="G3617" i="4"/>
  <c r="I3617" i="4" s="1"/>
  <c r="G3616" i="4"/>
  <c r="I3616" i="4" s="1"/>
  <c r="G3615" i="4"/>
  <c r="I3615" i="4" s="1"/>
  <c r="G3613" i="4"/>
  <c r="I3613" i="4" s="1"/>
  <c r="G3612" i="4"/>
  <c r="I3612" i="4" s="1"/>
  <c r="G3611" i="4"/>
  <c r="I3611" i="4" s="1"/>
  <c r="G3610" i="4"/>
  <c r="I3610" i="4" s="1"/>
  <c r="G3609" i="4"/>
  <c r="I3609" i="4" s="1"/>
  <c r="G3608" i="4"/>
  <c r="I3608" i="4" s="1"/>
  <c r="G3606" i="4"/>
  <c r="I3606" i="4" s="1"/>
  <c r="G3605" i="4"/>
  <c r="I3605" i="4" s="1"/>
  <c r="G3604" i="4"/>
  <c r="I3604" i="4" s="1"/>
  <c r="G3603" i="4"/>
  <c r="I3603" i="4" s="1"/>
  <c r="G3602" i="4"/>
  <c r="I3602" i="4" s="1"/>
  <c r="G3601" i="4"/>
  <c r="I3601" i="4" s="1"/>
  <c r="G3599" i="4"/>
  <c r="I3599" i="4" s="1"/>
  <c r="G3598" i="4"/>
  <c r="I3598" i="4" s="1"/>
  <c r="G3597" i="4"/>
  <c r="I3597" i="4" s="1"/>
  <c r="G3596" i="4"/>
  <c r="I3596" i="4" s="1"/>
  <c r="G3595" i="4"/>
  <c r="I3595" i="4" s="1"/>
  <c r="G3594" i="4"/>
  <c r="I3594" i="4" s="1"/>
  <c r="G3592" i="4"/>
  <c r="I3592" i="4" s="1"/>
  <c r="G3591" i="4"/>
  <c r="I3591" i="4" s="1"/>
  <c r="G3590" i="4"/>
  <c r="I3590" i="4" s="1"/>
  <c r="G3589" i="4"/>
  <c r="I3589" i="4" s="1"/>
  <c r="G3588" i="4"/>
  <c r="I3588" i="4" s="1"/>
  <c r="G3587" i="4"/>
  <c r="I3587" i="4" s="1"/>
  <c r="G3578" i="4"/>
  <c r="I3578" i="4" s="1"/>
  <c r="G3577" i="4"/>
  <c r="I3577" i="4" s="1"/>
  <c r="G3576" i="4"/>
  <c r="I3576" i="4" s="1"/>
  <c r="G3575" i="4"/>
  <c r="I3575" i="4" s="1"/>
  <c r="G3574" i="4"/>
  <c r="I3574" i="4" s="1"/>
  <c r="G3573" i="4"/>
  <c r="I3573" i="4" s="1"/>
  <c r="G3571" i="4"/>
  <c r="I3571" i="4" s="1"/>
  <c r="G3570" i="4"/>
  <c r="I3570" i="4" s="1"/>
  <c r="G3569" i="4"/>
  <c r="I3569" i="4" s="1"/>
  <c r="G3568" i="4"/>
  <c r="I3568" i="4" s="1"/>
  <c r="G3567" i="4"/>
  <c r="I3567" i="4" s="1"/>
  <c r="G3566" i="4"/>
  <c r="I3566" i="4" s="1"/>
  <c r="G3564" i="4"/>
  <c r="I3564" i="4" s="1"/>
  <c r="G3563" i="4"/>
  <c r="I3563" i="4" s="1"/>
  <c r="G3562" i="4"/>
  <c r="I3562" i="4" s="1"/>
  <c r="G3561" i="4"/>
  <c r="I3561" i="4" s="1"/>
  <c r="G3560" i="4"/>
  <c r="I3560" i="4" s="1"/>
  <c r="G3559" i="4"/>
  <c r="I3559" i="4" s="1"/>
  <c r="G3557" i="4"/>
  <c r="I3557" i="4" s="1"/>
  <c r="G3556" i="4"/>
  <c r="I3556" i="4" s="1"/>
  <c r="G3555" i="4"/>
  <c r="I3555" i="4" s="1"/>
  <c r="G3554" i="4"/>
  <c r="I3554" i="4" s="1"/>
  <c r="G3553" i="4"/>
  <c r="I3553" i="4" s="1"/>
  <c r="G3552" i="4"/>
  <c r="I3552" i="4" s="1"/>
  <c r="G3550" i="4"/>
  <c r="I3550" i="4" s="1"/>
  <c r="G3549" i="4"/>
  <c r="I3549" i="4" s="1"/>
  <c r="G3548" i="4"/>
  <c r="I3548" i="4" s="1"/>
  <c r="G3547" i="4"/>
  <c r="I3547" i="4" s="1"/>
  <c r="G3546" i="4"/>
  <c r="I3546" i="4" s="1"/>
  <c r="G3545" i="4"/>
  <c r="I3545" i="4" s="1"/>
  <c r="G3543" i="4"/>
  <c r="I3543" i="4" s="1"/>
  <c r="G3542" i="4"/>
  <c r="I3542" i="4" s="1"/>
  <c r="G3541" i="4"/>
  <c r="I3541" i="4" s="1"/>
  <c r="G3540" i="4"/>
  <c r="I3540" i="4" s="1"/>
  <c r="G3539" i="4"/>
  <c r="I3539" i="4" s="1"/>
  <c r="G3538" i="4"/>
  <c r="I3538" i="4" s="1"/>
  <c r="G3536" i="4"/>
  <c r="I3536" i="4" s="1"/>
  <c r="G3535" i="4"/>
  <c r="I3535" i="4" s="1"/>
  <c r="G3534" i="4"/>
  <c r="I3534" i="4" s="1"/>
  <c r="G3533" i="4"/>
  <c r="I3533" i="4" s="1"/>
  <c r="G3532" i="4"/>
  <c r="I3532" i="4" s="1"/>
  <c r="G3531" i="4"/>
  <c r="I3531" i="4" s="1"/>
  <c r="G3529" i="4"/>
  <c r="I3529" i="4" s="1"/>
  <c r="G3528" i="4"/>
  <c r="I3528" i="4" s="1"/>
  <c r="G3527" i="4"/>
  <c r="I3527" i="4" s="1"/>
  <c r="G3526" i="4"/>
  <c r="I3526" i="4" s="1"/>
  <c r="G3525" i="4"/>
  <c r="I3525" i="4" s="1"/>
  <c r="G3524" i="4"/>
  <c r="I3524" i="4" s="1"/>
  <c r="G3522" i="4"/>
  <c r="I3522" i="4" s="1"/>
  <c r="G3521" i="4"/>
  <c r="I3521" i="4" s="1"/>
  <c r="G3520" i="4"/>
  <c r="I3520" i="4" s="1"/>
  <c r="G3519" i="4"/>
  <c r="I3519" i="4" s="1"/>
  <c r="G3518" i="4"/>
  <c r="I3518" i="4" s="1"/>
  <c r="G3517" i="4"/>
  <c r="I3517" i="4" s="1"/>
  <c r="G3515" i="4"/>
  <c r="I3515" i="4" s="1"/>
  <c r="G3514" i="4"/>
  <c r="I3514" i="4" s="1"/>
  <c r="G3513" i="4"/>
  <c r="I3513" i="4" s="1"/>
  <c r="G3512" i="4"/>
  <c r="I3512" i="4" s="1"/>
  <c r="G3511" i="4"/>
  <c r="I3511" i="4" s="1"/>
  <c r="G3510" i="4"/>
  <c r="I3510" i="4" s="1"/>
  <c r="G3508" i="4"/>
  <c r="I3508" i="4" s="1"/>
  <c r="G3507" i="4"/>
  <c r="I3507" i="4" s="1"/>
  <c r="G3506" i="4"/>
  <c r="I3506" i="4" s="1"/>
  <c r="G3505" i="4"/>
  <c r="I3505" i="4" s="1"/>
  <c r="G3504" i="4"/>
  <c r="I3504" i="4" s="1"/>
  <c r="G3503" i="4"/>
  <c r="I3503" i="4" s="1"/>
  <c r="D35" i="1"/>
  <c r="I3607" i="4" l="1"/>
  <c r="I3614" i="4"/>
  <c r="I3593" i="4"/>
  <c r="I3656" i="4"/>
  <c r="I3649" i="4"/>
  <c r="I3642" i="4"/>
  <c r="I3635" i="4"/>
  <c r="I3621" i="4"/>
  <c r="I3600" i="4"/>
  <c r="I3544" i="4"/>
  <c r="I3565" i="4"/>
  <c r="I3516" i="4"/>
  <c r="I3537" i="4"/>
  <c r="I3572" i="4"/>
  <c r="I3523" i="4"/>
  <c r="I3551" i="4"/>
  <c r="I3558" i="4"/>
  <c r="I3579" i="4"/>
  <c r="I3530" i="4"/>
  <c r="I3509" i="4"/>
  <c r="G3501" i="4"/>
  <c r="I3501" i="4" s="1"/>
  <c r="G3500" i="4"/>
  <c r="I3500" i="4" s="1"/>
  <c r="G3499" i="4"/>
  <c r="I3499" i="4" s="1"/>
  <c r="G3498" i="4"/>
  <c r="I3498" i="4" s="1"/>
  <c r="G3497" i="4"/>
  <c r="I3497" i="4" s="1"/>
  <c r="G3496" i="4"/>
  <c r="I3496" i="4" s="1"/>
  <c r="G3494" i="4"/>
  <c r="I3494" i="4" s="1"/>
  <c r="G3493" i="4"/>
  <c r="I3493" i="4" s="1"/>
  <c r="G3492" i="4"/>
  <c r="I3492" i="4" s="1"/>
  <c r="G3491" i="4"/>
  <c r="I3491" i="4" s="1"/>
  <c r="G3490" i="4"/>
  <c r="I3490" i="4" s="1"/>
  <c r="G3489" i="4"/>
  <c r="I3489" i="4" s="1"/>
  <c r="G3487" i="4"/>
  <c r="I3487" i="4" s="1"/>
  <c r="G3486" i="4"/>
  <c r="I3486" i="4" s="1"/>
  <c r="G3485" i="4"/>
  <c r="I3485" i="4" s="1"/>
  <c r="G3484" i="4"/>
  <c r="I3484" i="4" s="1"/>
  <c r="G3483" i="4"/>
  <c r="I3483" i="4" s="1"/>
  <c r="G3482" i="4"/>
  <c r="I3482" i="4" s="1"/>
  <c r="G3480" i="4"/>
  <c r="I3480" i="4" s="1"/>
  <c r="G3479" i="4"/>
  <c r="I3479" i="4" s="1"/>
  <c r="G3478" i="4"/>
  <c r="I3478" i="4" s="1"/>
  <c r="G3477" i="4"/>
  <c r="I3477" i="4" s="1"/>
  <c r="G3476" i="4"/>
  <c r="I3476" i="4" s="1"/>
  <c r="G3475" i="4"/>
  <c r="I3475" i="4" s="1"/>
  <c r="G3473" i="4"/>
  <c r="I3473" i="4" s="1"/>
  <c r="G3472" i="4"/>
  <c r="I3472" i="4" s="1"/>
  <c r="G3471" i="4"/>
  <c r="I3471" i="4" s="1"/>
  <c r="G3470" i="4"/>
  <c r="I3470" i="4" s="1"/>
  <c r="G3469" i="4"/>
  <c r="I3469" i="4" s="1"/>
  <c r="G3468" i="4"/>
  <c r="I3468" i="4" s="1"/>
  <c r="I3474" i="4" s="1"/>
  <c r="G3466" i="4"/>
  <c r="I3466" i="4" s="1"/>
  <c r="G3465" i="4"/>
  <c r="I3465" i="4" s="1"/>
  <c r="G3464" i="4"/>
  <c r="I3464" i="4" s="1"/>
  <c r="G3463" i="4"/>
  <c r="I3463" i="4" s="1"/>
  <c r="G3462" i="4"/>
  <c r="I3462" i="4" s="1"/>
  <c r="G3461" i="4"/>
  <c r="I3461" i="4" s="1"/>
  <c r="I3467" i="4" s="1"/>
  <c r="G3459" i="4"/>
  <c r="I3459" i="4" s="1"/>
  <c r="G3458" i="4"/>
  <c r="I3458" i="4" s="1"/>
  <c r="G3457" i="4"/>
  <c r="I3457" i="4" s="1"/>
  <c r="G3456" i="4"/>
  <c r="I3456" i="4" s="1"/>
  <c r="G3455" i="4"/>
  <c r="I3455" i="4" s="1"/>
  <c r="G3454" i="4"/>
  <c r="I3454" i="4" s="1"/>
  <c r="G3452" i="4"/>
  <c r="I3452" i="4" s="1"/>
  <c r="G3451" i="4"/>
  <c r="I3451" i="4" s="1"/>
  <c r="G3450" i="4"/>
  <c r="I3450" i="4" s="1"/>
  <c r="G3449" i="4"/>
  <c r="I3449" i="4" s="1"/>
  <c r="G3448" i="4"/>
  <c r="I3448" i="4" s="1"/>
  <c r="G3447" i="4"/>
  <c r="I3447" i="4" s="1"/>
  <c r="G3445" i="4"/>
  <c r="I3445" i="4" s="1"/>
  <c r="G3444" i="4"/>
  <c r="I3444" i="4" s="1"/>
  <c r="G3443" i="4"/>
  <c r="I3443" i="4" s="1"/>
  <c r="G3442" i="4"/>
  <c r="I3442" i="4" s="1"/>
  <c r="G3441" i="4"/>
  <c r="I3441" i="4" s="1"/>
  <c r="G3440" i="4"/>
  <c r="I3440" i="4" s="1"/>
  <c r="I3446" i="4" s="1"/>
  <c r="G3438" i="4"/>
  <c r="I3438" i="4" s="1"/>
  <c r="G3437" i="4"/>
  <c r="I3437" i="4" s="1"/>
  <c r="G3436" i="4"/>
  <c r="I3436" i="4" s="1"/>
  <c r="G3435" i="4"/>
  <c r="I3435" i="4" s="1"/>
  <c r="G3434" i="4"/>
  <c r="I3434" i="4" s="1"/>
  <c r="G3433" i="4"/>
  <c r="I3433" i="4" s="1"/>
  <c r="G3431" i="4"/>
  <c r="I3431" i="4" s="1"/>
  <c r="G3430" i="4"/>
  <c r="I3430" i="4" s="1"/>
  <c r="G3429" i="4"/>
  <c r="I3429" i="4" s="1"/>
  <c r="G3428" i="4"/>
  <c r="I3428" i="4" s="1"/>
  <c r="G3427" i="4"/>
  <c r="I3427" i="4" s="1"/>
  <c r="G3426" i="4"/>
  <c r="I3426" i="4" s="1"/>
  <c r="G3424" i="4"/>
  <c r="I3424" i="4" s="1"/>
  <c r="G3423" i="4"/>
  <c r="I3423" i="4" s="1"/>
  <c r="G3422" i="4"/>
  <c r="I3422" i="4" s="1"/>
  <c r="G3421" i="4"/>
  <c r="I3421" i="4" s="1"/>
  <c r="G3420" i="4"/>
  <c r="I3420" i="4" s="1"/>
  <c r="G3419" i="4"/>
  <c r="I3419" i="4" s="1"/>
  <c r="I3425" i="4" s="1"/>
  <c r="G3417" i="4"/>
  <c r="I3417" i="4" s="1"/>
  <c r="G3416" i="4"/>
  <c r="I3416" i="4" s="1"/>
  <c r="G3415" i="4"/>
  <c r="I3415" i="4" s="1"/>
  <c r="G3414" i="4"/>
  <c r="I3414" i="4" s="1"/>
  <c r="G3413" i="4"/>
  <c r="I3413" i="4" s="1"/>
  <c r="G3412" i="4"/>
  <c r="I3412" i="4" s="1"/>
  <c r="G3410" i="4"/>
  <c r="I3410" i="4" s="1"/>
  <c r="G3409" i="4"/>
  <c r="I3409" i="4" s="1"/>
  <c r="G3408" i="4"/>
  <c r="I3408" i="4" s="1"/>
  <c r="G3407" i="4"/>
  <c r="I3407" i="4" s="1"/>
  <c r="G3406" i="4"/>
  <c r="I3406" i="4" s="1"/>
  <c r="G3405" i="4"/>
  <c r="I3405" i="4" s="1"/>
  <c r="G3403" i="4"/>
  <c r="I3403" i="4" s="1"/>
  <c r="G3402" i="4"/>
  <c r="I3402" i="4" s="1"/>
  <c r="G3401" i="4"/>
  <c r="I3401" i="4" s="1"/>
  <c r="G3400" i="4"/>
  <c r="I3400" i="4" s="1"/>
  <c r="G3399" i="4"/>
  <c r="I3399" i="4" s="1"/>
  <c r="G3398" i="4"/>
  <c r="I3398" i="4" s="1"/>
  <c r="G3396" i="4"/>
  <c r="I3396" i="4" s="1"/>
  <c r="G3395" i="4"/>
  <c r="I3395" i="4" s="1"/>
  <c r="G3394" i="4"/>
  <c r="I3394" i="4" s="1"/>
  <c r="G3393" i="4"/>
  <c r="I3393" i="4" s="1"/>
  <c r="G3392" i="4"/>
  <c r="I3392" i="4" s="1"/>
  <c r="G3391" i="4"/>
  <c r="I3391" i="4" s="1"/>
  <c r="G3389" i="4"/>
  <c r="I3389" i="4" s="1"/>
  <c r="G3388" i="4"/>
  <c r="I3388" i="4" s="1"/>
  <c r="G3387" i="4"/>
  <c r="I3387" i="4" s="1"/>
  <c r="G3386" i="4"/>
  <c r="I3386" i="4" s="1"/>
  <c r="G3385" i="4"/>
  <c r="I3385" i="4" s="1"/>
  <c r="G3384" i="4"/>
  <c r="I3384" i="4" s="1"/>
  <c r="G3382" i="4"/>
  <c r="I3382" i="4" s="1"/>
  <c r="G3381" i="4"/>
  <c r="I3381" i="4" s="1"/>
  <c r="G3380" i="4"/>
  <c r="I3380" i="4" s="1"/>
  <c r="G3379" i="4"/>
  <c r="I3379" i="4" s="1"/>
  <c r="G3378" i="4"/>
  <c r="I3378" i="4" s="1"/>
  <c r="G3377" i="4"/>
  <c r="I3377" i="4" s="1"/>
  <c r="I3383" i="4" s="1"/>
  <c r="I3460" i="4" l="1"/>
  <c r="I3488" i="4"/>
  <c r="I3397" i="4"/>
  <c r="I3418" i="4"/>
  <c r="I3390" i="4"/>
  <c r="I3411" i="4"/>
  <c r="I3439" i="4"/>
  <c r="I3404" i="4"/>
  <c r="I3495" i="4"/>
  <c r="I3502" i="4"/>
  <c r="I3481" i="4"/>
  <c r="I3453" i="4"/>
  <c r="I3432" i="4"/>
  <c r="G3368" i="4" l="1"/>
  <c r="I3368" i="4" s="1"/>
  <c r="G3367" i="4"/>
  <c r="I3367" i="4" s="1"/>
  <c r="G3366" i="4"/>
  <c r="I3366" i="4" s="1"/>
  <c r="G3365" i="4"/>
  <c r="I3365" i="4" s="1"/>
  <c r="G3364" i="4"/>
  <c r="I3364" i="4" s="1"/>
  <c r="G3363" i="4"/>
  <c r="I3363" i="4" s="1"/>
  <c r="G3361" i="4"/>
  <c r="I3361" i="4" s="1"/>
  <c r="G3360" i="4"/>
  <c r="I3360" i="4" s="1"/>
  <c r="G3359" i="4"/>
  <c r="I3359" i="4" s="1"/>
  <c r="G3358" i="4"/>
  <c r="I3358" i="4" s="1"/>
  <c r="G3357" i="4"/>
  <c r="I3357" i="4" s="1"/>
  <c r="G3356" i="4"/>
  <c r="I3356" i="4" s="1"/>
  <c r="G3354" i="4"/>
  <c r="I3354" i="4" s="1"/>
  <c r="G3353" i="4"/>
  <c r="I3353" i="4" s="1"/>
  <c r="G3352" i="4"/>
  <c r="I3352" i="4" s="1"/>
  <c r="G3351" i="4"/>
  <c r="I3351" i="4" s="1"/>
  <c r="G3350" i="4"/>
  <c r="I3350" i="4" s="1"/>
  <c r="G3349" i="4"/>
  <c r="I3349" i="4" s="1"/>
  <c r="I3355" i="4" s="1"/>
  <c r="G3347" i="4"/>
  <c r="I3347" i="4" s="1"/>
  <c r="G3346" i="4"/>
  <c r="I3346" i="4" s="1"/>
  <c r="G3345" i="4"/>
  <c r="I3345" i="4" s="1"/>
  <c r="G3344" i="4"/>
  <c r="I3344" i="4" s="1"/>
  <c r="G3343" i="4"/>
  <c r="I3343" i="4" s="1"/>
  <c r="G3342" i="4"/>
  <c r="I3342" i="4" s="1"/>
  <c r="I3369" i="4" l="1"/>
  <c r="I3362" i="4"/>
  <c r="I3348" i="4"/>
  <c r="G3340" i="4"/>
  <c r="I3340" i="4" s="1"/>
  <c r="G3339" i="4"/>
  <c r="I3339" i="4" s="1"/>
  <c r="G3338" i="4"/>
  <c r="I3338" i="4" s="1"/>
  <c r="G3337" i="4"/>
  <c r="I3337" i="4" s="1"/>
  <c r="G3336" i="4"/>
  <c r="I3336" i="4" s="1"/>
  <c r="G3335" i="4"/>
  <c r="I3335" i="4" s="1"/>
  <c r="I3341" i="4" l="1"/>
  <c r="G3333" i="4"/>
  <c r="I3333" i="4" s="1"/>
  <c r="G3332" i="4"/>
  <c r="I3332" i="4" s="1"/>
  <c r="G3331" i="4"/>
  <c r="I3331" i="4" s="1"/>
  <c r="G3330" i="4"/>
  <c r="I3330" i="4" s="1"/>
  <c r="G3329" i="4"/>
  <c r="I3329" i="4" s="1"/>
  <c r="G3328" i="4"/>
  <c r="I3328" i="4" s="1"/>
  <c r="G3326" i="4"/>
  <c r="I3326" i="4" s="1"/>
  <c r="G3325" i="4"/>
  <c r="I3325" i="4" s="1"/>
  <c r="G3324" i="4"/>
  <c r="I3324" i="4" s="1"/>
  <c r="G3323" i="4"/>
  <c r="I3323" i="4" s="1"/>
  <c r="G3322" i="4"/>
  <c r="I3322" i="4" s="1"/>
  <c r="G3321" i="4"/>
  <c r="I3321" i="4" s="1"/>
  <c r="I3334" i="4" l="1"/>
  <c r="I3327" i="4"/>
  <c r="G3319" i="4"/>
  <c r="I3319" i="4" s="1"/>
  <c r="G3318" i="4"/>
  <c r="I3318" i="4" s="1"/>
  <c r="G3317" i="4"/>
  <c r="I3317" i="4" s="1"/>
  <c r="G3316" i="4"/>
  <c r="I3316" i="4" s="1"/>
  <c r="G3315" i="4"/>
  <c r="I3315" i="4" s="1"/>
  <c r="G3314" i="4"/>
  <c r="I3314" i="4" s="1"/>
  <c r="G3312" i="4"/>
  <c r="I3312" i="4" s="1"/>
  <c r="G3311" i="4"/>
  <c r="I3311" i="4" s="1"/>
  <c r="G3310" i="4"/>
  <c r="I3310" i="4" s="1"/>
  <c r="G3309" i="4"/>
  <c r="I3309" i="4" s="1"/>
  <c r="G3308" i="4"/>
  <c r="I3308" i="4" s="1"/>
  <c r="G3307" i="4"/>
  <c r="I3307" i="4" s="1"/>
  <c r="I3320" i="4" l="1"/>
  <c r="I3313" i="4"/>
  <c r="G3305" i="4"/>
  <c r="I3305" i="4" s="1"/>
  <c r="G3304" i="4"/>
  <c r="I3304" i="4" s="1"/>
  <c r="G3303" i="4"/>
  <c r="I3303" i="4" s="1"/>
  <c r="G3302" i="4"/>
  <c r="I3302" i="4" s="1"/>
  <c r="G3301" i="4"/>
  <c r="I3301" i="4" s="1"/>
  <c r="G3300" i="4"/>
  <c r="I3300" i="4" s="1"/>
  <c r="G3298" i="4"/>
  <c r="I3298" i="4" s="1"/>
  <c r="G3297" i="4"/>
  <c r="I3297" i="4" s="1"/>
  <c r="G3296" i="4"/>
  <c r="I3296" i="4" s="1"/>
  <c r="G3295" i="4"/>
  <c r="I3295" i="4" s="1"/>
  <c r="G3294" i="4"/>
  <c r="I3294" i="4" s="1"/>
  <c r="G3293" i="4"/>
  <c r="I3293" i="4" s="1"/>
  <c r="I3299" i="4" l="1"/>
  <c r="I3306" i="4"/>
  <c r="G3291" i="4"/>
  <c r="I3291" i="4" s="1"/>
  <c r="G3290" i="4"/>
  <c r="I3290" i="4" s="1"/>
  <c r="G3289" i="4"/>
  <c r="I3289" i="4" s="1"/>
  <c r="G3288" i="4"/>
  <c r="I3288" i="4" s="1"/>
  <c r="G3287" i="4"/>
  <c r="I3287" i="4" s="1"/>
  <c r="G3286" i="4"/>
  <c r="I3286" i="4" s="1"/>
  <c r="G3284" i="4"/>
  <c r="I3284" i="4" s="1"/>
  <c r="G3283" i="4"/>
  <c r="I3283" i="4" s="1"/>
  <c r="G3282" i="4"/>
  <c r="I3282" i="4" s="1"/>
  <c r="G3281" i="4"/>
  <c r="I3281" i="4" s="1"/>
  <c r="G3280" i="4"/>
  <c r="I3280" i="4" s="1"/>
  <c r="G3279" i="4"/>
  <c r="I3279" i="4" s="1"/>
  <c r="I3292" i="4" l="1"/>
  <c r="I3285" i="4"/>
  <c r="G3277" i="4"/>
  <c r="I3277" i="4" s="1"/>
  <c r="G3276" i="4"/>
  <c r="I3276" i="4" s="1"/>
  <c r="G3275" i="4"/>
  <c r="I3275" i="4" s="1"/>
  <c r="G3274" i="4"/>
  <c r="I3274" i="4" s="1"/>
  <c r="G3273" i="4"/>
  <c r="I3273" i="4" s="1"/>
  <c r="G3272" i="4"/>
  <c r="I3272" i="4" s="1"/>
  <c r="G3270" i="4"/>
  <c r="I3270" i="4" s="1"/>
  <c r="G3269" i="4"/>
  <c r="I3269" i="4" s="1"/>
  <c r="G3268" i="4"/>
  <c r="I3268" i="4" s="1"/>
  <c r="G3267" i="4"/>
  <c r="I3267" i="4" s="1"/>
  <c r="G3266" i="4"/>
  <c r="I3266" i="4" s="1"/>
  <c r="G3265" i="4"/>
  <c r="I3265" i="4" s="1"/>
  <c r="I3278" i="4" l="1"/>
  <c r="I3271" i="4"/>
  <c r="G3263" i="4"/>
  <c r="I3263" i="4" s="1"/>
  <c r="G3262" i="4"/>
  <c r="I3262" i="4" s="1"/>
  <c r="G3261" i="4"/>
  <c r="I3261" i="4" s="1"/>
  <c r="G3260" i="4"/>
  <c r="I3260" i="4" s="1"/>
  <c r="G3259" i="4"/>
  <c r="I3259" i="4" s="1"/>
  <c r="G3258" i="4"/>
  <c r="I3258" i="4" s="1"/>
  <c r="I3264" i="4" l="1"/>
  <c r="G3256" i="4"/>
  <c r="I3256" i="4" s="1"/>
  <c r="G3255" i="4"/>
  <c r="I3255" i="4" s="1"/>
  <c r="G3254" i="4"/>
  <c r="I3254" i="4" s="1"/>
  <c r="G3253" i="4"/>
  <c r="I3253" i="4" s="1"/>
  <c r="G3252" i="4"/>
  <c r="I3252" i="4" s="1"/>
  <c r="G3251" i="4"/>
  <c r="I3251" i="4" s="1"/>
  <c r="G3249" i="4"/>
  <c r="I3249" i="4" s="1"/>
  <c r="G3248" i="4"/>
  <c r="I3248" i="4" s="1"/>
  <c r="G3247" i="4"/>
  <c r="I3247" i="4" s="1"/>
  <c r="G3246" i="4"/>
  <c r="I3246" i="4" s="1"/>
  <c r="G3245" i="4"/>
  <c r="I3245" i="4" s="1"/>
  <c r="G3244" i="4"/>
  <c r="I3244" i="4" s="1"/>
  <c r="G3242" i="4"/>
  <c r="I3242" i="4" s="1"/>
  <c r="G3241" i="4"/>
  <c r="I3241" i="4" s="1"/>
  <c r="G3240" i="4"/>
  <c r="I3240" i="4" s="1"/>
  <c r="G3239" i="4"/>
  <c r="I3239" i="4" s="1"/>
  <c r="G3238" i="4"/>
  <c r="I3238" i="4" s="1"/>
  <c r="G3237" i="4"/>
  <c r="I3237" i="4" s="1"/>
  <c r="G3235" i="4"/>
  <c r="I3235" i="4" s="1"/>
  <c r="G3234" i="4"/>
  <c r="I3234" i="4" s="1"/>
  <c r="G3233" i="4"/>
  <c r="I3233" i="4" s="1"/>
  <c r="G3232" i="4"/>
  <c r="I3232" i="4" s="1"/>
  <c r="G3231" i="4"/>
  <c r="I3231" i="4" s="1"/>
  <c r="G3230" i="4"/>
  <c r="I3230" i="4" s="1"/>
  <c r="G3228" i="4"/>
  <c r="I3228" i="4" s="1"/>
  <c r="G3227" i="4"/>
  <c r="I3227" i="4" s="1"/>
  <c r="G3226" i="4"/>
  <c r="I3226" i="4" s="1"/>
  <c r="G3225" i="4"/>
  <c r="I3225" i="4" s="1"/>
  <c r="G3224" i="4"/>
  <c r="I3224" i="4" s="1"/>
  <c r="G3223" i="4"/>
  <c r="I3223" i="4" s="1"/>
  <c r="I3229" i="4" s="1"/>
  <c r="G3221" i="4"/>
  <c r="I3221" i="4" s="1"/>
  <c r="G3220" i="4"/>
  <c r="I3220" i="4" s="1"/>
  <c r="G3219" i="4"/>
  <c r="I3219" i="4" s="1"/>
  <c r="G3218" i="4"/>
  <c r="I3218" i="4" s="1"/>
  <c r="G3217" i="4"/>
  <c r="I3217" i="4" s="1"/>
  <c r="G3216" i="4"/>
  <c r="I3216" i="4" s="1"/>
  <c r="G3214" i="4"/>
  <c r="I3214" i="4" s="1"/>
  <c r="G3213" i="4"/>
  <c r="I3213" i="4" s="1"/>
  <c r="G3212" i="4"/>
  <c r="I3212" i="4" s="1"/>
  <c r="G3211" i="4"/>
  <c r="I3211" i="4" s="1"/>
  <c r="G3210" i="4"/>
  <c r="I3210" i="4" s="1"/>
  <c r="G3209" i="4"/>
  <c r="I3209" i="4" s="1"/>
  <c r="G3207" i="4"/>
  <c r="I3207" i="4" s="1"/>
  <c r="G3206" i="4"/>
  <c r="I3206" i="4" s="1"/>
  <c r="G3205" i="4"/>
  <c r="I3205" i="4" s="1"/>
  <c r="G3204" i="4"/>
  <c r="I3204" i="4" s="1"/>
  <c r="G3203" i="4"/>
  <c r="I3203" i="4" s="1"/>
  <c r="G3202" i="4"/>
  <c r="I3202" i="4" s="1"/>
  <c r="I3257" i="4" l="1"/>
  <c r="I3215" i="4"/>
  <c r="I3250" i="4"/>
  <c r="I3243" i="4"/>
  <c r="I3236" i="4"/>
  <c r="I3222" i="4"/>
  <c r="I3208" i="4"/>
  <c r="G3200" i="4"/>
  <c r="I3200" i="4" s="1"/>
  <c r="G3199" i="4"/>
  <c r="I3199" i="4" s="1"/>
  <c r="G3198" i="4"/>
  <c r="I3198" i="4" s="1"/>
  <c r="G3197" i="4"/>
  <c r="I3197" i="4" s="1"/>
  <c r="G3196" i="4"/>
  <c r="I3196" i="4" s="1"/>
  <c r="G3195" i="4"/>
  <c r="I3195" i="4" s="1"/>
  <c r="I3201" i="4" l="1"/>
  <c r="G3186" i="4" l="1"/>
  <c r="I3186" i="4" s="1"/>
  <c r="G3185" i="4"/>
  <c r="I3185" i="4" s="1"/>
  <c r="G3184" i="4"/>
  <c r="I3184" i="4" s="1"/>
  <c r="G3183" i="4"/>
  <c r="I3183" i="4" s="1"/>
  <c r="G3182" i="4"/>
  <c r="I3182" i="4" s="1"/>
  <c r="G3181" i="4"/>
  <c r="I3181" i="4" s="1"/>
  <c r="I3187" i="4" l="1"/>
  <c r="G3179" i="4"/>
  <c r="I3179" i="4" s="1"/>
  <c r="G3178" i="4"/>
  <c r="I3178" i="4" s="1"/>
  <c r="G3177" i="4"/>
  <c r="I3177" i="4" s="1"/>
  <c r="G3176" i="4"/>
  <c r="I3176" i="4" s="1"/>
  <c r="G3175" i="4"/>
  <c r="I3175" i="4" s="1"/>
  <c r="G3174" i="4"/>
  <c r="I3174" i="4" s="1"/>
  <c r="I3180" i="4" l="1"/>
  <c r="G3172" i="4"/>
  <c r="I3172" i="4" s="1"/>
  <c r="G3171" i="4"/>
  <c r="I3171" i="4" s="1"/>
  <c r="G3170" i="4"/>
  <c r="I3170" i="4" s="1"/>
  <c r="G3169" i="4"/>
  <c r="I3169" i="4" s="1"/>
  <c r="G3168" i="4"/>
  <c r="I3168" i="4" s="1"/>
  <c r="G3167" i="4"/>
  <c r="I3167" i="4" s="1"/>
  <c r="I3173" i="4" l="1"/>
  <c r="G3165" i="4" l="1"/>
  <c r="I3165" i="4" s="1"/>
  <c r="G3164" i="4"/>
  <c r="I3164" i="4" s="1"/>
  <c r="G3163" i="4"/>
  <c r="I3163" i="4" s="1"/>
  <c r="G3162" i="4"/>
  <c r="I3162" i="4" s="1"/>
  <c r="G3161" i="4"/>
  <c r="I3161" i="4" s="1"/>
  <c r="G3160" i="4"/>
  <c r="I3160" i="4" s="1"/>
  <c r="I3166" i="4" l="1"/>
  <c r="G3158" i="4"/>
  <c r="I3158" i="4" s="1"/>
  <c r="G3157" i="4"/>
  <c r="I3157" i="4" s="1"/>
  <c r="G3156" i="4"/>
  <c r="I3156" i="4" s="1"/>
  <c r="G3155" i="4"/>
  <c r="I3155" i="4" s="1"/>
  <c r="G3154" i="4"/>
  <c r="I3154" i="4" s="1"/>
  <c r="G3153" i="4"/>
  <c r="I3153" i="4" s="1"/>
  <c r="I3159" i="4" l="1"/>
  <c r="G3151" i="4" l="1"/>
  <c r="I3151" i="4" s="1"/>
  <c r="G3150" i="4"/>
  <c r="I3150" i="4" s="1"/>
  <c r="G3149" i="4"/>
  <c r="I3149" i="4" s="1"/>
  <c r="G3148" i="4"/>
  <c r="I3148" i="4" s="1"/>
  <c r="G3147" i="4"/>
  <c r="I3147" i="4" s="1"/>
  <c r="G3146" i="4"/>
  <c r="I3146" i="4" s="1"/>
  <c r="I3152" i="4" l="1"/>
  <c r="G3144" i="4"/>
  <c r="I3144" i="4" s="1"/>
  <c r="G3143" i="4"/>
  <c r="I3143" i="4" s="1"/>
  <c r="G3142" i="4"/>
  <c r="I3142" i="4" s="1"/>
  <c r="G3141" i="4"/>
  <c r="I3141" i="4" s="1"/>
  <c r="G3140" i="4"/>
  <c r="I3140" i="4" s="1"/>
  <c r="G3139" i="4"/>
  <c r="I3139" i="4" s="1"/>
  <c r="I3145" i="4" l="1"/>
  <c r="G3137" i="4"/>
  <c r="I3137" i="4" s="1"/>
  <c r="G3136" i="4"/>
  <c r="I3136" i="4" s="1"/>
  <c r="G3135" i="4"/>
  <c r="I3135" i="4" s="1"/>
  <c r="G3134" i="4"/>
  <c r="I3134" i="4" s="1"/>
  <c r="G3133" i="4"/>
  <c r="I3133" i="4" s="1"/>
  <c r="G3132" i="4"/>
  <c r="I3132" i="4" s="1"/>
  <c r="I3138" i="4" l="1"/>
  <c r="G3130" i="4"/>
  <c r="I3130" i="4" s="1"/>
  <c r="G3129" i="4"/>
  <c r="I3129" i="4" s="1"/>
  <c r="G3128" i="4"/>
  <c r="I3128" i="4" s="1"/>
  <c r="G3127" i="4"/>
  <c r="I3127" i="4" s="1"/>
  <c r="G3126" i="4"/>
  <c r="I3126" i="4" s="1"/>
  <c r="G3125" i="4"/>
  <c r="I3125" i="4" s="1"/>
  <c r="G3123" i="4"/>
  <c r="I3123" i="4" s="1"/>
  <c r="G3122" i="4"/>
  <c r="I3122" i="4" s="1"/>
  <c r="G3121" i="4"/>
  <c r="I3121" i="4" s="1"/>
  <c r="G3120" i="4"/>
  <c r="I3120" i="4" s="1"/>
  <c r="G3119" i="4"/>
  <c r="I3119" i="4" s="1"/>
  <c r="G3118" i="4"/>
  <c r="I3118" i="4" s="1"/>
  <c r="I3131" i="4" l="1"/>
  <c r="I3124" i="4"/>
  <c r="G3116" i="4"/>
  <c r="I3116" i="4" s="1"/>
  <c r="G3115" i="4"/>
  <c r="I3115" i="4" s="1"/>
  <c r="G3114" i="4"/>
  <c r="I3114" i="4" s="1"/>
  <c r="G3113" i="4"/>
  <c r="I3113" i="4" s="1"/>
  <c r="G3112" i="4"/>
  <c r="I3112" i="4" s="1"/>
  <c r="G3111" i="4"/>
  <c r="I3111" i="4" s="1"/>
  <c r="G3109" i="4"/>
  <c r="I3109" i="4" s="1"/>
  <c r="G3108" i="4"/>
  <c r="I3108" i="4" s="1"/>
  <c r="G3107" i="4"/>
  <c r="I3107" i="4" s="1"/>
  <c r="G3106" i="4"/>
  <c r="I3106" i="4" s="1"/>
  <c r="G3105" i="4"/>
  <c r="I3105" i="4" s="1"/>
  <c r="G3104" i="4"/>
  <c r="I3104" i="4" s="1"/>
  <c r="G3102" i="4"/>
  <c r="I3102" i="4" s="1"/>
  <c r="G3101" i="4"/>
  <c r="I3101" i="4" s="1"/>
  <c r="G3100" i="4"/>
  <c r="I3100" i="4" s="1"/>
  <c r="G3099" i="4"/>
  <c r="I3099" i="4" s="1"/>
  <c r="G3098" i="4"/>
  <c r="I3098" i="4" s="1"/>
  <c r="G3097" i="4"/>
  <c r="I3097" i="4" s="1"/>
  <c r="G3095" i="4"/>
  <c r="I3095" i="4" s="1"/>
  <c r="G3094" i="4"/>
  <c r="I3094" i="4" s="1"/>
  <c r="G3093" i="4"/>
  <c r="I3093" i="4" s="1"/>
  <c r="G3092" i="4"/>
  <c r="I3092" i="4" s="1"/>
  <c r="G3091" i="4"/>
  <c r="I3091" i="4" s="1"/>
  <c r="G3090" i="4"/>
  <c r="I3090" i="4" s="1"/>
  <c r="G3088" i="4"/>
  <c r="I3088" i="4" s="1"/>
  <c r="G3087" i="4"/>
  <c r="I3087" i="4" s="1"/>
  <c r="G3086" i="4"/>
  <c r="I3086" i="4" s="1"/>
  <c r="G3085" i="4"/>
  <c r="I3085" i="4" s="1"/>
  <c r="G3084" i="4"/>
  <c r="I3084" i="4" s="1"/>
  <c r="G3083" i="4"/>
  <c r="I3083" i="4" s="1"/>
  <c r="G3081" i="4"/>
  <c r="I3081" i="4" s="1"/>
  <c r="G3080" i="4"/>
  <c r="I3080" i="4" s="1"/>
  <c r="G3079" i="4"/>
  <c r="I3079" i="4" s="1"/>
  <c r="G3078" i="4"/>
  <c r="I3078" i="4" s="1"/>
  <c r="G3077" i="4"/>
  <c r="I3077" i="4" s="1"/>
  <c r="G3076" i="4"/>
  <c r="I3076" i="4" s="1"/>
  <c r="G3074" i="4"/>
  <c r="I3074" i="4" s="1"/>
  <c r="G3073" i="4"/>
  <c r="I3073" i="4" s="1"/>
  <c r="G3072" i="4"/>
  <c r="I3072" i="4" s="1"/>
  <c r="G3071" i="4"/>
  <c r="I3071" i="4" s="1"/>
  <c r="G3070" i="4"/>
  <c r="I3070" i="4" s="1"/>
  <c r="G3069" i="4"/>
  <c r="I3069" i="4" s="1"/>
  <c r="G3067" i="4"/>
  <c r="I3067" i="4" s="1"/>
  <c r="G3066" i="4"/>
  <c r="I3066" i="4" s="1"/>
  <c r="G3065" i="4"/>
  <c r="I3065" i="4" s="1"/>
  <c r="G3064" i="4"/>
  <c r="I3064" i="4" s="1"/>
  <c r="G3063" i="4"/>
  <c r="I3063" i="4" s="1"/>
  <c r="G3062" i="4"/>
  <c r="I3062" i="4" s="1"/>
  <c r="G3060" i="4"/>
  <c r="I3060" i="4" s="1"/>
  <c r="G3059" i="4"/>
  <c r="I3059" i="4" s="1"/>
  <c r="G3058" i="4"/>
  <c r="I3058" i="4" s="1"/>
  <c r="G3057" i="4"/>
  <c r="I3057" i="4" s="1"/>
  <c r="G3056" i="4"/>
  <c r="I3056" i="4" s="1"/>
  <c r="G3055" i="4"/>
  <c r="I3055" i="4" s="1"/>
  <c r="G3053" i="4"/>
  <c r="I3053" i="4" s="1"/>
  <c r="G3052" i="4"/>
  <c r="I3052" i="4" s="1"/>
  <c r="G3051" i="4"/>
  <c r="I3051" i="4" s="1"/>
  <c r="G3050" i="4"/>
  <c r="I3050" i="4" s="1"/>
  <c r="G3049" i="4"/>
  <c r="I3049" i="4" s="1"/>
  <c r="G3048" i="4"/>
  <c r="I3048" i="4" s="1"/>
  <c r="G3046" i="4"/>
  <c r="I3046" i="4" s="1"/>
  <c r="G3045" i="4"/>
  <c r="I3045" i="4" s="1"/>
  <c r="G3044" i="4"/>
  <c r="I3044" i="4" s="1"/>
  <c r="G3043" i="4"/>
  <c r="I3043" i="4" s="1"/>
  <c r="G3042" i="4"/>
  <c r="I3042" i="4" s="1"/>
  <c r="G3041" i="4"/>
  <c r="I3041" i="4" s="1"/>
  <c r="G3039" i="4"/>
  <c r="I3039" i="4" s="1"/>
  <c r="G3038" i="4"/>
  <c r="I3038" i="4" s="1"/>
  <c r="G3037" i="4"/>
  <c r="I3037" i="4" s="1"/>
  <c r="G3036" i="4"/>
  <c r="I3036" i="4" s="1"/>
  <c r="G3035" i="4"/>
  <c r="I3035" i="4" s="1"/>
  <c r="G3034" i="4"/>
  <c r="I3034" i="4" s="1"/>
  <c r="G3032" i="4"/>
  <c r="I3032" i="4" s="1"/>
  <c r="G3031" i="4"/>
  <c r="I3031" i="4" s="1"/>
  <c r="G3030" i="4"/>
  <c r="I3030" i="4" s="1"/>
  <c r="G3029" i="4"/>
  <c r="I3029" i="4" s="1"/>
  <c r="G3028" i="4"/>
  <c r="I3028" i="4" s="1"/>
  <c r="G3027" i="4"/>
  <c r="I3027" i="4" s="1"/>
  <c r="G3025" i="4"/>
  <c r="I3025" i="4" s="1"/>
  <c r="G3024" i="4"/>
  <c r="I3024" i="4" s="1"/>
  <c r="G3023" i="4"/>
  <c r="I3023" i="4" s="1"/>
  <c r="G3022" i="4"/>
  <c r="I3022" i="4" s="1"/>
  <c r="G3021" i="4"/>
  <c r="I3021" i="4" s="1"/>
  <c r="G3020" i="4"/>
  <c r="I3020" i="4" s="1"/>
  <c r="G3018" i="4"/>
  <c r="I3018" i="4" s="1"/>
  <c r="G3017" i="4"/>
  <c r="I3017" i="4" s="1"/>
  <c r="G3016" i="4"/>
  <c r="I3016" i="4" s="1"/>
  <c r="G3015" i="4"/>
  <c r="I3015" i="4" s="1"/>
  <c r="G3014" i="4"/>
  <c r="I3014" i="4" s="1"/>
  <c r="G3013" i="4"/>
  <c r="I3013" i="4" s="1"/>
  <c r="G3011" i="4"/>
  <c r="I3011" i="4" s="1"/>
  <c r="G3010" i="4"/>
  <c r="I3010" i="4" s="1"/>
  <c r="G3009" i="4"/>
  <c r="I3009" i="4" s="1"/>
  <c r="G3008" i="4"/>
  <c r="I3008" i="4" s="1"/>
  <c r="G3007" i="4"/>
  <c r="I3007" i="4" s="1"/>
  <c r="G3006" i="4"/>
  <c r="I3006" i="4" s="1"/>
  <c r="I3033" i="4" l="1"/>
  <c r="I3110" i="4"/>
  <c r="I3054" i="4"/>
  <c r="I3103" i="4"/>
  <c r="I3117" i="4"/>
  <c r="I3068" i="4"/>
  <c r="I3096" i="4"/>
  <c r="I3089" i="4"/>
  <c r="I3082" i="4"/>
  <c r="I3075" i="4"/>
  <c r="I3061" i="4"/>
  <c r="I3047" i="4"/>
  <c r="I3019" i="4"/>
  <c r="I3040" i="4"/>
  <c r="I3026" i="4"/>
  <c r="I3012" i="4"/>
  <c r="G3004" i="4"/>
  <c r="I3004" i="4" s="1"/>
  <c r="G3003" i="4"/>
  <c r="I3003" i="4" s="1"/>
  <c r="G3002" i="4"/>
  <c r="I3002" i="4" s="1"/>
  <c r="G3001" i="4"/>
  <c r="I3001" i="4" s="1"/>
  <c r="G3000" i="4"/>
  <c r="I3000" i="4" s="1"/>
  <c r="G2999" i="4"/>
  <c r="I2999" i="4" s="1"/>
  <c r="G2997" i="4"/>
  <c r="I2997" i="4" s="1"/>
  <c r="G2996" i="4"/>
  <c r="I2996" i="4" s="1"/>
  <c r="G2995" i="4"/>
  <c r="I2995" i="4" s="1"/>
  <c r="G2994" i="4"/>
  <c r="I2994" i="4" s="1"/>
  <c r="G2993" i="4"/>
  <c r="I2993" i="4" s="1"/>
  <c r="G2992" i="4"/>
  <c r="I2992" i="4" s="1"/>
  <c r="G2990" i="4"/>
  <c r="I2990" i="4" s="1"/>
  <c r="G2989" i="4"/>
  <c r="I2989" i="4" s="1"/>
  <c r="G2988" i="4"/>
  <c r="I2988" i="4" s="1"/>
  <c r="G2987" i="4"/>
  <c r="I2987" i="4" s="1"/>
  <c r="G2986" i="4"/>
  <c r="I2986" i="4" s="1"/>
  <c r="G2985" i="4"/>
  <c r="I2985" i="4" s="1"/>
  <c r="G2983" i="4"/>
  <c r="I2983" i="4" s="1"/>
  <c r="G2982" i="4"/>
  <c r="I2982" i="4" s="1"/>
  <c r="G2981" i="4"/>
  <c r="I2981" i="4" s="1"/>
  <c r="G2980" i="4"/>
  <c r="I2980" i="4" s="1"/>
  <c r="G2979" i="4"/>
  <c r="I2979" i="4" s="1"/>
  <c r="G2978" i="4"/>
  <c r="I2978" i="4" s="1"/>
  <c r="G2976" i="4"/>
  <c r="I2976" i="4" s="1"/>
  <c r="G2975" i="4"/>
  <c r="I2975" i="4" s="1"/>
  <c r="G2974" i="4"/>
  <c r="I2974" i="4" s="1"/>
  <c r="G2973" i="4"/>
  <c r="I2973" i="4" s="1"/>
  <c r="G2972" i="4"/>
  <c r="I2972" i="4" s="1"/>
  <c r="G2971" i="4"/>
  <c r="I2971" i="4" s="1"/>
  <c r="I2977" i="4" s="1"/>
  <c r="G2969" i="4"/>
  <c r="I2969" i="4" s="1"/>
  <c r="G2968" i="4"/>
  <c r="I2968" i="4" s="1"/>
  <c r="G2967" i="4"/>
  <c r="I2967" i="4" s="1"/>
  <c r="G2966" i="4"/>
  <c r="I2966" i="4" s="1"/>
  <c r="G2965" i="4"/>
  <c r="I2965" i="4" s="1"/>
  <c r="G2964" i="4"/>
  <c r="I2964" i="4" s="1"/>
  <c r="F35" i="1" l="1"/>
  <c r="I46" i="1" s="1"/>
  <c r="I2970" i="4"/>
  <c r="I2998" i="4"/>
  <c r="I2984" i="4"/>
  <c r="I3005" i="4"/>
  <c r="I2991" i="4"/>
  <c r="G2962" i="4"/>
  <c r="I2962" i="4" s="1"/>
  <c r="G2961" i="4"/>
  <c r="I2961" i="4" s="1"/>
  <c r="G2960" i="4"/>
  <c r="I2960" i="4" s="1"/>
  <c r="G2959" i="4"/>
  <c r="I2959" i="4" s="1"/>
  <c r="G2958" i="4"/>
  <c r="I2958" i="4" s="1"/>
  <c r="G2957" i="4"/>
  <c r="I2957" i="4" s="1"/>
  <c r="I2963" i="4" l="1"/>
  <c r="G2955" i="4"/>
  <c r="I2955" i="4" s="1"/>
  <c r="G2954" i="4"/>
  <c r="I2954" i="4" s="1"/>
  <c r="G2953" i="4"/>
  <c r="I2953" i="4" s="1"/>
  <c r="G2952" i="4"/>
  <c r="I2952" i="4" s="1"/>
  <c r="G2951" i="4"/>
  <c r="I2951" i="4" s="1"/>
  <c r="G2950" i="4"/>
  <c r="I2950" i="4" s="1"/>
  <c r="I2956" i="4" l="1"/>
  <c r="G2948" i="4" l="1"/>
  <c r="I2948" i="4" s="1"/>
  <c r="G2947" i="4"/>
  <c r="I2947" i="4" s="1"/>
  <c r="G2946" i="4"/>
  <c r="I2946" i="4" s="1"/>
  <c r="G2945" i="4"/>
  <c r="I2945" i="4" s="1"/>
  <c r="G2944" i="4"/>
  <c r="I2944" i="4" s="1"/>
  <c r="G2943" i="4"/>
  <c r="I2943" i="4" s="1"/>
  <c r="I2949" i="4" l="1"/>
  <c r="G2934" i="4"/>
  <c r="I2934" i="4" s="1"/>
  <c r="G2933" i="4"/>
  <c r="I2933" i="4" s="1"/>
  <c r="G2932" i="4"/>
  <c r="I2932" i="4" s="1"/>
  <c r="G2931" i="4"/>
  <c r="I2931" i="4" s="1"/>
  <c r="G2930" i="4"/>
  <c r="I2930" i="4" s="1"/>
  <c r="G2929" i="4"/>
  <c r="I2929" i="4" s="1"/>
  <c r="G2927" i="4"/>
  <c r="I2927" i="4" s="1"/>
  <c r="G2926" i="4"/>
  <c r="I2926" i="4" s="1"/>
  <c r="G2925" i="4"/>
  <c r="I2925" i="4" s="1"/>
  <c r="G2924" i="4"/>
  <c r="I2924" i="4" s="1"/>
  <c r="G2923" i="4"/>
  <c r="I2923" i="4" s="1"/>
  <c r="G2922" i="4"/>
  <c r="I2922" i="4" s="1"/>
  <c r="G2920" i="4"/>
  <c r="I2920" i="4" s="1"/>
  <c r="G2919" i="4"/>
  <c r="I2919" i="4" s="1"/>
  <c r="G2918" i="4"/>
  <c r="I2918" i="4" s="1"/>
  <c r="G2917" i="4"/>
  <c r="I2917" i="4" s="1"/>
  <c r="G2916" i="4"/>
  <c r="I2916" i="4" s="1"/>
  <c r="G2915" i="4"/>
  <c r="I2915" i="4" s="1"/>
  <c r="I2928" i="4" l="1"/>
  <c r="I2935" i="4"/>
  <c r="I2921" i="4"/>
  <c r="G2913" i="4"/>
  <c r="I2913" i="4" s="1"/>
  <c r="G2912" i="4"/>
  <c r="I2912" i="4" s="1"/>
  <c r="G2911" i="4"/>
  <c r="I2911" i="4" s="1"/>
  <c r="G2910" i="4"/>
  <c r="I2910" i="4" s="1"/>
  <c r="G2909" i="4"/>
  <c r="I2909" i="4" s="1"/>
  <c r="G2908" i="4"/>
  <c r="I2908" i="4" s="1"/>
  <c r="I2914" i="4" l="1"/>
  <c r="G2906" i="4"/>
  <c r="I2906" i="4" s="1"/>
  <c r="G2905" i="4"/>
  <c r="I2905" i="4" s="1"/>
  <c r="G2904" i="4"/>
  <c r="I2904" i="4" s="1"/>
  <c r="G2903" i="4"/>
  <c r="I2903" i="4" s="1"/>
  <c r="G2902" i="4"/>
  <c r="I2902" i="4" s="1"/>
  <c r="G2901" i="4"/>
  <c r="I2901" i="4" s="1"/>
  <c r="I2907" i="4" l="1"/>
  <c r="G2899" i="4"/>
  <c r="I2899" i="4" s="1"/>
  <c r="G2898" i="4"/>
  <c r="I2898" i="4" s="1"/>
  <c r="G2897" i="4"/>
  <c r="I2897" i="4" s="1"/>
  <c r="G2896" i="4"/>
  <c r="I2896" i="4" s="1"/>
  <c r="G2895" i="4"/>
  <c r="I2895" i="4" s="1"/>
  <c r="G2894" i="4"/>
  <c r="I2894" i="4" s="1"/>
  <c r="I2900" i="4" l="1"/>
  <c r="G2892" i="4"/>
  <c r="I2892" i="4" s="1"/>
  <c r="G2891" i="4"/>
  <c r="I2891" i="4" s="1"/>
  <c r="G2890" i="4"/>
  <c r="I2890" i="4" s="1"/>
  <c r="G2889" i="4"/>
  <c r="I2889" i="4" s="1"/>
  <c r="G2888" i="4"/>
  <c r="I2888" i="4" s="1"/>
  <c r="G2887" i="4"/>
  <c r="I2887" i="4" s="1"/>
  <c r="I2893" i="4" l="1"/>
  <c r="G2885" i="4"/>
  <c r="I2885" i="4" s="1"/>
  <c r="G2884" i="4"/>
  <c r="I2884" i="4" s="1"/>
  <c r="G2883" i="4"/>
  <c r="I2883" i="4" s="1"/>
  <c r="G2882" i="4"/>
  <c r="I2882" i="4" s="1"/>
  <c r="G2881" i="4"/>
  <c r="I2881" i="4" s="1"/>
  <c r="G2880" i="4"/>
  <c r="I2880" i="4" s="1"/>
  <c r="I2886" i="4" l="1"/>
  <c r="G2878" i="4"/>
  <c r="I2878" i="4" s="1"/>
  <c r="G2877" i="4"/>
  <c r="I2877" i="4" s="1"/>
  <c r="G2876" i="4"/>
  <c r="I2876" i="4" s="1"/>
  <c r="G2875" i="4"/>
  <c r="I2875" i="4" s="1"/>
  <c r="G2874" i="4"/>
  <c r="I2874" i="4" s="1"/>
  <c r="G2873" i="4"/>
  <c r="I2873" i="4" s="1"/>
  <c r="I2879" i="4" l="1"/>
  <c r="G2871" i="4"/>
  <c r="I2871" i="4" s="1"/>
  <c r="G2870" i="4"/>
  <c r="I2870" i="4" s="1"/>
  <c r="G2869" i="4"/>
  <c r="I2869" i="4" s="1"/>
  <c r="G2868" i="4"/>
  <c r="I2868" i="4" s="1"/>
  <c r="G2867" i="4"/>
  <c r="I2867" i="4" s="1"/>
  <c r="G2866" i="4"/>
  <c r="I2866" i="4" s="1"/>
  <c r="I2872" i="4" l="1"/>
  <c r="G2864" i="4"/>
  <c r="I2864" i="4" s="1"/>
  <c r="G2863" i="4"/>
  <c r="I2863" i="4" s="1"/>
  <c r="G2862" i="4"/>
  <c r="I2862" i="4" s="1"/>
  <c r="G2861" i="4"/>
  <c r="I2861" i="4" s="1"/>
  <c r="G2860" i="4"/>
  <c r="I2860" i="4" s="1"/>
  <c r="G2859" i="4"/>
  <c r="I2859" i="4" s="1"/>
  <c r="I2865" i="4" l="1"/>
  <c r="G2857" i="4"/>
  <c r="I2857" i="4" s="1"/>
  <c r="G2856" i="4"/>
  <c r="I2856" i="4" s="1"/>
  <c r="G2855" i="4"/>
  <c r="I2855" i="4" s="1"/>
  <c r="G2854" i="4"/>
  <c r="I2854" i="4" s="1"/>
  <c r="G2853" i="4"/>
  <c r="I2853" i="4" s="1"/>
  <c r="G2852" i="4"/>
  <c r="I2852" i="4" s="1"/>
  <c r="I2858" i="4" l="1"/>
  <c r="G2850" i="4"/>
  <c r="I2850" i="4" s="1"/>
  <c r="G2849" i="4"/>
  <c r="I2849" i="4" s="1"/>
  <c r="G2848" i="4"/>
  <c r="I2848" i="4" s="1"/>
  <c r="G2847" i="4"/>
  <c r="I2847" i="4" s="1"/>
  <c r="G2846" i="4"/>
  <c r="I2846" i="4" s="1"/>
  <c r="G2845" i="4"/>
  <c r="I2845" i="4" s="1"/>
  <c r="I2851" i="4" l="1"/>
  <c r="G2843" i="4"/>
  <c r="I2843" i="4" s="1"/>
  <c r="G2842" i="4"/>
  <c r="I2842" i="4" s="1"/>
  <c r="G2841" i="4"/>
  <c r="I2841" i="4" s="1"/>
  <c r="G2840" i="4"/>
  <c r="I2840" i="4" s="1"/>
  <c r="G2839" i="4"/>
  <c r="I2839" i="4" s="1"/>
  <c r="G2838" i="4"/>
  <c r="I2838" i="4" s="1"/>
  <c r="I2844" i="4" l="1"/>
  <c r="H6" i="3"/>
  <c r="G2836" i="4" l="1"/>
  <c r="I2836" i="4" s="1"/>
  <c r="G2835" i="4"/>
  <c r="I2835" i="4" s="1"/>
  <c r="G2834" i="4"/>
  <c r="I2834" i="4" s="1"/>
  <c r="G2833" i="4"/>
  <c r="I2833" i="4" s="1"/>
  <c r="G2832" i="4"/>
  <c r="I2832" i="4" s="1"/>
  <c r="G2831" i="4"/>
  <c r="I2831" i="4" s="1"/>
  <c r="I2837" i="4" l="1"/>
  <c r="G2822" i="4"/>
  <c r="I2822" i="4" s="1"/>
  <c r="G2821" i="4"/>
  <c r="I2821" i="4" s="1"/>
  <c r="G2820" i="4"/>
  <c r="I2820" i="4" s="1"/>
  <c r="G2819" i="4"/>
  <c r="I2819" i="4" s="1"/>
  <c r="G2818" i="4"/>
  <c r="I2818" i="4" s="1"/>
  <c r="G2817" i="4"/>
  <c r="I2817" i="4" s="1"/>
  <c r="I2823" i="4" l="1"/>
  <c r="G2815" i="4"/>
  <c r="I2815" i="4" s="1"/>
  <c r="G2814" i="4"/>
  <c r="I2814" i="4" s="1"/>
  <c r="G2813" i="4"/>
  <c r="I2813" i="4" s="1"/>
  <c r="G2812" i="4"/>
  <c r="I2812" i="4" s="1"/>
  <c r="G2811" i="4"/>
  <c r="I2811" i="4" s="1"/>
  <c r="G2810" i="4"/>
  <c r="I2810" i="4" s="1"/>
  <c r="I2816" i="4" l="1"/>
  <c r="G2808" i="4"/>
  <c r="I2808" i="4" s="1"/>
  <c r="G2807" i="4"/>
  <c r="I2807" i="4" s="1"/>
  <c r="G2806" i="4"/>
  <c r="I2806" i="4" s="1"/>
  <c r="G2805" i="4"/>
  <c r="I2805" i="4" s="1"/>
  <c r="G2804" i="4"/>
  <c r="I2804" i="4" s="1"/>
  <c r="G2803" i="4"/>
  <c r="I2803" i="4" s="1"/>
  <c r="I2809" i="4" l="1"/>
  <c r="G2801" i="4"/>
  <c r="I2801" i="4" s="1"/>
  <c r="G2800" i="4"/>
  <c r="I2800" i="4" s="1"/>
  <c r="G2799" i="4"/>
  <c r="I2799" i="4" s="1"/>
  <c r="G2798" i="4"/>
  <c r="I2798" i="4" s="1"/>
  <c r="G2797" i="4"/>
  <c r="I2797" i="4" s="1"/>
  <c r="G2796" i="4"/>
  <c r="I2796" i="4" s="1"/>
  <c r="I2802" i="4" l="1"/>
  <c r="G2794" i="4"/>
  <c r="I2794" i="4" s="1"/>
  <c r="G2793" i="4"/>
  <c r="I2793" i="4" s="1"/>
  <c r="G2792" i="4"/>
  <c r="I2792" i="4" s="1"/>
  <c r="G2791" i="4"/>
  <c r="I2791" i="4" s="1"/>
  <c r="G2790" i="4"/>
  <c r="I2790" i="4" s="1"/>
  <c r="G2789" i="4"/>
  <c r="I2789" i="4" s="1"/>
  <c r="I2795" i="4" l="1"/>
  <c r="G2787" i="4"/>
  <c r="I2787" i="4" s="1"/>
  <c r="G2786" i="4"/>
  <c r="I2786" i="4" s="1"/>
  <c r="G2785" i="4"/>
  <c r="I2785" i="4" s="1"/>
  <c r="G2784" i="4"/>
  <c r="I2784" i="4" s="1"/>
  <c r="G2783" i="4"/>
  <c r="I2783" i="4" s="1"/>
  <c r="G2782" i="4"/>
  <c r="I2782" i="4" s="1"/>
  <c r="I2788" i="4" l="1"/>
  <c r="G2780" i="4"/>
  <c r="I2780" i="4" s="1"/>
  <c r="G2779" i="4"/>
  <c r="I2779" i="4" s="1"/>
  <c r="G2778" i="4"/>
  <c r="I2778" i="4" s="1"/>
  <c r="G2777" i="4"/>
  <c r="I2777" i="4" s="1"/>
  <c r="G2776" i="4"/>
  <c r="I2776" i="4" s="1"/>
  <c r="G2775" i="4"/>
  <c r="I2775" i="4" s="1"/>
  <c r="I2781" i="4" l="1"/>
  <c r="G2773" i="4"/>
  <c r="I2773" i="4" s="1"/>
  <c r="G2772" i="4"/>
  <c r="I2772" i="4" s="1"/>
  <c r="G2771" i="4"/>
  <c r="I2771" i="4" s="1"/>
  <c r="G2770" i="4"/>
  <c r="I2770" i="4" s="1"/>
  <c r="G2769" i="4"/>
  <c r="I2769" i="4" s="1"/>
  <c r="G2768" i="4"/>
  <c r="I2768" i="4" s="1"/>
  <c r="G2759" i="4"/>
  <c r="I2759" i="4" s="1"/>
  <c r="G2758" i="4"/>
  <c r="I2758" i="4" s="1"/>
  <c r="G2757" i="4"/>
  <c r="I2757" i="4" s="1"/>
  <c r="G2756" i="4"/>
  <c r="I2756" i="4" s="1"/>
  <c r="G2755" i="4"/>
  <c r="I2755" i="4" s="1"/>
  <c r="G2754" i="4"/>
  <c r="I2754" i="4" s="1"/>
  <c r="I2774" i="4" l="1"/>
  <c r="I2760" i="4"/>
  <c r="G2752" i="4"/>
  <c r="G2751" i="4"/>
  <c r="G2750" i="4"/>
  <c r="G2749" i="4"/>
  <c r="H2748" i="4"/>
  <c r="H2749" i="4" s="1"/>
  <c r="H2750" i="4" s="1"/>
  <c r="H2751" i="4" s="1"/>
  <c r="G2748" i="4"/>
  <c r="G2747" i="4"/>
  <c r="I2747" i="4" s="1"/>
  <c r="I2748" i="4" l="1"/>
  <c r="I2750" i="4"/>
  <c r="I2749" i="4"/>
  <c r="I2751" i="4"/>
  <c r="H2752" i="4"/>
  <c r="I2752" i="4" s="1"/>
  <c r="G2745" i="4"/>
  <c r="G2744" i="4"/>
  <c r="G2743" i="4"/>
  <c r="G2742" i="4"/>
  <c r="H2741" i="4"/>
  <c r="H2742" i="4" s="1"/>
  <c r="H2743" i="4" s="1"/>
  <c r="H2744" i="4" s="1"/>
  <c r="H2745" i="4" s="1"/>
  <c r="I2745" i="4" s="1"/>
  <c r="G2741" i="4"/>
  <c r="G2740" i="4"/>
  <c r="I2740" i="4" s="1"/>
  <c r="I2741" i="4" l="1"/>
  <c r="I2744" i="4"/>
  <c r="I2753" i="4"/>
  <c r="I2742" i="4"/>
  <c r="I2743" i="4"/>
  <c r="G2738" i="4"/>
  <c r="G2737" i="4"/>
  <c r="G2736" i="4"/>
  <c r="G2735" i="4"/>
  <c r="H2734" i="4"/>
  <c r="H2735" i="4" s="1"/>
  <c r="H2736" i="4" s="1"/>
  <c r="G2734" i="4"/>
  <c r="G2733" i="4"/>
  <c r="I2733" i="4" s="1"/>
  <c r="I2734" i="4" l="1"/>
  <c r="I2746" i="4"/>
  <c r="H2737" i="4"/>
  <c r="H2738" i="4" s="1"/>
  <c r="I2738" i="4" s="1"/>
  <c r="I2736" i="4"/>
  <c r="I2735" i="4"/>
  <c r="G2731" i="4"/>
  <c r="G2730" i="4"/>
  <c r="G2729" i="4"/>
  <c r="G2728" i="4"/>
  <c r="H2727" i="4"/>
  <c r="H2728" i="4" s="1"/>
  <c r="H2729" i="4" s="1"/>
  <c r="H2730" i="4" s="1"/>
  <c r="H2731" i="4" s="1"/>
  <c r="I2731" i="4" s="1"/>
  <c r="G2727" i="4"/>
  <c r="G2726" i="4"/>
  <c r="I2726" i="4" s="1"/>
  <c r="I2727" i="4" l="1"/>
  <c r="I2737" i="4"/>
  <c r="I2730" i="4"/>
  <c r="I2739" i="4"/>
  <c r="I2728" i="4"/>
  <c r="I2729" i="4"/>
  <c r="G2724" i="4"/>
  <c r="G2723" i="4"/>
  <c r="G2722" i="4"/>
  <c r="G2721" i="4"/>
  <c r="H2720" i="4"/>
  <c r="H2721" i="4" s="1"/>
  <c r="H2722" i="4" s="1"/>
  <c r="G2720" i="4"/>
  <c r="G2719" i="4"/>
  <c r="I2719" i="4" s="1"/>
  <c r="I2732" i="4" l="1"/>
  <c r="I2720" i="4"/>
  <c r="H2723" i="4"/>
  <c r="H2724" i="4" s="1"/>
  <c r="I2724" i="4" s="1"/>
  <c r="I2722" i="4"/>
  <c r="I2721" i="4"/>
  <c r="G2717" i="4"/>
  <c r="G2716" i="4"/>
  <c r="G2715" i="4"/>
  <c r="G2714" i="4"/>
  <c r="H2713" i="4"/>
  <c r="H2714" i="4" s="1"/>
  <c r="H2715" i="4" s="1"/>
  <c r="G2713" i="4"/>
  <c r="I2713" i="4" s="1"/>
  <c r="G2712" i="4"/>
  <c r="I2712" i="4" s="1"/>
  <c r="I2723" i="4" l="1"/>
  <c r="I2725" i="4"/>
  <c r="I2715" i="4"/>
  <c r="H2716" i="4"/>
  <c r="H2717" i="4" s="1"/>
  <c r="I2714" i="4"/>
  <c r="I2716" i="4"/>
  <c r="I2717" i="4"/>
  <c r="G2710" i="4"/>
  <c r="G2709" i="4"/>
  <c r="G2708" i="4"/>
  <c r="G2707" i="4"/>
  <c r="H2706" i="4"/>
  <c r="H2707" i="4" s="1"/>
  <c r="H2708" i="4" s="1"/>
  <c r="H2709" i="4" s="1"/>
  <c r="H2710" i="4" s="1"/>
  <c r="G2706" i="4"/>
  <c r="G2705" i="4"/>
  <c r="I2705" i="4" s="1"/>
  <c r="I2710" i="4" l="1"/>
  <c r="I2706" i="4"/>
  <c r="I2718" i="4"/>
  <c r="I2709" i="4"/>
  <c r="I2707" i="4"/>
  <c r="I2708" i="4"/>
  <c r="I2711" i="4" l="1"/>
  <c r="G2703" i="4"/>
  <c r="G2702" i="4"/>
  <c r="G2701" i="4"/>
  <c r="G2700" i="4"/>
  <c r="H2699" i="4"/>
  <c r="H2700" i="4" s="1"/>
  <c r="H2701" i="4" s="1"/>
  <c r="H2702" i="4" s="1"/>
  <c r="H2703" i="4" s="1"/>
  <c r="G2699" i="4"/>
  <c r="G2698" i="4"/>
  <c r="I2698" i="4" s="1"/>
  <c r="G2696" i="4"/>
  <c r="G2695" i="4"/>
  <c r="G2694" i="4"/>
  <c r="G2693" i="4"/>
  <c r="H2692" i="4"/>
  <c r="H2693" i="4" s="1"/>
  <c r="H2694" i="4" s="1"/>
  <c r="H2695" i="4" s="1"/>
  <c r="G2692" i="4"/>
  <c r="G2691" i="4"/>
  <c r="I2691" i="4" s="1"/>
  <c r="I2692" i="4" l="1"/>
  <c r="I2699" i="4"/>
  <c r="I2700" i="4"/>
  <c r="I2701" i="4"/>
  <c r="I2702" i="4"/>
  <c r="I2703" i="4"/>
  <c r="I2693" i="4"/>
  <c r="I2694" i="4"/>
  <c r="H2696" i="4"/>
  <c r="I2696" i="4" s="1"/>
  <c r="I2695" i="4"/>
  <c r="G2689" i="4"/>
  <c r="G2688" i="4"/>
  <c r="G2687" i="4"/>
  <c r="G2686" i="4"/>
  <c r="H2685" i="4"/>
  <c r="H2686" i="4" s="1"/>
  <c r="H2687" i="4" s="1"/>
  <c r="G2685" i="4"/>
  <c r="G2684" i="4"/>
  <c r="I2684" i="4" s="1"/>
  <c r="I2697" i="4" l="1"/>
  <c r="I2685" i="4"/>
  <c r="I2704" i="4"/>
  <c r="H2688" i="4"/>
  <c r="H2689" i="4" s="1"/>
  <c r="I2689" i="4" s="1"/>
  <c r="I2687" i="4"/>
  <c r="I2686" i="4"/>
  <c r="G2682" i="4"/>
  <c r="G2681" i="4"/>
  <c r="G2680" i="4"/>
  <c r="G2679" i="4"/>
  <c r="H2678" i="4"/>
  <c r="H2679" i="4" s="1"/>
  <c r="H2680" i="4" s="1"/>
  <c r="G2678" i="4"/>
  <c r="G2677" i="4"/>
  <c r="I2677" i="4" s="1"/>
  <c r="I2678" i="4" l="1"/>
  <c r="I2688" i="4"/>
  <c r="I2690" i="4" s="1"/>
  <c r="I2680" i="4"/>
  <c r="H2681" i="4"/>
  <c r="H2682" i="4" s="1"/>
  <c r="I2682" i="4" s="1"/>
  <c r="I2679" i="4"/>
  <c r="I2681" i="4"/>
  <c r="I2683" i="4" l="1"/>
  <c r="G2675" i="4"/>
  <c r="I2675" i="4" s="1"/>
  <c r="G2674" i="4"/>
  <c r="I2674" i="4" s="1"/>
  <c r="G2673" i="4"/>
  <c r="I2673" i="4" s="1"/>
  <c r="G2672" i="4"/>
  <c r="I2672" i="4" s="1"/>
  <c r="G2671" i="4"/>
  <c r="I2671" i="4" s="1"/>
  <c r="G2670" i="4"/>
  <c r="I2670" i="4" s="1"/>
  <c r="H4" i="3"/>
  <c r="J4" i="3" s="1"/>
  <c r="H5" i="3"/>
  <c r="J5" i="3" s="1"/>
  <c r="J6" i="3"/>
  <c r="H7" i="3"/>
  <c r="J7" i="3" s="1"/>
  <c r="H8" i="3"/>
  <c r="J8" i="3" s="1"/>
  <c r="H3" i="3"/>
  <c r="J3" i="3" s="1"/>
  <c r="I2676" i="4" l="1"/>
  <c r="J9" i="3"/>
  <c r="J2669" i="4"/>
  <c r="G2668" i="4"/>
  <c r="I2668" i="4" s="1"/>
  <c r="G2667" i="4"/>
  <c r="I2667" i="4" s="1"/>
  <c r="G2666" i="4"/>
  <c r="I2666" i="4" s="1"/>
  <c r="G2665" i="4"/>
  <c r="I2665" i="4" s="1"/>
  <c r="G2664" i="4"/>
  <c r="I2664" i="4" s="1"/>
  <c r="G2663" i="4"/>
  <c r="I2663" i="4" s="1"/>
  <c r="I2669" i="4" l="1"/>
  <c r="J2662" i="4"/>
  <c r="G2661" i="4"/>
  <c r="I2661" i="4" s="1"/>
  <c r="G2660" i="4"/>
  <c r="I2660" i="4" s="1"/>
  <c r="G2659" i="4"/>
  <c r="I2659" i="4" s="1"/>
  <c r="G2658" i="4"/>
  <c r="I2658" i="4" s="1"/>
  <c r="G2657" i="4"/>
  <c r="I2657" i="4" s="1"/>
  <c r="G2656" i="4"/>
  <c r="I2656" i="4" s="1"/>
  <c r="I2662" i="4" l="1"/>
  <c r="J2655" i="4" l="1"/>
  <c r="G2654" i="4"/>
  <c r="I2654" i="4" s="1"/>
  <c r="G2653" i="4"/>
  <c r="I2653" i="4" s="1"/>
  <c r="G2652" i="4"/>
  <c r="I2652" i="4" s="1"/>
  <c r="G2651" i="4"/>
  <c r="I2651" i="4" s="1"/>
  <c r="G2650" i="4"/>
  <c r="I2650" i="4" s="1"/>
  <c r="G2649" i="4"/>
  <c r="I2649" i="4" s="1"/>
  <c r="I2655" i="4" l="1"/>
  <c r="J2648" i="4"/>
  <c r="G2647" i="4"/>
  <c r="I2647" i="4" s="1"/>
  <c r="G2646" i="4"/>
  <c r="I2646" i="4" s="1"/>
  <c r="G2645" i="4"/>
  <c r="I2645" i="4" s="1"/>
  <c r="G2644" i="4"/>
  <c r="I2644" i="4" s="1"/>
  <c r="G2643" i="4"/>
  <c r="I2643" i="4" s="1"/>
  <c r="G2642" i="4"/>
  <c r="I2642" i="4" s="1"/>
  <c r="J2641" i="4"/>
  <c r="G2640" i="4"/>
  <c r="I2640" i="4" s="1"/>
  <c r="G2639" i="4"/>
  <c r="I2639" i="4" s="1"/>
  <c r="G2638" i="4"/>
  <c r="I2638" i="4" s="1"/>
  <c r="G2637" i="4"/>
  <c r="I2637" i="4" s="1"/>
  <c r="G2636" i="4"/>
  <c r="I2636" i="4" s="1"/>
  <c r="G2635" i="4"/>
  <c r="I2635" i="4" s="1"/>
  <c r="I2641" i="4" l="1"/>
  <c r="I2648" i="4"/>
  <c r="J2634" i="4"/>
  <c r="G2633" i="4"/>
  <c r="I2633" i="4" s="1"/>
  <c r="G2632" i="4"/>
  <c r="I2632" i="4" s="1"/>
  <c r="G2631" i="4"/>
  <c r="I2631" i="4" s="1"/>
  <c r="G2630" i="4"/>
  <c r="I2630" i="4" s="1"/>
  <c r="G2629" i="4"/>
  <c r="I2629" i="4" s="1"/>
  <c r="G2628" i="4"/>
  <c r="I2628" i="4" s="1"/>
  <c r="J2620" i="4"/>
  <c r="G2619" i="4"/>
  <c r="I2619" i="4" s="1"/>
  <c r="G2618" i="4"/>
  <c r="I2618" i="4" s="1"/>
  <c r="G2617" i="4"/>
  <c r="I2617" i="4" s="1"/>
  <c r="G2616" i="4"/>
  <c r="I2616" i="4" s="1"/>
  <c r="G2615" i="4"/>
  <c r="I2615" i="4" s="1"/>
  <c r="G2614" i="4"/>
  <c r="I2614" i="4" s="1"/>
  <c r="I2634" i="4" l="1"/>
  <c r="I2620" i="4"/>
  <c r="J2627" i="4" l="1"/>
  <c r="G2626" i="4"/>
  <c r="I2626" i="4" s="1"/>
  <c r="G2625" i="4"/>
  <c r="I2625" i="4" s="1"/>
  <c r="G2624" i="4"/>
  <c r="I2624" i="4" s="1"/>
  <c r="G2623" i="4"/>
  <c r="I2623" i="4" s="1"/>
  <c r="G2622" i="4"/>
  <c r="I2622" i="4" s="1"/>
  <c r="G2621" i="4"/>
  <c r="I2621" i="4" s="1"/>
  <c r="J2613" i="4"/>
  <c r="G2612" i="4"/>
  <c r="I2612" i="4" s="1"/>
  <c r="G2611" i="4"/>
  <c r="I2611" i="4" s="1"/>
  <c r="G2610" i="4"/>
  <c r="I2610" i="4" s="1"/>
  <c r="G2609" i="4"/>
  <c r="I2609" i="4" s="1"/>
  <c r="G2608" i="4"/>
  <c r="I2608" i="4" s="1"/>
  <c r="G2607" i="4"/>
  <c r="I2607" i="4" s="1"/>
  <c r="J2606" i="4"/>
  <c r="G2605" i="4"/>
  <c r="I2605" i="4" s="1"/>
  <c r="G2604" i="4"/>
  <c r="I2604" i="4" s="1"/>
  <c r="G2603" i="4"/>
  <c r="I2603" i="4" s="1"/>
  <c r="G2602" i="4"/>
  <c r="I2602" i="4" s="1"/>
  <c r="G2601" i="4"/>
  <c r="I2601" i="4" s="1"/>
  <c r="G2600" i="4"/>
  <c r="I2600" i="4" s="1"/>
  <c r="J2599" i="4"/>
  <c r="G2598" i="4"/>
  <c r="I2598" i="4" s="1"/>
  <c r="G2597" i="4"/>
  <c r="I2597" i="4" s="1"/>
  <c r="G2596" i="4"/>
  <c r="I2596" i="4" s="1"/>
  <c r="G2595" i="4"/>
  <c r="I2595" i="4" s="1"/>
  <c r="G2594" i="4"/>
  <c r="I2594" i="4" s="1"/>
  <c r="G2593" i="4"/>
  <c r="I2593" i="4" s="1"/>
  <c r="J2592" i="4"/>
  <c r="G2591" i="4"/>
  <c r="I2591" i="4" s="1"/>
  <c r="G2590" i="4"/>
  <c r="I2590" i="4" s="1"/>
  <c r="G2589" i="4"/>
  <c r="I2589" i="4" s="1"/>
  <c r="G2588" i="4"/>
  <c r="I2588" i="4" s="1"/>
  <c r="G2587" i="4"/>
  <c r="I2587" i="4" s="1"/>
  <c r="G2586" i="4"/>
  <c r="I2586" i="4" s="1"/>
  <c r="J2585" i="4"/>
  <c r="G2584" i="4"/>
  <c r="I2584" i="4" s="1"/>
  <c r="G2583" i="4"/>
  <c r="I2583" i="4" s="1"/>
  <c r="G2582" i="4"/>
  <c r="I2582" i="4" s="1"/>
  <c r="G2581" i="4"/>
  <c r="I2581" i="4" s="1"/>
  <c r="G2580" i="4"/>
  <c r="I2580" i="4" s="1"/>
  <c r="G2579" i="4"/>
  <c r="I2579" i="4" s="1"/>
  <c r="I2599" i="4" l="1"/>
  <c r="I2613" i="4"/>
  <c r="I2627" i="4"/>
  <c r="I2606" i="4"/>
  <c r="I2592" i="4"/>
  <c r="I2585" i="4"/>
  <c r="J2578" i="4"/>
  <c r="G2577" i="4"/>
  <c r="I2577" i="4" s="1"/>
  <c r="G2576" i="4"/>
  <c r="I2576" i="4" s="1"/>
  <c r="G2575" i="4"/>
  <c r="I2575" i="4" s="1"/>
  <c r="G2574" i="4"/>
  <c r="I2574" i="4" s="1"/>
  <c r="G2573" i="4"/>
  <c r="I2573" i="4" s="1"/>
  <c r="G2572" i="4"/>
  <c r="I2572" i="4" s="1"/>
  <c r="J2571" i="4"/>
  <c r="G2570" i="4"/>
  <c r="I2570" i="4" s="1"/>
  <c r="G2569" i="4"/>
  <c r="I2569" i="4" s="1"/>
  <c r="G2568" i="4"/>
  <c r="I2568" i="4" s="1"/>
  <c r="G2567" i="4"/>
  <c r="I2567" i="4" s="1"/>
  <c r="G2566" i="4"/>
  <c r="I2566" i="4" s="1"/>
  <c r="G2565" i="4"/>
  <c r="I2565" i="4" s="1"/>
  <c r="J2564" i="4"/>
  <c r="G2563" i="4"/>
  <c r="I2563" i="4" s="1"/>
  <c r="G2562" i="4"/>
  <c r="I2562" i="4" s="1"/>
  <c r="G2561" i="4"/>
  <c r="I2561" i="4" s="1"/>
  <c r="G2560" i="4"/>
  <c r="I2560" i="4" s="1"/>
  <c r="G2559" i="4"/>
  <c r="I2559" i="4" s="1"/>
  <c r="G2558" i="4"/>
  <c r="I2558" i="4" s="1"/>
  <c r="J2557" i="4"/>
  <c r="G2556" i="4"/>
  <c r="I2556" i="4" s="1"/>
  <c r="G2555" i="4"/>
  <c r="I2555" i="4" s="1"/>
  <c r="G2554" i="4"/>
  <c r="I2554" i="4" s="1"/>
  <c r="G2553" i="4"/>
  <c r="I2553" i="4" s="1"/>
  <c r="G2552" i="4"/>
  <c r="I2552" i="4" s="1"/>
  <c r="G2551" i="4"/>
  <c r="I2551" i="4" s="1"/>
  <c r="J2550" i="4"/>
  <c r="G2549" i="4"/>
  <c r="I2549" i="4" s="1"/>
  <c r="G2548" i="4"/>
  <c r="I2548" i="4" s="1"/>
  <c r="G2547" i="4"/>
  <c r="I2547" i="4" s="1"/>
  <c r="G2546" i="4"/>
  <c r="I2546" i="4" s="1"/>
  <c r="G2545" i="4"/>
  <c r="I2545" i="4" s="1"/>
  <c r="G2544" i="4"/>
  <c r="I2544" i="4" s="1"/>
  <c r="J2543" i="4"/>
  <c r="G2542" i="4"/>
  <c r="I2542" i="4" s="1"/>
  <c r="G2541" i="4"/>
  <c r="I2541" i="4" s="1"/>
  <c r="G2540" i="4"/>
  <c r="I2540" i="4" s="1"/>
  <c r="G2539" i="4"/>
  <c r="I2539" i="4" s="1"/>
  <c r="G2538" i="4"/>
  <c r="I2538" i="4" s="1"/>
  <c r="G2537" i="4"/>
  <c r="I2537" i="4" s="1"/>
  <c r="J2536" i="4"/>
  <c r="G2535" i="4"/>
  <c r="I2535" i="4" s="1"/>
  <c r="G2534" i="4"/>
  <c r="I2534" i="4" s="1"/>
  <c r="G2533" i="4"/>
  <c r="I2533" i="4" s="1"/>
  <c r="G2532" i="4"/>
  <c r="I2532" i="4" s="1"/>
  <c r="G2531" i="4"/>
  <c r="I2531" i="4" s="1"/>
  <c r="G2530" i="4"/>
  <c r="I2530" i="4" s="1"/>
  <c r="I2571" i="4" l="1"/>
  <c r="I2578" i="4"/>
  <c r="I2564" i="4"/>
  <c r="I2557" i="4"/>
  <c r="I2550" i="4"/>
  <c r="I2543" i="4"/>
  <c r="I2536" i="4"/>
  <c r="J2529" i="4"/>
  <c r="G2528" i="4"/>
  <c r="I2528" i="4" s="1"/>
  <c r="G2527" i="4"/>
  <c r="I2527" i="4" s="1"/>
  <c r="G2526" i="4"/>
  <c r="I2526" i="4" s="1"/>
  <c r="G2525" i="4"/>
  <c r="I2525" i="4" s="1"/>
  <c r="G2524" i="4"/>
  <c r="I2524" i="4" s="1"/>
  <c r="G2523" i="4"/>
  <c r="I2523" i="4" s="1"/>
  <c r="J2522" i="4"/>
  <c r="G2521" i="4"/>
  <c r="I2521" i="4" s="1"/>
  <c r="G2520" i="4"/>
  <c r="I2520" i="4" s="1"/>
  <c r="G2519" i="4"/>
  <c r="I2519" i="4" s="1"/>
  <c r="G2518" i="4"/>
  <c r="I2518" i="4" s="1"/>
  <c r="G2517" i="4"/>
  <c r="I2517" i="4" s="1"/>
  <c r="G2516" i="4"/>
  <c r="I2516" i="4" s="1"/>
  <c r="J2515" i="4"/>
  <c r="G2514" i="4"/>
  <c r="I2514" i="4" s="1"/>
  <c r="G2513" i="4"/>
  <c r="I2513" i="4" s="1"/>
  <c r="G2512" i="4"/>
  <c r="I2512" i="4" s="1"/>
  <c r="G2511" i="4"/>
  <c r="I2511" i="4" s="1"/>
  <c r="G2510" i="4"/>
  <c r="I2510" i="4" s="1"/>
  <c r="G2509" i="4"/>
  <c r="I2509" i="4" s="1"/>
  <c r="J2508" i="4"/>
  <c r="G2507" i="4"/>
  <c r="I2507" i="4" s="1"/>
  <c r="G2506" i="4"/>
  <c r="I2506" i="4" s="1"/>
  <c r="G2505" i="4"/>
  <c r="I2505" i="4" s="1"/>
  <c r="G2504" i="4"/>
  <c r="I2504" i="4" s="1"/>
  <c r="G2503" i="4"/>
  <c r="I2503" i="4" s="1"/>
  <c r="G2502" i="4"/>
  <c r="I2502" i="4" s="1"/>
  <c r="J2501" i="4"/>
  <c r="G2500" i="4"/>
  <c r="I2500" i="4" s="1"/>
  <c r="G2499" i="4"/>
  <c r="I2499" i="4" s="1"/>
  <c r="G2498" i="4"/>
  <c r="I2498" i="4" s="1"/>
  <c r="G2497" i="4"/>
  <c r="I2497" i="4" s="1"/>
  <c r="G2496" i="4"/>
  <c r="I2496" i="4" s="1"/>
  <c r="G2495" i="4"/>
  <c r="I2495" i="4" s="1"/>
  <c r="J2494" i="4"/>
  <c r="G2493" i="4"/>
  <c r="I2493" i="4" s="1"/>
  <c r="G2492" i="4"/>
  <c r="I2492" i="4" s="1"/>
  <c r="G2491" i="4"/>
  <c r="I2491" i="4" s="1"/>
  <c r="G2490" i="4"/>
  <c r="I2490" i="4" s="1"/>
  <c r="G2489" i="4"/>
  <c r="I2489" i="4" s="1"/>
  <c r="G2488" i="4"/>
  <c r="I2488" i="4" s="1"/>
  <c r="J2487" i="4"/>
  <c r="G2486" i="4"/>
  <c r="I2486" i="4" s="1"/>
  <c r="G2485" i="4"/>
  <c r="I2485" i="4" s="1"/>
  <c r="G2484" i="4"/>
  <c r="I2484" i="4" s="1"/>
  <c r="G2483" i="4"/>
  <c r="I2483" i="4" s="1"/>
  <c r="G2482" i="4"/>
  <c r="I2482" i="4" s="1"/>
  <c r="G2481" i="4"/>
  <c r="I2481" i="4" s="1"/>
  <c r="J2480" i="4"/>
  <c r="G2479" i="4"/>
  <c r="I2479" i="4" s="1"/>
  <c r="G2478" i="4"/>
  <c r="I2478" i="4" s="1"/>
  <c r="G2477" i="4"/>
  <c r="I2477" i="4" s="1"/>
  <c r="G2476" i="4"/>
  <c r="I2476" i="4" s="1"/>
  <c r="G2475" i="4"/>
  <c r="I2475" i="4" s="1"/>
  <c r="G2474" i="4"/>
  <c r="I2474" i="4" s="1"/>
  <c r="J2473" i="4"/>
  <c r="G2472" i="4"/>
  <c r="I2472" i="4" s="1"/>
  <c r="G2471" i="4"/>
  <c r="I2471" i="4" s="1"/>
  <c r="G2470" i="4"/>
  <c r="I2470" i="4" s="1"/>
  <c r="G2469" i="4"/>
  <c r="I2469" i="4" s="1"/>
  <c r="G2468" i="4"/>
  <c r="I2468" i="4" s="1"/>
  <c r="G2467" i="4"/>
  <c r="I2467" i="4" s="1"/>
  <c r="J2466" i="4"/>
  <c r="G2465" i="4"/>
  <c r="I2465" i="4" s="1"/>
  <c r="G2464" i="4"/>
  <c r="I2464" i="4" s="1"/>
  <c r="G2463" i="4"/>
  <c r="I2463" i="4" s="1"/>
  <c r="G2462" i="4"/>
  <c r="I2462" i="4" s="1"/>
  <c r="G2461" i="4"/>
  <c r="I2461" i="4" s="1"/>
  <c r="G2460" i="4"/>
  <c r="I2460" i="4" s="1"/>
  <c r="J2459" i="4"/>
  <c r="G2458" i="4"/>
  <c r="I2458" i="4" s="1"/>
  <c r="G2457" i="4"/>
  <c r="I2457" i="4" s="1"/>
  <c r="G2456" i="4"/>
  <c r="I2456" i="4" s="1"/>
  <c r="G2455" i="4"/>
  <c r="I2455" i="4" s="1"/>
  <c r="G2454" i="4"/>
  <c r="I2454" i="4" s="1"/>
  <c r="G2453" i="4"/>
  <c r="I2453" i="4" s="1"/>
  <c r="J2452" i="4"/>
  <c r="G2451" i="4"/>
  <c r="I2451" i="4" s="1"/>
  <c r="G2450" i="4"/>
  <c r="I2450" i="4" s="1"/>
  <c r="G2449" i="4"/>
  <c r="I2449" i="4" s="1"/>
  <c r="G2448" i="4"/>
  <c r="I2448" i="4" s="1"/>
  <c r="G2447" i="4"/>
  <c r="I2447" i="4" s="1"/>
  <c r="G2446" i="4"/>
  <c r="I2446" i="4" s="1"/>
  <c r="I2515" i="4" l="1"/>
  <c r="I2501" i="4"/>
  <c r="I2466" i="4"/>
  <c r="I2473" i="4"/>
  <c r="I2459" i="4"/>
  <c r="I2452" i="4"/>
  <c r="I2487" i="4"/>
  <c r="I2494" i="4"/>
  <c r="I2529" i="4"/>
  <c r="I2522" i="4"/>
  <c r="I2508" i="4"/>
  <c r="I2480" i="4"/>
  <c r="J2445" i="4"/>
  <c r="G2444" i="4"/>
  <c r="I2444" i="4" s="1"/>
  <c r="G2443" i="4"/>
  <c r="I2443" i="4" s="1"/>
  <c r="G2442" i="4"/>
  <c r="I2442" i="4" s="1"/>
  <c r="G2441" i="4"/>
  <c r="I2441" i="4" s="1"/>
  <c r="G2440" i="4"/>
  <c r="I2440" i="4" s="1"/>
  <c r="G2439" i="4"/>
  <c r="I2439" i="4" s="1"/>
  <c r="I2445" i="4" l="1"/>
  <c r="J2431" i="4"/>
  <c r="G2430" i="4"/>
  <c r="I2430" i="4" s="1"/>
  <c r="G2429" i="4"/>
  <c r="I2429" i="4" s="1"/>
  <c r="G2428" i="4"/>
  <c r="I2428" i="4" s="1"/>
  <c r="G2427" i="4"/>
  <c r="I2427" i="4" s="1"/>
  <c r="G2426" i="4"/>
  <c r="I2426" i="4" s="1"/>
  <c r="G2425" i="4"/>
  <c r="I2425" i="4" s="1"/>
  <c r="J2424" i="4"/>
  <c r="G2423" i="4"/>
  <c r="I2423" i="4" s="1"/>
  <c r="G2422" i="4"/>
  <c r="I2422" i="4" s="1"/>
  <c r="G2421" i="4"/>
  <c r="I2421" i="4" s="1"/>
  <c r="G2420" i="4"/>
  <c r="I2420" i="4" s="1"/>
  <c r="G2419" i="4"/>
  <c r="I2419" i="4" s="1"/>
  <c r="G2418" i="4"/>
  <c r="I2418" i="4" s="1"/>
  <c r="I2431" i="4" l="1"/>
  <c r="I2424" i="4"/>
  <c r="J2417" i="4" l="1"/>
  <c r="G2416" i="4"/>
  <c r="I2416" i="4" s="1"/>
  <c r="G2415" i="4"/>
  <c r="I2415" i="4" s="1"/>
  <c r="G2414" i="4"/>
  <c r="I2414" i="4" s="1"/>
  <c r="G2413" i="4"/>
  <c r="I2413" i="4" s="1"/>
  <c r="G2412" i="4"/>
  <c r="I2412" i="4" s="1"/>
  <c r="G2411" i="4"/>
  <c r="I2411" i="4" s="1"/>
  <c r="I2417" i="4" l="1"/>
  <c r="J2410" i="4"/>
  <c r="G2409" i="4"/>
  <c r="I2409" i="4" s="1"/>
  <c r="G2408" i="4"/>
  <c r="I2408" i="4" s="1"/>
  <c r="G2407" i="4"/>
  <c r="I2407" i="4" s="1"/>
  <c r="G2406" i="4"/>
  <c r="I2406" i="4" s="1"/>
  <c r="G2405" i="4"/>
  <c r="I2405" i="4" s="1"/>
  <c r="G2404" i="4"/>
  <c r="I2404" i="4" s="1"/>
  <c r="J2389" i="4"/>
  <c r="G2388" i="4"/>
  <c r="I2388" i="4" s="1"/>
  <c r="G2387" i="4"/>
  <c r="I2387" i="4" s="1"/>
  <c r="G2386" i="4"/>
  <c r="I2386" i="4" s="1"/>
  <c r="G2385" i="4"/>
  <c r="I2385" i="4" s="1"/>
  <c r="G2384" i="4"/>
  <c r="I2384" i="4" s="1"/>
  <c r="G2383" i="4"/>
  <c r="I2383" i="4" s="1"/>
  <c r="I2410" i="4" l="1"/>
  <c r="I2389" i="4"/>
  <c r="J2382" i="4" l="1"/>
  <c r="G2381" i="4"/>
  <c r="I2381" i="4" s="1"/>
  <c r="G2380" i="4"/>
  <c r="I2380" i="4" s="1"/>
  <c r="G2379" i="4"/>
  <c r="I2379" i="4" s="1"/>
  <c r="G2378" i="4"/>
  <c r="I2378" i="4" s="1"/>
  <c r="G2377" i="4"/>
  <c r="I2377" i="4" s="1"/>
  <c r="G2376" i="4"/>
  <c r="I2376" i="4" s="1"/>
  <c r="J2375" i="4"/>
  <c r="G2374" i="4"/>
  <c r="I2374" i="4" s="1"/>
  <c r="G2373" i="4"/>
  <c r="I2373" i="4" s="1"/>
  <c r="G2372" i="4"/>
  <c r="I2372" i="4" s="1"/>
  <c r="G2371" i="4"/>
  <c r="I2371" i="4" s="1"/>
  <c r="G2370" i="4"/>
  <c r="I2370" i="4" s="1"/>
  <c r="G2369" i="4"/>
  <c r="I2369" i="4" s="1"/>
  <c r="J2368" i="4"/>
  <c r="G2367" i="4"/>
  <c r="I2367" i="4" s="1"/>
  <c r="G2366" i="4"/>
  <c r="I2366" i="4" s="1"/>
  <c r="G2365" i="4"/>
  <c r="I2365" i="4" s="1"/>
  <c r="G2364" i="4"/>
  <c r="I2364" i="4" s="1"/>
  <c r="G2363" i="4"/>
  <c r="I2363" i="4" s="1"/>
  <c r="G2362" i="4"/>
  <c r="I2362" i="4" s="1"/>
  <c r="J2361" i="4"/>
  <c r="G2360" i="4"/>
  <c r="I2360" i="4" s="1"/>
  <c r="G2359" i="4"/>
  <c r="I2359" i="4" s="1"/>
  <c r="G2358" i="4"/>
  <c r="I2358" i="4" s="1"/>
  <c r="G2357" i="4"/>
  <c r="I2357" i="4" s="1"/>
  <c r="G2356" i="4"/>
  <c r="I2356" i="4" s="1"/>
  <c r="G2355" i="4"/>
  <c r="I2355" i="4" s="1"/>
  <c r="J2354" i="4"/>
  <c r="G2353" i="4"/>
  <c r="I2353" i="4" s="1"/>
  <c r="G2352" i="4"/>
  <c r="I2352" i="4" s="1"/>
  <c r="G2351" i="4"/>
  <c r="I2351" i="4" s="1"/>
  <c r="G2350" i="4"/>
  <c r="I2350" i="4" s="1"/>
  <c r="G2349" i="4"/>
  <c r="I2349" i="4" s="1"/>
  <c r="G2348" i="4"/>
  <c r="I2348" i="4" s="1"/>
  <c r="J2347" i="4"/>
  <c r="G2346" i="4"/>
  <c r="I2346" i="4" s="1"/>
  <c r="G2345" i="4"/>
  <c r="I2345" i="4" s="1"/>
  <c r="G2344" i="4"/>
  <c r="I2344" i="4" s="1"/>
  <c r="G2343" i="4"/>
  <c r="I2343" i="4" s="1"/>
  <c r="G2342" i="4"/>
  <c r="I2342" i="4" s="1"/>
  <c r="G2341" i="4"/>
  <c r="I2341" i="4" s="1"/>
  <c r="I2382" i="4" l="1"/>
  <c r="I2347" i="4"/>
  <c r="I2361" i="4"/>
  <c r="I2354" i="4"/>
  <c r="I2368" i="4"/>
  <c r="I2375" i="4"/>
  <c r="J2340" i="4"/>
  <c r="G2339" i="4"/>
  <c r="I2339" i="4" s="1"/>
  <c r="G2338" i="4"/>
  <c r="I2338" i="4" s="1"/>
  <c r="G2337" i="4"/>
  <c r="I2337" i="4" s="1"/>
  <c r="G2336" i="4"/>
  <c r="I2336" i="4" s="1"/>
  <c r="G2335" i="4"/>
  <c r="I2335" i="4" s="1"/>
  <c r="G2334" i="4"/>
  <c r="I2334" i="4" s="1"/>
  <c r="J2326" i="4"/>
  <c r="G2325" i="4"/>
  <c r="I2325" i="4" s="1"/>
  <c r="G2324" i="4"/>
  <c r="I2324" i="4" s="1"/>
  <c r="G2323" i="4"/>
  <c r="I2323" i="4" s="1"/>
  <c r="G2322" i="4"/>
  <c r="I2322" i="4" s="1"/>
  <c r="G2321" i="4"/>
  <c r="I2321" i="4" s="1"/>
  <c r="G2320" i="4"/>
  <c r="I2320" i="4" s="1"/>
  <c r="J2319" i="4"/>
  <c r="G2318" i="4"/>
  <c r="I2318" i="4" s="1"/>
  <c r="G2317" i="4"/>
  <c r="I2317" i="4" s="1"/>
  <c r="G2316" i="4"/>
  <c r="I2316" i="4" s="1"/>
  <c r="G2315" i="4"/>
  <c r="I2315" i="4" s="1"/>
  <c r="G2314" i="4"/>
  <c r="I2314" i="4" s="1"/>
  <c r="G2313" i="4"/>
  <c r="I2313" i="4" s="1"/>
  <c r="J2312" i="4"/>
  <c r="G2311" i="4"/>
  <c r="I2311" i="4" s="1"/>
  <c r="G2310" i="4"/>
  <c r="I2310" i="4" s="1"/>
  <c r="G2309" i="4"/>
  <c r="I2309" i="4" s="1"/>
  <c r="G2308" i="4"/>
  <c r="I2308" i="4" s="1"/>
  <c r="G2307" i="4"/>
  <c r="I2307" i="4" s="1"/>
  <c r="G2306" i="4"/>
  <c r="I2306" i="4" s="1"/>
  <c r="I2340" i="4" l="1"/>
  <c r="I2326" i="4"/>
  <c r="I2319" i="4"/>
  <c r="I2312" i="4"/>
  <c r="J2305" i="4"/>
  <c r="G2304" i="4"/>
  <c r="I2304" i="4" s="1"/>
  <c r="G2303" i="4"/>
  <c r="I2303" i="4" s="1"/>
  <c r="G2302" i="4"/>
  <c r="I2302" i="4" s="1"/>
  <c r="G2301" i="4"/>
  <c r="I2301" i="4" s="1"/>
  <c r="G2300" i="4"/>
  <c r="I2300" i="4" s="1"/>
  <c r="G2299" i="4"/>
  <c r="I2299" i="4" s="1"/>
  <c r="J2298" i="4"/>
  <c r="G2297" i="4"/>
  <c r="I2297" i="4" s="1"/>
  <c r="G2296" i="4"/>
  <c r="I2296" i="4" s="1"/>
  <c r="G2295" i="4"/>
  <c r="I2295" i="4" s="1"/>
  <c r="G2294" i="4"/>
  <c r="I2294" i="4" s="1"/>
  <c r="G2293" i="4"/>
  <c r="I2293" i="4" s="1"/>
  <c r="G2292" i="4"/>
  <c r="I2292" i="4" s="1"/>
  <c r="I2298" i="4" l="1"/>
  <c r="I2305" i="4"/>
  <c r="J2291" i="4"/>
  <c r="G2290" i="4"/>
  <c r="I2290" i="4" s="1"/>
  <c r="G2289" i="4"/>
  <c r="I2289" i="4" s="1"/>
  <c r="G2288" i="4"/>
  <c r="I2288" i="4" s="1"/>
  <c r="G2287" i="4"/>
  <c r="I2287" i="4" s="1"/>
  <c r="G2286" i="4"/>
  <c r="I2286" i="4" s="1"/>
  <c r="G2285" i="4"/>
  <c r="I2285" i="4" s="1"/>
  <c r="I2291" i="4" l="1"/>
  <c r="J2284" i="4"/>
  <c r="G2283" i="4"/>
  <c r="I2283" i="4" s="1"/>
  <c r="G2282" i="4"/>
  <c r="I2282" i="4" s="1"/>
  <c r="G2281" i="4"/>
  <c r="I2281" i="4" s="1"/>
  <c r="G2280" i="4"/>
  <c r="I2280" i="4" s="1"/>
  <c r="G2279" i="4"/>
  <c r="I2279" i="4" s="1"/>
  <c r="G2278" i="4"/>
  <c r="I2278" i="4" s="1"/>
  <c r="I2284" i="4" l="1"/>
  <c r="J2277" i="4"/>
  <c r="G2276" i="4"/>
  <c r="I2276" i="4" s="1"/>
  <c r="G2275" i="4"/>
  <c r="I2275" i="4" s="1"/>
  <c r="G2274" i="4"/>
  <c r="I2274" i="4" s="1"/>
  <c r="G2273" i="4"/>
  <c r="I2273" i="4" s="1"/>
  <c r="G2272" i="4"/>
  <c r="I2272" i="4" s="1"/>
  <c r="G2271" i="4"/>
  <c r="I2271" i="4" s="1"/>
  <c r="I2277" i="4" l="1"/>
  <c r="J2270" i="4"/>
  <c r="G2269" i="4"/>
  <c r="I2269" i="4" s="1"/>
  <c r="G2268" i="4"/>
  <c r="I2268" i="4" s="1"/>
  <c r="G2267" i="4"/>
  <c r="I2267" i="4" s="1"/>
  <c r="G2266" i="4"/>
  <c r="I2266" i="4" s="1"/>
  <c r="G2265" i="4"/>
  <c r="I2265" i="4" s="1"/>
  <c r="G2264" i="4"/>
  <c r="I2264" i="4" s="1"/>
  <c r="I2270" i="4" l="1"/>
  <c r="J2263" i="4"/>
  <c r="G2262" i="4"/>
  <c r="I2262" i="4" s="1"/>
  <c r="G2261" i="4"/>
  <c r="I2261" i="4" s="1"/>
  <c r="G2260" i="4"/>
  <c r="I2260" i="4" s="1"/>
  <c r="G2259" i="4"/>
  <c r="I2259" i="4" s="1"/>
  <c r="G2258" i="4"/>
  <c r="I2258" i="4" s="1"/>
  <c r="G2257" i="4"/>
  <c r="I2257" i="4" s="1"/>
  <c r="I2263" i="4" l="1"/>
  <c r="J2256" i="4"/>
  <c r="G2255" i="4"/>
  <c r="I2255" i="4" s="1"/>
  <c r="G2254" i="4"/>
  <c r="I2254" i="4" s="1"/>
  <c r="G2253" i="4"/>
  <c r="I2253" i="4" s="1"/>
  <c r="G2252" i="4"/>
  <c r="I2252" i="4" s="1"/>
  <c r="G2251" i="4"/>
  <c r="I2251" i="4" s="1"/>
  <c r="G2250" i="4"/>
  <c r="I2250" i="4" s="1"/>
  <c r="I2256" i="4" l="1"/>
  <c r="J2249" i="4"/>
  <c r="G2248" i="4"/>
  <c r="I2248" i="4" s="1"/>
  <c r="G2247" i="4"/>
  <c r="I2247" i="4" s="1"/>
  <c r="G2246" i="4"/>
  <c r="I2246" i="4" s="1"/>
  <c r="G2245" i="4"/>
  <c r="I2245" i="4" s="1"/>
  <c r="G2244" i="4"/>
  <c r="I2244" i="4" s="1"/>
  <c r="G2243" i="4"/>
  <c r="I2243" i="4" s="1"/>
  <c r="I2249" i="4" l="1"/>
  <c r="J2242" i="4"/>
  <c r="G2241" i="4"/>
  <c r="I2241" i="4" s="1"/>
  <c r="G2240" i="4"/>
  <c r="I2240" i="4" s="1"/>
  <c r="G2239" i="4"/>
  <c r="I2239" i="4" s="1"/>
  <c r="G2238" i="4"/>
  <c r="I2238" i="4" s="1"/>
  <c r="G2237" i="4"/>
  <c r="I2237" i="4" s="1"/>
  <c r="G2236" i="4"/>
  <c r="I2236" i="4" s="1"/>
  <c r="I2242" i="4" l="1"/>
  <c r="J2235" i="4"/>
  <c r="G2234" i="4"/>
  <c r="I2234" i="4" s="1"/>
  <c r="G2233" i="4"/>
  <c r="I2233" i="4" s="1"/>
  <c r="G2232" i="4"/>
  <c r="I2232" i="4" s="1"/>
  <c r="G2231" i="4"/>
  <c r="I2231" i="4" s="1"/>
  <c r="G2230" i="4"/>
  <c r="I2230" i="4" s="1"/>
  <c r="G2229" i="4"/>
  <c r="I2229" i="4" s="1"/>
  <c r="I2235" i="4" l="1"/>
  <c r="J2228" i="4"/>
  <c r="G2227" i="4"/>
  <c r="I2227" i="4" s="1"/>
  <c r="G2226" i="4"/>
  <c r="I2226" i="4" s="1"/>
  <c r="G2225" i="4"/>
  <c r="I2225" i="4" s="1"/>
  <c r="G2224" i="4"/>
  <c r="I2224" i="4" s="1"/>
  <c r="G2223" i="4"/>
  <c r="I2223" i="4" s="1"/>
  <c r="G2222" i="4"/>
  <c r="I2222" i="4" s="1"/>
  <c r="J2221" i="4"/>
  <c r="G2220" i="4"/>
  <c r="I2220" i="4" s="1"/>
  <c r="G2219" i="4"/>
  <c r="I2219" i="4" s="1"/>
  <c r="G2218" i="4"/>
  <c r="I2218" i="4" s="1"/>
  <c r="G2217" i="4"/>
  <c r="I2217" i="4" s="1"/>
  <c r="G2216" i="4"/>
  <c r="I2216" i="4" s="1"/>
  <c r="G2215" i="4"/>
  <c r="I2215" i="4" s="1"/>
  <c r="J2214" i="4"/>
  <c r="G2213" i="4"/>
  <c r="I2213" i="4" s="1"/>
  <c r="G2212" i="4"/>
  <c r="I2212" i="4" s="1"/>
  <c r="G2211" i="4"/>
  <c r="I2211" i="4" s="1"/>
  <c r="G2210" i="4"/>
  <c r="I2210" i="4" s="1"/>
  <c r="G2209" i="4"/>
  <c r="I2209" i="4" s="1"/>
  <c r="G2208" i="4"/>
  <c r="I2208" i="4" s="1"/>
  <c r="J2207" i="4"/>
  <c r="G2206" i="4"/>
  <c r="I2206" i="4" s="1"/>
  <c r="G2205" i="4"/>
  <c r="I2205" i="4" s="1"/>
  <c r="G2204" i="4"/>
  <c r="I2204" i="4" s="1"/>
  <c r="G2203" i="4"/>
  <c r="I2203" i="4" s="1"/>
  <c r="G2202" i="4"/>
  <c r="I2202" i="4" s="1"/>
  <c r="G2201" i="4"/>
  <c r="I2201" i="4" s="1"/>
  <c r="J2200" i="4"/>
  <c r="G2199" i="4"/>
  <c r="I2199" i="4" s="1"/>
  <c r="G2198" i="4"/>
  <c r="I2198" i="4" s="1"/>
  <c r="G2197" i="4"/>
  <c r="I2197" i="4" s="1"/>
  <c r="G2196" i="4"/>
  <c r="I2196" i="4" s="1"/>
  <c r="G2195" i="4"/>
  <c r="I2195" i="4" s="1"/>
  <c r="G2194" i="4"/>
  <c r="I2194" i="4" s="1"/>
  <c r="J2193" i="4"/>
  <c r="G2192" i="4"/>
  <c r="I2192" i="4" s="1"/>
  <c r="G2191" i="4"/>
  <c r="I2191" i="4" s="1"/>
  <c r="G2190" i="4"/>
  <c r="I2190" i="4" s="1"/>
  <c r="G2189" i="4"/>
  <c r="I2189" i="4" s="1"/>
  <c r="G2188" i="4"/>
  <c r="I2188" i="4" s="1"/>
  <c r="G2187" i="4"/>
  <c r="I2187" i="4" s="1"/>
  <c r="J2186" i="4"/>
  <c r="G2185" i="4"/>
  <c r="I2185" i="4" s="1"/>
  <c r="G2184" i="4"/>
  <c r="I2184" i="4" s="1"/>
  <c r="G2183" i="4"/>
  <c r="I2183" i="4" s="1"/>
  <c r="G2182" i="4"/>
  <c r="I2182" i="4" s="1"/>
  <c r="G2181" i="4"/>
  <c r="I2181" i="4" s="1"/>
  <c r="G2180" i="4"/>
  <c r="I2180" i="4" s="1"/>
  <c r="J2179" i="4"/>
  <c r="G2178" i="4"/>
  <c r="I2178" i="4" s="1"/>
  <c r="G2177" i="4"/>
  <c r="I2177" i="4" s="1"/>
  <c r="G2176" i="4"/>
  <c r="I2176" i="4" s="1"/>
  <c r="G2175" i="4"/>
  <c r="I2175" i="4" s="1"/>
  <c r="G2174" i="4"/>
  <c r="I2174" i="4" s="1"/>
  <c r="G2173" i="4"/>
  <c r="I2173" i="4" s="1"/>
  <c r="J2172" i="4"/>
  <c r="G2171" i="4"/>
  <c r="I2171" i="4" s="1"/>
  <c r="G2170" i="4"/>
  <c r="I2170" i="4" s="1"/>
  <c r="G2169" i="4"/>
  <c r="I2169" i="4" s="1"/>
  <c r="G2168" i="4"/>
  <c r="I2168" i="4" s="1"/>
  <c r="G2167" i="4"/>
  <c r="I2167" i="4" s="1"/>
  <c r="G2166" i="4"/>
  <c r="I2166" i="4" s="1"/>
  <c r="J2165" i="4"/>
  <c r="G2164" i="4"/>
  <c r="I2164" i="4" s="1"/>
  <c r="G2163" i="4"/>
  <c r="I2163" i="4" s="1"/>
  <c r="G2162" i="4"/>
  <c r="I2162" i="4" s="1"/>
  <c r="G2161" i="4"/>
  <c r="I2161" i="4" s="1"/>
  <c r="G2160" i="4"/>
  <c r="I2160" i="4" s="1"/>
  <c r="G2159" i="4"/>
  <c r="I2159" i="4" s="1"/>
  <c r="J2158" i="4"/>
  <c r="G2157" i="4"/>
  <c r="I2157" i="4" s="1"/>
  <c r="G2156" i="4"/>
  <c r="I2156" i="4" s="1"/>
  <c r="G2155" i="4"/>
  <c r="I2155" i="4" s="1"/>
  <c r="G2154" i="4"/>
  <c r="I2154" i="4" s="1"/>
  <c r="G2153" i="4"/>
  <c r="I2153" i="4" s="1"/>
  <c r="G2152" i="4"/>
  <c r="I2152" i="4" s="1"/>
  <c r="J2151" i="4"/>
  <c r="G2150" i="4"/>
  <c r="I2150" i="4" s="1"/>
  <c r="G2149" i="4"/>
  <c r="I2149" i="4" s="1"/>
  <c r="G2148" i="4"/>
  <c r="I2148" i="4" s="1"/>
  <c r="G2147" i="4"/>
  <c r="I2147" i="4" s="1"/>
  <c r="G2146" i="4"/>
  <c r="I2146" i="4" s="1"/>
  <c r="G2145" i="4"/>
  <c r="I2145" i="4" s="1"/>
  <c r="J2144" i="4"/>
  <c r="G2143" i="4"/>
  <c r="I2143" i="4" s="1"/>
  <c r="G2142" i="4"/>
  <c r="I2142" i="4" s="1"/>
  <c r="G2141" i="4"/>
  <c r="I2141" i="4" s="1"/>
  <c r="G2140" i="4"/>
  <c r="I2140" i="4" s="1"/>
  <c r="G2139" i="4"/>
  <c r="I2139" i="4" s="1"/>
  <c r="G2138" i="4"/>
  <c r="I2138" i="4" s="1"/>
  <c r="J2137" i="4"/>
  <c r="G2136" i="4"/>
  <c r="I2136" i="4" s="1"/>
  <c r="G2135" i="4"/>
  <c r="I2135" i="4" s="1"/>
  <c r="G2134" i="4"/>
  <c r="I2134" i="4" s="1"/>
  <c r="G2133" i="4"/>
  <c r="I2133" i="4" s="1"/>
  <c r="G2132" i="4"/>
  <c r="I2132" i="4" s="1"/>
  <c r="G2131" i="4"/>
  <c r="I2131" i="4" s="1"/>
  <c r="J2130" i="4"/>
  <c r="G2129" i="4"/>
  <c r="I2129" i="4" s="1"/>
  <c r="G2128" i="4"/>
  <c r="I2128" i="4" s="1"/>
  <c r="G2127" i="4"/>
  <c r="I2127" i="4" s="1"/>
  <c r="G2126" i="4"/>
  <c r="I2126" i="4" s="1"/>
  <c r="G2125" i="4"/>
  <c r="I2125" i="4" s="1"/>
  <c r="G2124" i="4"/>
  <c r="I2124" i="4" s="1"/>
  <c r="J2123" i="4"/>
  <c r="G2122" i="4"/>
  <c r="I2122" i="4" s="1"/>
  <c r="G2121" i="4"/>
  <c r="I2121" i="4" s="1"/>
  <c r="G2120" i="4"/>
  <c r="I2120" i="4" s="1"/>
  <c r="G2119" i="4"/>
  <c r="I2119" i="4" s="1"/>
  <c r="G2118" i="4"/>
  <c r="I2118" i="4" s="1"/>
  <c r="G2117" i="4"/>
  <c r="I2117" i="4" s="1"/>
  <c r="J2116" i="4"/>
  <c r="G2115" i="4"/>
  <c r="I2115" i="4" s="1"/>
  <c r="G2114" i="4"/>
  <c r="I2114" i="4" s="1"/>
  <c r="G2113" i="4"/>
  <c r="I2113" i="4" s="1"/>
  <c r="G2112" i="4"/>
  <c r="I2112" i="4" s="1"/>
  <c r="G2111" i="4"/>
  <c r="I2111" i="4" s="1"/>
  <c r="G2110" i="4"/>
  <c r="I2110" i="4" s="1"/>
  <c r="J2109" i="4"/>
  <c r="G2108" i="4"/>
  <c r="I2108" i="4" s="1"/>
  <c r="G2107" i="4"/>
  <c r="I2107" i="4" s="1"/>
  <c r="G2106" i="4"/>
  <c r="I2106" i="4" s="1"/>
  <c r="G2105" i="4"/>
  <c r="I2105" i="4" s="1"/>
  <c r="G2104" i="4"/>
  <c r="I2104" i="4" s="1"/>
  <c r="G2103" i="4"/>
  <c r="I2103" i="4" s="1"/>
  <c r="J2102" i="4"/>
  <c r="G2101" i="4"/>
  <c r="I2101" i="4" s="1"/>
  <c r="G2100" i="4"/>
  <c r="I2100" i="4" s="1"/>
  <c r="G2099" i="4"/>
  <c r="I2099" i="4" s="1"/>
  <c r="G2098" i="4"/>
  <c r="I2098" i="4" s="1"/>
  <c r="G2097" i="4"/>
  <c r="I2097" i="4" s="1"/>
  <c r="G2096" i="4"/>
  <c r="I2096" i="4" s="1"/>
  <c r="J2095" i="4"/>
  <c r="G2094" i="4"/>
  <c r="I2094" i="4" s="1"/>
  <c r="G2093" i="4"/>
  <c r="I2093" i="4" s="1"/>
  <c r="G2092" i="4"/>
  <c r="I2092" i="4" s="1"/>
  <c r="G2091" i="4"/>
  <c r="I2091" i="4" s="1"/>
  <c r="G2090" i="4"/>
  <c r="I2090" i="4" s="1"/>
  <c r="G2089" i="4"/>
  <c r="I2089" i="4" s="1"/>
  <c r="J2088" i="4"/>
  <c r="G2087" i="4"/>
  <c r="I2087" i="4" s="1"/>
  <c r="G2086" i="4"/>
  <c r="I2086" i="4" s="1"/>
  <c r="G2085" i="4"/>
  <c r="I2085" i="4" s="1"/>
  <c r="G2084" i="4"/>
  <c r="I2084" i="4" s="1"/>
  <c r="G2083" i="4"/>
  <c r="I2083" i="4" s="1"/>
  <c r="G2082" i="4"/>
  <c r="I2082" i="4" s="1"/>
  <c r="J2081" i="4"/>
  <c r="G2080" i="4"/>
  <c r="I2080" i="4" s="1"/>
  <c r="G2079" i="4"/>
  <c r="I2079" i="4" s="1"/>
  <c r="G2078" i="4"/>
  <c r="I2078" i="4" s="1"/>
  <c r="G2077" i="4"/>
  <c r="I2077" i="4" s="1"/>
  <c r="G2076" i="4"/>
  <c r="I2076" i="4" s="1"/>
  <c r="G2075" i="4"/>
  <c r="I2075" i="4" s="1"/>
  <c r="J2074" i="4"/>
  <c r="G2073" i="4"/>
  <c r="I2073" i="4" s="1"/>
  <c r="G2072" i="4"/>
  <c r="I2072" i="4" s="1"/>
  <c r="G2071" i="4"/>
  <c r="I2071" i="4" s="1"/>
  <c r="G2070" i="4"/>
  <c r="I2070" i="4" s="1"/>
  <c r="G2069" i="4"/>
  <c r="I2069" i="4" s="1"/>
  <c r="G2068" i="4"/>
  <c r="I2068" i="4" s="1"/>
  <c r="J2067" i="4"/>
  <c r="G2066" i="4"/>
  <c r="I2066" i="4" s="1"/>
  <c r="G2065" i="4"/>
  <c r="I2065" i="4" s="1"/>
  <c r="G2064" i="4"/>
  <c r="I2064" i="4" s="1"/>
  <c r="G2063" i="4"/>
  <c r="I2063" i="4" s="1"/>
  <c r="G2062" i="4"/>
  <c r="I2062" i="4" s="1"/>
  <c r="G2061" i="4"/>
  <c r="I2061" i="4" s="1"/>
  <c r="J2060" i="4"/>
  <c r="G2059" i="4"/>
  <c r="I2059" i="4" s="1"/>
  <c r="G2058" i="4"/>
  <c r="I2058" i="4" s="1"/>
  <c r="G2057" i="4"/>
  <c r="I2057" i="4" s="1"/>
  <c r="G2056" i="4"/>
  <c r="I2056" i="4" s="1"/>
  <c r="G2055" i="4"/>
  <c r="I2055" i="4" s="1"/>
  <c r="G2054" i="4"/>
  <c r="I2054" i="4" s="1"/>
  <c r="J2053" i="4"/>
  <c r="G2052" i="4"/>
  <c r="I2052" i="4" s="1"/>
  <c r="G2051" i="4"/>
  <c r="I2051" i="4" s="1"/>
  <c r="G2050" i="4"/>
  <c r="I2050" i="4" s="1"/>
  <c r="G2049" i="4"/>
  <c r="I2049" i="4" s="1"/>
  <c r="G2048" i="4"/>
  <c r="I2048" i="4" s="1"/>
  <c r="G2047" i="4"/>
  <c r="I2047" i="4" s="1"/>
  <c r="I2053" i="4" l="1"/>
  <c r="I2228" i="4"/>
  <c r="I2151" i="4"/>
  <c r="I2193" i="4"/>
  <c r="I2095" i="4"/>
  <c r="I2172" i="4"/>
  <c r="I2102" i="4"/>
  <c r="I2207" i="4"/>
  <c r="I2116" i="4"/>
  <c r="I2067" i="4"/>
  <c r="I2123" i="4"/>
  <c r="I2158" i="4"/>
  <c r="I2109" i="4"/>
  <c r="I2130" i="4"/>
  <c r="I2186" i="4"/>
  <c r="I2137" i="4"/>
  <c r="I2074" i="4"/>
  <c r="I2144" i="4"/>
  <c r="I2200" i="4"/>
  <c r="I2179" i="4"/>
  <c r="I2165" i="4"/>
  <c r="I2214" i="4"/>
  <c r="I2221" i="4"/>
  <c r="I2088" i="4"/>
  <c r="I2081" i="4"/>
  <c r="I2060" i="4"/>
  <c r="J2046" i="4"/>
  <c r="G2045" i="4"/>
  <c r="I2045" i="4" s="1"/>
  <c r="G2044" i="4"/>
  <c r="I2044" i="4" s="1"/>
  <c r="G2043" i="4"/>
  <c r="I2043" i="4" s="1"/>
  <c r="G2042" i="4"/>
  <c r="I2042" i="4" s="1"/>
  <c r="G2041" i="4"/>
  <c r="I2041" i="4" s="1"/>
  <c r="G2040" i="4"/>
  <c r="I2040" i="4" s="1"/>
  <c r="I2046" i="4" l="1"/>
  <c r="J2039" i="4"/>
  <c r="G2038" i="4"/>
  <c r="I2038" i="4" s="1"/>
  <c r="G2037" i="4"/>
  <c r="I2037" i="4" s="1"/>
  <c r="G2036" i="4"/>
  <c r="I2036" i="4" s="1"/>
  <c r="G2035" i="4"/>
  <c r="I2035" i="4" s="1"/>
  <c r="G2034" i="4"/>
  <c r="I2034" i="4" s="1"/>
  <c r="G2033" i="4"/>
  <c r="I2033" i="4" s="1"/>
  <c r="J2032" i="4"/>
  <c r="G2031" i="4"/>
  <c r="I2031" i="4" s="1"/>
  <c r="G2030" i="4"/>
  <c r="I2030" i="4" s="1"/>
  <c r="G2029" i="4"/>
  <c r="I2029" i="4" s="1"/>
  <c r="G2028" i="4"/>
  <c r="I2028" i="4" s="1"/>
  <c r="G2027" i="4"/>
  <c r="I2027" i="4" s="1"/>
  <c r="G2026" i="4"/>
  <c r="I2026" i="4" s="1"/>
  <c r="I2039" i="4" l="1"/>
  <c r="I2032" i="4"/>
  <c r="J2025" i="4"/>
  <c r="G2024" i="4"/>
  <c r="I2024" i="4" s="1"/>
  <c r="G2023" i="4"/>
  <c r="I2023" i="4" s="1"/>
  <c r="G2022" i="4"/>
  <c r="I2022" i="4" s="1"/>
  <c r="G2021" i="4"/>
  <c r="I2021" i="4" s="1"/>
  <c r="G2020" i="4"/>
  <c r="I2020" i="4" s="1"/>
  <c r="G2019" i="4"/>
  <c r="I2019" i="4" s="1"/>
  <c r="I2025" i="4" l="1"/>
  <c r="J2018" i="4"/>
  <c r="G2017" i="4"/>
  <c r="I2017" i="4" s="1"/>
  <c r="G2016" i="4"/>
  <c r="I2016" i="4" s="1"/>
  <c r="G2015" i="4"/>
  <c r="I2015" i="4" s="1"/>
  <c r="G2014" i="4"/>
  <c r="I2014" i="4" s="1"/>
  <c r="G2013" i="4"/>
  <c r="I2013" i="4" s="1"/>
  <c r="G2012" i="4"/>
  <c r="I2012" i="4" s="1"/>
  <c r="J2011" i="4"/>
  <c r="G2010" i="4"/>
  <c r="I2010" i="4" s="1"/>
  <c r="G2009" i="4"/>
  <c r="I2009" i="4" s="1"/>
  <c r="G2008" i="4"/>
  <c r="I2008" i="4" s="1"/>
  <c r="G2007" i="4"/>
  <c r="I2007" i="4" s="1"/>
  <c r="G2006" i="4"/>
  <c r="I2006" i="4" s="1"/>
  <c r="G2005" i="4"/>
  <c r="I2005" i="4" s="1"/>
  <c r="J2004" i="4"/>
  <c r="G2003" i="4"/>
  <c r="I2003" i="4" s="1"/>
  <c r="G2002" i="4"/>
  <c r="I2002" i="4" s="1"/>
  <c r="G2001" i="4"/>
  <c r="I2001" i="4" s="1"/>
  <c r="G2000" i="4"/>
  <c r="I2000" i="4" s="1"/>
  <c r="G1999" i="4"/>
  <c r="I1999" i="4" s="1"/>
  <c r="G1998" i="4"/>
  <c r="I1998" i="4" s="1"/>
  <c r="J1997" i="4"/>
  <c r="G1996" i="4"/>
  <c r="I1996" i="4" s="1"/>
  <c r="G1995" i="4"/>
  <c r="I1995" i="4" s="1"/>
  <c r="G1994" i="4"/>
  <c r="I1994" i="4" s="1"/>
  <c r="G1993" i="4"/>
  <c r="I1993" i="4" s="1"/>
  <c r="G1992" i="4"/>
  <c r="I1992" i="4" s="1"/>
  <c r="G1991" i="4"/>
  <c r="I1991" i="4" s="1"/>
  <c r="J1990" i="4"/>
  <c r="G1989" i="4"/>
  <c r="I1989" i="4" s="1"/>
  <c r="G1988" i="4"/>
  <c r="I1988" i="4" s="1"/>
  <c r="G1987" i="4"/>
  <c r="I1987" i="4" s="1"/>
  <c r="G1986" i="4"/>
  <c r="I1986" i="4" s="1"/>
  <c r="G1985" i="4"/>
  <c r="I1985" i="4" s="1"/>
  <c r="G1984" i="4"/>
  <c r="I1984" i="4" s="1"/>
  <c r="J1983" i="4"/>
  <c r="G1982" i="4"/>
  <c r="I1982" i="4" s="1"/>
  <c r="G1981" i="4"/>
  <c r="I1981" i="4" s="1"/>
  <c r="G1980" i="4"/>
  <c r="I1980" i="4" s="1"/>
  <c r="G1979" i="4"/>
  <c r="I1979" i="4" s="1"/>
  <c r="G1978" i="4"/>
  <c r="I1978" i="4" s="1"/>
  <c r="G1977" i="4"/>
  <c r="I1977" i="4" s="1"/>
  <c r="J1976" i="4"/>
  <c r="G1975" i="4"/>
  <c r="I1975" i="4" s="1"/>
  <c r="G1974" i="4"/>
  <c r="I1974" i="4" s="1"/>
  <c r="G1973" i="4"/>
  <c r="I1973" i="4" s="1"/>
  <c r="G1972" i="4"/>
  <c r="I1972" i="4" s="1"/>
  <c r="G1971" i="4"/>
  <c r="I1971" i="4" s="1"/>
  <c r="G1970" i="4"/>
  <c r="I1970" i="4" s="1"/>
  <c r="J1969" i="4"/>
  <c r="G1968" i="4"/>
  <c r="I1968" i="4" s="1"/>
  <c r="G1967" i="4"/>
  <c r="I1967" i="4" s="1"/>
  <c r="G1966" i="4"/>
  <c r="I1966" i="4" s="1"/>
  <c r="G1965" i="4"/>
  <c r="I1965" i="4" s="1"/>
  <c r="G1964" i="4"/>
  <c r="I1964" i="4" s="1"/>
  <c r="G1963" i="4"/>
  <c r="I1963" i="4" s="1"/>
  <c r="J1962" i="4"/>
  <c r="G1961" i="4"/>
  <c r="I1961" i="4" s="1"/>
  <c r="G1960" i="4"/>
  <c r="I1960" i="4" s="1"/>
  <c r="G1959" i="4"/>
  <c r="I1959" i="4" s="1"/>
  <c r="G1958" i="4"/>
  <c r="I1958" i="4" s="1"/>
  <c r="G1957" i="4"/>
  <c r="I1957" i="4" s="1"/>
  <c r="G1956" i="4"/>
  <c r="I1956" i="4" s="1"/>
  <c r="J1955" i="4"/>
  <c r="G1954" i="4"/>
  <c r="I1954" i="4" s="1"/>
  <c r="G1953" i="4"/>
  <c r="I1953" i="4" s="1"/>
  <c r="G1952" i="4"/>
  <c r="I1952" i="4" s="1"/>
  <c r="G1951" i="4"/>
  <c r="I1951" i="4" s="1"/>
  <c r="G1950" i="4"/>
  <c r="I1950" i="4" s="1"/>
  <c r="G1949" i="4"/>
  <c r="I1949" i="4" s="1"/>
  <c r="J1948" i="4"/>
  <c r="G1947" i="4"/>
  <c r="I1947" i="4" s="1"/>
  <c r="G1946" i="4"/>
  <c r="I1946" i="4" s="1"/>
  <c r="G1945" i="4"/>
  <c r="I1945" i="4" s="1"/>
  <c r="G1944" i="4"/>
  <c r="I1944" i="4" s="1"/>
  <c r="G1943" i="4"/>
  <c r="I1943" i="4" s="1"/>
  <c r="G1942" i="4"/>
  <c r="I1942" i="4" s="1"/>
  <c r="J1941" i="4"/>
  <c r="G1940" i="4"/>
  <c r="I1940" i="4" s="1"/>
  <c r="G1939" i="4"/>
  <c r="I1939" i="4" s="1"/>
  <c r="G1938" i="4"/>
  <c r="I1938" i="4" s="1"/>
  <c r="G1937" i="4"/>
  <c r="I1937" i="4" s="1"/>
  <c r="G1936" i="4"/>
  <c r="I1936" i="4" s="1"/>
  <c r="G1935" i="4"/>
  <c r="I1935" i="4" s="1"/>
  <c r="J1934" i="4"/>
  <c r="G1933" i="4"/>
  <c r="I1933" i="4" s="1"/>
  <c r="G1932" i="4"/>
  <c r="I1932" i="4" s="1"/>
  <c r="G1931" i="4"/>
  <c r="I1931" i="4" s="1"/>
  <c r="G1930" i="4"/>
  <c r="I1930" i="4" s="1"/>
  <c r="G1929" i="4"/>
  <c r="I1929" i="4" s="1"/>
  <c r="G1928" i="4"/>
  <c r="I1928" i="4" s="1"/>
  <c r="J1927" i="4"/>
  <c r="G1926" i="4"/>
  <c r="I1926" i="4" s="1"/>
  <c r="G1925" i="4"/>
  <c r="I1925" i="4" s="1"/>
  <c r="G1924" i="4"/>
  <c r="I1924" i="4" s="1"/>
  <c r="G1923" i="4"/>
  <c r="I1923" i="4" s="1"/>
  <c r="G1922" i="4"/>
  <c r="I1922" i="4" s="1"/>
  <c r="G1921" i="4"/>
  <c r="I1921" i="4" s="1"/>
  <c r="J1920" i="4"/>
  <c r="G1919" i="4"/>
  <c r="I1919" i="4" s="1"/>
  <c r="G1918" i="4"/>
  <c r="I1918" i="4" s="1"/>
  <c r="G1917" i="4"/>
  <c r="I1917" i="4" s="1"/>
  <c r="G1916" i="4"/>
  <c r="I1916" i="4" s="1"/>
  <c r="G1915" i="4"/>
  <c r="I1915" i="4" s="1"/>
  <c r="G1914" i="4"/>
  <c r="I1914" i="4" s="1"/>
  <c r="J1913" i="4"/>
  <c r="G1912" i="4"/>
  <c r="I1912" i="4" s="1"/>
  <c r="G1911" i="4"/>
  <c r="I1911" i="4" s="1"/>
  <c r="G1910" i="4"/>
  <c r="I1910" i="4" s="1"/>
  <c r="G1909" i="4"/>
  <c r="I1909" i="4" s="1"/>
  <c r="G1908" i="4"/>
  <c r="I1908" i="4" s="1"/>
  <c r="G1907" i="4"/>
  <c r="I1907" i="4" s="1"/>
  <c r="J1906" i="4"/>
  <c r="G1905" i="4"/>
  <c r="I1905" i="4" s="1"/>
  <c r="G1904" i="4"/>
  <c r="I1904" i="4" s="1"/>
  <c r="G1903" i="4"/>
  <c r="I1903" i="4" s="1"/>
  <c r="G1902" i="4"/>
  <c r="I1902" i="4" s="1"/>
  <c r="G1901" i="4"/>
  <c r="I1901" i="4" s="1"/>
  <c r="G1900" i="4"/>
  <c r="I1900" i="4" s="1"/>
  <c r="J1899" i="4"/>
  <c r="G1898" i="4"/>
  <c r="I1898" i="4" s="1"/>
  <c r="G1897" i="4"/>
  <c r="I1897" i="4" s="1"/>
  <c r="G1896" i="4"/>
  <c r="I1896" i="4" s="1"/>
  <c r="G1895" i="4"/>
  <c r="I1895" i="4" s="1"/>
  <c r="G1894" i="4"/>
  <c r="I1894" i="4" s="1"/>
  <c r="G1893" i="4"/>
  <c r="I1893" i="4" s="1"/>
  <c r="J1892" i="4"/>
  <c r="G1891" i="4"/>
  <c r="I1891" i="4" s="1"/>
  <c r="G1890" i="4"/>
  <c r="I1890" i="4" s="1"/>
  <c r="G1889" i="4"/>
  <c r="I1889" i="4" s="1"/>
  <c r="G1888" i="4"/>
  <c r="I1888" i="4" s="1"/>
  <c r="G1887" i="4"/>
  <c r="I1887" i="4" s="1"/>
  <c r="G1886" i="4"/>
  <c r="I1886" i="4" s="1"/>
  <c r="J1885" i="4"/>
  <c r="G1884" i="4"/>
  <c r="I1884" i="4" s="1"/>
  <c r="G1883" i="4"/>
  <c r="I1883" i="4" s="1"/>
  <c r="G1882" i="4"/>
  <c r="I1882" i="4" s="1"/>
  <c r="G1881" i="4"/>
  <c r="I1881" i="4" s="1"/>
  <c r="G1880" i="4"/>
  <c r="I1880" i="4" s="1"/>
  <c r="G1879" i="4"/>
  <c r="I1879" i="4" s="1"/>
  <c r="I1969" i="4" l="1"/>
  <c r="I1941" i="4"/>
  <c r="I2011" i="4"/>
  <c r="I1913" i="4"/>
  <c r="I2018" i="4"/>
  <c r="I1962" i="4"/>
  <c r="I1906" i="4"/>
  <c r="I1892" i="4"/>
  <c r="I1927" i="4"/>
  <c r="I1934" i="4"/>
  <c r="I1990" i="4"/>
  <c r="I1955" i="4"/>
  <c r="I2004" i="4"/>
  <c r="I1997" i="4"/>
  <c r="I1885" i="4"/>
  <c r="I1983" i="4"/>
  <c r="I1948" i="4"/>
  <c r="I1899" i="4"/>
  <c r="I1920" i="4"/>
  <c r="I1976" i="4"/>
  <c r="J1878" i="4"/>
  <c r="G1877" i="4"/>
  <c r="I1877" i="4" s="1"/>
  <c r="G1876" i="4"/>
  <c r="I1876" i="4" s="1"/>
  <c r="G1875" i="4"/>
  <c r="I1875" i="4" s="1"/>
  <c r="G1874" i="4"/>
  <c r="I1874" i="4" s="1"/>
  <c r="G1873" i="4"/>
  <c r="I1873" i="4" s="1"/>
  <c r="G1872" i="4"/>
  <c r="I1872" i="4" s="1"/>
  <c r="J1871" i="4"/>
  <c r="G1870" i="4"/>
  <c r="I1870" i="4" s="1"/>
  <c r="G1869" i="4"/>
  <c r="I1869" i="4" s="1"/>
  <c r="G1868" i="4"/>
  <c r="I1868" i="4" s="1"/>
  <c r="G1867" i="4"/>
  <c r="I1867" i="4" s="1"/>
  <c r="G1866" i="4"/>
  <c r="I1866" i="4" s="1"/>
  <c r="G1865" i="4"/>
  <c r="I1865" i="4" s="1"/>
  <c r="J1864" i="4"/>
  <c r="G1863" i="4"/>
  <c r="I1863" i="4" s="1"/>
  <c r="G1862" i="4"/>
  <c r="I1862" i="4" s="1"/>
  <c r="G1861" i="4"/>
  <c r="I1861" i="4" s="1"/>
  <c r="G1860" i="4"/>
  <c r="I1860" i="4" s="1"/>
  <c r="G1859" i="4"/>
  <c r="I1859" i="4" s="1"/>
  <c r="G1858" i="4"/>
  <c r="I1858" i="4" s="1"/>
  <c r="J1857" i="4"/>
  <c r="G1856" i="4"/>
  <c r="I1856" i="4" s="1"/>
  <c r="G1855" i="4"/>
  <c r="I1855" i="4" s="1"/>
  <c r="G1854" i="4"/>
  <c r="I1854" i="4" s="1"/>
  <c r="G1853" i="4"/>
  <c r="I1853" i="4" s="1"/>
  <c r="G1852" i="4"/>
  <c r="I1852" i="4" s="1"/>
  <c r="G1851" i="4"/>
  <c r="I1851" i="4" s="1"/>
  <c r="J1843" i="4"/>
  <c r="G1842" i="4"/>
  <c r="I1842" i="4" s="1"/>
  <c r="G1841" i="4"/>
  <c r="I1841" i="4" s="1"/>
  <c r="G1840" i="4"/>
  <c r="I1840" i="4" s="1"/>
  <c r="G1839" i="4"/>
  <c r="I1839" i="4" s="1"/>
  <c r="G1838" i="4"/>
  <c r="I1838" i="4" s="1"/>
  <c r="G1837" i="4"/>
  <c r="I1837" i="4" s="1"/>
  <c r="J1836" i="4"/>
  <c r="G1835" i="4"/>
  <c r="I1835" i="4" s="1"/>
  <c r="G1834" i="4"/>
  <c r="I1834" i="4" s="1"/>
  <c r="G1833" i="4"/>
  <c r="I1833" i="4" s="1"/>
  <c r="G1832" i="4"/>
  <c r="I1832" i="4" s="1"/>
  <c r="G1831" i="4"/>
  <c r="I1831" i="4" s="1"/>
  <c r="G1830" i="4"/>
  <c r="I1830" i="4" s="1"/>
  <c r="J1829" i="4"/>
  <c r="G1828" i="4"/>
  <c r="I1828" i="4" s="1"/>
  <c r="G1827" i="4"/>
  <c r="I1827" i="4" s="1"/>
  <c r="G1826" i="4"/>
  <c r="I1826" i="4" s="1"/>
  <c r="G1825" i="4"/>
  <c r="I1825" i="4" s="1"/>
  <c r="G1824" i="4"/>
  <c r="I1824" i="4" s="1"/>
  <c r="G1823" i="4"/>
  <c r="I1823" i="4" s="1"/>
  <c r="I1864" i="4" l="1"/>
  <c r="I1871" i="4"/>
  <c r="I1878" i="4"/>
  <c r="I1857" i="4"/>
  <c r="I1843" i="4"/>
  <c r="I1836" i="4"/>
  <c r="I1829" i="4"/>
  <c r="J1822" i="4"/>
  <c r="G1821" i="4"/>
  <c r="I1821" i="4" s="1"/>
  <c r="G1820" i="4"/>
  <c r="I1820" i="4" s="1"/>
  <c r="G1819" i="4"/>
  <c r="I1819" i="4" s="1"/>
  <c r="G1818" i="4"/>
  <c r="I1818" i="4" s="1"/>
  <c r="G1817" i="4"/>
  <c r="I1817" i="4" s="1"/>
  <c r="G1816" i="4"/>
  <c r="I1816" i="4" s="1"/>
  <c r="J1808" i="4"/>
  <c r="G1807" i="4"/>
  <c r="I1807" i="4" s="1"/>
  <c r="G1806" i="4"/>
  <c r="I1806" i="4" s="1"/>
  <c r="G1805" i="4"/>
  <c r="I1805" i="4" s="1"/>
  <c r="G1804" i="4"/>
  <c r="I1804" i="4" s="1"/>
  <c r="G1803" i="4"/>
  <c r="I1803" i="4" s="1"/>
  <c r="G1802" i="4"/>
  <c r="I1802" i="4" s="1"/>
  <c r="I1822" i="4" l="1"/>
  <c r="I1808" i="4"/>
  <c r="J1815" i="4" l="1"/>
  <c r="G1814" i="4"/>
  <c r="I1814" i="4" s="1"/>
  <c r="G1813" i="4"/>
  <c r="I1813" i="4" s="1"/>
  <c r="G1812" i="4"/>
  <c r="I1812" i="4" s="1"/>
  <c r="G1811" i="4"/>
  <c r="I1811" i="4" s="1"/>
  <c r="G1810" i="4"/>
  <c r="I1810" i="4" s="1"/>
  <c r="G1809" i="4"/>
  <c r="I1809" i="4" s="1"/>
  <c r="J1801" i="4"/>
  <c r="G1800" i="4"/>
  <c r="I1800" i="4" s="1"/>
  <c r="G1799" i="4"/>
  <c r="I1799" i="4" s="1"/>
  <c r="G1798" i="4"/>
  <c r="I1798" i="4" s="1"/>
  <c r="G1797" i="4"/>
  <c r="I1797" i="4" s="1"/>
  <c r="G1796" i="4"/>
  <c r="I1796" i="4" s="1"/>
  <c r="G1795" i="4"/>
  <c r="I1795" i="4" s="1"/>
  <c r="J1794" i="4"/>
  <c r="G1793" i="4"/>
  <c r="I1793" i="4" s="1"/>
  <c r="G1792" i="4"/>
  <c r="I1792" i="4" s="1"/>
  <c r="G1791" i="4"/>
  <c r="I1791" i="4" s="1"/>
  <c r="G1790" i="4"/>
  <c r="I1790" i="4" s="1"/>
  <c r="G1789" i="4"/>
  <c r="I1789" i="4" s="1"/>
  <c r="G1788" i="4"/>
  <c r="I1788" i="4" s="1"/>
  <c r="J1787" i="4"/>
  <c r="G1786" i="4"/>
  <c r="I1786" i="4" s="1"/>
  <c r="G1785" i="4"/>
  <c r="I1785" i="4" s="1"/>
  <c r="G1784" i="4"/>
  <c r="I1784" i="4" s="1"/>
  <c r="G1783" i="4"/>
  <c r="I1783" i="4" s="1"/>
  <c r="G1782" i="4"/>
  <c r="I1782" i="4" s="1"/>
  <c r="G1781" i="4"/>
  <c r="I1781" i="4" s="1"/>
  <c r="J1780" i="4"/>
  <c r="G1779" i="4"/>
  <c r="I1779" i="4" s="1"/>
  <c r="G1778" i="4"/>
  <c r="I1778" i="4" s="1"/>
  <c r="G1777" i="4"/>
  <c r="I1777" i="4" s="1"/>
  <c r="G1776" i="4"/>
  <c r="I1776" i="4" s="1"/>
  <c r="G1775" i="4"/>
  <c r="I1775" i="4" s="1"/>
  <c r="G1774" i="4"/>
  <c r="I1774" i="4" s="1"/>
  <c r="J1773" i="4"/>
  <c r="G1772" i="4"/>
  <c r="I1772" i="4" s="1"/>
  <c r="G1771" i="4"/>
  <c r="I1771" i="4" s="1"/>
  <c r="G1770" i="4"/>
  <c r="I1770" i="4" s="1"/>
  <c r="G1769" i="4"/>
  <c r="I1769" i="4" s="1"/>
  <c r="G1768" i="4"/>
  <c r="I1768" i="4" s="1"/>
  <c r="G1767" i="4"/>
  <c r="I1767" i="4" s="1"/>
  <c r="J1766" i="4"/>
  <c r="G1765" i="4"/>
  <c r="I1765" i="4" s="1"/>
  <c r="G1764" i="4"/>
  <c r="I1764" i="4" s="1"/>
  <c r="G1763" i="4"/>
  <c r="I1763" i="4" s="1"/>
  <c r="G1762" i="4"/>
  <c r="I1762" i="4" s="1"/>
  <c r="G1761" i="4"/>
  <c r="I1761" i="4" s="1"/>
  <c r="G1760" i="4"/>
  <c r="I1760" i="4" s="1"/>
  <c r="J1759" i="4"/>
  <c r="G1758" i="4"/>
  <c r="I1758" i="4" s="1"/>
  <c r="G1757" i="4"/>
  <c r="I1757" i="4" s="1"/>
  <c r="G1756" i="4"/>
  <c r="I1756" i="4" s="1"/>
  <c r="G1755" i="4"/>
  <c r="I1755" i="4" s="1"/>
  <c r="G1754" i="4"/>
  <c r="I1754" i="4" s="1"/>
  <c r="G1753" i="4"/>
  <c r="I1753" i="4" s="1"/>
  <c r="J1745" i="4"/>
  <c r="G1744" i="4"/>
  <c r="I1744" i="4" s="1"/>
  <c r="G1743" i="4"/>
  <c r="I1743" i="4" s="1"/>
  <c r="G1742" i="4"/>
  <c r="I1742" i="4" s="1"/>
  <c r="G1741" i="4"/>
  <c r="I1741" i="4" s="1"/>
  <c r="G1740" i="4"/>
  <c r="I1740" i="4" s="1"/>
  <c r="G1739" i="4"/>
  <c r="I1739" i="4" s="1"/>
  <c r="J1724" i="4"/>
  <c r="G1723" i="4"/>
  <c r="I1723" i="4" s="1"/>
  <c r="G1722" i="4"/>
  <c r="I1722" i="4" s="1"/>
  <c r="G1721" i="4"/>
  <c r="I1721" i="4" s="1"/>
  <c r="G1720" i="4"/>
  <c r="I1720" i="4" s="1"/>
  <c r="G1719" i="4"/>
  <c r="I1719" i="4" s="1"/>
  <c r="G1718" i="4"/>
  <c r="I1718" i="4" s="1"/>
  <c r="I1801" i="4" l="1"/>
  <c r="I1766" i="4"/>
  <c r="I1773" i="4"/>
  <c r="I1787" i="4"/>
  <c r="I1794" i="4"/>
  <c r="I1815" i="4"/>
  <c r="I1780" i="4"/>
  <c r="I1759" i="4"/>
  <c r="I1724" i="4"/>
  <c r="I1745" i="4"/>
  <c r="J1717" i="4"/>
  <c r="G1716" i="4"/>
  <c r="I1716" i="4" s="1"/>
  <c r="G1715" i="4"/>
  <c r="I1715" i="4" s="1"/>
  <c r="G1714" i="4"/>
  <c r="I1714" i="4" s="1"/>
  <c r="G1713" i="4"/>
  <c r="I1713" i="4" s="1"/>
  <c r="G1712" i="4"/>
  <c r="I1712" i="4" s="1"/>
  <c r="G1711" i="4"/>
  <c r="I1711" i="4" s="1"/>
  <c r="J1710" i="4"/>
  <c r="G1709" i="4"/>
  <c r="I1709" i="4" s="1"/>
  <c r="G1708" i="4"/>
  <c r="I1708" i="4" s="1"/>
  <c r="G1707" i="4"/>
  <c r="I1707" i="4" s="1"/>
  <c r="G1706" i="4"/>
  <c r="I1706" i="4" s="1"/>
  <c r="G1705" i="4"/>
  <c r="I1705" i="4" s="1"/>
  <c r="G1704" i="4"/>
  <c r="I1704" i="4" s="1"/>
  <c r="J1703" i="4"/>
  <c r="G1702" i="4"/>
  <c r="I1702" i="4" s="1"/>
  <c r="G1701" i="4"/>
  <c r="I1701" i="4" s="1"/>
  <c r="G1700" i="4"/>
  <c r="I1700" i="4" s="1"/>
  <c r="G1699" i="4"/>
  <c r="I1699" i="4" s="1"/>
  <c r="G1698" i="4"/>
  <c r="I1698" i="4" s="1"/>
  <c r="G1697" i="4"/>
  <c r="I1697" i="4" s="1"/>
  <c r="J1696" i="4"/>
  <c r="G1695" i="4"/>
  <c r="I1695" i="4" s="1"/>
  <c r="G1694" i="4"/>
  <c r="I1694" i="4" s="1"/>
  <c r="G1693" i="4"/>
  <c r="I1693" i="4" s="1"/>
  <c r="G1692" i="4"/>
  <c r="I1692" i="4" s="1"/>
  <c r="G1691" i="4"/>
  <c r="I1691" i="4" s="1"/>
  <c r="G1690" i="4"/>
  <c r="I1690" i="4" s="1"/>
  <c r="J1689" i="4"/>
  <c r="G1688" i="4"/>
  <c r="I1688" i="4" s="1"/>
  <c r="G1687" i="4"/>
  <c r="I1687" i="4" s="1"/>
  <c r="G1686" i="4"/>
  <c r="I1686" i="4" s="1"/>
  <c r="G1685" i="4"/>
  <c r="I1685" i="4" s="1"/>
  <c r="G1684" i="4"/>
  <c r="I1684" i="4" s="1"/>
  <c r="G1683" i="4"/>
  <c r="I1683" i="4" s="1"/>
  <c r="J1682" i="4"/>
  <c r="G1681" i="4"/>
  <c r="I1681" i="4" s="1"/>
  <c r="G1680" i="4"/>
  <c r="I1680" i="4" s="1"/>
  <c r="G1679" i="4"/>
  <c r="I1679" i="4" s="1"/>
  <c r="G1678" i="4"/>
  <c r="I1678" i="4" s="1"/>
  <c r="G1677" i="4"/>
  <c r="I1677" i="4" s="1"/>
  <c r="G1676" i="4"/>
  <c r="I1676" i="4" s="1"/>
  <c r="J1675" i="4"/>
  <c r="G1674" i="4"/>
  <c r="I1674" i="4" s="1"/>
  <c r="G1673" i="4"/>
  <c r="I1673" i="4" s="1"/>
  <c r="G1672" i="4"/>
  <c r="I1672" i="4" s="1"/>
  <c r="G1671" i="4"/>
  <c r="I1671" i="4" s="1"/>
  <c r="G1670" i="4"/>
  <c r="I1670" i="4" s="1"/>
  <c r="G1669" i="4"/>
  <c r="I1669" i="4" s="1"/>
  <c r="J1668" i="4"/>
  <c r="G1667" i="4"/>
  <c r="I1667" i="4" s="1"/>
  <c r="G1666" i="4"/>
  <c r="I1666" i="4" s="1"/>
  <c r="G1665" i="4"/>
  <c r="I1665" i="4" s="1"/>
  <c r="G1664" i="4"/>
  <c r="I1664" i="4" s="1"/>
  <c r="G1663" i="4"/>
  <c r="I1663" i="4" s="1"/>
  <c r="G1662" i="4"/>
  <c r="I1662" i="4" s="1"/>
  <c r="J1661" i="4"/>
  <c r="G1660" i="4"/>
  <c r="I1660" i="4" s="1"/>
  <c r="G1659" i="4"/>
  <c r="I1659" i="4" s="1"/>
  <c r="G1658" i="4"/>
  <c r="I1658" i="4" s="1"/>
  <c r="G1657" i="4"/>
  <c r="I1657" i="4" s="1"/>
  <c r="G1656" i="4"/>
  <c r="I1656" i="4" s="1"/>
  <c r="G1655" i="4"/>
  <c r="I1655" i="4" s="1"/>
  <c r="I1689" i="4" l="1"/>
  <c r="I1696" i="4"/>
  <c r="I1668" i="4"/>
  <c r="I1710" i="4"/>
  <c r="I1661" i="4"/>
  <c r="I1675" i="4"/>
  <c r="I1703" i="4"/>
  <c r="I1717" i="4"/>
  <c r="I1682" i="4"/>
  <c r="J1654" i="4"/>
  <c r="G1653" i="4"/>
  <c r="I1653" i="4" s="1"/>
  <c r="G1652" i="4"/>
  <c r="I1652" i="4" s="1"/>
  <c r="G1651" i="4"/>
  <c r="I1651" i="4" s="1"/>
  <c r="G1650" i="4"/>
  <c r="I1650" i="4" s="1"/>
  <c r="G1649" i="4"/>
  <c r="I1649" i="4" s="1"/>
  <c r="G1648" i="4"/>
  <c r="I1648" i="4" s="1"/>
  <c r="J1647" i="4"/>
  <c r="G1646" i="4"/>
  <c r="I1646" i="4" s="1"/>
  <c r="G1645" i="4"/>
  <c r="I1645" i="4" s="1"/>
  <c r="G1644" i="4"/>
  <c r="I1644" i="4" s="1"/>
  <c r="G1643" i="4"/>
  <c r="I1643" i="4" s="1"/>
  <c r="G1642" i="4"/>
  <c r="I1642" i="4" s="1"/>
  <c r="G1641" i="4"/>
  <c r="I1641" i="4" s="1"/>
  <c r="J1640" i="4"/>
  <c r="G1639" i="4"/>
  <c r="I1639" i="4" s="1"/>
  <c r="G1638" i="4"/>
  <c r="I1638" i="4" s="1"/>
  <c r="G1637" i="4"/>
  <c r="I1637" i="4" s="1"/>
  <c r="G1636" i="4"/>
  <c r="I1636" i="4" s="1"/>
  <c r="G1635" i="4"/>
  <c r="I1635" i="4" s="1"/>
  <c r="G1634" i="4"/>
  <c r="I1634" i="4" s="1"/>
  <c r="J1633" i="4"/>
  <c r="G1632" i="4"/>
  <c r="I1632" i="4" s="1"/>
  <c r="G1631" i="4"/>
  <c r="I1631" i="4" s="1"/>
  <c r="G1630" i="4"/>
  <c r="I1630" i="4" s="1"/>
  <c r="G1629" i="4"/>
  <c r="I1629" i="4" s="1"/>
  <c r="G1628" i="4"/>
  <c r="I1628" i="4" s="1"/>
  <c r="G1627" i="4"/>
  <c r="I1627" i="4" s="1"/>
  <c r="J1626" i="4"/>
  <c r="G1625" i="4"/>
  <c r="I1625" i="4" s="1"/>
  <c r="G1624" i="4"/>
  <c r="I1624" i="4" s="1"/>
  <c r="G1623" i="4"/>
  <c r="I1623" i="4" s="1"/>
  <c r="G1622" i="4"/>
  <c r="I1622" i="4" s="1"/>
  <c r="G1621" i="4"/>
  <c r="I1621" i="4" s="1"/>
  <c r="G1620" i="4"/>
  <c r="I1620" i="4" s="1"/>
  <c r="J1619" i="4"/>
  <c r="G1618" i="4"/>
  <c r="I1618" i="4" s="1"/>
  <c r="G1617" i="4"/>
  <c r="I1617" i="4" s="1"/>
  <c r="G1616" i="4"/>
  <c r="I1616" i="4" s="1"/>
  <c r="G1615" i="4"/>
  <c r="I1615" i="4" s="1"/>
  <c r="G1614" i="4"/>
  <c r="I1614" i="4" s="1"/>
  <c r="G1613" i="4"/>
  <c r="I1613" i="4" s="1"/>
  <c r="J1612" i="4"/>
  <c r="G1611" i="4"/>
  <c r="I1611" i="4" s="1"/>
  <c r="G1610" i="4"/>
  <c r="I1610" i="4" s="1"/>
  <c r="G1609" i="4"/>
  <c r="I1609" i="4" s="1"/>
  <c r="G1608" i="4"/>
  <c r="I1608" i="4" s="1"/>
  <c r="G1607" i="4"/>
  <c r="I1607" i="4" s="1"/>
  <c r="G1606" i="4"/>
  <c r="I1606" i="4" s="1"/>
  <c r="J1605" i="4"/>
  <c r="G1604" i="4"/>
  <c r="I1604" i="4" s="1"/>
  <c r="G1603" i="4"/>
  <c r="I1603" i="4" s="1"/>
  <c r="G1602" i="4"/>
  <c r="I1602" i="4" s="1"/>
  <c r="G1601" i="4"/>
  <c r="I1601" i="4" s="1"/>
  <c r="G1600" i="4"/>
  <c r="I1600" i="4" s="1"/>
  <c r="G1599" i="4"/>
  <c r="I1599" i="4" s="1"/>
  <c r="J1598" i="4"/>
  <c r="G1597" i="4"/>
  <c r="I1597" i="4" s="1"/>
  <c r="G1596" i="4"/>
  <c r="I1596" i="4" s="1"/>
  <c r="G1595" i="4"/>
  <c r="I1595" i="4" s="1"/>
  <c r="G1594" i="4"/>
  <c r="I1594" i="4" s="1"/>
  <c r="G1593" i="4"/>
  <c r="I1593" i="4" s="1"/>
  <c r="G1592" i="4"/>
  <c r="I1592" i="4" s="1"/>
  <c r="J1591" i="4"/>
  <c r="G1590" i="4"/>
  <c r="I1590" i="4" s="1"/>
  <c r="G1589" i="4"/>
  <c r="I1589" i="4" s="1"/>
  <c r="G1588" i="4"/>
  <c r="I1588" i="4" s="1"/>
  <c r="G1587" i="4"/>
  <c r="I1587" i="4" s="1"/>
  <c r="G1586" i="4"/>
  <c r="I1586" i="4" s="1"/>
  <c r="G1585" i="4"/>
  <c r="I1585" i="4" s="1"/>
  <c r="I1591" i="4" l="1"/>
  <c r="I1612" i="4"/>
  <c r="I1619" i="4"/>
  <c r="I1598" i="4"/>
  <c r="I1640" i="4"/>
  <c r="I1626" i="4"/>
  <c r="I1605" i="4"/>
  <c r="I1654" i="4"/>
  <c r="I1647" i="4"/>
  <c r="I1633" i="4"/>
  <c r="J1584" i="4"/>
  <c r="G1583" i="4"/>
  <c r="I1583" i="4" s="1"/>
  <c r="G1582" i="4"/>
  <c r="I1582" i="4" s="1"/>
  <c r="G1581" i="4"/>
  <c r="I1581" i="4" s="1"/>
  <c r="G1580" i="4"/>
  <c r="I1580" i="4" s="1"/>
  <c r="G1579" i="4"/>
  <c r="I1579" i="4" s="1"/>
  <c r="G1578" i="4"/>
  <c r="I1578" i="4" s="1"/>
  <c r="J1577" i="4"/>
  <c r="G1576" i="4"/>
  <c r="I1576" i="4" s="1"/>
  <c r="G1575" i="4"/>
  <c r="I1575" i="4" s="1"/>
  <c r="G1574" i="4"/>
  <c r="I1574" i="4" s="1"/>
  <c r="G1573" i="4"/>
  <c r="I1573" i="4" s="1"/>
  <c r="G1572" i="4"/>
  <c r="I1572" i="4" s="1"/>
  <c r="G1571" i="4"/>
  <c r="I1571" i="4" s="1"/>
  <c r="J1570" i="4"/>
  <c r="G1569" i="4"/>
  <c r="I1569" i="4" s="1"/>
  <c r="G1568" i="4"/>
  <c r="I1568" i="4" s="1"/>
  <c r="G1567" i="4"/>
  <c r="I1567" i="4" s="1"/>
  <c r="G1566" i="4"/>
  <c r="I1566" i="4" s="1"/>
  <c r="G1565" i="4"/>
  <c r="I1565" i="4" s="1"/>
  <c r="G1564" i="4"/>
  <c r="I1564" i="4" s="1"/>
  <c r="J1563" i="4"/>
  <c r="G1562" i="4"/>
  <c r="I1562" i="4" s="1"/>
  <c r="G1561" i="4"/>
  <c r="I1561" i="4" s="1"/>
  <c r="G1560" i="4"/>
  <c r="I1560" i="4" s="1"/>
  <c r="G1559" i="4"/>
  <c r="I1559" i="4" s="1"/>
  <c r="G1558" i="4"/>
  <c r="I1558" i="4" s="1"/>
  <c r="G1557" i="4"/>
  <c r="I1557" i="4" s="1"/>
  <c r="J1556" i="4"/>
  <c r="G1555" i="4"/>
  <c r="I1555" i="4" s="1"/>
  <c r="G1554" i="4"/>
  <c r="I1554" i="4" s="1"/>
  <c r="G1553" i="4"/>
  <c r="I1553" i="4" s="1"/>
  <c r="G1552" i="4"/>
  <c r="I1552" i="4" s="1"/>
  <c r="G1551" i="4"/>
  <c r="I1551" i="4" s="1"/>
  <c r="G1550" i="4"/>
  <c r="I1550" i="4" s="1"/>
  <c r="J1549" i="4"/>
  <c r="G1548" i="4"/>
  <c r="I1548" i="4" s="1"/>
  <c r="G1547" i="4"/>
  <c r="I1547" i="4" s="1"/>
  <c r="G1546" i="4"/>
  <c r="I1546" i="4" s="1"/>
  <c r="G1545" i="4"/>
  <c r="I1545" i="4" s="1"/>
  <c r="G1544" i="4"/>
  <c r="I1544" i="4" s="1"/>
  <c r="G1543" i="4"/>
  <c r="I1543" i="4" s="1"/>
  <c r="J1542" i="4"/>
  <c r="G1541" i="4"/>
  <c r="I1541" i="4" s="1"/>
  <c r="G1540" i="4"/>
  <c r="I1540" i="4" s="1"/>
  <c r="G1539" i="4"/>
  <c r="I1539" i="4" s="1"/>
  <c r="G1538" i="4"/>
  <c r="I1538" i="4" s="1"/>
  <c r="G1537" i="4"/>
  <c r="I1537" i="4" s="1"/>
  <c r="G1536" i="4"/>
  <c r="I1536" i="4" s="1"/>
  <c r="J1535" i="4"/>
  <c r="G1534" i="4"/>
  <c r="I1534" i="4" s="1"/>
  <c r="G1533" i="4"/>
  <c r="I1533" i="4" s="1"/>
  <c r="G1532" i="4"/>
  <c r="I1532" i="4" s="1"/>
  <c r="G1531" i="4"/>
  <c r="I1531" i="4" s="1"/>
  <c r="G1530" i="4"/>
  <c r="I1530" i="4" s="1"/>
  <c r="G1529" i="4"/>
  <c r="I1529" i="4" s="1"/>
  <c r="I1570" i="4" l="1"/>
  <c r="I1535" i="4"/>
  <c r="I1584" i="4"/>
  <c r="I1577" i="4"/>
  <c r="I1563" i="4"/>
  <c r="I1542" i="4"/>
  <c r="I1556" i="4"/>
  <c r="I1549" i="4"/>
  <c r="J1528" i="4"/>
  <c r="G1527" i="4"/>
  <c r="I1527" i="4" s="1"/>
  <c r="G1526" i="4"/>
  <c r="I1526" i="4" s="1"/>
  <c r="G1525" i="4"/>
  <c r="I1525" i="4" s="1"/>
  <c r="G1524" i="4"/>
  <c r="I1524" i="4" s="1"/>
  <c r="G1523" i="4"/>
  <c r="I1523" i="4" s="1"/>
  <c r="G1522" i="4"/>
  <c r="I1522" i="4" s="1"/>
  <c r="I1528" i="4" l="1"/>
  <c r="J1521" i="4"/>
  <c r="G1520" i="4"/>
  <c r="I1520" i="4" s="1"/>
  <c r="G1519" i="4"/>
  <c r="I1519" i="4" s="1"/>
  <c r="G1518" i="4"/>
  <c r="I1518" i="4" s="1"/>
  <c r="G1517" i="4"/>
  <c r="I1517" i="4" s="1"/>
  <c r="G1516" i="4"/>
  <c r="I1516" i="4" s="1"/>
  <c r="G1515" i="4"/>
  <c r="I1515" i="4" s="1"/>
  <c r="I1521" i="4" l="1"/>
  <c r="G1511" i="4"/>
  <c r="J1514" i="4" l="1"/>
  <c r="G1513" i="4"/>
  <c r="I1513" i="4" s="1"/>
  <c r="G1512" i="4"/>
  <c r="I1512" i="4" s="1"/>
  <c r="I1511" i="4"/>
  <c r="G1510" i="4"/>
  <c r="I1510" i="4" s="1"/>
  <c r="G1509" i="4"/>
  <c r="I1509" i="4" s="1"/>
  <c r="G1508" i="4"/>
  <c r="I1508" i="4" s="1"/>
  <c r="I1514" i="4" l="1"/>
  <c r="J1507" i="4"/>
  <c r="G1506" i="4"/>
  <c r="I1506" i="4" s="1"/>
  <c r="G1505" i="4"/>
  <c r="I1505" i="4" s="1"/>
  <c r="G1504" i="4"/>
  <c r="I1504" i="4" s="1"/>
  <c r="G1503" i="4"/>
  <c r="I1503" i="4" s="1"/>
  <c r="G1502" i="4"/>
  <c r="I1502" i="4" s="1"/>
  <c r="G1501" i="4"/>
  <c r="I1501" i="4" s="1"/>
  <c r="I1507" i="4" l="1"/>
  <c r="J1500" i="4"/>
  <c r="G1499" i="4"/>
  <c r="I1499" i="4" s="1"/>
  <c r="G1498" i="4"/>
  <c r="I1498" i="4" s="1"/>
  <c r="G1497" i="4"/>
  <c r="I1497" i="4" s="1"/>
  <c r="G1496" i="4"/>
  <c r="I1496" i="4" s="1"/>
  <c r="G1495" i="4"/>
  <c r="I1495" i="4" s="1"/>
  <c r="G1494" i="4"/>
  <c r="I1494" i="4" s="1"/>
  <c r="I1500" i="4" l="1"/>
  <c r="J1493" i="4"/>
  <c r="G1492" i="4"/>
  <c r="I1492" i="4" s="1"/>
  <c r="G1491" i="4"/>
  <c r="I1491" i="4" s="1"/>
  <c r="G1490" i="4"/>
  <c r="I1490" i="4" s="1"/>
  <c r="G1489" i="4"/>
  <c r="I1489" i="4" s="1"/>
  <c r="G1488" i="4"/>
  <c r="I1488" i="4" s="1"/>
  <c r="G1487" i="4"/>
  <c r="I1487" i="4" s="1"/>
  <c r="I1493" i="4" l="1"/>
  <c r="J1486" i="4"/>
  <c r="G1485" i="4" l="1"/>
  <c r="I1485" i="4" s="1"/>
  <c r="G1484" i="4"/>
  <c r="I1484" i="4" s="1"/>
  <c r="G1483" i="4"/>
  <c r="I1483" i="4" s="1"/>
  <c r="G1482" i="4"/>
  <c r="I1482" i="4" s="1"/>
  <c r="G1481" i="4"/>
  <c r="I1481" i="4" s="1"/>
  <c r="G1480" i="4"/>
  <c r="I1480" i="4" s="1"/>
  <c r="I1486" i="4" l="1"/>
  <c r="J1479" i="4"/>
  <c r="G1478" i="4"/>
  <c r="I1478" i="4" s="1"/>
  <c r="G1477" i="4"/>
  <c r="I1477" i="4" s="1"/>
  <c r="G1476" i="4"/>
  <c r="I1476" i="4" s="1"/>
  <c r="G1475" i="4"/>
  <c r="I1475" i="4" s="1"/>
  <c r="G1474" i="4"/>
  <c r="I1474" i="4" s="1"/>
  <c r="G1473" i="4"/>
  <c r="I1473" i="4" s="1"/>
  <c r="J1472" i="4"/>
  <c r="G1471" i="4"/>
  <c r="I1471" i="4" s="1"/>
  <c r="G1470" i="4"/>
  <c r="I1470" i="4" s="1"/>
  <c r="G1469" i="4"/>
  <c r="I1469" i="4" s="1"/>
  <c r="G1468" i="4"/>
  <c r="I1468" i="4" s="1"/>
  <c r="G1467" i="4"/>
  <c r="I1467" i="4" s="1"/>
  <c r="G1466" i="4"/>
  <c r="I1466" i="4" s="1"/>
  <c r="J1465" i="4"/>
  <c r="G1464" i="4"/>
  <c r="I1464" i="4" s="1"/>
  <c r="G1463" i="4"/>
  <c r="I1463" i="4" s="1"/>
  <c r="G1462" i="4"/>
  <c r="I1462" i="4" s="1"/>
  <c r="G1461" i="4"/>
  <c r="I1461" i="4" s="1"/>
  <c r="G1460" i="4"/>
  <c r="I1460" i="4" s="1"/>
  <c r="G1459" i="4"/>
  <c r="I1459" i="4" s="1"/>
  <c r="J1458" i="4"/>
  <c r="G1457" i="4"/>
  <c r="I1457" i="4" s="1"/>
  <c r="G1456" i="4"/>
  <c r="I1456" i="4" s="1"/>
  <c r="G1455" i="4"/>
  <c r="I1455" i="4" s="1"/>
  <c r="G1454" i="4"/>
  <c r="I1454" i="4" s="1"/>
  <c r="G1453" i="4"/>
  <c r="I1453" i="4" s="1"/>
  <c r="G1452" i="4"/>
  <c r="I1452" i="4" s="1"/>
  <c r="J1451" i="4"/>
  <c r="G1450" i="4"/>
  <c r="I1450" i="4" s="1"/>
  <c r="G1449" i="4"/>
  <c r="I1449" i="4" s="1"/>
  <c r="G1448" i="4"/>
  <c r="I1448" i="4" s="1"/>
  <c r="G1447" i="4"/>
  <c r="I1447" i="4" s="1"/>
  <c r="G1446" i="4"/>
  <c r="I1446" i="4" s="1"/>
  <c r="G1445" i="4"/>
  <c r="I1445" i="4" s="1"/>
  <c r="J1444" i="4"/>
  <c r="G1443" i="4"/>
  <c r="I1443" i="4" s="1"/>
  <c r="G1442" i="4"/>
  <c r="I1442" i="4" s="1"/>
  <c r="G1441" i="4"/>
  <c r="I1441" i="4" s="1"/>
  <c r="G1440" i="4"/>
  <c r="I1440" i="4" s="1"/>
  <c r="G1439" i="4"/>
  <c r="I1439" i="4" s="1"/>
  <c r="G1438" i="4"/>
  <c r="I1438" i="4" s="1"/>
  <c r="I1472" i="4" l="1"/>
  <c r="I1444" i="4"/>
  <c r="I1479" i="4"/>
  <c r="I1458" i="4"/>
  <c r="I1465" i="4"/>
  <c r="I1451" i="4"/>
  <c r="J1437" i="4"/>
  <c r="G1436" i="4"/>
  <c r="I1436" i="4" s="1"/>
  <c r="G1435" i="4"/>
  <c r="I1435" i="4" s="1"/>
  <c r="G1434" i="4"/>
  <c r="I1434" i="4" s="1"/>
  <c r="G1433" i="4"/>
  <c r="I1433" i="4" s="1"/>
  <c r="G1432" i="4"/>
  <c r="I1432" i="4" s="1"/>
  <c r="G1431" i="4"/>
  <c r="I1431" i="4" s="1"/>
  <c r="J1430" i="4"/>
  <c r="G1429" i="4"/>
  <c r="I1429" i="4" s="1"/>
  <c r="G1428" i="4"/>
  <c r="I1428" i="4" s="1"/>
  <c r="G1427" i="4"/>
  <c r="I1427" i="4" s="1"/>
  <c r="G1426" i="4"/>
  <c r="I1426" i="4" s="1"/>
  <c r="G1425" i="4"/>
  <c r="I1425" i="4" s="1"/>
  <c r="G1424" i="4"/>
  <c r="I1424" i="4" s="1"/>
  <c r="J1423" i="4"/>
  <c r="G1422" i="4"/>
  <c r="I1422" i="4" s="1"/>
  <c r="G1421" i="4"/>
  <c r="I1421" i="4" s="1"/>
  <c r="G1420" i="4"/>
  <c r="I1420" i="4" s="1"/>
  <c r="G1419" i="4"/>
  <c r="I1419" i="4" s="1"/>
  <c r="G1418" i="4"/>
  <c r="I1418" i="4" s="1"/>
  <c r="G1417" i="4"/>
  <c r="I1417" i="4" s="1"/>
  <c r="J1416" i="4"/>
  <c r="G1415" i="4"/>
  <c r="I1415" i="4" s="1"/>
  <c r="G1414" i="4"/>
  <c r="I1414" i="4" s="1"/>
  <c r="G1413" i="4"/>
  <c r="I1413" i="4" s="1"/>
  <c r="G1412" i="4"/>
  <c r="I1412" i="4" s="1"/>
  <c r="G1411" i="4"/>
  <c r="I1411" i="4" s="1"/>
  <c r="G1410" i="4"/>
  <c r="I1410" i="4" s="1"/>
  <c r="I1437" i="4" l="1"/>
  <c r="I1430" i="4"/>
  <c r="I1423" i="4"/>
  <c r="I1416" i="4"/>
  <c r="J1409" i="4"/>
  <c r="G1408" i="4"/>
  <c r="I1408" i="4" s="1"/>
  <c r="G1407" i="4"/>
  <c r="I1407" i="4" s="1"/>
  <c r="G1406" i="4"/>
  <c r="I1406" i="4" s="1"/>
  <c r="G1405" i="4"/>
  <c r="I1405" i="4" s="1"/>
  <c r="G1404" i="4"/>
  <c r="I1404" i="4" s="1"/>
  <c r="G1403" i="4"/>
  <c r="I1403" i="4" s="1"/>
  <c r="J1402" i="4"/>
  <c r="G1401" i="4"/>
  <c r="I1401" i="4" s="1"/>
  <c r="G1400" i="4"/>
  <c r="I1400" i="4" s="1"/>
  <c r="G1399" i="4"/>
  <c r="I1399" i="4" s="1"/>
  <c r="G1398" i="4"/>
  <c r="I1398" i="4" s="1"/>
  <c r="G1397" i="4"/>
  <c r="I1397" i="4" s="1"/>
  <c r="G1396" i="4"/>
  <c r="I1396" i="4" s="1"/>
  <c r="J1395" i="4"/>
  <c r="G1394" i="4"/>
  <c r="I1394" i="4" s="1"/>
  <c r="G1393" i="4"/>
  <c r="I1393" i="4" s="1"/>
  <c r="G1392" i="4"/>
  <c r="I1392" i="4" s="1"/>
  <c r="G1391" i="4"/>
  <c r="I1391" i="4" s="1"/>
  <c r="G1390" i="4"/>
  <c r="I1390" i="4" s="1"/>
  <c r="G1389" i="4"/>
  <c r="I1389" i="4" s="1"/>
  <c r="J1388" i="4"/>
  <c r="G1387" i="4"/>
  <c r="I1387" i="4" s="1"/>
  <c r="G1386" i="4"/>
  <c r="I1386" i="4" s="1"/>
  <c r="G1385" i="4"/>
  <c r="I1385" i="4" s="1"/>
  <c r="G1384" i="4"/>
  <c r="I1384" i="4" s="1"/>
  <c r="G1383" i="4"/>
  <c r="I1383" i="4" s="1"/>
  <c r="G1382" i="4"/>
  <c r="I1382" i="4" s="1"/>
  <c r="J1381" i="4"/>
  <c r="G1380" i="4"/>
  <c r="I1380" i="4" s="1"/>
  <c r="G1379" i="4"/>
  <c r="I1379" i="4" s="1"/>
  <c r="G1378" i="4"/>
  <c r="I1378" i="4" s="1"/>
  <c r="G1377" i="4"/>
  <c r="I1377" i="4" s="1"/>
  <c r="G1376" i="4"/>
  <c r="I1376" i="4" s="1"/>
  <c r="G1375" i="4"/>
  <c r="I1375" i="4" s="1"/>
  <c r="J1374" i="4"/>
  <c r="G1373" i="4"/>
  <c r="I1373" i="4" s="1"/>
  <c r="G1372" i="4"/>
  <c r="I1372" i="4" s="1"/>
  <c r="G1371" i="4"/>
  <c r="I1371" i="4" s="1"/>
  <c r="G1370" i="4"/>
  <c r="I1370" i="4" s="1"/>
  <c r="G1369" i="4"/>
  <c r="I1369" i="4" s="1"/>
  <c r="G1368" i="4"/>
  <c r="I1368" i="4" s="1"/>
  <c r="I1409" i="4" l="1"/>
  <c r="I1381" i="4"/>
  <c r="I1374" i="4"/>
  <c r="I1388" i="4"/>
  <c r="I1402" i="4"/>
  <c r="I1395" i="4"/>
  <c r="J1367" i="4"/>
  <c r="G1366" i="4"/>
  <c r="I1366" i="4" s="1"/>
  <c r="G1365" i="4"/>
  <c r="I1365" i="4" s="1"/>
  <c r="G1364" i="4"/>
  <c r="I1364" i="4" s="1"/>
  <c r="G1363" i="4"/>
  <c r="I1363" i="4" s="1"/>
  <c r="G1362" i="4"/>
  <c r="I1362" i="4" s="1"/>
  <c r="G1361" i="4"/>
  <c r="I1361" i="4" s="1"/>
  <c r="J1360" i="4"/>
  <c r="G1359" i="4"/>
  <c r="I1359" i="4" s="1"/>
  <c r="G1358" i="4"/>
  <c r="I1358" i="4" s="1"/>
  <c r="G1357" i="4"/>
  <c r="I1357" i="4" s="1"/>
  <c r="G1356" i="4"/>
  <c r="I1356" i="4" s="1"/>
  <c r="G1355" i="4"/>
  <c r="I1355" i="4" s="1"/>
  <c r="G1354" i="4"/>
  <c r="I1354" i="4" s="1"/>
  <c r="J1353" i="4"/>
  <c r="G1352" i="4"/>
  <c r="I1352" i="4" s="1"/>
  <c r="G1351" i="4"/>
  <c r="I1351" i="4" s="1"/>
  <c r="G1350" i="4"/>
  <c r="I1350" i="4" s="1"/>
  <c r="G1349" i="4"/>
  <c r="I1349" i="4" s="1"/>
  <c r="G1348" i="4"/>
  <c r="I1348" i="4" s="1"/>
  <c r="G1347" i="4"/>
  <c r="I1347" i="4" s="1"/>
  <c r="J1346" i="4"/>
  <c r="G1345" i="4"/>
  <c r="I1345" i="4" s="1"/>
  <c r="G1344" i="4"/>
  <c r="I1344" i="4" s="1"/>
  <c r="G1343" i="4"/>
  <c r="I1343" i="4" s="1"/>
  <c r="G1342" i="4"/>
  <c r="I1342" i="4" s="1"/>
  <c r="G1341" i="4"/>
  <c r="I1341" i="4" s="1"/>
  <c r="G1340" i="4"/>
  <c r="I1340" i="4" s="1"/>
  <c r="J1339" i="4"/>
  <c r="G1338" i="4"/>
  <c r="I1338" i="4" s="1"/>
  <c r="G1337" i="4"/>
  <c r="I1337" i="4" s="1"/>
  <c r="G1336" i="4"/>
  <c r="I1336" i="4" s="1"/>
  <c r="G1335" i="4"/>
  <c r="I1335" i="4" s="1"/>
  <c r="G1334" i="4"/>
  <c r="I1334" i="4" s="1"/>
  <c r="G1333" i="4"/>
  <c r="I1333" i="4" s="1"/>
  <c r="J1325" i="4"/>
  <c r="G1324" i="4"/>
  <c r="I1324" i="4" s="1"/>
  <c r="G1323" i="4"/>
  <c r="I1323" i="4" s="1"/>
  <c r="G1322" i="4"/>
  <c r="I1322" i="4" s="1"/>
  <c r="G1321" i="4"/>
  <c r="I1321" i="4" s="1"/>
  <c r="G1320" i="4"/>
  <c r="I1320" i="4" s="1"/>
  <c r="G1319" i="4"/>
  <c r="I1319" i="4" s="1"/>
  <c r="G1326" i="4"/>
  <c r="I1326" i="4" s="1"/>
  <c r="G1327" i="4"/>
  <c r="I1327" i="4" s="1"/>
  <c r="G1328" i="4"/>
  <c r="I1328" i="4" s="1"/>
  <c r="G1329" i="4"/>
  <c r="I1329" i="4" s="1"/>
  <c r="G1330" i="4"/>
  <c r="I1330" i="4" s="1"/>
  <c r="G1331" i="4"/>
  <c r="I1331" i="4" s="1"/>
  <c r="J1332" i="4"/>
  <c r="I1367" i="4" l="1"/>
  <c r="I1346" i="4"/>
  <c r="I1353" i="4"/>
  <c r="I1325" i="4"/>
  <c r="I1360" i="4"/>
  <c r="I1339" i="4"/>
  <c r="I1332" i="4"/>
  <c r="J1318" i="4" l="1"/>
  <c r="G1317" i="4"/>
  <c r="I1317" i="4" s="1"/>
  <c r="G1316" i="4"/>
  <c r="I1316" i="4" s="1"/>
  <c r="G1315" i="4"/>
  <c r="I1315" i="4" s="1"/>
  <c r="G1314" i="4"/>
  <c r="I1314" i="4" s="1"/>
  <c r="G1313" i="4"/>
  <c r="I1313" i="4" s="1"/>
  <c r="G1312" i="4"/>
  <c r="I1312" i="4" s="1"/>
  <c r="J1311" i="4"/>
  <c r="G1310" i="4"/>
  <c r="I1310" i="4" s="1"/>
  <c r="G1309" i="4"/>
  <c r="I1309" i="4" s="1"/>
  <c r="G1308" i="4"/>
  <c r="I1308" i="4" s="1"/>
  <c r="G1307" i="4"/>
  <c r="I1307" i="4" s="1"/>
  <c r="G1306" i="4"/>
  <c r="I1306" i="4" s="1"/>
  <c r="G1305" i="4"/>
  <c r="I1305" i="4" s="1"/>
  <c r="J1304" i="4"/>
  <c r="G1303" i="4"/>
  <c r="I1303" i="4" s="1"/>
  <c r="G1302" i="4"/>
  <c r="I1302" i="4" s="1"/>
  <c r="G1301" i="4"/>
  <c r="I1301" i="4" s="1"/>
  <c r="G1300" i="4"/>
  <c r="I1300" i="4" s="1"/>
  <c r="G1299" i="4"/>
  <c r="I1299" i="4" s="1"/>
  <c r="G1298" i="4"/>
  <c r="I1298" i="4" s="1"/>
  <c r="J1297" i="4"/>
  <c r="G1296" i="4"/>
  <c r="I1296" i="4" s="1"/>
  <c r="G1295" i="4"/>
  <c r="I1295" i="4" s="1"/>
  <c r="G1294" i="4"/>
  <c r="I1294" i="4" s="1"/>
  <c r="G1293" i="4"/>
  <c r="I1293" i="4" s="1"/>
  <c r="G1292" i="4"/>
  <c r="I1292" i="4" s="1"/>
  <c r="G1291" i="4"/>
  <c r="I1291" i="4" s="1"/>
  <c r="J1290" i="4"/>
  <c r="G1289" i="4"/>
  <c r="I1289" i="4" s="1"/>
  <c r="G1288" i="4"/>
  <c r="I1288" i="4" s="1"/>
  <c r="G1287" i="4"/>
  <c r="I1287" i="4" s="1"/>
  <c r="G1286" i="4"/>
  <c r="I1286" i="4" s="1"/>
  <c r="G1285" i="4"/>
  <c r="I1285" i="4" s="1"/>
  <c r="G1284" i="4"/>
  <c r="I1284" i="4" s="1"/>
  <c r="J1283" i="4"/>
  <c r="G1282" i="4"/>
  <c r="I1282" i="4" s="1"/>
  <c r="G1281" i="4"/>
  <c r="I1281" i="4" s="1"/>
  <c r="G1280" i="4"/>
  <c r="I1280" i="4" s="1"/>
  <c r="G1279" i="4"/>
  <c r="I1279" i="4" s="1"/>
  <c r="G1278" i="4"/>
  <c r="I1278" i="4" s="1"/>
  <c r="G1277" i="4"/>
  <c r="I1277" i="4" s="1"/>
  <c r="J1276" i="4"/>
  <c r="G1275" i="4"/>
  <c r="I1275" i="4" s="1"/>
  <c r="G1274" i="4"/>
  <c r="I1274" i="4" s="1"/>
  <c r="G1273" i="4"/>
  <c r="I1273" i="4" s="1"/>
  <c r="G1272" i="4"/>
  <c r="I1272" i="4" s="1"/>
  <c r="G1271" i="4"/>
  <c r="I1271" i="4" s="1"/>
  <c r="G1270" i="4"/>
  <c r="I1270" i="4" s="1"/>
  <c r="J1269" i="4"/>
  <c r="G1268" i="4"/>
  <c r="I1268" i="4" s="1"/>
  <c r="G1267" i="4"/>
  <c r="I1267" i="4" s="1"/>
  <c r="G1266" i="4"/>
  <c r="I1266" i="4" s="1"/>
  <c r="G1265" i="4"/>
  <c r="I1265" i="4" s="1"/>
  <c r="G1264" i="4"/>
  <c r="I1264" i="4" s="1"/>
  <c r="G1263" i="4"/>
  <c r="I1263" i="4" s="1"/>
  <c r="J1262" i="4"/>
  <c r="G1261" i="4"/>
  <c r="I1261" i="4" s="1"/>
  <c r="G1260" i="4"/>
  <c r="I1260" i="4" s="1"/>
  <c r="G1259" i="4"/>
  <c r="I1259" i="4" s="1"/>
  <c r="G1258" i="4"/>
  <c r="I1258" i="4" s="1"/>
  <c r="G1257" i="4"/>
  <c r="I1257" i="4" s="1"/>
  <c r="G1256" i="4"/>
  <c r="I1256" i="4" s="1"/>
  <c r="J1255" i="4"/>
  <c r="G1254" i="4"/>
  <c r="I1254" i="4" s="1"/>
  <c r="G1253" i="4"/>
  <c r="I1253" i="4" s="1"/>
  <c r="G1252" i="4"/>
  <c r="I1252" i="4" s="1"/>
  <c r="G1251" i="4"/>
  <c r="I1251" i="4" s="1"/>
  <c r="G1250" i="4"/>
  <c r="I1250" i="4" s="1"/>
  <c r="G1249" i="4"/>
  <c r="I1249" i="4" s="1"/>
  <c r="J1248" i="4"/>
  <c r="G1247" i="4"/>
  <c r="I1247" i="4" s="1"/>
  <c r="G1246" i="4"/>
  <c r="I1246" i="4" s="1"/>
  <c r="G1245" i="4"/>
  <c r="I1245" i="4" s="1"/>
  <c r="G1244" i="4"/>
  <c r="I1244" i="4" s="1"/>
  <c r="G1243" i="4"/>
  <c r="I1243" i="4" s="1"/>
  <c r="G1242" i="4"/>
  <c r="I1242" i="4" s="1"/>
  <c r="I1311" i="4" l="1"/>
  <c r="I1318" i="4"/>
  <c r="I1283" i="4"/>
  <c r="I1297" i="4"/>
  <c r="I1304" i="4"/>
  <c r="I1255" i="4"/>
  <c r="I1290" i="4"/>
  <c r="I1248" i="4"/>
  <c r="I1276" i="4"/>
  <c r="I1269" i="4"/>
  <c r="I1262" i="4"/>
  <c r="J1241" i="4"/>
  <c r="G1240" i="4"/>
  <c r="I1240" i="4" s="1"/>
  <c r="G1239" i="4"/>
  <c r="I1239" i="4" s="1"/>
  <c r="G1238" i="4"/>
  <c r="I1238" i="4" s="1"/>
  <c r="G1237" i="4"/>
  <c r="I1237" i="4" s="1"/>
  <c r="G1236" i="4"/>
  <c r="I1236" i="4" s="1"/>
  <c r="G1235" i="4"/>
  <c r="I1235" i="4" s="1"/>
  <c r="I1241" i="4" l="1"/>
  <c r="J1234" i="4"/>
  <c r="G1233" i="4"/>
  <c r="I1233" i="4" s="1"/>
  <c r="G1232" i="4"/>
  <c r="I1232" i="4" s="1"/>
  <c r="G1231" i="4"/>
  <c r="I1231" i="4" s="1"/>
  <c r="G1230" i="4"/>
  <c r="I1230" i="4" s="1"/>
  <c r="G1229" i="4"/>
  <c r="I1229" i="4" s="1"/>
  <c r="G1228" i="4"/>
  <c r="I1228" i="4" s="1"/>
  <c r="J1227" i="4"/>
  <c r="G1226" i="4"/>
  <c r="I1226" i="4" s="1"/>
  <c r="G1225" i="4"/>
  <c r="I1225" i="4" s="1"/>
  <c r="G1224" i="4"/>
  <c r="I1224" i="4" s="1"/>
  <c r="G1223" i="4"/>
  <c r="I1223" i="4" s="1"/>
  <c r="G1222" i="4"/>
  <c r="I1222" i="4" s="1"/>
  <c r="G1221" i="4"/>
  <c r="I1221" i="4" s="1"/>
  <c r="J1220" i="4"/>
  <c r="G1219" i="4"/>
  <c r="I1219" i="4" s="1"/>
  <c r="G1218" i="4"/>
  <c r="I1218" i="4" s="1"/>
  <c r="G1217" i="4"/>
  <c r="I1217" i="4" s="1"/>
  <c r="G1216" i="4"/>
  <c r="I1216" i="4" s="1"/>
  <c r="G1215" i="4"/>
  <c r="I1215" i="4" s="1"/>
  <c r="G1214" i="4"/>
  <c r="I1214" i="4" s="1"/>
  <c r="J1213" i="4"/>
  <c r="G1212" i="4"/>
  <c r="I1212" i="4" s="1"/>
  <c r="G1211" i="4"/>
  <c r="I1211" i="4" s="1"/>
  <c r="G1210" i="4"/>
  <c r="I1210" i="4" s="1"/>
  <c r="G1209" i="4"/>
  <c r="I1209" i="4" s="1"/>
  <c r="G1208" i="4"/>
  <c r="I1208" i="4" s="1"/>
  <c r="G1207" i="4"/>
  <c r="I1207" i="4" s="1"/>
  <c r="J1206" i="4"/>
  <c r="G1205" i="4"/>
  <c r="I1205" i="4" s="1"/>
  <c r="G1204" i="4"/>
  <c r="I1204" i="4" s="1"/>
  <c r="G1203" i="4"/>
  <c r="I1203" i="4" s="1"/>
  <c r="G1202" i="4"/>
  <c r="I1202" i="4" s="1"/>
  <c r="G1201" i="4"/>
  <c r="I1201" i="4" s="1"/>
  <c r="G1200" i="4"/>
  <c r="I1200" i="4" s="1"/>
  <c r="J1199" i="4"/>
  <c r="G1198" i="4"/>
  <c r="I1198" i="4" s="1"/>
  <c r="G1197" i="4"/>
  <c r="I1197" i="4" s="1"/>
  <c r="G1196" i="4"/>
  <c r="I1196" i="4" s="1"/>
  <c r="G1195" i="4"/>
  <c r="I1195" i="4" s="1"/>
  <c r="G1194" i="4"/>
  <c r="I1194" i="4" s="1"/>
  <c r="G1193" i="4"/>
  <c r="I1193" i="4" s="1"/>
  <c r="J1192" i="4"/>
  <c r="G1191" i="4"/>
  <c r="I1191" i="4" s="1"/>
  <c r="G1190" i="4"/>
  <c r="I1190" i="4" s="1"/>
  <c r="G1189" i="4"/>
  <c r="I1189" i="4" s="1"/>
  <c r="G1188" i="4"/>
  <c r="I1188" i="4" s="1"/>
  <c r="G1187" i="4"/>
  <c r="I1187" i="4" s="1"/>
  <c r="G1186" i="4"/>
  <c r="I1186" i="4" s="1"/>
  <c r="J1185" i="4"/>
  <c r="G1184" i="4"/>
  <c r="I1184" i="4" s="1"/>
  <c r="G1183" i="4"/>
  <c r="I1183" i="4" s="1"/>
  <c r="G1182" i="4"/>
  <c r="I1182" i="4" s="1"/>
  <c r="G1181" i="4"/>
  <c r="I1181" i="4" s="1"/>
  <c r="G1180" i="4"/>
  <c r="I1180" i="4" s="1"/>
  <c r="G1179" i="4"/>
  <c r="I1179" i="4" s="1"/>
  <c r="I1227" i="4" l="1"/>
  <c r="I1192" i="4"/>
  <c r="I1213" i="4"/>
  <c r="I1234" i="4"/>
  <c r="I1206" i="4"/>
  <c r="I1185" i="4"/>
  <c r="I1199" i="4"/>
  <c r="I1220" i="4"/>
  <c r="J1171" i="4"/>
  <c r="G1170" i="4"/>
  <c r="I1170" i="4" s="1"/>
  <c r="G1169" i="4"/>
  <c r="I1169" i="4" s="1"/>
  <c r="G1168" i="4"/>
  <c r="I1168" i="4" s="1"/>
  <c r="G1167" i="4"/>
  <c r="I1167" i="4" s="1"/>
  <c r="G1166" i="4"/>
  <c r="I1166" i="4" s="1"/>
  <c r="G1165" i="4"/>
  <c r="I1165" i="4" s="1"/>
  <c r="J1164" i="4"/>
  <c r="G1163" i="4"/>
  <c r="I1163" i="4" s="1"/>
  <c r="G1162" i="4"/>
  <c r="I1162" i="4" s="1"/>
  <c r="G1161" i="4"/>
  <c r="I1161" i="4" s="1"/>
  <c r="G1160" i="4"/>
  <c r="I1160" i="4" s="1"/>
  <c r="G1159" i="4"/>
  <c r="I1159" i="4" s="1"/>
  <c r="G1158" i="4"/>
  <c r="I1158" i="4" s="1"/>
  <c r="J1157" i="4"/>
  <c r="G1156" i="4"/>
  <c r="I1156" i="4" s="1"/>
  <c r="G1155" i="4"/>
  <c r="I1155" i="4" s="1"/>
  <c r="G1154" i="4"/>
  <c r="I1154" i="4" s="1"/>
  <c r="G1153" i="4"/>
  <c r="I1153" i="4" s="1"/>
  <c r="G1152" i="4"/>
  <c r="I1152" i="4" s="1"/>
  <c r="G1151" i="4"/>
  <c r="I1151" i="4" s="1"/>
  <c r="J1150" i="4"/>
  <c r="G1149" i="4"/>
  <c r="I1149" i="4" s="1"/>
  <c r="G1148" i="4"/>
  <c r="I1148" i="4" s="1"/>
  <c r="G1147" i="4"/>
  <c r="I1147" i="4" s="1"/>
  <c r="G1146" i="4"/>
  <c r="I1146" i="4" s="1"/>
  <c r="G1145" i="4"/>
  <c r="I1145" i="4" s="1"/>
  <c r="G1144" i="4"/>
  <c r="I1144" i="4" s="1"/>
  <c r="J1143" i="4"/>
  <c r="G1142" i="4"/>
  <c r="I1142" i="4" s="1"/>
  <c r="G1141" i="4"/>
  <c r="I1141" i="4" s="1"/>
  <c r="G1140" i="4"/>
  <c r="I1140" i="4" s="1"/>
  <c r="G1139" i="4"/>
  <c r="I1139" i="4" s="1"/>
  <c r="G1138" i="4"/>
  <c r="I1138" i="4" s="1"/>
  <c r="G1137" i="4"/>
  <c r="I1137" i="4" s="1"/>
  <c r="J1129" i="4"/>
  <c r="G1128" i="4"/>
  <c r="I1128" i="4" s="1"/>
  <c r="G1127" i="4"/>
  <c r="I1127" i="4" s="1"/>
  <c r="G1126" i="4"/>
  <c r="I1126" i="4" s="1"/>
  <c r="G1125" i="4"/>
  <c r="I1125" i="4" s="1"/>
  <c r="G1124" i="4"/>
  <c r="I1124" i="4" s="1"/>
  <c r="G1123" i="4"/>
  <c r="I1123" i="4" s="1"/>
  <c r="I1171" i="4" l="1"/>
  <c r="I1129" i="4"/>
  <c r="I1157" i="4"/>
  <c r="I1143" i="4"/>
  <c r="I1164" i="4"/>
  <c r="I1150" i="4"/>
  <c r="J1136" i="4"/>
  <c r="G1135" i="4"/>
  <c r="I1135" i="4" s="1"/>
  <c r="G1134" i="4"/>
  <c r="I1134" i="4" s="1"/>
  <c r="G1133" i="4"/>
  <c r="I1133" i="4" s="1"/>
  <c r="G1132" i="4"/>
  <c r="I1132" i="4" s="1"/>
  <c r="G1131" i="4"/>
  <c r="I1131" i="4" s="1"/>
  <c r="G1130" i="4"/>
  <c r="I1130" i="4" s="1"/>
  <c r="J1122" i="4"/>
  <c r="G1121" i="4"/>
  <c r="I1121" i="4" s="1"/>
  <c r="G1120" i="4"/>
  <c r="I1120" i="4" s="1"/>
  <c r="G1119" i="4"/>
  <c r="I1119" i="4" s="1"/>
  <c r="G1118" i="4"/>
  <c r="I1118" i="4" s="1"/>
  <c r="G1117" i="4"/>
  <c r="I1117" i="4" s="1"/>
  <c r="G1116" i="4"/>
  <c r="I1116" i="4" s="1"/>
  <c r="J1115" i="4"/>
  <c r="G1114" i="4"/>
  <c r="I1114" i="4" s="1"/>
  <c r="G1113" i="4"/>
  <c r="I1113" i="4" s="1"/>
  <c r="G1112" i="4"/>
  <c r="I1112" i="4" s="1"/>
  <c r="G1111" i="4"/>
  <c r="I1111" i="4" s="1"/>
  <c r="G1110" i="4"/>
  <c r="I1110" i="4" s="1"/>
  <c r="G1109" i="4"/>
  <c r="I1109" i="4" s="1"/>
  <c r="J1108" i="4"/>
  <c r="G1107" i="4"/>
  <c r="I1107" i="4" s="1"/>
  <c r="G1106" i="4"/>
  <c r="I1106" i="4" s="1"/>
  <c r="G1105" i="4"/>
  <c r="I1105" i="4" s="1"/>
  <c r="G1104" i="4"/>
  <c r="I1104" i="4" s="1"/>
  <c r="G1103" i="4"/>
  <c r="I1103" i="4" s="1"/>
  <c r="G1102" i="4"/>
  <c r="I1102" i="4" s="1"/>
  <c r="J1101" i="4"/>
  <c r="G1100" i="4"/>
  <c r="I1100" i="4" s="1"/>
  <c r="G1099" i="4"/>
  <c r="I1099" i="4" s="1"/>
  <c r="G1098" i="4"/>
  <c r="I1098" i="4" s="1"/>
  <c r="G1097" i="4"/>
  <c r="I1097" i="4" s="1"/>
  <c r="G1096" i="4"/>
  <c r="I1096" i="4" s="1"/>
  <c r="G1095" i="4"/>
  <c r="I1095" i="4" s="1"/>
  <c r="I1108" i="4" l="1"/>
  <c r="I1122" i="4"/>
  <c r="I1101" i="4"/>
  <c r="I1136" i="4"/>
  <c r="I1115" i="4"/>
  <c r="J1094" i="4"/>
  <c r="G1093" i="4"/>
  <c r="I1093" i="4" s="1"/>
  <c r="G1092" i="4"/>
  <c r="I1092" i="4" s="1"/>
  <c r="G1091" i="4"/>
  <c r="I1091" i="4" s="1"/>
  <c r="G1090" i="4"/>
  <c r="I1090" i="4" s="1"/>
  <c r="G1089" i="4"/>
  <c r="I1089" i="4" s="1"/>
  <c r="G1088" i="4"/>
  <c r="I1088" i="4" s="1"/>
  <c r="J1087" i="4"/>
  <c r="G1086" i="4"/>
  <c r="I1086" i="4" s="1"/>
  <c r="G1085" i="4"/>
  <c r="I1085" i="4" s="1"/>
  <c r="G1084" i="4"/>
  <c r="I1084" i="4" s="1"/>
  <c r="G1083" i="4"/>
  <c r="I1083" i="4" s="1"/>
  <c r="G1082" i="4"/>
  <c r="I1082" i="4" s="1"/>
  <c r="G1081" i="4"/>
  <c r="I1081" i="4" s="1"/>
  <c r="I1094" i="4" l="1"/>
  <c r="I1087" i="4"/>
  <c r="J1080" i="4"/>
  <c r="G1079" i="4"/>
  <c r="I1079" i="4" s="1"/>
  <c r="G1078" i="4"/>
  <c r="I1078" i="4" s="1"/>
  <c r="G1077" i="4"/>
  <c r="I1077" i="4" s="1"/>
  <c r="G1076" i="4"/>
  <c r="I1076" i="4" s="1"/>
  <c r="G1075" i="4"/>
  <c r="I1075" i="4" s="1"/>
  <c r="G1074" i="4"/>
  <c r="I1074" i="4" s="1"/>
  <c r="I1080" i="4" l="1"/>
  <c r="J1073" i="4"/>
  <c r="G1072" i="4"/>
  <c r="I1072" i="4" s="1"/>
  <c r="G1071" i="4"/>
  <c r="I1071" i="4" s="1"/>
  <c r="G1070" i="4"/>
  <c r="I1070" i="4" s="1"/>
  <c r="G1069" i="4"/>
  <c r="I1069" i="4" s="1"/>
  <c r="G1068" i="4"/>
  <c r="I1068" i="4" s="1"/>
  <c r="G1067" i="4"/>
  <c r="I1067" i="4" s="1"/>
  <c r="I1073" i="4" l="1"/>
  <c r="J1066" i="4"/>
  <c r="G1065" i="4"/>
  <c r="I1065" i="4" s="1"/>
  <c r="G1064" i="4"/>
  <c r="I1064" i="4" s="1"/>
  <c r="G1063" i="4"/>
  <c r="I1063" i="4" s="1"/>
  <c r="G1062" i="4"/>
  <c r="I1062" i="4" s="1"/>
  <c r="G1061" i="4"/>
  <c r="I1061" i="4" s="1"/>
  <c r="G1060" i="4"/>
  <c r="I1060" i="4" s="1"/>
  <c r="I1066" i="4" l="1"/>
  <c r="J1059" i="4"/>
  <c r="G1058" i="4"/>
  <c r="I1058" i="4" s="1"/>
  <c r="G1057" i="4"/>
  <c r="I1057" i="4" s="1"/>
  <c r="G1056" i="4"/>
  <c r="I1056" i="4" s="1"/>
  <c r="G1055" i="4"/>
  <c r="I1055" i="4" s="1"/>
  <c r="G1054" i="4"/>
  <c r="I1054" i="4" s="1"/>
  <c r="G1053" i="4"/>
  <c r="I1053" i="4" s="1"/>
  <c r="I1059" i="4" l="1"/>
  <c r="J1052" i="4"/>
  <c r="G1051" i="4"/>
  <c r="I1051" i="4" s="1"/>
  <c r="G1050" i="4"/>
  <c r="I1050" i="4" s="1"/>
  <c r="G1049" i="4"/>
  <c r="I1049" i="4" s="1"/>
  <c r="G1048" i="4"/>
  <c r="I1048" i="4" s="1"/>
  <c r="G1047" i="4"/>
  <c r="I1047" i="4" s="1"/>
  <c r="G1046" i="4"/>
  <c r="I1046" i="4" s="1"/>
  <c r="I1052" i="4" l="1"/>
  <c r="J1045" i="4" l="1"/>
  <c r="G1044" i="4"/>
  <c r="I1044" i="4" s="1"/>
  <c r="G1043" i="4"/>
  <c r="I1043" i="4" s="1"/>
  <c r="G1042" i="4"/>
  <c r="I1042" i="4" s="1"/>
  <c r="G1041" i="4"/>
  <c r="I1041" i="4" s="1"/>
  <c r="G1040" i="4"/>
  <c r="I1040" i="4" s="1"/>
  <c r="G1039" i="4"/>
  <c r="I1039" i="4" s="1"/>
  <c r="I1045" i="4" l="1"/>
  <c r="J1038" i="4"/>
  <c r="G1037" i="4"/>
  <c r="I1037" i="4" s="1"/>
  <c r="G1036" i="4"/>
  <c r="I1036" i="4" s="1"/>
  <c r="G1035" i="4"/>
  <c r="I1035" i="4" s="1"/>
  <c r="G1034" i="4"/>
  <c r="I1034" i="4" s="1"/>
  <c r="G1033" i="4"/>
  <c r="I1033" i="4" s="1"/>
  <c r="G1032" i="4"/>
  <c r="I1032" i="4" s="1"/>
  <c r="I1038" i="4" l="1"/>
  <c r="J1031" i="4" l="1"/>
  <c r="G1030" i="4"/>
  <c r="I1030" i="4" s="1"/>
  <c r="G1029" i="4"/>
  <c r="I1029" i="4" s="1"/>
  <c r="G1028" i="4"/>
  <c r="I1028" i="4" s="1"/>
  <c r="G1027" i="4"/>
  <c r="I1027" i="4" s="1"/>
  <c r="G1026" i="4"/>
  <c r="I1026" i="4" s="1"/>
  <c r="G1025" i="4"/>
  <c r="I1025" i="4" s="1"/>
  <c r="I1031" i="4" l="1"/>
  <c r="J1024" i="4"/>
  <c r="G1023" i="4"/>
  <c r="I1023" i="4" s="1"/>
  <c r="G1022" i="4"/>
  <c r="I1022" i="4" s="1"/>
  <c r="G1021" i="4"/>
  <c r="I1021" i="4" s="1"/>
  <c r="G1020" i="4"/>
  <c r="I1020" i="4" s="1"/>
  <c r="G1019" i="4"/>
  <c r="I1019" i="4" s="1"/>
  <c r="G1018" i="4"/>
  <c r="I1018" i="4" s="1"/>
  <c r="I1024" i="4" l="1"/>
  <c r="J1017" i="4" l="1"/>
  <c r="G1016" i="4"/>
  <c r="I1016" i="4" s="1"/>
  <c r="G1015" i="4"/>
  <c r="I1015" i="4" s="1"/>
  <c r="G1014" i="4"/>
  <c r="I1014" i="4" s="1"/>
  <c r="G1013" i="4"/>
  <c r="I1013" i="4" s="1"/>
  <c r="G1012" i="4"/>
  <c r="I1012" i="4" s="1"/>
  <c r="G1011" i="4"/>
  <c r="I1011" i="4" s="1"/>
  <c r="I1017" i="4" l="1"/>
  <c r="J1010" i="4"/>
  <c r="G1009" i="4"/>
  <c r="I1009" i="4" s="1"/>
  <c r="G1008" i="4"/>
  <c r="I1008" i="4" s="1"/>
  <c r="G1007" i="4"/>
  <c r="I1007" i="4" s="1"/>
  <c r="G1006" i="4"/>
  <c r="I1006" i="4" s="1"/>
  <c r="G1005" i="4"/>
  <c r="I1005" i="4" s="1"/>
  <c r="G1004" i="4"/>
  <c r="I1004" i="4" s="1"/>
  <c r="J1003" i="4"/>
  <c r="G1002" i="4"/>
  <c r="I1002" i="4" s="1"/>
  <c r="G1001" i="4"/>
  <c r="I1001" i="4" s="1"/>
  <c r="G1000" i="4"/>
  <c r="I1000" i="4" s="1"/>
  <c r="G999" i="4"/>
  <c r="I999" i="4" s="1"/>
  <c r="G998" i="4"/>
  <c r="I998" i="4" s="1"/>
  <c r="G997" i="4"/>
  <c r="I997" i="4" s="1"/>
  <c r="J996" i="4"/>
  <c r="G995" i="4"/>
  <c r="I995" i="4" s="1"/>
  <c r="G994" i="4"/>
  <c r="I994" i="4" s="1"/>
  <c r="G993" i="4"/>
  <c r="I993" i="4" s="1"/>
  <c r="G992" i="4"/>
  <c r="I992" i="4" s="1"/>
  <c r="G991" i="4"/>
  <c r="I991" i="4" s="1"/>
  <c r="G990" i="4"/>
  <c r="I990" i="4" s="1"/>
  <c r="J989" i="4"/>
  <c r="G988" i="4"/>
  <c r="I988" i="4" s="1"/>
  <c r="G987" i="4"/>
  <c r="I987" i="4" s="1"/>
  <c r="G986" i="4"/>
  <c r="I986" i="4" s="1"/>
  <c r="G985" i="4"/>
  <c r="I985" i="4" s="1"/>
  <c r="G984" i="4"/>
  <c r="I984" i="4" s="1"/>
  <c r="G983" i="4"/>
  <c r="I983" i="4" s="1"/>
  <c r="J982" i="4"/>
  <c r="G981" i="4"/>
  <c r="I981" i="4" s="1"/>
  <c r="G980" i="4"/>
  <c r="I980" i="4" s="1"/>
  <c r="G979" i="4"/>
  <c r="I979" i="4" s="1"/>
  <c r="G978" i="4"/>
  <c r="I978" i="4" s="1"/>
  <c r="G977" i="4"/>
  <c r="I977" i="4" s="1"/>
  <c r="G976" i="4"/>
  <c r="I976" i="4" s="1"/>
  <c r="J975" i="4"/>
  <c r="G974" i="4"/>
  <c r="I974" i="4" s="1"/>
  <c r="G973" i="4"/>
  <c r="I973" i="4" s="1"/>
  <c r="G972" i="4"/>
  <c r="I972" i="4" s="1"/>
  <c r="G971" i="4"/>
  <c r="I971" i="4" s="1"/>
  <c r="G970" i="4"/>
  <c r="I970" i="4" s="1"/>
  <c r="G969" i="4"/>
  <c r="I969" i="4" s="1"/>
  <c r="J961" i="4"/>
  <c r="G960" i="4"/>
  <c r="I960" i="4" s="1"/>
  <c r="G959" i="4"/>
  <c r="I959" i="4" s="1"/>
  <c r="G958" i="4"/>
  <c r="I958" i="4" s="1"/>
  <c r="G957" i="4"/>
  <c r="I957" i="4" s="1"/>
  <c r="G956" i="4"/>
  <c r="I956" i="4" s="1"/>
  <c r="G955" i="4"/>
  <c r="I955" i="4" s="1"/>
  <c r="I1010" i="4" l="1"/>
  <c r="I996" i="4"/>
  <c r="I982" i="4"/>
  <c r="I1003" i="4"/>
  <c r="I989" i="4"/>
  <c r="I961" i="4"/>
  <c r="I975" i="4"/>
  <c r="J940" i="4"/>
  <c r="G939" i="4"/>
  <c r="I939" i="4" s="1"/>
  <c r="G938" i="4"/>
  <c r="I938" i="4" s="1"/>
  <c r="G937" i="4"/>
  <c r="I937" i="4" s="1"/>
  <c r="G936" i="4"/>
  <c r="I936" i="4" s="1"/>
  <c r="G935" i="4"/>
  <c r="I935" i="4" s="1"/>
  <c r="G934" i="4"/>
  <c r="I934" i="4" s="1"/>
  <c r="J933" i="4"/>
  <c r="G932" i="4"/>
  <c r="I932" i="4" s="1"/>
  <c r="G931" i="4"/>
  <c r="I931" i="4" s="1"/>
  <c r="G930" i="4"/>
  <c r="I930" i="4" s="1"/>
  <c r="G929" i="4"/>
  <c r="I929" i="4" s="1"/>
  <c r="G928" i="4"/>
  <c r="I928" i="4" s="1"/>
  <c r="G927" i="4"/>
  <c r="I927" i="4" s="1"/>
  <c r="I933" i="4" l="1"/>
  <c r="I940" i="4"/>
  <c r="J926" i="4"/>
  <c r="G925" i="4"/>
  <c r="I925" i="4" s="1"/>
  <c r="G924" i="4"/>
  <c r="I924" i="4" s="1"/>
  <c r="G923" i="4"/>
  <c r="I923" i="4" s="1"/>
  <c r="G922" i="4"/>
  <c r="I922" i="4" s="1"/>
  <c r="G921" i="4"/>
  <c r="I921" i="4" s="1"/>
  <c r="G920" i="4"/>
  <c r="I920" i="4" s="1"/>
  <c r="J919" i="4"/>
  <c r="I926" i="4" l="1"/>
  <c r="J912" i="4"/>
  <c r="G911" i="4"/>
  <c r="I911" i="4" s="1"/>
  <c r="G910" i="4"/>
  <c r="I910" i="4" s="1"/>
  <c r="G909" i="4"/>
  <c r="I909" i="4" s="1"/>
  <c r="G908" i="4"/>
  <c r="I908" i="4" s="1"/>
  <c r="G907" i="4"/>
  <c r="I907" i="4" s="1"/>
  <c r="G906" i="4"/>
  <c r="I906" i="4" s="1"/>
  <c r="J905" i="4"/>
  <c r="G904" i="4"/>
  <c r="I904" i="4" s="1"/>
  <c r="G903" i="4"/>
  <c r="I903" i="4" s="1"/>
  <c r="G902" i="4"/>
  <c r="I902" i="4" s="1"/>
  <c r="G901" i="4"/>
  <c r="I901" i="4" s="1"/>
  <c r="G900" i="4"/>
  <c r="I900" i="4" s="1"/>
  <c r="G899" i="4"/>
  <c r="I899" i="4" s="1"/>
  <c r="J898" i="4"/>
  <c r="G897" i="4"/>
  <c r="I897" i="4" s="1"/>
  <c r="G896" i="4"/>
  <c r="I896" i="4" s="1"/>
  <c r="G895" i="4"/>
  <c r="I895" i="4" s="1"/>
  <c r="G894" i="4"/>
  <c r="I894" i="4" s="1"/>
  <c r="G893" i="4"/>
  <c r="I893" i="4" s="1"/>
  <c r="G892" i="4"/>
  <c r="I892" i="4" s="1"/>
  <c r="J891" i="4"/>
  <c r="G890" i="4"/>
  <c r="I890" i="4" s="1"/>
  <c r="G889" i="4"/>
  <c r="I889" i="4" s="1"/>
  <c r="G888" i="4"/>
  <c r="I888" i="4" s="1"/>
  <c r="G887" i="4"/>
  <c r="I887" i="4" s="1"/>
  <c r="G886" i="4"/>
  <c r="I886" i="4" s="1"/>
  <c r="G885" i="4"/>
  <c r="I885" i="4" s="1"/>
  <c r="J884" i="4"/>
  <c r="G883" i="4"/>
  <c r="I883" i="4" s="1"/>
  <c r="G882" i="4"/>
  <c r="I882" i="4" s="1"/>
  <c r="G881" i="4"/>
  <c r="I881" i="4" s="1"/>
  <c r="G880" i="4"/>
  <c r="I880" i="4" s="1"/>
  <c r="G879" i="4"/>
  <c r="I879" i="4" s="1"/>
  <c r="G878" i="4"/>
  <c r="I878" i="4" s="1"/>
  <c r="I898" i="4" l="1"/>
  <c r="I891" i="4"/>
  <c r="I905" i="4"/>
  <c r="I912" i="4"/>
  <c r="I884" i="4"/>
  <c r="J877" i="4"/>
  <c r="G876" i="4"/>
  <c r="I876" i="4" s="1"/>
  <c r="G875" i="4"/>
  <c r="I875" i="4" s="1"/>
  <c r="G874" i="4"/>
  <c r="I874" i="4" s="1"/>
  <c r="G873" i="4"/>
  <c r="I873" i="4" s="1"/>
  <c r="G872" i="4"/>
  <c r="I872" i="4" s="1"/>
  <c r="G871" i="4"/>
  <c r="I871" i="4" s="1"/>
  <c r="J870" i="4"/>
  <c r="G869" i="4"/>
  <c r="I869" i="4" s="1"/>
  <c r="G868" i="4"/>
  <c r="I868" i="4" s="1"/>
  <c r="G867" i="4"/>
  <c r="I867" i="4" s="1"/>
  <c r="G866" i="4"/>
  <c r="I866" i="4" s="1"/>
  <c r="G865" i="4"/>
  <c r="I865" i="4" s="1"/>
  <c r="G864" i="4"/>
  <c r="I864" i="4" s="1"/>
  <c r="J863" i="4"/>
  <c r="G862" i="4"/>
  <c r="I862" i="4" s="1"/>
  <c r="G861" i="4"/>
  <c r="I861" i="4" s="1"/>
  <c r="G860" i="4"/>
  <c r="I860" i="4" s="1"/>
  <c r="G859" i="4"/>
  <c r="I859" i="4" s="1"/>
  <c r="G858" i="4"/>
  <c r="I858" i="4" s="1"/>
  <c r="G857" i="4"/>
  <c r="I857" i="4" s="1"/>
  <c r="J856" i="4"/>
  <c r="G855" i="4"/>
  <c r="I855" i="4" s="1"/>
  <c r="G854" i="4"/>
  <c r="I854" i="4" s="1"/>
  <c r="G853" i="4"/>
  <c r="I853" i="4" s="1"/>
  <c r="G852" i="4"/>
  <c r="I852" i="4" s="1"/>
  <c r="G851" i="4"/>
  <c r="I851" i="4" s="1"/>
  <c r="G850" i="4"/>
  <c r="I850" i="4" s="1"/>
  <c r="J849" i="4"/>
  <c r="G848" i="4"/>
  <c r="I848" i="4" s="1"/>
  <c r="G847" i="4"/>
  <c r="I847" i="4" s="1"/>
  <c r="G846" i="4"/>
  <c r="I846" i="4" s="1"/>
  <c r="G845" i="4"/>
  <c r="I845" i="4" s="1"/>
  <c r="G844" i="4"/>
  <c r="I844" i="4" s="1"/>
  <c r="G843" i="4"/>
  <c r="I843" i="4" s="1"/>
  <c r="J842" i="4"/>
  <c r="G841" i="4"/>
  <c r="I841" i="4" s="1"/>
  <c r="G840" i="4"/>
  <c r="I840" i="4" s="1"/>
  <c r="G839" i="4"/>
  <c r="I839" i="4" s="1"/>
  <c r="G838" i="4"/>
  <c r="I838" i="4" s="1"/>
  <c r="G837" i="4"/>
  <c r="I837" i="4" s="1"/>
  <c r="G836" i="4"/>
  <c r="I836" i="4" s="1"/>
  <c r="J835" i="4"/>
  <c r="G834" i="4"/>
  <c r="I834" i="4" s="1"/>
  <c r="G833" i="4"/>
  <c r="I833" i="4" s="1"/>
  <c r="G832" i="4"/>
  <c r="I832" i="4" s="1"/>
  <c r="G831" i="4"/>
  <c r="I831" i="4" s="1"/>
  <c r="G830" i="4"/>
  <c r="I830" i="4" s="1"/>
  <c r="G829" i="4"/>
  <c r="I829" i="4" s="1"/>
  <c r="J828" i="4"/>
  <c r="G827" i="4"/>
  <c r="I827" i="4" s="1"/>
  <c r="G826" i="4"/>
  <c r="I826" i="4" s="1"/>
  <c r="G825" i="4"/>
  <c r="I825" i="4" s="1"/>
  <c r="G824" i="4"/>
  <c r="I824" i="4" s="1"/>
  <c r="G823" i="4"/>
  <c r="I823" i="4" s="1"/>
  <c r="G822" i="4"/>
  <c r="I822" i="4" s="1"/>
  <c r="J821" i="4"/>
  <c r="G820" i="4"/>
  <c r="I820" i="4" s="1"/>
  <c r="G819" i="4"/>
  <c r="I819" i="4" s="1"/>
  <c r="G818" i="4"/>
  <c r="I818" i="4" s="1"/>
  <c r="G817" i="4"/>
  <c r="I817" i="4" s="1"/>
  <c r="G816" i="4"/>
  <c r="I816" i="4" s="1"/>
  <c r="G815" i="4"/>
  <c r="I815" i="4" s="1"/>
  <c r="J814" i="4"/>
  <c r="G813" i="4"/>
  <c r="I813" i="4" s="1"/>
  <c r="G812" i="4"/>
  <c r="I812" i="4" s="1"/>
  <c r="G811" i="4"/>
  <c r="I811" i="4" s="1"/>
  <c r="G810" i="4"/>
  <c r="I810" i="4" s="1"/>
  <c r="G809" i="4"/>
  <c r="I809" i="4" s="1"/>
  <c r="G808" i="4"/>
  <c r="I808" i="4" s="1"/>
  <c r="J807" i="4"/>
  <c r="G806" i="4"/>
  <c r="I806" i="4" s="1"/>
  <c r="G805" i="4"/>
  <c r="I805" i="4" s="1"/>
  <c r="G804" i="4"/>
  <c r="I804" i="4" s="1"/>
  <c r="G803" i="4"/>
  <c r="I803" i="4" s="1"/>
  <c r="G802" i="4"/>
  <c r="I802" i="4" s="1"/>
  <c r="G801" i="4"/>
  <c r="I801" i="4" s="1"/>
  <c r="J800" i="4"/>
  <c r="G799" i="4"/>
  <c r="I799" i="4" s="1"/>
  <c r="G798" i="4"/>
  <c r="I798" i="4" s="1"/>
  <c r="G797" i="4"/>
  <c r="I797" i="4" s="1"/>
  <c r="G796" i="4"/>
  <c r="I796" i="4" s="1"/>
  <c r="G795" i="4"/>
  <c r="I795" i="4" s="1"/>
  <c r="G794" i="4"/>
  <c r="I794" i="4" s="1"/>
  <c r="J793" i="4"/>
  <c r="G792" i="4"/>
  <c r="I792" i="4" s="1"/>
  <c r="G791" i="4"/>
  <c r="I791" i="4" s="1"/>
  <c r="G790" i="4"/>
  <c r="I790" i="4" s="1"/>
  <c r="G789" i="4"/>
  <c r="I789" i="4" s="1"/>
  <c r="G788" i="4"/>
  <c r="I788" i="4" s="1"/>
  <c r="G787" i="4"/>
  <c r="I787" i="4" s="1"/>
  <c r="I870" i="4" l="1"/>
  <c r="I835" i="4"/>
  <c r="I807" i="4"/>
  <c r="I828" i="4"/>
  <c r="I863" i="4"/>
  <c r="I800" i="4"/>
  <c r="I821" i="4"/>
  <c r="I842" i="4"/>
  <c r="I793" i="4"/>
  <c r="I814" i="4"/>
  <c r="I877" i="4"/>
  <c r="I856" i="4"/>
  <c r="I849" i="4"/>
  <c r="J786" i="4"/>
  <c r="G785" i="4"/>
  <c r="I785" i="4" s="1"/>
  <c r="G784" i="4"/>
  <c r="I784" i="4" s="1"/>
  <c r="G783" i="4"/>
  <c r="I783" i="4" s="1"/>
  <c r="G782" i="4"/>
  <c r="I782" i="4" s="1"/>
  <c r="G781" i="4"/>
  <c r="I781" i="4" s="1"/>
  <c r="G780" i="4"/>
  <c r="I780" i="4" s="1"/>
  <c r="J779" i="4"/>
  <c r="G778" i="4"/>
  <c r="I778" i="4" s="1"/>
  <c r="G777" i="4"/>
  <c r="I777" i="4" s="1"/>
  <c r="G776" i="4"/>
  <c r="I776" i="4" s="1"/>
  <c r="G775" i="4"/>
  <c r="I775" i="4" s="1"/>
  <c r="G774" i="4"/>
  <c r="I774" i="4" s="1"/>
  <c r="G773" i="4"/>
  <c r="I773" i="4" s="1"/>
  <c r="J772" i="4"/>
  <c r="G771" i="4"/>
  <c r="I771" i="4" s="1"/>
  <c r="G770" i="4"/>
  <c r="I770" i="4" s="1"/>
  <c r="G769" i="4"/>
  <c r="I769" i="4" s="1"/>
  <c r="G768" i="4"/>
  <c r="I768" i="4" s="1"/>
  <c r="G767" i="4"/>
  <c r="I767" i="4" s="1"/>
  <c r="G766" i="4"/>
  <c r="I766" i="4" s="1"/>
  <c r="J765" i="4"/>
  <c r="G764" i="4"/>
  <c r="I764" i="4" s="1"/>
  <c r="G763" i="4"/>
  <c r="I763" i="4" s="1"/>
  <c r="G762" i="4"/>
  <c r="I762" i="4" s="1"/>
  <c r="G761" i="4"/>
  <c r="I761" i="4" s="1"/>
  <c r="G760" i="4"/>
  <c r="I760" i="4" s="1"/>
  <c r="G759" i="4"/>
  <c r="I759" i="4" s="1"/>
  <c r="I772" i="4" l="1"/>
  <c r="I786" i="4"/>
  <c r="I765" i="4"/>
  <c r="I779" i="4"/>
  <c r="J751" i="4"/>
  <c r="G750" i="4"/>
  <c r="I750" i="4" s="1"/>
  <c r="G749" i="4"/>
  <c r="I749" i="4" s="1"/>
  <c r="G748" i="4"/>
  <c r="I748" i="4" s="1"/>
  <c r="G747" i="4"/>
  <c r="I747" i="4" s="1"/>
  <c r="G746" i="4"/>
  <c r="I746" i="4" s="1"/>
  <c r="G745" i="4"/>
  <c r="I745" i="4" s="1"/>
  <c r="J744" i="4"/>
  <c r="G743" i="4"/>
  <c r="I743" i="4" s="1"/>
  <c r="G742" i="4"/>
  <c r="I742" i="4" s="1"/>
  <c r="G741" i="4"/>
  <c r="I741" i="4" s="1"/>
  <c r="G740" i="4"/>
  <c r="I740" i="4" s="1"/>
  <c r="G739" i="4"/>
  <c r="I739" i="4" s="1"/>
  <c r="G738" i="4"/>
  <c r="I738" i="4" s="1"/>
  <c r="J737" i="4"/>
  <c r="G736" i="4"/>
  <c r="I736" i="4" s="1"/>
  <c r="G735" i="4"/>
  <c r="I735" i="4" s="1"/>
  <c r="G734" i="4"/>
  <c r="I734" i="4" s="1"/>
  <c r="G733" i="4"/>
  <c r="I733" i="4" s="1"/>
  <c r="G732" i="4"/>
  <c r="I732" i="4" s="1"/>
  <c r="G731" i="4"/>
  <c r="I731" i="4" s="1"/>
  <c r="J730" i="4"/>
  <c r="G729" i="4"/>
  <c r="I729" i="4" s="1"/>
  <c r="G728" i="4"/>
  <c r="I728" i="4" s="1"/>
  <c r="G727" i="4"/>
  <c r="I727" i="4" s="1"/>
  <c r="G726" i="4"/>
  <c r="I726" i="4" s="1"/>
  <c r="G725" i="4"/>
  <c r="I725" i="4" s="1"/>
  <c r="G724" i="4"/>
  <c r="I724" i="4" s="1"/>
  <c r="J723" i="4"/>
  <c r="G722" i="4"/>
  <c r="I722" i="4" s="1"/>
  <c r="G721" i="4"/>
  <c r="I721" i="4" s="1"/>
  <c r="G720" i="4"/>
  <c r="I720" i="4" s="1"/>
  <c r="G719" i="4"/>
  <c r="I719" i="4" s="1"/>
  <c r="G718" i="4"/>
  <c r="I718" i="4" s="1"/>
  <c r="G717" i="4"/>
  <c r="I717" i="4" s="1"/>
  <c r="J716" i="4"/>
  <c r="G715" i="4"/>
  <c r="I715" i="4" s="1"/>
  <c r="G714" i="4"/>
  <c r="I714" i="4" s="1"/>
  <c r="G713" i="4"/>
  <c r="I713" i="4" s="1"/>
  <c r="G712" i="4"/>
  <c r="I712" i="4" s="1"/>
  <c r="G711" i="4"/>
  <c r="I711" i="4" s="1"/>
  <c r="G710" i="4"/>
  <c r="I710" i="4" s="1"/>
  <c r="J709" i="4"/>
  <c r="G708" i="4"/>
  <c r="I708" i="4" s="1"/>
  <c r="G707" i="4"/>
  <c r="I707" i="4" s="1"/>
  <c r="G706" i="4"/>
  <c r="I706" i="4" s="1"/>
  <c r="G705" i="4"/>
  <c r="I705" i="4" s="1"/>
  <c r="G704" i="4"/>
  <c r="I704" i="4" s="1"/>
  <c r="G703" i="4"/>
  <c r="I703" i="4" s="1"/>
  <c r="I730" i="4" l="1"/>
  <c r="I744" i="4"/>
  <c r="I709" i="4"/>
  <c r="I751" i="4"/>
  <c r="I716" i="4"/>
  <c r="I723" i="4"/>
  <c r="I737" i="4"/>
  <c r="J702" i="4"/>
  <c r="G701" i="4"/>
  <c r="I701" i="4" s="1"/>
  <c r="G700" i="4"/>
  <c r="I700" i="4" s="1"/>
  <c r="G699" i="4"/>
  <c r="I699" i="4" s="1"/>
  <c r="G698" i="4"/>
  <c r="I698" i="4" s="1"/>
  <c r="G697" i="4"/>
  <c r="I697" i="4" s="1"/>
  <c r="G696" i="4"/>
  <c r="I696" i="4" s="1"/>
  <c r="J695" i="4"/>
  <c r="G694" i="4"/>
  <c r="I694" i="4" s="1"/>
  <c r="G693" i="4"/>
  <c r="I693" i="4" s="1"/>
  <c r="G692" i="4"/>
  <c r="I692" i="4" s="1"/>
  <c r="G691" i="4"/>
  <c r="I691" i="4" s="1"/>
  <c r="G690" i="4"/>
  <c r="I690" i="4" s="1"/>
  <c r="G689" i="4"/>
  <c r="I689" i="4" s="1"/>
  <c r="J688" i="4"/>
  <c r="G687" i="4"/>
  <c r="I687" i="4" s="1"/>
  <c r="G686" i="4"/>
  <c r="I686" i="4" s="1"/>
  <c r="G685" i="4"/>
  <c r="I685" i="4" s="1"/>
  <c r="G684" i="4"/>
  <c r="I684" i="4" s="1"/>
  <c r="G683" i="4"/>
  <c r="I683" i="4" s="1"/>
  <c r="G682" i="4"/>
  <c r="I682" i="4" s="1"/>
  <c r="J681" i="4"/>
  <c r="G680" i="4"/>
  <c r="I680" i="4" s="1"/>
  <c r="G679" i="4"/>
  <c r="I679" i="4" s="1"/>
  <c r="G678" i="4"/>
  <c r="I678" i="4" s="1"/>
  <c r="G677" i="4"/>
  <c r="I677" i="4" s="1"/>
  <c r="G676" i="4"/>
  <c r="I676" i="4" s="1"/>
  <c r="G675" i="4"/>
  <c r="I675" i="4" s="1"/>
  <c r="J674" i="4"/>
  <c r="G673" i="4"/>
  <c r="I673" i="4" s="1"/>
  <c r="G672" i="4"/>
  <c r="I672" i="4" s="1"/>
  <c r="G671" i="4"/>
  <c r="I671" i="4" s="1"/>
  <c r="G670" i="4"/>
  <c r="I670" i="4" s="1"/>
  <c r="G669" i="4"/>
  <c r="I669" i="4" s="1"/>
  <c r="G668" i="4"/>
  <c r="I668" i="4" s="1"/>
  <c r="J667" i="4"/>
  <c r="G666" i="4"/>
  <c r="I666" i="4" s="1"/>
  <c r="G665" i="4"/>
  <c r="I665" i="4" s="1"/>
  <c r="G664" i="4"/>
  <c r="I664" i="4" s="1"/>
  <c r="G663" i="4"/>
  <c r="I663" i="4" s="1"/>
  <c r="G662" i="4"/>
  <c r="I662" i="4" s="1"/>
  <c r="G661" i="4"/>
  <c r="I661" i="4" s="1"/>
  <c r="I702" i="4" l="1"/>
  <c r="I681" i="4"/>
  <c r="I695" i="4"/>
  <c r="I688" i="4"/>
  <c r="I674" i="4"/>
  <c r="I667" i="4"/>
  <c r="J660" i="4"/>
  <c r="G659" i="4"/>
  <c r="I659" i="4" s="1"/>
  <c r="G658" i="4"/>
  <c r="I658" i="4" s="1"/>
  <c r="G657" i="4"/>
  <c r="I657" i="4" s="1"/>
  <c r="G656" i="4"/>
  <c r="I656" i="4" s="1"/>
  <c r="G655" i="4"/>
  <c r="I655" i="4" s="1"/>
  <c r="G654" i="4"/>
  <c r="I654" i="4" s="1"/>
  <c r="I660" i="4" l="1"/>
  <c r="J653" i="4" l="1"/>
  <c r="G652" i="4"/>
  <c r="I652" i="4" s="1"/>
  <c r="G651" i="4"/>
  <c r="I651" i="4" s="1"/>
  <c r="G650" i="4"/>
  <c r="I650" i="4" s="1"/>
  <c r="G649" i="4"/>
  <c r="I649" i="4" s="1"/>
  <c r="G648" i="4"/>
  <c r="I648" i="4" s="1"/>
  <c r="G647" i="4"/>
  <c r="I647" i="4" s="1"/>
  <c r="J646" i="4"/>
  <c r="G645" i="4"/>
  <c r="I645" i="4" s="1"/>
  <c r="G644" i="4"/>
  <c r="I644" i="4" s="1"/>
  <c r="G643" i="4"/>
  <c r="I643" i="4" s="1"/>
  <c r="G642" i="4"/>
  <c r="I642" i="4" s="1"/>
  <c r="G641" i="4"/>
  <c r="I641" i="4" s="1"/>
  <c r="G640" i="4"/>
  <c r="I640" i="4" s="1"/>
  <c r="I653" i="4" l="1"/>
  <c r="I646" i="4"/>
  <c r="J639" i="4"/>
  <c r="G638" i="4"/>
  <c r="I638" i="4" s="1"/>
  <c r="G637" i="4"/>
  <c r="I637" i="4" s="1"/>
  <c r="G636" i="4"/>
  <c r="I636" i="4" s="1"/>
  <c r="G635" i="4"/>
  <c r="I635" i="4" s="1"/>
  <c r="G634" i="4"/>
  <c r="I634" i="4" s="1"/>
  <c r="G633" i="4"/>
  <c r="I633" i="4" s="1"/>
  <c r="I639" i="4" l="1"/>
  <c r="J632" i="4"/>
  <c r="G631" i="4"/>
  <c r="I631" i="4" s="1"/>
  <c r="G630" i="4"/>
  <c r="I630" i="4" s="1"/>
  <c r="G629" i="4"/>
  <c r="I629" i="4" s="1"/>
  <c r="G628" i="4"/>
  <c r="I628" i="4" s="1"/>
  <c r="G627" i="4"/>
  <c r="I627" i="4" s="1"/>
  <c r="G626" i="4"/>
  <c r="I626" i="4" s="1"/>
  <c r="I632" i="4" l="1"/>
  <c r="J625" i="4"/>
  <c r="G624" i="4"/>
  <c r="I624" i="4" s="1"/>
  <c r="G623" i="4"/>
  <c r="I623" i="4" s="1"/>
  <c r="G622" i="4"/>
  <c r="I622" i="4" s="1"/>
  <c r="G621" i="4"/>
  <c r="I621" i="4" s="1"/>
  <c r="G620" i="4"/>
  <c r="I620" i="4" s="1"/>
  <c r="G619" i="4"/>
  <c r="I619" i="4" s="1"/>
  <c r="I625" i="4" l="1"/>
  <c r="J618" i="4"/>
  <c r="G617" i="4"/>
  <c r="I617" i="4" s="1"/>
  <c r="G616" i="4"/>
  <c r="I616" i="4" s="1"/>
  <c r="G615" i="4"/>
  <c r="I615" i="4" s="1"/>
  <c r="G614" i="4"/>
  <c r="I614" i="4" s="1"/>
  <c r="G613" i="4"/>
  <c r="I613" i="4" s="1"/>
  <c r="G612" i="4"/>
  <c r="I612" i="4" s="1"/>
  <c r="I618" i="4" l="1"/>
  <c r="J611" i="4"/>
  <c r="G610" i="4"/>
  <c r="I610" i="4" s="1"/>
  <c r="G609" i="4"/>
  <c r="I609" i="4" s="1"/>
  <c r="G608" i="4"/>
  <c r="I608" i="4" s="1"/>
  <c r="G607" i="4"/>
  <c r="I607" i="4" s="1"/>
  <c r="G606" i="4"/>
  <c r="I606" i="4" s="1"/>
  <c r="G605" i="4"/>
  <c r="I605" i="4" s="1"/>
  <c r="J604" i="4"/>
  <c r="G603" i="4"/>
  <c r="I603" i="4" s="1"/>
  <c r="G602" i="4"/>
  <c r="I602" i="4" s="1"/>
  <c r="G601" i="4"/>
  <c r="I601" i="4" s="1"/>
  <c r="G600" i="4"/>
  <c r="I600" i="4" s="1"/>
  <c r="G599" i="4"/>
  <c r="I599" i="4" s="1"/>
  <c r="G598" i="4"/>
  <c r="I598" i="4" s="1"/>
  <c r="J597" i="4"/>
  <c r="G596" i="4"/>
  <c r="I596" i="4" s="1"/>
  <c r="G595" i="4"/>
  <c r="I595" i="4" s="1"/>
  <c r="G594" i="4"/>
  <c r="I594" i="4" s="1"/>
  <c r="G593" i="4"/>
  <c r="I593" i="4" s="1"/>
  <c r="G592" i="4"/>
  <c r="I592" i="4" s="1"/>
  <c r="G591" i="4"/>
  <c r="I591" i="4" s="1"/>
  <c r="I611" i="4" l="1"/>
  <c r="I604" i="4"/>
  <c r="R10" i="3"/>
  <c r="I597" i="4"/>
  <c r="J590" i="4"/>
  <c r="G589" i="4"/>
  <c r="I589" i="4" s="1"/>
  <c r="G588" i="4"/>
  <c r="I588" i="4" s="1"/>
  <c r="G587" i="4"/>
  <c r="I587" i="4" s="1"/>
  <c r="G586" i="4"/>
  <c r="I586" i="4" s="1"/>
  <c r="G585" i="4"/>
  <c r="I585" i="4" s="1"/>
  <c r="G584" i="4"/>
  <c r="I584" i="4" s="1"/>
  <c r="J569" i="4"/>
  <c r="G568" i="4"/>
  <c r="I568" i="4" s="1"/>
  <c r="G567" i="4"/>
  <c r="I567" i="4" s="1"/>
  <c r="G566" i="4"/>
  <c r="I566" i="4" s="1"/>
  <c r="G565" i="4"/>
  <c r="I565" i="4" s="1"/>
  <c r="G564" i="4"/>
  <c r="I564" i="4" s="1"/>
  <c r="G563" i="4"/>
  <c r="I563" i="4" s="1"/>
  <c r="J562" i="4"/>
  <c r="G561" i="4"/>
  <c r="I561" i="4" s="1"/>
  <c r="G560" i="4"/>
  <c r="I560" i="4" s="1"/>
  <c r="G559" i="4"/>
  <c r="I559" i="4" s="1"/>
  <c r="G558" i="4"/>
  <c r="I558" i="4" s="1"/>
  <c r="G557" i="4"/>
  <c r="I557" i="4" s="1"/>
  <c r="G556" i="4"/>
  <c r="I556" i="4" s="1"/>
  <c r="J555" i="4"/>
  <c r="G554" i="4"/>
  <c r="I554" i="4" s="1"/>
  <c r="G553" i="4"/>
  <c r="I553" i="4" s="1"/>
  <c r="G552" i="4"/>
  <c r="I552" i="4" s="1"/>
  <c r="G551" i="4"/>
  <c r="I551" i="4" s="1"/>
  <c r="G550" i="4"/>
  <c r="I550" i="4" s="1"/>
  <c r="G549" i="4"/>
  <c r="I549" i="4" s="1"/>
  <c r="J548" i="4"/>
  <c r="G547" i="4"/>
  <c r="I547" i="4" s="1"/>
  <c r="G546" i="4"/>
  <c r="I546" i="4" s="1"/>
  <c r="G545" i="4"/>
  <c r="I545" i="4" s="1"/>
  <c r="G544" i="4"/>
  <c r="I544" i="4" s="1"/>
  <c r="G543" i="4"/>
  <c r="I543" i="4" s="1"/>
  <c r="G542" i="4"/>
  <c r="I542" i="4" s="1"/>
  <c r="J541" i="4"/>
  <c r="G540" i="4"/>
  <c r="I540" i="4" s="1"/>
  <c r="G539" i="4"/>
  <c r="I539" i="4" s="1"/>
  <c r="G538" i="4"/>
  <c r="I538" i="4" s="1"/>
  <c r="G537" i="4"/>
  <c r="I537" i="4" s="1"/>
  <c r="G536" i="4"/>
  <c r="I536" i="4" s="1"/>
  <c r="G535" i="4"/>
  <c r="I535" i="4" s="1"/>
  <c r="J534" i="4"/>
  <c r="G533" i="4"/>
  <c r="I533" i="4" s="1"/>
  <c r="G532" i="4"/>
  <c r="I532" i="4" s="1"/>
  <c r="G531" i="4"/>
  <c r="I531" i="4" s="1"/>
  <c r="G530" i="4"/>
  <c r="I530" i="4" s="1"/>
  <c r="G529" i="4"/>
  <c r="I529" i="4" s="1"/>
  <c r="G528" i="4"/>
  <c r="I528" i="4" s="1"/>
  <c r="J527" i="4"/>
  <c r="G526" i="4"/>
  <c r="I526" i="4" s="1"/>
  <c r="G525" i="4"/>
  <c r="I525" i="4" s="1"/>
  <c r="G524" i="4"/>
  <c r="I524" i="4" s="1"/>
  <c r="G523" i="4"/>
  <c r="I523" i="4" s="1"/>
  <c r="G522" i="4"/>
  <c r="I522" i="4" s="1"/>
  <c r="G521" i="4"/>
  <c r="I521" i="4" s="1"/>
  <c r="J520" i="4"/>
  <c r="G519" i="4"/>
  <c r="I519" i="4" s="1"/>
  <c r="G518" i="4"/>
  <c r="I518" i="4" s="1"/>
  <c r="G517" i="4"/>
  <c r="I517" i="4" s="1"/>
  <c r="G516" i="4"/>
  <c r="I516" i="4" s="1"/>
  <c r="G515" i="4"/>
  <c r="I515" i="4" s="1"/>
  <c r="G514" i="4"/>
  <c r="I514" i="4" s="1"/>
  <c r="J513" i="4"/>
  <c r="G512" i="4"/>
  <c r="I512" i="4" s="1"/>
  <c r="G511" i="4"/>
  <c r="I511" i="4" s="1"/>
  <c r="G510" i="4"/>
  <c r="I510" i="4" s="1"/>
  <c r="G509" i="4"/>
  <c r="I509" i="4" s="1"/>
  <c r="G508" i="4"/>
  <c r="I508" i="4" s="1"/>
  <c r="G507" i="4"/>
  <c r="I507" i="4" s="1"/>
  <c r="J506" i="4"/>
  <c r="G505" i="4"/>
  <c r="I505" i="4" s="1"/>
  <c r="G504" i="4"/>
  <c r="I504" i="4" s="1"/>
  <c r="G503" i="4"/>
  <c r="I503" i="4" s="1"/>
  <c r="G502" i="4"/>
  <c r="I502" i="4" s="1"/>
  <c r="G501" i="4"/>
  <c r="I501" i="4" s="1"/>
  <c r="G500" i="4"/>
  <c r="I500" i="4" s="1"/>
  <c r="J499" i="4"/>
  <c r="G498" i="4"/>
  <c r="I498" i="4" s="1"/>
  <c r="G497" i="4"/>
  <c r="I497" i="4" s="1"/>
  <c r="G496" i="4"/>
  <c r="I496" i="4" s="1"/>
  <c r="G495" i="4"/>
  <c r="I495" i="4" s="1"/>
  <c r="G494" i="4"/>
  <c r="I494" i="4" s="1"/>
  <c r="G493" i="4"/>
  <c r="I493" i="4" s="1"/>
  <c r="J492" i="4"/>
  <c r="G491" i="4"/>
  <c r="I491" i="4" s="1"/>
  <c r="G490" i="4"/>
  <c r="I490" i="4" s="1"/>
  <c r="G489" i="4"/>
  <c r="I489" i="4" s="1"/>
  <c r="G488" i="4"/>
  <c r="I488" i="4" s="1"/>
  <c r="G487" i="4"/>
  <c r="I487" i="4" s="1"/>
  <c r="G486" i="4"/>
  <c r="I486" i="4" s="1"/>
  <c r="J485" i="4"/>
  <c r="G484" i="4"/>
  <c r="I484" i="4" s="1"/>
  <c r="G483" i="4"/>
  <c r="I483" i="4" s="1"/>
  <c r="G482" i="4"/>
  <c r="I482" i="4" s="1"/>
  <c r="G481" i="4"/>
  <c r="I481" i="4" s="1"/>
  <c r="G480" i="4"/>
  <c r="I480" i="4" s="1"/>
  <c r="G479" i="4"/>
  <c r="I479" i="4" s="1"/>
  <c r="I513" i="4" l="1"/>
  <c r="I562" i="4"/>
  <c r="I569" i="4"/>
  <c r="I590" i="4"/>
  <c r="I555" i="4"/>
  <c r="I541" i="4"/>
  <c r="I548" i="4"/>
  <c r="I520" i="4"/>
  <c r="I527" i="4"/>
  <c r="I534" i="4"/>
  <c r="I506" i="4"/>
  <c r="I499" i="4"/>
  <c r="I485" i="4"/>
  <c r="I492" i="4"/>
  <c r="J478" i="4"/>
  <c r="G477" i="4"/>
  <c r="I477" i="4" s="1"/>
  <c r="G476" i="4"/>
  <c r="I476" i="4" s="1"/>
  <c r="G475" i="4"/>
  <c r="I475" i="4" s="1"/>
  <c r="G474" i="4"/>
  <c r="I474" i="4" s="1"/>
  <c r="G473" i="4"/>
  <c r="I473" i="4" s="1"/>
  <c r="G472" i="4"/>
  <c r="I472" i="4" s="1"/>
  <c r="I478" i="4" l="1"/>
  <c r="J471" i="4"/>
  <c r="G470" i="4"/>
  <c r="I470" i="4" s="1"/>
  <c r="G469" i="4"/>
  <c r="I469" i="4" s="1"/>
  <c r="G468" i="4"/>
  <c r="I468" i="4" s="1"/>
  <c r="G467" i="4"/>
  <c r="I467" i="4" s="1"/>
  <c r="G466" i="4"/>
  <c r="I466" i="4" s="1"/>
  <c r="G465" i="4"/>
  <c r="I465" i="4" s="1"/>
  <c r="I471" i="4" l="1"/>
  <c r="J464" i="4"/>
  <c r="G463" i="4"/>
  <c r="I463" i="4" s="1"/>
  <c r="G462" i="4"/>
  <c r="I462" i="4" s="1"/>
  <c r="G461" i="4"/>
  <c r="I461" i="4" s="1"/>
  <c r="G460" i="4"/>
  <c r="I460" i="4" s="1"/>
  <c r="G459" i="4"/>
  <c r="I459" i="4" s="1"/>
  <c r="G458" i="4"/>
  <c r="I458" i="4" s="1"/>
  <c r="I464" i="4" l="1"/>
  <c r="J457" i="4"/>
  <c r="G456" i="4"/>
  <c r="I456" i="4" s="1"/>
  <c r="G455" i="4"/>
  <c r="I455" i="4" s="1"/>
  <c r="G454" i="4"/>
  <c r="I454" i="4" s="1"/>
  <c r="G453" i="4"/>
  <c r="I453" i="4" s="1"/>
  <c r="G452" i="4"/>
  <c r="I452" i="4" s="1"/>
  <c r="G451" i="4"/>
  <c r="I451" i="4" s="1"/>
  <c r="I457" i="4" l="1"/>
  <c r="J450" i="4"/>
  <c r="G449" i="4"/>
  <c r="I449" i="4" s="1"/>
  <c r="G448" i="4"/>
  <c r="I448" i="4" s="1"/>
  <c r="G447" i="4"/>
  <c r="I447" i="4" s="1"/>
  <c r="G446" i="4"/>
  <c r="I446" i="4" s="1"/>
  <c r="G445" i="4"/>
  <c r="I445" i="4" s="1"/>
  <c r="G444" i="4"/>
  <c r="I444" i="4" s="1"/>
  <c r="I450" i="4" l="1"/>
  <c r="J443" i="4" l="1"/>
  <c r="G442" i="4"/>
  <c r="I442" i="4" s="1"/>
  <c r="G441" i="4"/>
  <c r="I441" i="4" s="1"/>
  <c r="G440" i="4"/>
  <c r="I440" i="4" s="1"/>
  <c r="G439" i="4"/>
  <c r="I439" i="4" s="1"/>
  <c r="G438" i="4"/>
  <c r="I438" i="4" s="1"/>
  <c r="G437" i="4"/>
  <c r="I437" i="4" s="1"/>
  <c r="J436" i="4"/>
  <c r="G435" i="4"/>
  <c r="I435" i="4" s="1"/>
  <c r="G434" i="4"/>
  <c r="I434" i="4" s="1"/>
  <c r="G433" i="4"/>
  <c r="I433" i="4" s="1"/>
  <c r="G432" i="4"/>
  <c r="I432" i="4" s="1"/>
  <c r="G431" i="4"/>
  <c r="I431" i="4" s="1"/>
  <c r="G430" i="4"/>
  <c r="I430" i="4" s="1"/>
  <c r="J429" i="4"/>
  <c r="G428" i="4"/>
  <c r="I428" i="4" s="1"/>
  <c r="G427" i="4"/>
  <c r="I427" i="4" s="1"/>
  <c r="G426" i="4"/>
  <c r="I426" i="4" s="1"/>
  <c r="G425" i="4"/>
  <c r="I425" i="4" s="1"/>
  <c r="G424" i="4"/>
  <c r="I424" i="4" s="1"/>
  <c r="G423" i="4"/>
  <c r="I423" i="4" s="1"/>
  <c r="J422" i="4"/>
  <c r="G421" i="4"/>
  <c r="I421" i="4" s="1"/>
  <c r="G420" i="4"/>
  <c r="I420" i="4" s="1"/>
  <c r="G419" i="4"/>
  <c r="I419" i="4" s="1"/>
  <c r="G418" i="4"/>
  <c r="I418" i="4" s="1"/>
  <c r="G417" i="4"/>
  <c r="I417" i="4" s="1"/>
  <c r="G416" i="4"/>
  <c r="I416" i="4" s="1"/>
  <c r="J401" i="4"/>
  <c r="G400" i="4"/>
  <c r="I400" i="4" s="1"/>
  <c r="G399" i="4"/>
  <c r="I399" i="4" s="1"/>
  <c r="G398" i="4"/>
  <c r="I398" i="4" s="1"/>
  <c r="G397" i="4"/>
  <c r="I397" i="4" s="1"/>
  <c r="G396" i="4"/>
  <c r="I396" i="4" s="1"/>
  <c r="G395" i="4"/>
  <c r="I395" i="4" s="1"/>
  <c r="J415" i="4"/>
  <c r="G414" i="4"/>
  <c r="I414" i="4" s="1"/>
  <c r="G413" i="4"/>
  <c r="I413" i="4" s="1"/>
  <c r="G412" i="4"/>
  <c r="I412" i="4" s="1"/>
  <c r="G411" i="4"/>
  <c r="I411" i="4" s="1"/>
  <c r="G410" i="4"/>
  <c r="I410" i="4" s="1"/>
  <c r="G409" i="4"/>
  <c r="I409" i="4" s="1"/>
  <c r="J408" i="4"/>
  <c r="G407" i="4"/>
  <c r="I407" i="4" s="1"/>
  <c r="G406" i="4"/>
  <c r="I406" i="4" s="1"/>
  <c r="G405" i="4"/>
  <c r="I405" i="4" s="1"/>
  <c r="G404" i="4"/>
  <c r="I404" i="4" s="1"/>
  <c r="G403" i="4"/>
  <c r="I403" i="4" s="1"/>
  <c r="G402" i="4"/>
  <c r="I402" i="4" s="1"/>
  <c r="I436" i="4" l="1"/>
  <c r="I443" i="4"/>
  <c r="I429" i="4"/>
  <c r="I422" i="4"/>
  <c r="I401" i="4"/>
  <c r="I408" i="4"/>
  <c r="I415" i="4"/>
  <c r="J394" i="4" l="1"/>
  <c r="G393" i="4"/>
  <c r="I393" i="4" s="1"/>
  <c r="G392" i="4"/>
  <c r="I392" i="4" s="1"/>
  <c r="G391" i="4"/>
  <c r="I391" i="4" s="1"/>
  <c r="G390" i="4"/>
  <c r="I390" i="4" s="1"/>
  <c r="G389" i="4"/>
  <c r="I389" i="4" s="1"/>
  <c r="G388" i="4"/>
  <c r="I388" i="4" s="1"/>
  <c r="J387" i="4"/>
  <c r="G381" i="4"/>
  <c r="I381" i="4" s="1"/>
  <c r="G382" i="4"/>
  <c r="I382" i="4" s="1"/>
  <c r="G383" i="4"/>
  <c r="I383" i="4" s="1"/>
  <c r="G384" i="4"/>
  <c r="I384" i="4" s="1"/>
  <c r="G385" i="4"/>
  <c r="I385" i="4" s="1"/>
  <c r="G386" i="4"/>
  <c r="I386" i="4" s="1"/>
  <c r="J366" i="4"/>
  <c r="G365" i="4"/>
  <c r="I365" i="4" s="1"/>
  <c r="G364" i="4"/>
  <c r="I364" i="4" s="1"/>
  <c r="G363" i="4"/>
  <c r="I363" i="4" s="1"/>
  <c r="G362" i="4"/>
  <c r="I362" i="4" s="1"/>
  <c r="G361" i="4"/>
  <c r="I361" i="4" s="1"/>
  <c r="G360" i="4"/>
  <c r="I360" i="4" s="1"/>
  <c r="J359" i="4"/>
  <c r="G358" i="4"/>
  <c r="I358" i="4" s="1"/>
  <c r="G357" i="4"/>
  <c r="I357" i="4" s="1"/>
  <c r="G356" i="4"/>
  <c r="I356" i="4" s="1"/>
  <c r="G355" i="4"/>
  <c r="I355" i="4" s="1"/>
  <c r="G354" i="4"/>
  <c r="I354" i="4" s="1"/>
  <c r="G353" i="4"/>
  <c r="I353" i="4" s="1"/>
  <c r="J352" i="4"/>
  <c r="G351" i="4"/>
  <c r="I351" i="4" s="1"/>
  <c r="G350" i="4"/>
  <c r="I350" i="4" s="1"/>
  <c r="G349" i="4"/>
  <c r="I349" i="4" s="1"/>
  <c r="G348" i="4"/>
  <c r="I348" i="4" s="1"/>
  <c r="G347" i="4"/>
  <c r="I347" i="4" s="1"/>
  <c r="G346" i="4"/>
  <c r="I346" i="4" s="1"/>
  <c r="I394" i="4" l="1"/>
  <c r="I387" i="4"/>
  <c r="I366" i="4"/>
  <c r="I352" i="4"/>
  <c r="I359" i="4"/>
  <c r="J345" i="4"/>
  <c r="G344" i="4"/>
  <c r="I344" i="4" s="1"/>
  <c r="G342" i="4"/>
  <c r="I342" i="4" s="1"/>
  <c r="G341" i="4"/>
  <c r="I341" i="4" s="1"/>
  <c r="G340" i="4"/>
  <c r="I340" i="4" s="1"/>
  <c r="G339" i="4"/>
  <c r="I339" i="4" s="1"/>
  <c r="G325" i="4"/>
  <c r="I325" i="4" s="1"/>
  <c r="G326" i="4"/>
  <c r="I326" i="4" s="1"/>
  <c r="G327" i="4"/>
  <c r="I327" i="4" s="1"/>
  <c r="G328" i="4"/>
  <c r="I328" i="4" s="1"/>
  <c r="J338" i="4"/>
  <c r="G337" i="4"/>
  <c r="I337" i="4" s="1"/>
  <c r="G335" i="4"/>
  <c r="I335" i="4" s="1"/>
  <c r="G334" i="4"/>
  <c r="I334" i="4" s="1"/>
  <c r="G333" i="4"/>
  <c r="I333" i="4" s="1"/>
  <c r="G332" i="4"/>
  <c r="I332" i="4" s="1"/>
  <c r="J331" i="4"/>
  <c r="J324" i="4"/>
  <c r="G321" i="4"/>
  <c r="I321" i="4" s="1"/>
  <c r="G320" i="4"/>
  <c r="I320" i="4" s="1"/>
  <c r="G319" i="4"/>
  <c r="I319" i="4" s="1"/>
  <c r="G318" i="4"/>
  <c r="I318" i="4" s="1"/>
  <c r="J317" i="4"/>
  <c r="G314" i="4"/>
  <c r="I314" i="4" s="1"/>
  <c r="G313" i="4"/>
  <c r="I313" i="4" s="1"/>
  <c r="G312" i="4"/>
  <c r="I312" i="4" s="1"/>
  <c r="G311" i="4"/>
  <c r="I311" i="4" s="1"/>
  <c r="I324" i="4" l="1"/>
  <c r="I345" i="4"/>
  <c r="I331" i="4"/>
  <c r="I317" i="4"/>
  <c r="I338" i="4"/>
  <c r="J310" i="4"/>
  <c r="G307" i="4"/>
  <c r="I307" i="4" s="1"/>
  <c r="G306" i="4"/>
  <c r="I306" i="4" s="1"/>
  <c r="G305" i="4"/>
  <c r="I305" i="4" s="1"/>
  <c r="G304" i="4"/>
  <c r="I304" i="4" s="1"/>
  <c r="J303" i="4"/>
  <c r="G300" i="4"/>
  <c r="I300" i="4" s="1"/>
  <c r="G299" i="4"/>
  <c r="I299" i="4" s="1"/>
  <c r="G298" i="4"/>
  <c r="I298" i="4" s="1"/>
  <c r="G297" i="4"/>
  <c r="I297" i="4" s="1"/>
  <c r="J296" i="4"/>
  <c r="G293" i="4"/>
  <c r="I293" i="4" s="1"/>
  <c r="G292" i="4"/>
  <c r="I292" i="4" s="1"/>
  <c r="G291" i="4"/>
  <c r="I291" i="4" s="1"/>
  <c r="G290" i="4"/>
  <c r="I290" i="4" s="1"/>
  <c r="J289" i="4"/>
  <c r="G286" i="4"/>
  <c r="I286" i="4" s="1"/>
  <c r="G285" i="4"/>
  <c r="I285" i="4" s="1"/>
  <c r="G284" i="4"/>
  <c r="I284" i="4" s="1"/>
  <c r="G283" i="4"/>
  <c r="I283" i="4" s="1"/>
  <c r="J282" i="4"/>
  <c r="G279" i="4"/>
  <c r="I279" i="4" s="1"/>
  <c r="G278" i="4"/>
  <c r="I278" i="4" s="1"/>
  <c r="G277" i="4"/>
  <c r="I277" i="4" s="1"/>
  <c r="G276" i="4"/>
  <c r="I276" i="4" s="1"/>
  <c r="J275" i="4"/>
  <c r="I272" i="4"/>
  <c r="I271" i="4"/>
  <c r="I270" i="4"/>
  <c r="I269" i="4"/>
  <c r="I296" i="4" l="1"/>
  <c r="I303" i="4"/>
  <c r="I310" i="4"/>
  <c r="I289" i="4"/>
  <c r="I282" i="4"/>
  <c r="I275" i="4"/>
  <c r="J268" i="4"/>
  <c r="I265" i="4"/>
  <c r="G264" i="4"/>
  <c r="I264" i="4" s="1"/>
  <c r="I263" i="4"/>
  <c r="I262" i="4"/>
  <c r="I268" i="4" l="1"/>
  <c r="J261" i="4"/>
  <c r="G258" i="4"/>
  <c r="I258" i="4" s="1"/>
  <c r="G257" i="4"/>
  <c r="I257" i="4" s="1"/>
  <c r="G256" i="4"/>
  <c r="I256" i="4" s="1"/>
  <c r="G255" i="4"/>
  <c r="I255" i="4" s="1"/>
  <c r="I261" i="4" l="1"/>
  <c r="J254" i="4"/>
  <c r="G251" i="4"/>
  <c r="I251" i="4" s="1"/>
  <c r="G250" i="4"/>
  <c r="I250" i="4" s="1"/>
  <c r="G249" i="4"/>
  <c r="I249" i="4" s="1"/>
  <c r="G248" i="4"/>
  <c r="I248" i="4" s="1"/>
  <c r="I254" i="4" l="1"/>
  <c r="J247" i="4"/>
  <c r="G244" i="4"/>
  <c r="I244" i="4" s="1"/>
  <c r="G243" i="4"/>
  <c r="I243" i="4" s="1"/>
  <c r="G242" i="4"/>
  <c r="I242" i="4" s="1"/>
  <c r="G241" i="4"/>
  <c r="I241" i="4" s="1"/>
  <c r="I247" i="4" l="1"/>
  <c r="J240" i="4"/>
  <c r="G237" i="4"/>
  <c r="I237" i="4" s="1"/>
  <c r="G236" i="4"/>
  <c r="I236" i="4" s="1"/>
  <c r="G235" i="4"/>
  <c r="I235" i="4" s="1"/>
  <c r="G234" i="4"/>
  <c r="I234" i="4" s="1"/>
  <c r="J233" i="4"/>
  <c r="I229" i="4"/>
  <c r="J226" i="4"/>
  <c r="I223" i="4"/>
  <c r="I222" i="4"/>
  <c r="I221" i="4"/>
  <c r="I220" i="4"/>
  <c r="J219" i="4"/>
  <c r="I216" i="4"/>
  <c r="I215" i="4"/>
  <c r="I214" i="4"/>
  <c r="I213" i="4"/>
  <c r="I240" i="4" l="1"/>
  <c r="I233" i="4"/>
  <c r="I219" i="4"/>
  <c r="I226" i="4"/>
  <c r="J212" i="4"/>
  <c r="I209" i="4"/>
  <c r="I208" i="4"/>
  <c r="I207" i="4"/>
  <c r="I206" i="4"/>
  <c r="I212" i="4" l="1"/>
  <c r="J205" i="4"/>
  <c r="I202" i="4"/>
  <c r="I201" i="4"/>
  <c r="I200" i="4"/>
  <c r="I199" i="4"/>
  <c r="I205" i="4" l="1"/>
  <c r="J191" i="4"/>
  <c r="G188" i="4"/>
  <c r="I188" i="4" s="1"/>
  <c r="G187" i="4"/>
  <c r="I187" i="4" s="1"/>
  <c r="G186" i="4"/>
  <c r="I186" i="4" s="1"/>
  <c r="G185" i="4"/>
  <c r="I185" i="4" s="1"/>
  <c r="J177" i="4"/>
  <c r="J184" i="4"/>
  <c r="G181" i="4"/>
  <c r="I181" i="4" s="1"/>
  <c r="G180" i="4"/>
  <c r="I180" i="4" s="1"/>
  <c r="G179" i="4"/>
  <c r="I179" i="4" s="1"/>
  <c r="G178" i="4"/>
  <c r="I178" i="4" s="1"/>
  <c r="I191" i="4" l="1"/>
  <c r="I184" i="4"/>
  <c r="J163" i="4"/>
  <c r="G160" i="4"/>
  <c r="I160" i="4" s="1"/>
  <c r="G159" i="4"/>
  <c r="I159" i="4" s="1"/>
  <c r="G158" i="4"/>
  <c r="I158" i="4" s="1"/>
  <c r="G157" i="4"/>
  <c r="I157" i="4" s="1"/>
  <c r="I163" i="4" l="1"/>
  <c r="J156" i="4" l="1"/>
  <c r="G153" i="4"/>
  <c r="I153" i="4" s="1"/>
  <c r="G152" i="4"/>
  <c r="I152" i="4" s="1"/>
  <c r="G151" i="4"/>
  <c r="I151" i="4" s="1"/>
  <c r="G150" i="4"/>
  <c r="I150" i="4" s="1"/>
  <c r="I156" i="4" l="1"/>
  <c r="J149" i="4"/>
  <c r="G146" i="4"/>
  <c r="I146" i="4" s="1"/>
  <c r="G145" i="4"/>
  <c r="I145" i="4" s="1"/>
  <c r="G144" i="4"/>
  <c r="I144" i="4" s="1"/>
  <c r="G143" i="4"/>
  <c r="I143" i="4" s="1"/>
  <c r="I149" i="4" l="1"/>
  <c r="J135" i="4"/>
  <c r="G132" i="4"/>
  <c r="I132" i="4" s="1"/>
  <c r="G131" i="4"/>
  <c r="I131" i="4" s="1"/>
  <c r="G130" i="4"/>
  <c r="I130" i="4" s="1"/>
  <c r="G129" i="4"/>
  <c r="I129" i="4" s="1"/>
  <c r="I135" i="4" l="1"/>
  <c r="J128" i="4"/>
  <c r="G125" i="4"/>
  <c r="I125" i="4" s="1"/>
  <c r="G124" i="4"/>
  <c r="I124" i="4" s="1"/>
  <c r="G123" i="4"/>
  <c r="I123" i="4" s="1"/>
  <c r="G122" i="4"/>
  <c r="I122" i="4" s="1"/>
  <c r="I128" i="4" l="1"/>
  <c r="J121" i="4"/>
  <c r="G118" i="4"/>
  <c r="I118" i="4" s="1"/>
  <c r="G117" i="4"/>
  <c r="I117" i="4" s="1"/>
  <c r="G116" i="4"/>
  <c r="I116" i="4" s="1"/>
  <c r="G115" i="4"/>
  <c r="I115" i="4" s="1"/>
  <c r="J107" i="4"/>
  <c r="G104" i="4"/>
  <c r="I104" i="4" s="1"/>
  <c r="G103" i="4"/>
  <c r="I103" i="4" s="1"/>
  <c r="G102" i="4"/>
  <c r="I102" i="4" s="1"/>
  <c r="G101" i="4"/>
  <c r="I101" i="4" s="1"/>
  <c r="I107" i="4" l="1"/>
  <c r="I121" i="4"/>
  <c r="J93" i="4"/>
  <c r="G90" i="4"/>
  <c r="I90" i="4" s="1"/>
  <c r="G89" i="4"/>
  <c r="I89" i="4" s="1"/>
  <c r="G88" i="4"/>
  <c r="I88" i="4" s="1"/>
  <c r="G87" i="4"/>
  <c r="I87" i="4" s="1"/>
  <c r="J86" i="4"/>
  <c r="G83" i="4"/>
  <c r="I83" i="4" s="1"/>
  <c r="G82" i="4"/>
  <c r="I82" i="4" s="1"/>
  <c r="G81" i="4"/>
  <c r="I81" i="4" s="1"/>
  <c r="G80" i="4"/>
  <c r="I80" i="4" s="1"/>
  <c r="J79" i="4"/>
  <c r="G76" i="4"/>
  <c r="I76" i="4" s="1"/>
  <c r="G75" i="4"/>
  <c r="I75" i="4" s="1"/>
  <c r="G74" i="4"/>
  <c r="I74" i="4" s="1"/>
  <c r="G73" i="4"/>
  <c r="I73" i="4" s="1"/>
  <c r="J72" i="4"/>
  <c r="G69" i="4"/>
  <c r="I69" i="4" s="1"/>
  <c r="G68" i="4"/>
  <c r="I68" i="4" s="1"/>
  <c r="G67" i="4"/>
  <c r="I67" i="4" s="1"/>
  <c r="G66" i="4"/>
  <c r="I66" i="4" s="1"/>
  <c r="J65" i="4"/>
  <c r="G62" i="4"/>
  <c r="I62" i="4" s="1"/>
  <c r="G61" i="4"/>
  <c r="I61" i="4" s="1"/>
  <c r="G60" i="4"/>
  <c r="I60" i="4" s="1"/>
  <c r="G59" i="4"/>
  <c r="I59" i="4" s="1"/>
  <c r="I79" i="4" l="1"/>
  <c r="I86" i="4"/>
  <c r="I65" i="4"/>
  <c r="I72" i="4"/>
  <c r="I93" i="4"/>
  <c r="J114" i="4" l="1"/>
  <c r="J58" i="4" l="1"/>
  <c r="G55" i="4"/>
  <c r="I55" i="4" s="1"/>
  <c r="G54" i="4"/>
  <c r="I54" i="4" s="1"/>
  <c r="G53" i="4"/>
  <c r="I53" i="4" s="1"/>
  <c r="G52" i="4"/>
  <c r="I52" i="4" s="1"/>
  <c r="I58" i="4" l="1"/>
  <c r="J51" i="4" l="1"/>
  <c r="G48" i="4"/>
  <c r="I48" i="4" s="1"/>
  <c r="G47" i="4"/>
  <c r="I47" i="4" s="1"/>
  <c r="G46" i="4"/>
  <c r="I46" i="4" s="1"/>
  <c r="G45" i="4"/>
  <c r="I45" i="4" s="1"/>
  <c r="I51" i="4" l="1"/>
  <c r="I39" i="4"/>
  <c r="I40" i="4"/>
  <c r="I41" i="4"/>
  <c r="I38" i="4"/>
  <c r="I44" i="4" l="1"/>
  <c r="J44" i="4" l="1"/>
  <c r="I32" i="4" l="1"/>
  <c r="I33" i="4"/>
  <c r="I34" i="4"/>
  <c r="I31" i="4"/>
  <c r="I25" i="4"/>
  <c r="I26" i="4"/>
  <c r="I27" i="4"/>
  <c r="I24" i="4"/>
  <c r="I18" i="4"/>
  <c r="I19" i="4"/>
  <c r="I20" i="4"/>
  <c r="I17" i="4"/>
  <c r="I23" i="4" l="1"/>
  <c r="I30" i="4"/>
  <c r="I37" i="4"/>
  <c r="I11" i="4"/>
  <c r="I12" i="4"/>
  <c r="I13" i="4"/>
  <c r="I10" i="4"/>
  <c r="I5" i="4"/>
  <c r="I6" i="4"/>
  <c r="I4" i="4"/>
  <c r="I3" i="4"/>
  <c r="I16" i="4" l="1"/>
  <c r="I9" i="4"/>
  <c r="J37" i="4"/>
  <c r="J30" i="4"/>
  <c r="J23" i="4"/>
  <c r="J16" i="4"/>
  <c r="J9" i="4"/>
  <c r="C2" i="3" l="1"/>
</calcChain>
</file>

<file path=xl/sharedStrings.xml><?xml version="1.0" encoding="utf-8"?>
<sst xmlns="http://schemas.openxmlformats.org/spreadsheetml/2006/main" count="15317" uniqueCount="753">
  <si>
    <t>S.No.</t>
  </si>
  <si>
    <t>Ratna flowing wells production data</t>
  </si>
  <si>
    <t>R-7A</t>
  </si>
  <si>
    <t>R-9A</t>
  </si>
  <si>
    <t>R-10A</t>
  </si>
  <si>
    <t>R-12B</t>
  </si>
  <si>
    <t>R-13A</t>
  </si>
  <si>
    <t xml:space="preserve">RATNA </t>
  </si>
  <si>
    <t>DIESEL(KL)</t>
  </si>
  <si>
    <t>R-12A</t>
  </si>
  <si>
    <t>Total Oil Production (PVT Compensated, and after Loss Deduction) for DPR (unit : bbl)</t>
  </si>
  <si>
    <t>Remarks</t>
  </si>
  <si>
    <t xml:space="preserve">Well Flowing/Non-Flowing </t>
  </si>
  <si>
    <t xml:space="preserve">Flowing </t>
  </si>
  <si>
    <t>No. of Non-flowing Wells</t>
  </si>
  <si>
    <t xml:space="preserve"> Flowing </t>
  </si>
  <si>
    <t>R7A#01</t>
  </si>
  <si>
    <t>R7A#02</t>
  </si>
  <si>
    <t>R7A#03</t>
  </si>
  <si>
    <t>R7A#07</t>
  </si>
  <si>
    <t>R7A#08</t>
  </si>
  <si>
    <t>R7A#09</t>
  </si>
  <si>
    <t>R9A#01</t>
  </si>
  <si>
    <t>R9A#02</t>
  </si>
  <si>
    <t>R10A#01</t>
  </si>
  <si>
    <t>R10A#02</t>
  </si>
  <si>
    <t>R10A#03</t>
  </si>
  <si>
    <t>R10A#04</t>
  </si>
  <si>
    <t>R10A#06</t>
  </si>
  <si>
    <t>R12B#02</t>
  </si>
  <si>
    <t>R12B#03Z</t>
  </si>
  <si>
    <t>R13A#01</t>
  </si>
  <si>
    <t>R13A#02</t>
  </si>
  <si>
    <t>R13A#03</t>
  </si>
  <si>
    <t>R13A#04</t>
  </si>
  <si>
    <t>R9A#04</t>
  </si>
  <si>
    <t>PVT Comp. Total Liquid rate(bbl/d)</t>
  </si>
  <si>
    <t>R12A#05</t>
  </si>
  <si>
    <t>-</t>
  </si>
  <si>
    <t>R9A#05</t>
  </si>
  <si>
    <t>R10A to HRA*(new)</t>
  </si>
  <si>
    <t>R12A to HRA (old)</t>
  </si>
  <si>
    <t>No. of Self Flowing Wells</t>
  </si>
  <si>
    <t>No. of Continuous Wells</t>
  </si>
  <si>
    <t>Intermittent</t>
  </si>
  <si>
    <t xml:space="preserve">No. of Intermittent wells </t>
  </si>
  <si>
    <t>R9A#07</t>
  </si>
  <si>
    <t xml:space="preserve">Total            </t>
  </si>
  <si>
    <t xml:space="preserve">Self Flowing </t>
  </si>
  <si>
    <t>R12B#01Z</t>
  </si>
  <si>
    <t>ESP STATUS</t>
  </si>
  <si>
    <t>Continuous Running ESP Wells</t>
  </si>
  <si>
    <t>Well Name</t>
  </si>
  <si>
    <t>PVT Comp. Oil Rate (bbl/d)</t>
  </si>
  <si>
    <t>Total Production loss (bbl)</t>
  </si>
  <si>
    <t>ESP Downhole failure</t>
  </si>
  <si>
    <t>Crude Distribution in line</t>
  </si>
  <si>
    <t>R12A#02Z</t>
  </si>
  <si>
    <t>R12A#03Z</t>
  </si>
  <si>
    <t>R-10A (R-10A -&gt;R12A HRA old Line)</t>
  </si>
  <si>
    <t>R-10A (R-10A -&gt; HRA new Line)</t>
  </si>
  <si>
    <t>Intermittent ESP</t>
  </si>
  <si>
    <t xml:space="preserve">R10A,R13A &amp; R9A
</t>
  </si>
  <si>
    <t>R12A,R7A &amp; R12B</t>
  </si>
  <si>
    <t>Ratna Water Injection Wells Summary</t>
  </si>
  <si>
    <t>R10A#05</t>
  </si>
  <si>
    <t>R10A#09</t>
  </si>
  <si>
    <t>Drilling in progress</t>
  </si>
  <si>
    <t>R9A#03</t>
  </si>
  <si>
    <t>R9A#06</t>
  </si>
  <si>
    <t>R12A#04Z</t>
  </si>
  <si>
    <t>R12A#10Z</t>
  </si>
  <si>
    <t>Cummulative Flow (bbl)</t>
  </si>
  <si>
    <t>Choke Size</t>
  </si>
  <si>
    <t>3/8"</t>
  </si>
  <si>
    <t>1"</t>
  </si>
  <si>
    <t xml:space="preserve"> Flow Rate (bbl /hrs)</t>
  </si>
  <si>
    <t xml:space="preserve">Planned WI (bpd) </t>
  </si>
  <si>
    <t>ITHP (Kg/cm2)</t>
  </si>
  <si>
    <t>Injection</t>
  </si>
  <si>
    <t xml:space="preserve">Well Injecting/Non-Injecting </t>
  </si>
  <si>
    <t>Flow  rate ( m3/hrs )</t>
  </si>
  <si>
    <t>Injecting Hrs Of Wells</t>
  </si>
  <si>
    <t xml:space="preserve">Platform </t>
  </si>
  <si>
    <t>Header Pressure in KSC</t>
  </si>
  <si>
    <t xml:space="preserve">R-9A  </t>
  </si>
  <si>
    <t>1/8"</t>
  </si>
  <si>
    <t>R10A#07</t>
  </si>
  <si>
    <t>Date</t>
  </si>
  <si>
    <t>Well</t>
  </si>
  <si>
    <t>Choke Size
(/64")</t>
  </si>
  <si>
    <t xml:space="preserve"> Flow Rate 
(bbl /hrs)</t>
  </si>
  <si>
    <t>R-9A-3</t>
  </si>
  <si>
    <t>R-9A-6</t>
  </si>
  <si>
    <t>R-12A-4Z</t>
  </si>
  <si>
    <t>R-12A-10Z</t>
  </si>
  <si>
    <t>R-10A-5</t>
  </si>
  <si>
    <t>R-10A-9</t>
  </si>
  <si>
    <t>04.10.2024</t>
  </si>
  <si>
    <t>05.10.2024</t>
  </si>
  <si>
    <t>Ratna Water Injection Sheet For Base</t>
  </si>
  <si>
    <t>06.10.2024</t>
  </si>
  <si>
    <t>07.10.2024</t>
  </si>
  <si>
    <t>08.10.2024</t>
  </si>
  <si>
    <t>09.10.2024</t>
  </si>
  <si>
    <t>10.10.2024</t>
  </si>
  <si>
    <t>11.10.2024</t>
  </si>
  <si>
    <t>12.10.2024</t>
  </si>
  <si>
    <t>13.10.2024</t>
  </si>
  <si>
    <t>14.10.2024</t>
  </si>
  <si>
    <t xml:space="preserve">Total </t>
  </si>
  <si>
    <t>01.10.2024</t>
  </si>
  <si>
    <t>02.10.2024</t>
  </si>
  <si>
    <t>03.10.2024</t>
  </si>
  <si>
    <t>1/4"</t>
  </si>
  <si>
    <t>15.10.2024</t>
  </si>
  <si>
    <t>16.10.2024</t>
  </si>
  <si>
    <t>17.10.2024</t>
  </si>
  <si>
    <t>18.10.2024</t>
  </si>
  <si>
    <t>19.10.2024</t>
  </si>
  <si>
    <t>20.10.2024</t>
  </si>
  <si>
    <t>21.10.2024</t>
  </si>
  <si>
    <t>22.10.2024</t>
  </si>
  <si>
    <t>R10A#08</t>
  </si>
  <si>
    <t>23.10.2024</t>
  </si>
  <si>
    <t>26.10.2024</t>
  </si>
  <si>
    <t>26.10.204</t>
  </si>
  <si>
    <t>25.10.2024</t>
  </si>
  <si>
    <t>24.10.2024</t>
  </si>
  <si>
    <t>27.10.2024</t>
  </si>
  <si>
    <t>28.10.2024</t>
  </si>
  <si>
    <t>29.10.2024</t>
  </si>
  <si>
    <t>30.10.2024</t>
  </si>
  <si>
    <t>31.10.2024</t>
  </si>
  <si>
    <t>01.11.2024</t>
  </si>
  <si>
    <t>02.11.2024</t>
  </si>
  <si>
    <t>03.11.2024</t>
  </si>
  <si>
    <t>04.11.2024</t>
  </si>
  <si>
    <t>7/8"</t>
  </si>
  <si>
    <t>05.11.2024</t>
  </si>
  <si>
    <t>06.11.2024</t>
  </si>
  <si>
    <t>07.11.2024</t>
  </si>
  <si>
    <t>08.11.2024</t>
  </si>
  <si>
    <t>09.11.2024</t>
  </si>
  <si>
    <t>10.11.2024</t>
  </si>
  <si>
    <t>12.11.2024</t>
  </si>
  <si>
    <t>13.11.2024</t>
  </si>
  <si>
    <t>14.11.2024</t>
  </si>
  <si>
    <t>15.11.2024</t>
  </si>
  <si>
    <t>Completion in progresss</t>
  </si>
  <si>
    <t xml:space="preserve">well taken over, connection in progress. </t>
  </si>
  <si>
    <t>16.11.2024</t>
  </si>
  <si>
    <t>1/2''</t>
  </si>
  <si>
    <t>Completion in progress</t>
  </si>
  <si>
    <t>17.11.2024</t>
  </si>
  <si>
    <t>18.11.2024</t>
  </si>
  <si>
    <t>7/8''</t>
  </si>
  <si>
    <t>19.11.2024</t>
  </si>
  <si>
    <t>1/4''</t>
  </si>
  <si>
    <t>20.11.2024</t>
  </si>
  <si>
    <t>20.111.2024</t>
  </si>
  <si>
    <t>21.11.2024</t>
  </si>
  <si>
    <t>24.11.2024</t>
  </si>
  <si>
    <t>23.11.2024</t>
  </si>
  <si>
    <t>22.11.2024</t>
  </si>
  <si>
    <t>25.11.2024</t>
  </si>
  <si>
    <t>27.11.2024</t>
  </si>
  <si>
    <t>28.11.2024</t>
  </si>
  <si>
    <t>26.11.2024</t>
  </si>
  <si>
    <t>29.11.2024</t>
  </si>
  <si>
    <t>30.11.2024</t>
  </si>
  <si>
    <t>Total</t>
  </si>
  <si>
    <t>01.12.2024</t>
  </si>
  <si>
    <t>02.12.2024</t>
  </si>
  <si>
    <t>03.12.2024</t>
  </si>
  <si>
    <t>04.12.2024</t>
  </si>
  <si>
    <t>05.12.2024</t>
  </si>
  <si>
    <t>06.12.2024</t>
  </si>
  <si>
    <t>07.12.2024</t>
  </si>
  <si>
    <t>08.12.2024</t>
  </si>
  <si>
    <t>09.12.2024</t>
  </si>
  <si>
    <t>10.12.2024</t>
  </si>
  <si>
    <t>11.12.2024</t>
  </si>
  <si>
    <t>12.12.2024</t>
  </si>
  <si>
    <t>13.12.2024</t>
  </si>
  <si>
    <t xml:space="preserve">ESP ELECTRICAL FAILURE WELLS  </t>
  </si>
  <si>
    <t>14.12.2024</t>
  </si>
  <si>
    <t>15.12.2024</t>
  </si>
  <si>
    <t>16.12.2024</t>
  </si>
  <si>
    <t>17.12.2024</t>
  </si>
  <si>
    <r>
      <t>MLP(K</t>
    </r>
    <r>
      <rPr>
        <sz val="10"/>
        <color rgb="FFFF0000"/>
        <rFont val="Calibri"/>
        <family val="2"/>
        <scheme val="minor"/>
      </rPr>
      <t>S</t>
    </r>
    <r>
      <rPr>
        <b/>
        <sz val="10"/>
        <color rgb="FFFF0000"/>
        <rFont val="Calibri"/>
        <family val="2"/>
        <scheme val="minor"/>
      </rPr>
      <t>C)</t>
    </r>
  </si>
  <si>
    <t>18.12.2024</t>
  </si>
  <si>
    <t>19.12.2024</t>
  </si>
  <si>
    <t>22.12.2024</t>
  </si>
  <si>
    <t>20.12.2024</t>
  </si>
  <si>
    <t>21.12.2024</t>
  </si>
  <si>
    <t>23.12.2024</t>
  </si>
  <si>
    <t>24.12.2024</t>
  </si>
  <si>
    <t>25.12.2024</t>
  </si>
  <si>
    <t>26.12.2024</t>
  </si>
  <si>
    <t>27.12.2024</t>
  </si>
  <si>
    <t>Water injection has stopped since 0800 hrs due to some maintenance activities going on at Heera end. Injection again started at 1800 hrs.</t>
  </si>
  <si>
    <t>28.12.2024</t>
  </si>
  <si>
    <t>29.12.2024</t>
  </si>
  <si>
    <t>30.12.2024</t>
  </si>
  <si>
    <t>31.12.2024</t>
  </si>
  <si>
    <t>01.01.2025</t>
  </si>
  <si>
    <t>02.01.2025</t>
  </si>
  <si>
    <t>03.01.2025</t>
  </si>
  <si>
    <t>Water injection stopped from 1000 hrs to 1730 hrs due to some maintenance activities going on at Heera End.</t>
  </si>
  <si>
    <t>04.01.2025</t>
  </si>
  <si>
    <t>05.01.2025</t>
  </si>
  <si>
    <t>06.01.2025</t>
  </si>
  <si>
    <t>07.01.2025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</si>
  <si>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</si>
  <si>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</si>
  <si>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</si>
  <si>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</si>
  <si>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</si>
  <si>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</si>
  <si>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</si>
  <si>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</si>
  <si>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</si>
  <si>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</si>
  <si>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</si>
  <si>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</si>
  <si>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</si>
  <si>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</si>
  <si>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</si>
  <si>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</si>
  <si>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</si>
  <si>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</si>
  <si>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</si>
  <si>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</si>
  <si>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</si>
  <si>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</si>
  <si>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</si>
  <si>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</si>
  <si>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01.02.2025</t>
  </si>
  <si>
    <t>02.02.2025</t>
  </si>
  <si>
    <t>GS Roopa commenced the acid job at R-12A#10z to enhance injectivity. The well was initiated at 1700 hrs with an ITHP of 51 kg and a flow rate of 12.30 sm³/hr, showing a significant improvement from the previous 4-5 sm³/hr. Flow stabilization is ongoing as of 1800 hrs.</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</si>
  <si>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</si>
  <si>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</si>
  <si>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</si>
  <si>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</si>
  <si>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</si>
  <si>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</si>
  <si>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</si>
  <si>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</si>
  <si>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</si>
  <si>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</si>
  <si>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</si>
  <si>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</si>
  <si>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</si>
  <si>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</si>
  <si>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</si>
  <si>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</si>
  <si>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</si>
  <si>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</si>
  <si>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</si>
  <si>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R9A#08</t>
  </si>
  <si>
    <t>R13A#05</t>
  </si>
  <si>
    <t>22.02.2025</t>
  </si>
  <si>
    <t>23.02.2025</t>
  </si>
  <si>
    <t>24.02.2025</t>
  </si>
  <si>
    <t>25.02.2025</t>
  </si>
  <si>
    <t>26.02.2025</t>
  </si>
  <si>
    <t>27.02.2025</t>
  </si>
  <si>
    <t>28.02.2025</t>
  </si>
  <si>
    <t>01.03.2025</t>
  </si>
  <si>
    <t>02.03.2025</t>
  </si>
  <si>
    <t>03.03.2025</t>
  </si>
  <si>
    <t>04.03.2025</t>
  </si>
  <si>
    <t>05.03.2025</t>
  </si>
  <si>
    <t>06.03.2025</t>
  </si>
  <si>
    <t>07.03.2025</t>
  </si>
  <si>
    <t>08.03.2025</t>
  </si>
  <si>
    <t>10.03.2025</t>
  </si>
  <si>
    <t>09.03.2025</t>
  </si>
  <si>
    <t>11.03.2025</t>
  </si>
  <si>
    <t>12.03.2025</t>
  </si>
  <si>
    <t>13.03.2025</t>
  </si>
  <si>
    <t>14.03.2025</t>
  </si>
  <si>
    <t>15.03.2025</t>
  </si>
  <si>
    <t>16.03.2025</t>
  </si>
  <si>
    <t>17.03.2025</t>
  </si>
  <si>
    <t>18.03.2025</t>
  </si>
  <si>
    <t>19.03.2025</t>
  </si>
  <si>
    <t>20.03.2025</t>
  </si>
  <si>
    <t>R-10A#09 WI stopped &amp; well handed over to Rig FGM  for PLT job at 00:00 hrs. on 20.03.2025.</t>
  </si>
  <si>
    <t>R9A: Strainer of WI Well#3 and Well #6  were cleaned and reinstalled. (Both Wells were S/D for around 1 hrs for back wash)</t>
  </si>
  <si>
    <t>PLT Job</t>
  </si>
  <si>
    <t>21.03.2025</t>
  </si>
  <si>
    <t>R-10A#09 WI stopped &amp; well handed over to Rig FGM  for PLT job at 00:00 hrs on 20.03.2025.</t>
  </si>
  <si>
    <t>22.03.2025</t>
  </si>
  <si>
    <t xml:space="preserve">R-10A#09:  Well handed over to Platform from Rig FGM after completing PLT Job at 2030 hrs on 21.03.2025. </t>
  </si>
  <si>
    <t>23.03.2025</t>
  </si>
  <si>
    <t>24.03.2025</t>
  </si>
  <si>
    <t>25.03.2025</t>
  </si>
  <si>
    <t>26.03.2025</t>
  </si>
  <si>
    <t>R10A #09: Observed high ITHP aprox 100 ksc at flow rate 4.4 m3 hrs which indicate poor injectivity.  Mild acid job planned.</t>
  </si>
  <si>
    <t>27.03.2025</t>
  </si>
  <si>
    <t>Planned Water Injection shut down taken at Heera End from 0600 hrs on 26.03.2025.</t>
  </si>
  <si>
    <t>Less water injected due to planned water injection shut down taken at Heera End from 0600 hrs on 26.03.2025 to 1000 hrs on 27.03.2025.</t>
  </si>
  <si>
    <t>28.03.2025</t>
  </si>
  <si>
    <t>29.03.2025</t>
  </si>
  <si>
    <t>R10A #09: Observed high ITHP aprox 94.74 ksc at flow rate 4.7 m3/ hrs which indicate poor injectivity.  Mild acid job planned.</t>
  </si>
  <si>
    <t>30.03.2025</t>
  </si>
  <si>
    <t>R10A #09: Observed high ITHP aprox 99.3 ksc at flow rate 2.4 m3/ hrs which indicate poor injectivity.  Mild acid job planned by WSV Roopa.</t>
  </si>
  <si>
    <t>31.03.2025</t>
  </si>
  <si>
    <t>R10A #09: Mild acid job done by WSV Roopa. Well closed from 1200 hrs to 1815 hrs. Pre-job injectivity: 0.7 bpm @1690 psi, 0.9 bpm @1875 psi. Post-job injectivity: 0.7–4.0 bpm @ 725–1825 psi.</t>
  </si>
  <si>
    <t>01.04.2025</t>
  </si>
  <si>
    <t>02.04.2025</t>
  </si>
  <si>
    <t>03.04.2025</t>
  </si>
  <si>
    <t>R_9A#03</t>
  </si>
  <si>
    <t>R_9A#06</t>
  </si>
  <si>
    <t>R_12A#04Z</t>
  </si>
  <si>
    <t>R_12A#10Z</t>
  </si>
  <si>
    <t>R_10A#05</t>
  </si>
  <si>
    <t>R_10A#09</t>
  </si>
  <si>
    <t>04.04.2025</t>
  </si>
  <si>
    <t>05.04.2025</t>
  </si>
  <si>
    <t>R_9A#3</t>
  </si>
  <si>
    <t>R_9A#6</t>
  </si>
  <si>
    <t>R_12A#4Z</t>
  </si>
  <si>
    <t>R_10A#5</t>
  </si>
  <si>
    <t>R_10A#9</t>
  </si>
  <si>
    <t>07.04.2025</t>
  </si>
  <si>
    <t>06.04.2025</t>
  </si>
  <si>
    <t>08.04.2025</t>
  </si>
  <si>
    <t>Flow rate(sm3/hr)</t>
  </si>
  <si>
    <t>09.04.2025</t>
  </si>
  <si>
    <t>10.04.2025</t>
  </si>
  <si>
    <t>11.04.2025</t>
  </si>
  <si>
    <t>R9A#2,R09A#8</t>
  </si>
  <si>
    <t>12.04.2025</t>
  </si>
  <si>
    <t>13.04.2025</t>
  </si>
  <si>
    <t>14.04.2025</t>
  </si>
  <si>
    <t xml:space="preserve">Observed a decline in reciever pressure of all the platforms from 1700hrs. This is due to MIP trip at heera. Pressures started to increase and reach normal limit at 1800hrs. Cummulative hours are calculated accordingly. </t>
  </si>
  <si>
    <t>15.04.2025</t>
  </si>
  <si>
    <t>16.04.2025</t>
  </si>
  <si>
    <t>17.04.2025</t>
  </si>
  <si>
    <t>18.04.2025</t>
  </si>
  <si>
    <t>19.04.2025</t>
  </si>
  <si>
    <t>20.04.2025</t>
  </si>
  <si>
    <t>21.04.2025</t>
  </si>
  <si>
    <t>22.04.2025</t>
  </si>
  <si>
    <t>23.04.2025</t>
  </si>
  <si>
    <t>24.04.2025</t>
  </si>
  <si>
    <t>25.04.2025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</si>
  <si>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</si>
  <si>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</si>
  <si>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</si>
  <si>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</si>
  <si>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</si>
  <si>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</si>
  <si>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</si>
  <si>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</si>
  <si>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</si>
  <si>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</si>
  <si>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</si>
  <si>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</si>
  <si>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</si>
  <si>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</si>
  <si>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</si>
  <si>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</si>
  <si>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</si>
  <si>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Water injection stopped from 1430 hrs to 1800 hrs due to maintenance activity on sea water lift pump at Heera End.</t>
  </si>
  <si>
    <t>14.05.2025</t>
  </si>
  <si>
    <t>Remarks:</t>
  </si>
  <si>
    <t>R10A#05(WI) : Reservoir Study: Well was closed @ 0930 hrs. on 15.05.2025. ITHP=17ksc. water injection rate=8.47m3/hr. EMG will be pulled out on 19.05.2025.</t>
  </si>
  <si>
    <t>16.05.2025</t>
  </si>
  <si>
    <t>17.05.2025</t>
  </si>
  <si>
    <t>18.05.2025</t>
  </si>
  <si>
    <t>19.05.2025</t>
  </si>
  <si>
    <t>20.05.2025</t>
  </si>
  <si>
    <t xml:space="preserve">R10A#05(WI) : Reservoir Study: Water injection started into the well @ 1130 hrs. on 19.05.2025. </t>
  </si>
  <si>
    <t>R10A#09(WI) : Reservoir Study: Well was closed @ 0930 hrs. on 20.05.2025. ITHP=10ksc. water injection rate=9.2 m3/hr. EMG will be pulled out on 24.05.2025.</t>
  </si>
  <si>
    <t>21.05.2025</t>
  </si>
  <si>
    <t>22.05.2025</t>
  </si>
  <si>
    <t>23.05.2025</t>
  </si>
  <si>
    <t>24.05.2025</t>
  </si>
  <si>
    <t xml:space="preserve">R10A#09(WI) : Reservoir Study: Water injection started into the well @ 1130 hrs. on 24.05.2025. </t>
  </si>
  <si>
    <t>25.05.2025</t>
  </si>
  <si>
    <t>26.05.2025</t>
  </si>
  <si>
    <t>27.05.2025</t>
  </si>
  <si>
    <t>28.05.2025</t>
  </si>
  <si>
    <t>29.05.2025</t>
  </si>
  <si>
    <t>R10A#09: Well is showing suction tendency . Hence it's ITHP is less.</t>
  </si>
  <si>
    <t>Less water was injected than planned due to a decline in header pressure between 1600 and 1930 hrs.</t>
  </si>
  <si>
    <t>30.05.2025</t>
  </si>
  <si>
    <t>31.05.2025</t>
  </si>
  <si>
    <t>Less water was injected than planned due to a decline in header pressure because flashing activity at Hotel Xray water injection line after pigging job is going on.</t>
  </si>
  <si>
    <t>01.06.2025</t>
  </si>
  <si>
    <t>02.06.2025</t>
  </si>
  <si>
    <t>03.06.2025</t>
  </si>
  <si>
    <t>04.06.2025</t>
  </si>
  <si>
    <t>05.06.2025</t>
  </si>
  <si>
    <t>06.06.2025</t>
  </si>
  <si>
    <t>08.06.2025</t>
  </si>
  <si>
    <t>07.06.2025</t>
  </si>
  <si>
    <t>09.06.2025</t>
  </si>
  <si>
    <t>10.06.2025</t>
  </si>
  <si>
    <t>11.06.2025</t>
  </si>
  <si>
    <t>12.06.2025</t>
  </si>
  <si>
    <t>13.06.2025</t>
  </si>
  <si>
    <t>14.06.2025</t>
  </si>
  <si>
    <t>16.06.2025</t>
  </si>
  <si>
    <t>15.06.2025</t>
  </si>
  <si>
    <t>17.06.2025</t>
  </si>
  <si>
    <t>18.06.2025</t>
  </si>
  <si>
    <t>19.06.2025</t>
  </si>
  <si>
    <t>20.06.2025</t>
  </si>
  <si>
    <t>22.06.2025</t>
  </si>
  <si>
    <t>21.06.2025</t>
  </si>
  <si>
    <t>23.06.2025</t>
  </si>
  <si>
    <t>24.06.2025</t>
  </si>
  <si>
    <t>25.06.2025</t>
  </si>
  <si>
    <t>26.06.2025</t>
  </si>
  <si>
    <t>27.06.2025</t>
  </si>
  <si>
    <t>28.06.2025</t>
  </si>
  <si>
    <t>29.06.2025</t>
  </si>
  <si>
    <t>30.06.2025</t>
  </si>
  <si>
    <t>01.07.2025</t>
  </si>
  <si>
    <t>02.07.2025</t>
  </si>
  <si>
    <t>03.07.2025</t>
  </si>
  <si>
    <t>04.07.2025</t>
  </si>
  <si>
    <t>05.07.2025</t>
  </si>
  <si>
    <t>Less water was injected than planned due to a decline in header pressure.</t>
  </si>
  <si>
    <t>06.07.2025</t>
  </si>
  <si>
    <t>07.07.2025</t>
  </si>
  <si>
    <t>08.07.2025</t>
  </si>
  <si>
    <t>09.07.2025</t>
  </si>
  <si>
    <t>10.07.2025</t>
  </si>
  <si>
    <t>Less water was injected than planned due to a decline in header pressure because pigging and flushing operations are going on at Heera end.</t>
  </si>
  <si>
    <t>11.07.2025</t>
  </si>
  <si>
    <t>12.07.2025</t>
  </si>
  <si>
    <t>13.07.2025</t>
  </si>
  <si>
    <t>14.07.2025</t>
  </si>
  <si>
    <t>15.07.2025</t>
  </si>
  <si>
    <t>16.07.2025</t>
  </si>
  <si>
    <t>17.07.2025</t>
  </si>
  <si>
    <t>18.07.2025</t>
  </si>
  <si>
    <t>1''</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</si>
  <si>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</si>
  <si>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</si>
  <si>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</si>
  <si>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</si>
  <si>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</si>
  <si>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</si>
  <si>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</si>
  <si>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</si>
  <si>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</si>
  <si>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</si>
  <si>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</si>
  <si>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</si>
  <si>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</si>
  <si>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</si>
  <si>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</si>
  <si>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</si>
  <si>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</si>
  <si>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</si>
  <si>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</si>
  <si>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</si>
  <si>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</si>
  <si>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</si>
  <si>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</si>
  <si>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R09A#3 (WI) : Chiksan line Replaced with Newly fabricated Flow arm, WI stopped for 2 hrs. (1750 Hrs to 1950 Hrs)</t>
  </si>
  <si>
    <t>11.08.2025</t>
  </si>
  <si>
    <t>Decline in header pressure is observed because pigging and flushing operations are going on at Heera end.</t>
  </si>
  <si>
    <t>12.08.2025</t>
  </si>
  <si>
    <t>13.08.2025</t>
  </si>
  <si>
    <t>14.08.2025</t>
  </si>
  <si>
    <t>15.08.2025</t>
  </si>
  <si>
    <t>16.08.2025</t>
  </si>
  <si>
    <t>17.08.2025</t>
  </si>
  <si>
    <t>18.08.2025</t>
  </si>
  <si>
    <t>19.08.2025</t>
  </si>
  <si>
    <t>20.08.2025</t>
  </si>
  <si>
    <t>21.08.2025</t>
  </si>
  <si>
    <t>22.08.2025</t>
  </si>
  <si>
    <t>23.08.2025</t>
  </si>
  <si>
    <t>24.08.2025</t>
  </si>
  <si>
    <t>6" R10A-&gt;R9A WI line pigging. 1st pig: 6" SCR pig w/o brush launched at 16:55 hrs. 2nd pig: 6" Flexi SCR pig launched at 17:05. MLP: 105/100ksc. Pig received in good condition at 1745 hrs (1st Pig) and at 1750 hrs (2nd Pig) with black water for 1 min. Flushing is under progress.</t>
  </si>
  <si>
    <t>After pigging and flushing of R10A to R9A WI line, Water injection resumed at 0700 hrs on 24.08.2025.</t>
  </si>
  <si>
    <t>25.08.2025</t>
  </si>
  <si>
    <t>26.08.2025</t>
  </si>
  <si>
    <t>27.08.2025</t>
  </si>
  <si>
    <t>28.08.2025</t>
  </si>
  <si>
    <t>30.08.2025</t>
  </si>
  <si>
    <t>29.08.2025</t>
  </si>
  <si>
    <t>31.08.2025</t>
  </si>
  <si>
    <t>01.09.2025</t>
  </si>
  <si>
    <t>02.09.2025</t>
  </si>
  <si>
    <t>03.09.2025</t>
  </si>
  <si>
    <t>04.09.2025</t>
  </si>
  <si>
    <t>05.09.2025</t>
  </si>
  <si>
    <t>06.09.2025</t>
  </si>
  <si>
    <t>09.09.2025</t>
  </si>
  <si>
    <t>07.09.2025</t>
  </si>
  <si>
    <t>08.09.2025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</si>
  <si>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</si>
  <si>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</si>
  <si>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</si>
  <si>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</si>
  <si>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</si>
  <si>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</si>
  <si>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</si>
  <si>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</si>
  <si>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</si>
  <si>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</si>
  <si>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</si>
  <si>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</si>
  <si>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</si>
  <si>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</si>
  <si>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</si>
  <si>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</si>
  <si>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</si>
  <si>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</si>
  <si>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</si>
  <si>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</si>
  <si>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</si>
  <si>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</si>
  <si>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</si>
  <si>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</si>
  <si>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</si>
  <si>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</si>
  <si>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</si>
  <si>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</si>
  <si>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</si>
  <si>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</si>
  <si>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09.10.202</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</si>
  <si>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</si>
  <si>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</si>
  <si>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</si>
  <si>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</si>
  <si>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</si>
  <si>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</si>
  <si>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</si>
  <si>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</si>
  <si>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</si>
  <si>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</si>
  <si>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</si>
  <si>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</si>
  <si>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</si>
  <si>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</si>
  <si>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</si>
  <si>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</si>
  <si>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</si>
  <si>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</si>
  <si>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</si>
  <si>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</si>
  <si>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31.10.2025</t>
  </si>
  <si>
    <t>30.10.2025</t>
  </si>
  <si>
    <t>01.11.2025</t>
  </si>
  <si>
    <t>02.11.2025</t>
  </si>
  <si>
    <t>03.11.2025</t>
  </si>
  <si>
    <t>04.11.2025</t>
  </si>
  <si>
    <t>05.11.2025</t>
  </si>
  <si>
    <t>06.11.2025</t>
  </si>
  <si>
    <t>07.11.2025</t>
  </si>
  <si>
    <t>08.11.2025</t>
  </si>
  <si>
    <t>09.11.2025</t>
  </si>
  <si>
    <t>12.11.2025</t>
  </si>
  <si>
    <t>13.11.2025</t>
  </si>
  <si>
    <t>14.11.2025</t>
  </si>
  <si>
    <t>15.11.2025</t>
  </si>
  <si>
    <t xml:space="preserve">6" R10A-R9A WIL Pigging: 1) 6" SCR Pig: LT/RT: 09:55/10:40 Hrs, 2) 6" FLSCR Pig: LT/RT:10:05/10:45 Hrs, both Pig received in good condition with Blackish Water, Line Flushed for 03 Hrs, 100 Liters of NANA dosed after flushing.
</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</si>
  <si>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</si>
  <si>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</si>
  <si>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</si>
  <si>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</si>
  <si>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</si>
  <si>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</si>
  <si>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</si>
  <si>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</si>
  <si>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</si>
  <si>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</si>
  <si>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</si>
  <si>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</si>
  <si>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</si>
  <si>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</si>
  <si>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</si>
  <si>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</si>
  <si>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</si>
  <si>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R09A#5</t>
  </si>
  <si>
    <t>03.12.2025</t>
  </si>
  <si>
    <t>ITHP</t>
  </si>
  <si>
    <t>04.12.2025</t>
  </si>
  <si>
    <t>05.12.2025</t>
  </si>
  <si>
    <t>06.12.2025</t>
  </si>
  <si>
    <t>07.12.2025</t>
  </si>
  <si>
    <t>08.12.2025</t>
  </si>
  <si>
    <t>09.12.2025</t>
  </si>
  <si>
    <t>10.12.2025</t>
  </si>
  <si>
    <t>11.12.2025</t>
  </si>
  <si>
    <t>12.12.2025</t>
  </si>
  <si>
    <t>13.12.2025</t>
  </si>
  <si>
    <t>14.12.2025</t>
  </si>
  <si>
    <t>15.12.2025</t>
  </si>
  <si>
    <t>16.12.2025</t>
  </si>
  <si>
    <t>17.12.2025</t>
  </si>
  <si>
    <t>18.12.2025</t>
  </si>
  <si>
    <t>Less water was injected than planned due to decline in header pressure because maintenance operation on TG was going on at  Heera end.</t>
  </si>
  <si>
    <t>19.12.2025</t>
  </si>
  <si>
    <t>6" R10A-R9A WI line pigging- 
First pig : 6" SCR- L/T- 1220 hrs, R/T- 1305 hrs. Initial pressure at L/R- 102/100 ksc. Received in good condition with 15 mins of black water.
Second pig : 6" Flexi- L/T- 1235 hrs, R/T- 1320 hrs.  Received in good condition with 10 min of black water.</t>
  </si>
  <si>
    <t>20.12.2025</t>
  </si>
  <si>
    <t>21.12.2025</t>
  </si>
  <si>
    <t>22.12.2025</t>
  </si>
  <si>
    <t>23.12.2025</t>
  </si>
  <si>
    <t>24.12.2025</t>
  </si>
  <si>
    <t>25.12.2025</t>
  </si>
  <si>
    <t>Flowing</t>
  </si>
  <si>
    <t>26.12.2025</t>
  </si>
  <si>
    <t>27.12.2025</t>
  </si>
  <si>
    <t xml:space="preserve">R09A#1, </t>
  </si>
  <si>
    <t xml:space="preserve">         Nos:-2</t>
  </si>
  <si>
    <t xml:space="preserve">28.12.2025 </t>
  </si>
  <si>
    <t>28.12.2025</t>
  </si>
  <si>
    <t>29.12.2025</t>
  </si>
  <si>
    <t>30.12.2025</t>
  </si>
  <si>
    <t>31.12.2025</t>
  </si>
  <si>
    <t>01.01.2026</t>
  </si>
  <si>
    <t>02.01.2026</t>
  </si>
  <si>
    <t>03.01.2026</t>
  </si>
  <si>
    <t>04.01.2026</t>
  </si>
  <si>
    <t>05.01.2026</t>
  </si>
  <si>
    <t>8" HSD-R10 A WIL pigging done with 8" Poly Pig. L/T : 18:55 Hrs(06.01.2026), R/T : 02:45hrs(07.01.2026). Pig received in good condition with 10 min black water. Pr=98/96 ksc. Flushing is in progress.</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</si>
  <si>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</si>
  <si>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</si>
  <si>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</si>
  <si>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</si>
  <si>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</si>
  <si>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</si>
  <si>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</si>
  <si>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</si>
  <si>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</si>
  <si>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</si>
  <si>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</si>
  <si>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</si>
  <si>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</si>
  <si>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</si>
  <si>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</si>
  <si>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</si>
  <si>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</si>
  <si>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</si>
  <si>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</si>
  <si>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</si>
  <si>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</si>
  <si>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</si>
  <si>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</si>
  <si>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</si>
  <si>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R07A#4H</t>
  </si>
  <si>
    <t>31.01.2026</t>
  </si>
  <si>
    <t>01.02.2026</t>
  </si>
  <si>
    <t>02.02.2026</t>
  </si>
  <si>
    <t>04.02.2026</t>
  </si>
  <si>
    <t>05.02.2026</t>
  </si>
  <si>
    <t>06.02.2026</t>
  </si>
  <si>
    <t>07.02.2026</t>
  </si>
  <si>
    <t>08.02.2026</t>
  </si>
  <si>
    <t>10.02.2026</t>
  </si>
  <si>
    <t>11.02.2026</t>
  </si>
  <si>
    <t>12.02.2026</t>
  </si>
  <si>
    <t>13.02.2026</t>
  </si>
  <si>
    <t>14.02.2026</t>
  </si>
  <si>
    <t>15.02.2026</t>
  </si>
  <si>
    <t>16.02.2026</t>
  </si>
  <si>
    <t>Decline in header pressure has been observed since 0200 hrs on 16.02.2026 due to ongoing maintenance activities at Heera End.</t>
  </si>
  <si>
    <t>17.02.2026</t>
  </si>
  <si>
    <t>18.02.2026</t>
  </si>
  <si>
    <t>19.02.2026</t>
  </si>
  <si>
    <t>20.02.2026</t>
  </si>
  <si>
    <t>21.02.2026</t>
  </si>
  <si>
    <t>22.02.2026</t>
  </si>
  <si>
    <t>23.02.2026</t>
  </si>
  <si>
    <t>R07A#5</t>
  </si>
  <si>
    <t>24.02.2026</t>
  </si>
  <si>
    <t>25.02.2026</t>
  </si>
  <si>
    <t>26.02.2026</t>
  </si>
  <si>
    <t>27.02.2026</t>
  </si>
  <si>
    <t>28.02.2026</t>
  </si>
  <si>
    <t>R10A#2, R10A#4</t>
  </si>
  <si>
    <t xml:space="preserve">   Nos.-4</t>
  </si>
  <si>
    <t>01.03.2026</t>
  </si>
  <si>
    <t>02.03.2026</t>
  </si>
  <si>
    <t>03.03.2026</t>
  </si>
  <si>
    <t>04.03.2026</t>
  </si>
  <si>
    <t>8" HSD-R10A Water Injection Line Pigging : 1st pig  8" FLSCR Pig, L/T=12:20 Hrs ,2nd pig 8" Poly pig, L/T= 12:35 Hrs. Pigging under process. MLP at L/R=90/89 ksc. 8" FLSCR pig recieved in good condition at R10A on 2020 hrs followed by 8" poly pig  recieved in good condition at R10A on 2040 hrs of 03.03.2026. Observed black water  for 5 mins each time. Max Pr. during Pigging at L/R: 90 /89 Ksc. Flushing in progress.</t>
  </si>
  <si>
    <t xml:space="preserve">8" HSD-R10A Water injection resumed at 09:30 hrs on 04.03.2026 at R10A after pigging and flushing operation . 1bbl amine dosed at HSD end. </t>
  </si>
  <si>
    <t>05.03.2026</t>
  </si>
  <si>
    <t>06.03.2026</t>
  </si>
  <si>
    <t>07.03.2026</t>
  </si>
  <si>
    <t>08.03.2026</t>
  </si>
  <si>
    <t>09.03.2026</t>
  </si>
  <si>
    <t>10.03.2026</t>
  </si>
  <si>
    <t>11.03.2026</t>
  </si>
  <si>
    <t>12.03.2026</t>
  </si>
  <si>
    <t>13.03.2026</t>
  </si>
  <si>
    <t>15.03.2026</t>
  </si>
  <si>
    <t>14.03.2026</t>
  </si>
  <si>
    <t>16.03.2026</t>
  </si>
  <si>
    <t>17.03.2026</t>
  </si>
  <si>
    <t>18.03.2026</t>
  </si>
  <si>
    <t>19.03.2026</t>
  </si>
  <si>
    <t>20.03.2026</t>
  </si>
  <si>
    <t>21.03.2026</t>
  </si>
  <si>
    <t>22.03.2026</t>
  </si>
  <si>
    <t>Non-Flowing Wells</t>
  </si>
  <si>
    <t>23.03.2026</t>
  </si>
  <si>
    <t>Nos.-19</t>
  </si>
  <si>
    <t>R7A#1, R7A#2, R7A#3, R07A#4H, R07A#5, R7A#7, R7A#8, R7A#9, R9A#7, R10A#1, R10A#03, R10A#08, R12A#2Z, R12A#3Z,R12B#02,R13A#1,R13A#2,R13A#5, R09A#4</t>
  </si>
  <si>
    <t>Non-FLOWING (CD ESP)</t>
  </si>
  <si>
    <t>24.03.2026</t>
  </si>
  <si>
    <t>25.03.2026</t>
  </si>
  <si>
    <t>26.03.2026</t>
  </si>
  <si>
    <t>27.03.2026</t>
  </si>
  <si>
    <t>Workover</t>
  </si>
  <si>
    <t>28.03.2026</t>
  </si>
  <si>
    <t>Nos.:3</t>
  </si>
  <si>
    <t>29.03.2026</t>
  </si>
  <si>
    <t>30.03.2026</t>
  </si>
  <si>
    <t>31.03.2026</t>
  </si>
  <si>
    <t>02.04.2026</t>
  </si>
  <si>
    <t>03.04.2026</t>
  </si>
  <si>
    <t>04.04.2026</t>
  </si>
  <si>
    <t>Water injection stopped from 0800 hrs to 1600 hrs due to  water injection shut down at Heera for leakage rectification</t>
  </si>
  <si>
    <t>05.04.2026</t>
  </si>
  <si>
    <t>06.04.2026</t>
  </si>
  <si>
    <t>Decline in header pressure is observed due to pigging and flushing activities at Heera Ends.</t>
  </si>
  <si>
    <t>07.04.2026</t>
  </si>
  <si>
    <t>08.04.2026</t>
  </si>
  <si>
    <t>09.04.2026</t>
  </si>
  <si>
    <t>10.04.2026</t>
  </si>
  <si>
    <t>11.04.2026</t>
  </si>
  <si>
    <t>12.04.2026</t>
  </si>
  <si>
    <t>R12A#5, R12B#3(Work over), R12B#1Z(Work over)</t>
  </si>
  <si>
    <t>R12B#03: Well handed over to Rig ADM - 9 for workover job at 1500 hrs on 12.04.2026.</t>
  </si>
  <si>
    <t>13.04.2026</t>
  </si>
  <si>
    <t>14.04.2026</t>
  </si>
  <si>
    <t>15.04.2026</t>
  </si>
  <si>
    <t>17.04.2026</t>
  </si>
  <si>
    <t>16.04.2026</t>
  </si>
  <si>
    <t>R12A</t>
  </si>
  <si>
    <t>WI shortfall: nil</t>
  </si>
  <si>
    <t>18.04.2026</t>
  </si>
  <si>
    <t xml:space="preserve">OIL/GAS LOSS:  
1.) R12A#5:  CD ESP is not working since 17.03.2026. Pulling out of ESP is planned on 15.05.2026. Loss: 72bbls
2.) R9A#8 (Intermittent well) : ESP Tripped Due to High TM @ 06:30hrs on 09-04-2026. Tried to start ESP in various modes and well tripping on overload everytime. Troubleshooting in Progress. Loss: 30bbls.
3)R10A#2: ESP tripped at 2130hrs on 17.04.2026, due to HT breaker trip, found weak HT winding resistance(in kilo OHMS) is SUT. ESP started after connections got rerouted through transformerr ABB transformer TR102. Loss: 44bbls. </t>
  </si>
  <si>
    <t>Pigging details: 7.5'' SCR pig pigging in 8'' R07A-R10A WFL. Pig launched at 20:00 hrs on 17-04-2026. Ini. Pres: 36.5/29.5 ksc. Pig received in good condition at 0230hrs on 18.04.2026, in good condition with no wax. Max. Pressure: 38.4/31ksc. 200lt Bacteriacide Amine and 100lt surfactant dosed at R07A end post pigging.</t>
  </si>
  <si>
    <t xml:space="preserve">R12B#01 : Running in ESP completion assembly with new packer is under progress. </t>
  </si>
  <si>
    <t>R9A#05 (CD ESP Installation) :  WSV GS Roopa reported at 1400 hrs on 11.04.2026 for acid frac job. Acid frac job completed at around 0200 hrs on 12.04.2026. Water injection for killing the well stopped, bleeding pressure of R9A#5 via chikson done, observed only gas coming out, found THP to be stable at 2.4ksc. Continued bleeding pressure from 0700hours to 1000hours, during bleeding THP found to be 0 ksc. Build up continued again as per Novomet requirement from 1000hours(12hrs build up study). Current build up pressure found to be 1.41ksc as of 1800hours. Annulus pressure is 0 kg/cm2.</t>
  </si>
  <si>
    <t>R12A: Shivansh Aryan (Barge) : CCPL - Helideck periphery net replacement in progress. Surface preparation, third coat painting at cellar deck, main deck and living quarters area in progress.</t>
  </si>
  <si>
    <t xml:space="preserve">Oil Loss: 1.) R12A#05: 72bls, 2.) R9A#08 (intermittent):  30 bbls 3)R10A#2:  44bbls. </t>
  </si>
  <si>
    <t>Testing data reference- 13.04.2026 SAP posted and intermittent wells data updated as per SAP posted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</si>
</sst>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0.000"/>
  </numFmts>
  <fonts count="27" x14ac:knownFonts="1">
    <font>
      <sz val="11"/>
      <color theme="1"/>
      <name val="Calibri"/>
      <family val="2"/>
      <scheme val="minor"/>
    </font>
    <font>
      <b/>
      <sz val="11"/>
      <color theme="1"/>
      <name val="Calibri"/>
      <family val="2"/>
      <scheme val="minor"/>
    </font>
    <font>
      <sz val="18"/>
      <color theme="1"/>
      <name val="Calibri"/>
      <family val="2"/>
      <scheme val="minor"/>
    </font>
    <font>
      <b/>
      <sz val="12"/>
      <color theme="1"/>
      <name val="Calibri"/>
      <family val="2"/>
      <scheme val="minor"/>
    </font>
    <font>
      <b/>
      <sz val="11"/>
      <color rgb="FFFF0000"/>
      <name val="Calibri"/>
      <family val="2"/>
      <scheme val="minor"/>
    </font>
    <font>
      <sz val="11"/>
      <color indexed="8"/>
      <name val="Calibri"/>
      <family val="2"/>
    </font>
    <font>
      <b/>
      <sz val="11"/>
      <name val="Calibri"/>
      <family val="2"/>
      <scheme val="minor"/>
    </font>
    <font>
      <b/>
      <sz val="10"/>
      <color rgb="FFFF0000"/>
      <name val="Calibri"/>
      <family val="2"/>
      <scheme val="minor"/>
    </font>
    <font>
      <b/>
      <sz val="11"/>
      <color rgb="FF000000"/>
      <name val="Calibri"/>
      <family val="2"/>
      <scheme val="minor"/>
    </font>
    <font>
      <b/>
      <sz val="11"/>
      <color rgb="FF002060"/>
      <name val="Calibri"/>
      <family val="2"/>
      <scheme val="minor"/>
    </font>
    <font>
      <sz val="11"/>
      <color rgb="FF000000"/>
      <name val="Calibri"/>
      <family val="2"/>
    </font>
    <font>
      <sz val="14"/>
      <color theme="1"/>
      <name val="Calibri"/>
      <family val="2"/>
      <scheme val="minor"/>
    </font>
    <font>
      <sz val="14"/>
      <name val="Calibri"/>
      <family val="2"/>
      <scheme val="minor"/>
    </font>
    <font>
      <b/>
      <sz val="14"/>
      <name val="Calibri"/>
      <family val="2"/>
      <scheme val="minor"/>
    </font>
    <font>
      <sz val="11"/>
      <name val="Calibri"/>
      <family val="2"/>
      <scheme val="minor"/>
    </font>
    <font>
      <sz val="12"/>
      <name val="Calibri"/>
      <family val="2"/>
      <scheme val="minor"/>
    </font>
    <font>
      <b/>
      <sz val="11"/>
      <color rgb="FFFF0000"/>
      <name val="Calibri"/>
      <family val="2"/>
    </font>
    <font>
      <b/>
      <sz val="11"/>
      <color rgb="FF000000"/>
      <name val="Calibri"/>
      <family val="2"/>
    </font>
    <font>
      <sz val="11"/>
      <color theme="4"/>
      <name val="Calibri"/>
      <family val="2"/>
      <scheme val="minor"/>
    </font>
    <font>
      <b/>
      <sz val="12"/>
      <color rgb="FFFF0000"/>
      <name val="Calibri"/>
      <family val="2"/>
      <scheme val="minor"/>
    </font>
    <font>
      <b/>
      <sz val="14"/>
      <color theme="1"/>
      <name val="Calibri"/>
      <family val="2"/>
      <scheme val="minor"/>
    </font>
    <font>
      <sz val="11"/>
      <color theme="1"/>
      <name val="Calibri"/>
      <family val="2"/>
      <scheme val="minor"/>
    </font>
    <font>
      <sz val="11"/>
      <color rgb="FF000000"/>
      <name val="Calibri"/>
      <family val="2"/>
      <charset val="1"/>
    </font>
    <font>
      <sz val="8"/>
      <name val="Calibri"/>
      <family val="2"/>
      <scheme val="minor"/>
    </font>
    <font>
      <sz val="20"/>
      <color theme="1"/>
      <name val="Calibri"/>
      <family val="2"/>
      <scheme val="minor"/>
    </font>
    <font>
      <sz val="10"/>
      <color rgb="FFFF0000"/>
      <name val="Calibri"/>
      <family val="2"/>
      <scheme val="minor"/>
    </font>
    <font>
      <sz val="12"/>
      <color theme="1"/>
      <name val="Calibri"/>
      <family val="2"/>
      <scheme val="minor"/>
    </font>
  </fonts>
  <fills count="47">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rgb="FFFFC000"/>
        <bgColor indexed="64"/>
      </patternFill>
    </fill>
    <fill>
      <patternFill patternType="solid">
        <fgColor theme="0" tint="-4.9989318521683403E-2"/>
        <bgColor indexed="64"/>
      </patternFill>
    </fill>
    <fill>
      <patternFill patternType="solid">
        <fgColor indexed="44"/>
      </patternFill>
    </fill>
    <fill>
      <patternFill patternType="solid">
        <fgColor rgb="FFFFFFFF"/>
        <bgColor rgb="FFEEEEEE"/>
      </patternFill>
    </fill>
    <fill>
      <patternFill patternType="solid">
        <fgColor theme="0"/>
        <bgColor rgb="FFEEEEEE"/>
      </patternFill>
    </fill>
    <fill>
      <patternFill patternType="solid">
        <fgColor rgb="FF00B0F0"/>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FFC000"/>
        <bgColor rgb="FFEEEEEE"/>
      </patternFill>
    </fill>
    <fill>
      <patternFill patternType="solid">
        <fgColor theme="5" tint="0.79998168889431442"/>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DEEBF7"/>
        <bgColor rgb="FFDAE3F3"/>
      </patternFill>
    </fill>
    <fill>
      <patternFill patternType="solid">
        <fgColor rgb="FFCCCCFF"/>
        <bgColor rgb="FFBDD7EE"/>
      </patternFill>
    </fill>
    <fill>
      <patternFill patternType="solid">
        <fgColor rgb="FFFBE5D6"/>
        <bgColor rgb="FFFFF2CC"/>
      </patternFill>
    </fill>
    <fill>
      <patternFill patternType="solid">
        <fgColor rgb="FFFF99CC"/>
        <bgColor rgb="FFFF8080"/>
      </patternFill>
    </fill>
    <fill>
      <patternFill patternType="solid">
        <fgColor rgb="FFEEEEEE"/>
        <bgColor rgb="FFE7E6E6"/>
      </patternFill>
    </fill>
    <fill>
      <patternFill patternType="solid">
        <fgColor rgb="FFCCFFCC"/>
        <bgColor rgb="FFCCFFFF"/>
      </patternFill>
    </fill>
    <fill>
      <patternFill patternType="solid">
        <fgColor rgb="FFFFF2CC"/>
        <bgColor rgb="FFFBE5D6"/>
      </patternFill>
    </fill>
    <fill>
      <patternFill patternType="solid">
        <fgColor rgb="FFCC99FF"/>
        <bgColor rgb="FFFF99CC"/>
      </patternFill>
    </fill>
    <fill>
      <patternFill patternType="solid">
        <fgColor rgb="FFDAE3F3"/>
        <bgColor rgb="FFDEEBF7"/>
      </patternFill>
    </fill>
    <fill>
      <patternFill patternType="solid">
        <fgColor rgb="FFCCFFFF"/>
        <bgColor rgb="FFCCFFCC"/>
      </patternFill>
    </fill>
    <fill>
      <patternFill patternType="solid">
        <fgColor rgb="FFE2F0D9"/>
        <bgColor rgb="FFE7E6E6"/>
      </patternFill>
    </fill>
    <fill>
      <patternFill patternType="solid">
        <fgColor rgb="FFFFCC98"/>
        <bgColor rgb="FFF8CBAD"/>
      </patternFill>
    </fill>
    <fill>
      <patternFill patternType="solid">
        <fgColor rgb="FFBDD7EE"/>
        <bgColor rgb="FFB6DDE8"/>
      </patternFill>
    </fill>
    <fill>
      <patternFill patternType="solid">
        <fgColor rgb="FF99CCFF"/>
        <bgColor rgb="FF9DC3E6"/>
      </patternFill>
    </fill>
    <fill>
      <patternFill patternType="solid">
        <fgColor rgb="FFF8CBAE"/>
        <bgColor rgb="FFF8CBAD"/>
      </patternFill>
    </fill>
    <fill>
      <patternFill patternType="solid">
        <fgColor rgb="FFFF8080"/>
        <bgColor rgb="FFED7D31"/>
      </patternFill>
    </fill>
    <fill>
      <patternFill patternType="solid">
        <fgColor rgb="FFDBDBDB"/>
        <bgColor rgb="FFD9D9D9"/>
      </patternFill>
    </fill>
    <fill>
      <patternFill patternType="solid">
        <fgColor rgb="FF00FF00"/>
        <bgColor rgb="FF0BB990"/>
      </patternFill>
    </fill>
    <fill>
      <patternFill patternType="solid">
        <fgColor rgb="FFFFE699"/>
        <bgColor rgb="FFFFF2CC"/>
      </patternFill>
    </fill>
    <fill>
      <patternFill patternType="solid">
        <fgColor rgb="FFB4C7E7"/>
        <bgColor rgb="FF9DC3E6"/>
      </patternFill>
    </fill>
    <fill>
      <patternFill patternType="solid">
        <fgColor theme="4" tint="0.59999389629810485"/>
        <bgColor indexed="64"/>
      </patternFill>
    </fill>
    <fill>
      <patternFill patternType="solid">
        <fgColor theme="7"/>
        <bgColor indexed="64"/>
      </patternFill>
    </fill>
    <fill>
      <patternFill patternType="solid">
        <fgColor rgb="FF92D050"/>
        <bgColor indexed="64"/>
      </patternFill>
    </fill>
    <fill>
      <patternFill patternType="solid">
        <fgColor theme="6" tint="0.59999389629810485"/>
        <bgColor indexed="64"/>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s>
  <cellStyleXfs count="35415">
    <xf numFmtId="0" fontId="0" fillId="0" borderId="0"/>
    <xf numFmtId="0" fontId="5" fillId="7" borderId="0" applyNumberFormat="0" applyBorder="0" applyAlignment="0" applyProtection="0"/>
    <xf numFmtId="0" fontId="22" fillId="0" borderId="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4"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3"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4" borderId="0" applyBorder="0" applyProtection="0"/>
    <xf numFmtId="0" fontId="22" fillId="23"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6"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5"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6" borderId="0" applyBorder="0" applyProtection="0"/>
    <xf numFmtId="0" fontId="22" fillId="25"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8"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7"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8" borderId="0" applyBorder="0" applyProtection="0"/>
    <xf numFmtId="0" fontId="22" fillId="27"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30"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29"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29"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2"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1"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2" borderId="0" applyBorder="0" applyProtection="0"/>
    <xf numFmtId="0" fontId="22" fillId="31"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4"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3"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4" borderId="0" applyBorder="0" applyProtection="0"/>
    <xf numFmtId="0" fontId="22" fillId="33"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6"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5"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5"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8"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7"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8" borderId="0" applyBorder="0" applyProtection="0"/>
    <xf numFmtId="0" fontId="22" fillId="37"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40"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39"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40" borderId="0" applyBorder="0" applyProtection="0"/>
    <xf numFmtId="0" fontId="22" fillId="39"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30"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41"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30" borderId="0" applyBorder="0" applyProtection="0"/>
    <xf numFmtId="0" fontId="22" fillId="41"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36"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42"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36" borderId="0" applyBorder="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2" fillId="0" borderId="0"/>
    <xf numFmtId="0" fontId="21" fillId="0" borderId="0"/>
    <xf numFmtId="43" fontId="21" fillId="0" borderId="0" applyFont="0" applyFill="0" applyBorder="0" applyAlignment="0" applyProtection="0"/>
  </cellStyleXfs>
  <cellXfs count="646">
    <xf numFmtId="0" fontId="0" fillId="0" borderId="0" xfId="0"/>
    <xf numFmtId="0" fontId="0" fillId="4" borderId="0" xfId="0" applyFill="1"/>
    <xf numFmtId="0" fontId="0" fillId="0" borderId="0" xfId="0" applyAlignment="1">
      <alignment vertical="center"/>
    </xf>
    <xf numFmtId="0" fontId="1" fillId="6" borderId="8" xfId="0" applyFont="1" applyFill="1" applyBorder="1" applyAlignment="1">
      <alignment horizontal="center" vertical="center"/>
    </xf>
    <xf numFmtId="0" fontId="1" fillId="6" borderId="10" xfId="0" applyFont="1" applyFill="1" applyBorder="1" applyAlignment="1">
      <alignment horizontal="center" vertical="center"/>
    </xf>
    <xf numFmtId="0" fontId="1" fillId="6" borderId="11" xfId="0" applyFont="1" applyFill="1" applyBorder="1" applyAlignment="1">
      <alignment horizontal="center" vertical="center"/>
    </xf>
    <xf numFmtId="1" fontId="0" fillId="4" borderId="0" xfId="0" applyNumberFormat="1" applyFill="1" applyAlignment="1">
      <alignment horizontal="center"/>
    </xf>
    <xf numFmtId="0" fontId="8" fillId="8" borderId="7" xfId="1" applyNumberFormat="1" applyFont="1" applyFill="1" applyBorder="1" applyAlignment="1" applyProtection="1">
      <alignment horizontal="center" vertical="center"/>
    </xf>
    <xf numFmtId="0" fontId="1" fillId="4" borderId="1" xfId="0" applyFont="1" applyFill="1" applyBorder="1" applyAlignment="1">
      <alignment horizontal="center" vertical="center"/>
    </xf>
    <xf numFmtId="0" fontId="6" fillId="4" borderId="1" xfId="0" applyFont="1" applyFill="1" applyBorder="1" applyAlignment="1">
      <alignment horizontal="center" vertical="center"/>
    </xf>
    <xf numFmtId="2" fontId="1" fillId="4" borderId="1" xfId="0" applyNumberFormat="1" applyFont="1" applyFill="1" applyBorder="1" applyAlignment="1">
      <alignment horizontal="center" vertical="center"/>
    </xf>
    <xf numFmtId="2" fontId="1" fillId="4" borderId="9" xfId="0" applyNumberFormat="1" applyFont="1" applyFill="1" applyBorder="1" applyAlignment="1">
      <alignment horizontal="center" vertical="center"/>
    </xf>
    <xf numFmtId="0" fontId="12" fillId="4" borderId="0" xfId="0" applyFont="1" applyFill="1" applyAlignment="1">
      <alignment horizontal="center" vertical="center"/>
    </xf>
    <xf numFmtId="0" fontId="13" fillId="4" borderId="0" xfId="0" applyFont="1" applyFill="1" applyAlignment="1">
      <alignment horizontal="center" vertical="center"/>
    </xf>
    <xf numFmtId="0" fontId="11" fillId="4" borderId="0" xfId="0" applyFont="1" applyFill="1" applyAlignment="1">
      <alignment horizontal="center"/>
    </xf>
    <xf numFmtId="2" fontId="11" fillId="4" borderId="0" xfId="0" applyNumberFormat="1" applyFont="1" applyFill="1" applyAlignment="1">
      <alignment horizontal="center"/>
    </xf>
    <xf numFmtId="2" fontId="11" fillId="4" borderId="0" xfId="0" applyNumberFormat="1" applyFont="1" applyFill="1" applyAlignment="1">
      <alignment horizontal="center" vertical="center"/>
    </xf>
    <xf numFmtId="0" fontId="11" fillId="4" borderId="0" xfId="0" applyFont="1" applyFill="1"/>
    <xf numFmtId="0" fontId="1" fillId="0" borderId="0" xfId="0" applyFont="1" applyAlignment="1">
      <alignment vertical="center"/>
    </xf>
    <xf numFmtId="2" fontId="0" fillId="4" borderId="0" xfId="0" applyNumberFormat="1" applyFill="1"/>
    <xf numFmtId="0" fontId="0" fillId="15" borderId="7" xfId="0" applyFill="1" applyBorder="1" applyAlignment="1">
      <alignment horizontal="center"/>
    </xf>
    <xf numFmtId="0" fontId="0" fillId="8" borderId="0" xfId="1" applyFont="1" applyFill="1" applyBorder="1" applyAlignment="1"/>
    <xf numFmtId="0" fontId="0" fillId="8" borderId="21" xfId="1" applyFont="1" applyFill="1" applyBorder="1" applyAlignment="1"/>
    <xf numFmtId="0" fontId="0" fillId="8" borderId="13" xfId="1" applyFont="1" applyFill="1" applyBorder="1" applyAlignment="1"/>
    <xf numFmtId="0" fontId="0" fillId="8" borderId="15" xfId="1" applyFont="1" applyFill="1" applyBorder="1" applyAlignment="1"/>
    <xf numFmtId="0" fontId="0" fillId="17" borderId="7" xfId="0" applyFill="1" applyBorder="1" applyAlignment="1">
      <alignment vertical="center"/>
    </xf>
    <xf numFmtId="0" fontId="3" fillId="19" borderId="1" xfId="0" applyFont="1" applyFill="1" applyBorder="1" applyAlignment="1">
      <alignment horizontal="center" vertical="center" wrapText="1"/>
    </xf>
    <xf numFmtId="0" fontId="1" fillId="4" borderId="0" xfId="0" applyFont="1" applyFill="1" applyAlignment="1">
      <alignment vertical="center"/>
    </xf>
    <xf numFmtId="2" fontId="6" fillId="4" borderId="1" xfId="0" applyNumberFormat="1" applyFont="1" applyFill="1" applyBorder="1" applyAlignment="1">
      <alignment horizontal="center" vertical="center"/>
    </xf>
    <xf numFmtId="0" fontId="0" fillId="13" borderId="1" xfId="0" applyFill="1" applyBorder="1" applyAlignment="1">
      <alignment horizontal="center" wrapText="1"/>
    </xf>
    <xf numFmtId="1" fontId="0" fillId="0" borderId="0" xfId="0" applyNumberFormat="1" applyAlignment="1">
      <alignment horizontal="center"/>
    </xf>
    <xf numFmtId="0" fontId="0" fillId="0" borderId="0" xfId="0" applyAlignment="1">
      <alignment horizontal="center"/>
    </xf>
    <xf numFmtId="0" fontId="0" fillId="21" borderId="3" xfId="0" applyFill="1" applyBorder="1" applyAlignment="1">
      <alignment horizontal="center" vertical="center" wrapText="1"/>
    </xf>
    <xf numFmtId="2" fontId="0" fillId="21" borderId="1" xfId="0" applyNumberFormat="1" applyFill="1" applyBorder="1" applyAlignment="1">
      <alignment horizont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2" fontId="0" fillId="4" borderId="1" xfId="0" applyNumberFormat="1" applyFill="1" applyBorder="1" applyAlignment="1">
      <alignment horizontal="center"/>
    </xf>
    <xf numFmtId="0" fontId="0" fillId="4" borderId="1" xfId="0" applyFill="1" applyBorder="1" applyAlignment="1">
      <alignment horizontal="center"/>
    </xf>
    <xf numFmtId="0" fontId="0" fillId="4" borderId="4" xfId="0" applyFill="1" applyBorder="1" applyAlignment="1">
      <alignment horizontal="center"/>
    </xf>
    <xf numFmtId="2" fontId="0" fillId="4" borderId="3" xfId="0" applyNumberFormat="1" applyFill="1" applyBorder="1" applyAlignment="1">
      <alignment horizontal="center"/>
    </xf>
    <xf numFmtId="0" fontId="0" fillId="4" borderId="3" xfId="0" applyFill="1" applyBorder="1" applyAlignment="1">
      <alignment horizontal="center" vertical="center"/>
    </xf>
    <xf numFmtId="2" fontId="0" fillId="4" borderId="28" xfId="0" applyNumberFormat="1" applyFill="1" applyBorder="1" applyAlignment="1">
      <alignment horizontal="center"/>
    </xf>
    <xf numFmtId="0" fontId="0" fillId="4" borderId="7" xfId="0" applyFill="1" applyBorder="1" applyAlignment="1">
      <alignment horizontal="center" vertical="center" wrapText="1"/>
    </xf>
    <xf numFmtId="0" fontId="0" fillId="4" borderId="7" xfId="0" applyFill="1" applyBorder="1" applyAlignment="1">
      <alignment horizontal="center"/>
    </xf>
    <xf numFmtId="2" fontId="0" fillId="4" borderId="14" xfId="0" applyNumberFormat="1" applyFill="1" applyBorder="1" applyAlignment="1">
      <alignment horizontal="left" indent="4"/>
    </xf>
    <xf numFmtId="0" fontId="2" fillId="18" borderId="6" xfId="0" applyFont="1" applyFill="1" applyBorder="1"/>
    <xf numFmtId="0" fontId="0" fillId="0" borderId="1" xfId="0" applyBorder="1" applyAlignment="1">
      <alignment horizontal="center"/>
    </xf>
    <xf numFmtId="0" fontId="0" fillId="0" borderId="0" xfId="0" applyAlignment="1">
      <alignment horizontal="center" vertical="center"/>
    </xf>
    <xf numFmtId="14" fontId="0" fillId="0" borderId="2" xfId="0" applyNumberFormat="1" applyBorder="1" applyAlignment="1">
      <alignment horizontal="center"/>
    </xf>
    <xf numFmtId="0" fontId="0" fillId="0" borderId="2" xfId="0" applyBorder="1" applyAlignment="1">
      <alignment horizontal="center"/>
    </xf>
    <xf numFmtId="0" fontId="0" fillId="4" borderId="2" xfId="0" applyFill="1" applyBorder="1" applyAlignment="1">
      <alignment horizontal="center" vertical="center" wrapText="1"/>
    </xf>
    <xf numFmtId="2" fontId="0" fillId="4" borderId="2" xfId="0" applyNumberFormat="1" applyFill="1" applyBorder="1" applyAlignment="1">
      <alignment horizontal="center"/>
    </xf>
    <xf numFmtId="0" fontId="0" fillId="0" borderId="7" xfId="0" applyBorder="1" applyAlignment="1">
      <alignment horizontal="center"/>
    </xf>
    <xf numFmtId="0" fontId="0" fillId="0" borderId="30" xfId="0" applyBorder="1" applyAlignment="1">
      <alignment horizontal="center"/>
    </xf>
    <xf numFmtId="0" fontId="0" fillId="0" borderId="28" xfId="0" applyBorder="1" applyAlignment="1">
      <alignment horizontal="center" vertical="center"/>
    </xf>
    <xf numFmtId="0" fontId="0" fillId="0" borderId="20" xfId="0" applyBorder="1" applyAlignment="1">
      <alignment horizontal="center"/>
    </xf>
    <xf numFmtId="0" fontId="0" fillId="4" borderId="1" xfId="0" applyFill="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3" xfId="0" applyBorder="1" applyAlignment="1">
      <alignment horizontal="center" vertical="center"/>
    </xf>
    <xf numFmtId="0" fontId="0" fillId="0" borderId="21" xfId="0" applyBorder="1" applyAlignment="1">
      <alignment horizontal="center"/>
    </xf>
    <xf numFmtId="0" fontId="0" fillId="0" borderId="1" xfId="0" applyBorder="1"/>
    <xf numFmtId="0" fontId="0" fillId="0" borderId="37" xfId="0" applyBorder="1" applyAlignment="1">
      <alignment horizontal="center"/>
    </xf>
    <xf numFmtId="0" fontId="0" fillId="0" borderId="3"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9" xfId="0" applyBorder="1" applyAlignment="1">
      <alignment horizontal="center"/>
    </xf>
    <xf numFmtId="0" fontId="0" fillId="0" borderId="28" xfId="0" applyBorder="1" applyAlignment="1">
      <alignment horizontal="center"/>
    </xf>
    <xf numFmtId="0" fontId="0" fillId="0" borderId="40" xfId="0" applyBorder="1" applyAlignment="1">
      <alignment horizontal="center"/>
    </xf>
    <xf numFmtId="0" fontId="1" fillId="22" borderId="1" xfId="0" applyFont="1" applyFill="1" applyBorder="1" applyAlignment="1">
      <alignment horizontal="center" vertical="center"/>
    </xf>
    <xf numFmtId="0" fontId="1" fillId="22" borderId="1" xfId="0" applyFont="1" applyFill="1" applyBorder="1" applyAlignment="1">
      <alignment horizontal="center" vertical="center" wrapText="1"/>
    </xf>
    <xf numFmtId="0" fontId="1" fillId="0" borderId="19" xfId="0" applyFont="1" applyBorder="1" applyAlignment="1">
      <alignment horizontal="center"/>
    </xf>
    <xf numFmtId="0" fontId="0" fillId="4" borderId="42" xfId="0" applyFill="1" applyBorder="1" applyAlignment="1">
      <alignment horizontal="center" vertical="center" wrapText="1"/>
    </xf>
    <xf numFmtId="0" fontId="0" fillId="4" borderId="42" xfId="0" applyFill="1" applyBorder="1" applyAlignment="1">
      <alignment horizontal="center"/>
    </xf>
    <xf numFmtId="2" fontId="0" fillId="4" borderId="7" xfId="0" applyNumberFormat="1" applyFill="1" applyBorder="1" applyAlignment="1">
      <alignment horizontal="center"/>
    </xf>
    <xf numFmtId="0" fontId="0" fillId="4" borderId="3" xfId="0" applyFill="1" applyBorder="1" applyAlignment="1">
      <alignment horizontal="center" vertical="center" wrapText="1"/>
    </xf>
    <xf numFmtId="0" fontId="0" fillId="4" borderId="0" xfId="0" applyFill="1" applyAlignment="1">
      <alignment horizontal="center" wrapText="1"/>
    </xf>
    <xf numFmtId="0" fontId="0" fillId="0" borderId="41" xfId="0" applyBorder="1" applyAlignment="1">
      <alignment horizontal="center"/>
    </xf>
    <xf numFmtId="0" fontId="20" fillId="4" borderId="1" xfId="0" applyFont="1" applyFill="1" applyBorder="1" applyAlignment="1">
      <alignment horizontal="right" wrapText="1"/>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15" xfId="0" applyBorder="1" applyAlignment="1">
      <alignment horizontal="center"/>
    </xf>
    <xf numFmtId="0" fontId="0" fillId="0" borderId="19" xfId="0" applyBorder="1" applyAlignment="1">
      <alignment horizontal="center"/>
    </xf>
    <xf numFmtId="0" fontId="0" fillId="0" borderId="1" xfId="0" applyBorder="1" applyAlignment="1">
      <alignment horizontal="left"/>
    </xf>
    <xf numFmtId="0" fontId="0" fillId="0" borderId="7" xfId="0" applyBorder="1" applyAlignment="1">
      <alignment horizontal="left"/>
    </xf>
    <xf numFmtId="0" fontId="0" fillId="0" borderId="24" xfId="0" applyBorder="1" applyAlignment="1">
      <alignment horizontal="left"/>
    </xf>
    <xf numFmtId="0" fontId="0" fillId="0" borderId="2" xfId="0" applyBorder="1" applyAlignment="1">
      <alignment horizontal="left"/>
    </xf>
    <xf numFmtId="0" fontId="0" fillId="0" borderId="34" xfId="0" applyBorder="1" applyAlignment="1">
      <alignment horizontal="left"/>
    </xf>
    <xf numFmtId="0" fontId="0" fillId="0" borderId="36" xfId="0" applyBorder="1" applyAlignment="1">
      <alignment horizontal="left"/>
    </xf>
    <xf numFmtId="0" fontId="0" fillId="0" borderId="35" xfId="0" applyBorder="1" applyAlignment="1">
      <alignment horizontal="left"/>
    </xf>
    <xf numFmtId="0" fontId="0" fillId="0" borderId="0" xfId="0" applyAlignment="1">
      <alignment horizontal="left"/>
    </xf>
    <xf numFmtId="0" fontId="0" fillId="4" borderId="7" xfId="0" applyFill="1" applyBorder="1" applyAlignment="1">
      <alignment horizontal="center" vertical="center"/>
    </xf>
    <xf numFmtId="0" fontId="20" fillId="4" borderId="6" xfId="0" applyFont="1" applyFill="1" applyBorder="1" applyAlignment="1">
      <alignment horizontal="right" wrapText="1"/>
    </xf>
    <xf numFmtId="0" fontId="0" fillId="0" borderId="41" xfId="0" applyBorder="1"/>
    <xf numFmtId="0" fontId="20" fillId="4" borderId="41" xfId="0" applyFont="1" applyFill="1" applyBorder="1" applyAlignment="1">
      <alignment horizontal="right" wrapText="1"/>
    </xf>
    <xf numFmtId="0" fontId="20" fillId="4" borderId="4" xfId="0" applyFont="1" applyFill="1" applyBorder="1" applyAlignment="1">
      <alignment horizontal="right" wrapText="1"/>
    </xf>
    <xf numFmtId="2" fontId="0" fillId="4" borderId="28" xfId="0" applyNumberFormat="1" applyFill="1" applyBorder="1" applyAlignment="1">
      <alignment horizontal="left" indent="4"/>
    </xf>
    <xf numFmtId="2" fontId="0" fillId="21" borderId="41" xfId="0" applyNumberFormat="1" applyFill="1" applyBorder="1" applyAlignment="1">
      <alignment horizontal="center"/>
    </xf>
    <xf numFmtId="0" fontId="20" fillId="21" borderId="41" xfId="0" applyFont="1" applyFill="1" applyBorder="1" applyAlignment="1">
      <alignment horizontal="center" wrapText="1"/>
    </xf>
    <xf numFmtId="0" fontId="20" fillId="21" borderId="1" xfId="0" applyFont="1" applyFill="1" applyBorder="1" applyAlignment="1">
      <alignment horizontal="center" wrapText="1"/>
    </xf>
    <xf numFmtId="0" fontId="0" fillId="21" borderId="20" xfId="0" applyFill="1" applyBorder="1" applyAlignment="1">
      <alignment horizontal="center"/>
    </xf>
    <xf numFmtId="2" fontId="0" fillId="21" borderId="30" xfId="0" applyNumberFormat="1" applyFill="1" applyBorder="1" applyAlignment="1">
      <alignment horizontal="center"/>
    </xf>
    <xf numFmtId="0" fontId="0" fillId="21" borderId="31" xfId="0" applyFill="1" applyBorder="1" applyAlignment="1">
      <alignment horizontal="center"/>
    </xf>
    <xf numFmtId="0" fontId="0" fillId="21" borderId="29" xfId="0" applyFill="1" applyBorder="1" applyAlignment="1">
      <alignment horizontal="center"/>
    </xf>
    <xf numFmtId="2" fontId="0" fillId="21" borderId="24" xfId="0" applyNumberFormat="1" applyFill="1" applyBorder="1" applyAlignment="1">
      <alignment horizontal="center"/>
    </xf>
    <xf numFmtId="0" fontId="0" fillId="0" borderId="25" xfId="0" applyBorder="1" applyAlignment="1">
      <alignment horizontal="center"/>
    </xf>
    <xf numFmtId="0" fontId="0" fillId="0" borderId="4" xfId="0" applyBorder="1" applyAlignment="1">
      <alignment horizontal="center"/>
    </xf>
    <xf numFmtId="0" fontId="20" fillId="21" borderId="41" xfId="0" applyFont="1" applyFill="1" applyBorder="1" applyAlignment="1">
      <alignment horizontal="center"/>
    </xf>
    <xf numFmtId="2" fontId="0" fillId="4" borderId="1" xfId="0" applyNumberFormat="1" applyFill="1" applyBorder="1" applyAlignment="1">
      <alignment horizontal="center" vertical="center" wrapText="1"/>
    </xf>
    <xf numFmtId="2" fontId="0" fillId="4" borderId="1" xfId="0" applyNumberFormat="1" applyFill="1" applyBorder="1" applyAlignment="1">
      <alignment horizontal="center" vertical="center"/>
    </xf>
    <xf numFmtId="2" fontId="0" fillId="4" borderId="4" xfId="0" applyNumberFormat="1" applyFill="1" applyBorder="1" applyAlignment="1">
      <alignment horizontal="center"/>
    </xf>
    <xf numFmtId="2" fontId="0" fillId="4" borderId="7" xfId="0" applyNumberFormat="1" applyFill="1" applyBorder="1" applyAlignment="1">
      <alignment horizontal="center" vertical="center" wrapText="1"/>
    </xf>
    <xf numFmtId="0" fontId="1" fillId="0" borderId="32" xfId="0" applyFont="1" applyBorder="1" applyAlignment="1">
      <alignment horizontal="center"/>
    </xf>
    <xf numFmtId="0" fontId="0" fillId="0" borderId="46" xfId="0" applyBorder="1" applyAlignment="1">
      <alignment horizontal="center"/>
    </xf>
    <xf numFmtId="0" fontId="20" fillId="4" borderId="7" xfId="0" applyFont="1" applyFill="1" applyBorder="1" applyAlignment="1">
      <alignment horizontal="right" wrapText="1"/>
    </xf>
    <xf numFmtId="0" fontId="20" fillId="21" borderId="7" xfId="0" applyFont="1" applyFill="1" applyBorder="1" applyAlignment="1">
      <alignment horizontal="center" wrapText="1"/>
    </xf>
    <xf numFmtId="2" fontId="0" fillId="21" borderId="7" xfId="0" applyNumberFormat="1" applyFill="1" applyBorder="1" applyAlignment="1">
      <alignment horizontal="center"/>
    </xf>
    <xf numFmtId="0" fontId="0" fillId="0" borderId="32" xfId="0" applyBorder="1" applyAlignment="1">
      <alignment horizontal="center" vertical="center"/>
    </xf>
    <xf numFmtId="2" fontId="0" fillId="4" borderId="38" xfId="0" applyNumberFormat="1" applyFill="1" applyBorder="1" applyAlignment="1">
      <alignment horizontal="center" vertical="center"/>
    </xf>
    <xf numFmtId="2" fontId="0" fillId="4" borderId="38" xfId="0" applyNumberFormat="1" applyFill="1" applyBorder="1" applyAlignment="1">
      <alignment horizontal="center"/>
    </xf>
    <xf numFmtId="0" fontId="0" fillId="4" borderId="38" xfId="0" applyFill="1" applyBorder="1" applyAlignment="1">
      <alignment horizontal="center"/>
    </xf>
    <xf numFmtId="2" fontId="0" fillId="4" borderId="47" xfId="0" applyNumberFormat="1" applyFill="1" applyBorder="1" applyAlignment="1">
      <alignment horizontal="center"/>
    </xf>
    <xf numFmtId="0" fontId="0" fillId="0" borderId="8" xfId="0" applyBorder="1" applyAlignment="1">
      <alignment horizontal="center" vertical="center"/>
    </xf>
    <xf numFmtId="2" fontId="0" fillId="4" borderId="48" xfId="0" applyNumberFormat="1" applyFill="1" applyBorder="1" applyAlignment="1">
      <alignment horizontal="center"/>
    </xf>
    <xf numFmtId="2" fontId="0" fillId="4" borderId="12" xfId="0" applyNumberFormat="1" applyFill="1" applyBorder="1" applyAlignment="1">
      <alignment horizontal="center"/>
    </xf>
    <xf numFmtId="0" fontId="20" fillId="4" borderId="40" xfId="0" applyFont="1" applyFill="1" applyBorder="1" applyAlignment="1">
      <alignment horizontal="right" wrapText="1"/>
    </xf>
    <xf numFmtId="0" fontId="20" fillId="4" borderId="49" xfId="0" applyFont="1" applyFill="1" applyBorder="1" applyAlignment="1">
      <alignment horizontal="right" wrapText="1"/>
    </xf>
    <xf numFmtId="0" fontId="0" fillId="0" borderId="31" xfId="0" applyBorder="1"/>
    <xf numFmtId="0" fontId="20" fillId="4" borderId="9" xfId="0" applyFont="1" applyFill="1" applyBorder="1" applyAlignment="1">
      <alignment horizontal="right" wrapText="1"/>
    </xf>
    <xf numFmtId="0" fontId="20" fillId="21" borderId="9" xfId="0" applyFont="1" applyFill="1" applyBorder="1" applyAlignment="1">
      <alignment horizontal="center" wrapText="1"/>
    </xf>
    <xf numFmtId="2" fontId="0" fillId="21" borderId="9" xfId="0" applyNumberFormat="1" applyFill="1" applyBorder="1" applyAlignment="1">
      <alignment horizontal="center"/>
    </xf>
    <xf numFmtId="2" fontId="0" fillId="21" borderId="50" xfId="0" applyNumberFormat="1" applyFill="1" applyBorder="1" applyAlignment="1">
      <alignment horizontal="center"/>
    </xf>
    <xf numFmtId="0" fontId="0" fillId="0" borderId="51"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21" borderId="9" xfId="0" applyFill="1" applyBorder="1" applyAlignment="1">
      <alignment horizontal="center"/>
    </xf>
    <xf numFmtId="0" fontId="1" fillId="21" borderId="9" xfId="0" applyFont="1" applyFill="1" applyBorder="1" applyAlignment="1">
      <alignment horizontal="center"/>
    </xf>
    <xf numFmtId="0" fontId="0" fillId="0" borderId="52" xfId="0" applyBorder="1" applyAlignment="1">
      <alignment horizontal="center"/>
    </xf>
    <xf numFmtId="0" fontId="0" fillId="0" borderId="17" xfId="0" applyBorder="1" applyAlignment="1">
      <alignment horizontal="center"/>
    </xf>
    <xf numFmtId="2" fontId="0" fillId="4" borderId="1" xfId="0" applyNumberFormat="1" applyFill="1" applyBorder="1" applyAlignment="1">
      <alignment horizontal="left" indent="4"/>
    </xf>
    <xf numFmtId="0" fontId="0" fillId="0" borderId="53" xfId="0" applyBorder="1" applyAlignment="1">
      <alignment horizontal="center"/>
    </xf>
    <xf numFmtId="2" fontId="0" fillId="21" borderId="12" xfId="0" applyNumberFormat="1" applyFill="1"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0" fillId="21" borderId="50" xfId="0" applyFill="1" applyBorder="1" applyAlignment="1">
      <alignment horizontal="center"/>
    </xf>
    <xf numFmtId="0" fontId="20" fillId="21" borderId="9" xfId="0" applyFont="1" applyFill="1" applyBorder="1" applyAlignment="1">
      <alignment horizontal="center"/>
    </xf>
    <xf numFmtId="0" fontId="0" fillId="0" borderId="32" xfId="0" applyBorder="1" applyAlignment="1">
      <alignment horizontal="center"/>
    </xf>
    <xf numFmtId="0" fontId="0" fillId="0" borderId="8" xfId="0" applyBorder="1" applyAlignment="1">
      <alignment horizontal="center"/>
    </xf>
    <xf numFmtId="0" fontId="20" fillId="4" borderId="9" xfId="0" applyFont="1" applyFill="1" applyBorder="1" applyAlignment="1">
      <alignment horizontal="center" wrapText="1"/>
    </xf>
    <xf numFmtId="0" fontId="20" fillId="4" borderId="7" xfId="0" applyFont="1" applyFill="1" applyBorder="1" applyAlignment="1">
      <alignment horizontal="center" wrapText="1"/>
    </xf>
    <xf numFmtId="0" fontId="0" fillId="0" borderId="54" xfId="0" applyBorder="1" applyAlignment="1">
      <alignment horizontal="center"/>
    </xf>
    <xf numFmtId="0" fontId="0" fillId="4" borderId="2" xfId="0" applyFill="1" applyBorder="1" applyAlignment="1">
      <alignment horizontal="center"/>
    </xf>
    <xf numFmtId="2" fontId="0" fillId="4" borderId="2" xfId="0" applyNumberFormat="1" applyFill="1" applyBorder="1" applyAlignment="1">
      <alignment horizontal="center" vertical="center" wrapText="1"/>
    </xf>
    <xf numFmtId="2" fontId="0" fillId="4" borderId="2" xfId="0" applyNumberFormat="1" applyFill="1" applyBorder="1" applyAlignment="1">
      <alignment horizontal="center" vertical="center"/>
    </xf>
    <xf numFmtId="2" fontId="0" fillId="4" borderId="55" xfId="0" applyNumberFormat="1" applyFill="1" applyBorder="1" applyAlignment="1">
      <alignment horizontal="center"/>
    </xf>
    <xf numFmtId="0" fontId="0" fillId="0" borderId="56" xfId="0" applyBorder="1" applyAlignment="1">
      <alignment horizontal="center"/>
    </xf>
    <xf numFmtId="0" fontId="0" fillId="0" borderId="47" xfId="0" applyBorder="1" applyAlignment="1">
      <alignment horizontal="left"/>
    </xf>
    <xf numFmtId="0" fontId="0" fillId="0" borderId="48" xfId="0" applyBorder="1" applyAlignment="1">
      <alignment horizontal="left"/>
    </xf>
    <xf numFmtId="0" fontId="0" fillId="21" borderId="50" xfId="0" applyFill="1" applyBorder="1" applyAlignment="1">
      <alignment horizontal="left"/>
    </xf>
    <xf numFmtId="0" fontId="20" fillId="14" borderId="9" xfId="0" applyFont="1" applyFill="1" applyBorder="1" applyAlignment="1">
      <alignment horizontal="center"/>
    </xf>
    <xf numFmtId="2" fontId="0" fillId="14" borderId="50" xfId="0" applyNumberFormat="1" applyFill="1" applyBorder="1" applyAlignment="1">
      <alignment horizontal="center"/>
    </xf>
    <xf numFmtId="0" fontId="0" fillId="14" borderId="9" xfId="0" applyFill="1" applyBorder="1" applyAlignment="1">
      <alignment horizontal="center"/>
    </xf>
    <xf numFmtId="0" fontId="0" fillId="4" borderId="1" xfId="0" applyFill="1" applyBorder="1" applyAlignment="1">
      <alignment horizontal="right" wrapText="1"/>
    </xf>
    <xf numFmtId="0" fontId="0" fillId="21" borderId="1" xfId="0" applyFill="1" applyBorder="1" applyAlignment="1">
      <alignment horizontal="center" wrapText="1"/>
    </xf>
    <xf numFmtId="0" fontId="0" fillId="4" borderId="38" xfId="0" applyFill="1" applyBorder="1" applyAlignment="1">
      <alignment horizontal="center" wrapText="1"/>
    </xf>
    <xf numFmtId="0" fontId="0" fillId="4" borderId="38" xfId="0" applyFill="1" applyBorder="1" applyAlignment="1">
      <alignment horizontal="right" wrapText="1"/>
    </xf>
    <xf numFmtId="0" fontId="0" fillId="21" borderId="38" xfId="0" applyFill="1" applyBorder="1" applyAlignment="1">
      <alignment horizontal="center" wrapText="1"/>
    </xf>
    <xf numFmtId="2" fontId="0" fillId="21" borderId="38" xfId="0" applyNumberFormat="1" applyFill="1" applyBorder="1" applyAlignment="1">
      <alignment horizontal="center"/>
    </xf>
    <xf numFmtId="2" fontId="0" fillId="21" borderId="47" xfId="0" applyNumberFormat="1" applyFill="1" applyBorder="1" applyAlignment="1">
      <alignment horizontal="center"/>
    </xf>
    <xf numFmtId="2" fontId="0" fillId="21" borderId="48" xfId="0" applyNumberFormat="1" applyFill="1" applyBorder="1" applyAlignment="1">
      <alignment horizontal="center"/>
    </xf>
    <xf numFmtId="2" fontId="0" fillId="4" borderId="14" xfId="0" applyNumberFormat="1" applyFill="1" applyBorder="1" applyAlignment="1">
      <alignment horizontal="center"/>
    </xf>
    <xf numFmtId="0" fontId="20" fillId="4" borderId="30" xfId="0" applyFont="1" applyFill="1" applyBorder="1" applyAlignment="1">
      <alignment horizontal="center" wrapText="1"/>
    </xf>
    <xf numFmtId="0" fontId="0" fillId="0" borderId="20" xfId="0" applyBorder="1"/>
    <xf numFmtId="0" fontId="20" fillId="4" borderId="30" xfId="0" applyFont="1" applyFill="1" applyBorder="1" applyAlignment="1">
      <alignment horizontal="right" wrapText="1"/>
    </xf>
    <xf numFmtId="0" fontId="20" fillId="21" borderId="30" xfId="0" applyFont="1" applyFill="1" applyBorder="1" applyAlignment="1">
      <alignment horizontal="center" wrapText="1"/>
    </xf>
    <xf numFmtId="0" fontId="0" fillId="0" borderId="22" xfId="0" applyBorder="1" applyAlignment="1">
      <alignment horizontal="center"/>
    </xf>
    <xf numFmtId="0" fontId="0" fillId="0" borderId="22" xfId="0" applyBorder="1"/>
    <xf numFmtId="0" fontId="20" fillId="4" borderId="52" xfId="0" applyFont="1" applyFill="1" applyBorder="1" applyAlignment="1">
      <alignment horizontal="right" wrapText="1"/>
    </xf>
    <xf numFmtId="0" fontId="20" fillId="21" borderId="52" xfId="0" applyFont="1" applyFill="1" applyBorder="1" applyAlignment="1">
      <alignment horizontal="center" wrapText="1"/>
    </xf>
    <xf numFmtId="2" fontId="0" fillId="21" borderId="52" xfId="0" applyNumberFormat="1" applyFill="1" applyBorder="1" applyAlignment="1">
      <alignment horizontal="center"/>
    </xf>
    <xf numFmtId="2" fontId="0" fillId="21" borderId="57" xfId="0" applyNumberFormat="1" applyFill="1" applyBorder="1" applyAlignment="1">
      <alignment horizontal="center"/>
    </xf>
    <xf numFmtId="0" fontId="0" fillId="4" borderId="9" xfId="0" applyFill="1" applyBorder="1" applyAlignment="1">
      <alignment horizontal="center"/>
    </xf>
    <xf numFmtId="2" fontId="0" fillId="4" borderId="9" xfId="0" applyNumberFormat="1" applyFill="1" applyBorder="1" applyAlignment="1">
      <alignment horizontal="center"/>
    </xf>
    <xf numFmtId="0" fontId="0" fillId="4" borderId="9" xfId="0" applyFill="1" applyBorder="1" applyAlignment="1">
      <alignment horizontal="center" vertical="center"/>
    </xf>
    <xf numFmtId="2" fontId="0" fillId="4" borderId="9" xfId="0" applyNumberFormat="1" applyFill="1" applyBorder="1" applyAlignment="1">
      <alignment horizontal="left" indent="4"/>
    </xf>
    <xf numFmtId="2" fontId="0" fillId="4" borderId="50" xfId="0" applyNumberFormat="1" applyFill="1" applyBorder="1" applyAlignment="1">
      <alignment horizontal="center"/>
    </xf>
    <xf numFmtId="0" fontId="0" fillId="0" borderId="16" xfId="0" applyBorder="1" applyAlignment="1">
      <alignment horizontal="center"/>
    </xf>
    <xf numFmtId="0" fontId="20" fillId="4" borderId="17" xfId="0" applyFont="1" applyFill="1" applyBorder="1" applyAlignment="1">
      <alignment horizontal="right" wrapText="1"/>
    </xf>
    <xf numFmtId="0" fontId="20" fillId="21" borderId="17" xfId="0" applyFont="1" applyFill="1" applyBorder="1" applyAlignment="1">
      <alignment horizontal="center" wrapText="1"/>
    </xf>
    <xf numFmtId="2" fontId="0" fillId="21" borderId="17" xfId="0" applyNumberFormat="1" applyFill="1" applyBorder="1" applyAlignment="1">
      <alignment horizontal="center"/>
    </xf>
    <xf numFmtId="2" fontId="0" fillId="21" borderId="58" xfId="0" applyNumberFormat="1" applyFill="1" applyBorder="1" applyAlignment="1">
      <alignment horizontal="center"/>
    </xf>
    <xf numFmtId="0" fontId="0" fillId="21" borderId="0" xfId="0" applyFill="1"/>
    <xf numFmtId="2" fontId="0" fillId="4" borderId="9" xfId="0" applyNumberFormat="1" applyFill="1" applyBorder="1" applyAlignment="1">
      <alignment horizontal="center" vertical="center"/>
    </xf>
    <xf numFmtId="0" fontId="0" fillId="4" borderId="40" xfId="0" applyFill="1" applyBorder="1" applyAlignment="1">
      <alignment horizontal="center"/>
    </xf>
    <xf numFmtId="0" fontId="0" fillId="4" borderId="6" xfId="0" applyFill="1" applyBorder="1" applyAlignment="1">
      <alignment horizontal="center" wrapText="1"/>
    </xf>
    <xf numFmtId="0" fontId="0" fillId="0" borderId="59" xfId="0" applyBorder="1" applyAlignment="1">
      <alignment horizontal="center"/>
    </xf>
    <xf numFmtId="0" fontId="0" fillId="0" borderId="60" xfId="0" applyBorder="1" applyAlignment="1">
      <alignment horizontal="center"/>
    </xf>
    <xf numFmtId="0" fontId="0" fillId="4" borderId="14" xfId="0" applyFill="1" applyBorder="1" applyAlignment="1">
      <alignment horizontal="center" wrapText="1"/>
    </xf>
    <xf numFmtId="0" fontId="0" fillId="4" borderId="2" xfId="0" applyFill="1" applyBorder="1" applyAlignment="1">
      <alignment horizontal="center" wrapText="1"/>
    </xf>
    <xf numFmtId="0" fontId="0" fillId="4" borderId="2" xfId="0" applyFill="1" applyBorder="1" applyAlignment="1">
      <alignment horizontal="right" wrapText="1"/>
    </xf>
    <xf numFmtId="0" fontId="0" fillId="4" borderId="9" xfId="0" applyFill="1" applyBorder="1" applyAlignment="1">
      <alignment horizontal="center" wrapText="1"/>
    </xf>
    <xf numFmtId="0" fontId="0" fillId="4" borderId="9" xfId="0" applyFill="1" applyBorder="1" applyAlignment="1">
      <alignment horizontal="right" wrapText="1"/>
    </xf>
    <xf numFmtId="0" fontId="0" fillId="9" borderId="0" xfId="1" applyFont="1" applyFill="1" applyBorder="1" applyAlignment="1"/>
    <xf numFmtId="0" fontId="4" fillId="4" borderId="21" xfId="0" applyFont="1" applyFill="1" applyBorder="1" applyAlignment="1">
      <alignment horizontal="center" vertical="center"/>
    </xf>
    <xf numFmtId="0" fontId="0" fillId="0" borderId="23" xfId="0" applyBorder="1" applyAlignment="1">
      <alignment horizontal="center"/>
    </xf>
    <xf numFmtId="165" fontId="0" fillId="4" borderId="0" xfId="0" applyNumberFormat="1" applyFill="1"/>
    <xf numFmtId="0" fontId="0" fillId="21" borderId="19" xfId="0" applyFill="1" applyBorder="1" applyAlignment="1">
      <alignment horizontal="center"/>
    </xf>
    <xf numFmtId="0" fontId="0" fillId="21" borderId="20" xfId="0" applyFill="1" applyBorder="1"/>
    <xf numFmtId="0" fontId="20" fillId="21" borderId="30" xfId="0" applyFont="1" applyFill="1" applyBorder="1" applyAlignment="1">
      <alignment horizontal="right" wrapText="1"/>
    </xf>
    <xf numFmtId="0" fontId="0" fillId="21" borderId="0" xfId="0" applyFill="1" applyAlignment="1">
      <alignment horizontal="left"/>
    </xf>
    <xf numFmtId="0" fontId="1" fillId="21" borderId="41" xfId="0" applyFont="1" applyFill="1" applyBorder="1" applyAlignment="1">
      <alignment horizontal="left"/>
    </xf>
    <xf numFmtId="2" fontId="1" fillId="21" borderId="24" xfId="0" applyNumberFormat="1" applyFont="1" applyFill="1" applyBorder="1" applyAlignment="1">
      <alignment horizontal="center"/>
    </xf>
    <xf numFmtId="2" fontId="1" fillId="21" borderId="30" xfId="0" applyNumberFormat="1" applyFont="1" applyFill="1" applyBorder="1" applyAlignment="1">
      <alignment horizontal="center"/>
    </xf>
    <xf numFmtId="0" fontId="0" fillId="21" borderId="54" xfId="0" applyFill="1" applyBorder="1" applyAlignment="1">
      <alignment horizontal="center"/>
    </xf>
    <xf numFmtId="0" fontId="0" fillId="21" borderId="31" xfId="0" applyFill="1" applyBorder="1"/>
    <xf numFmtId="0" fontId="20" fillId="21" borderId="9" xfId="0" applyFont="1" applyFill="1" applyBorder="1" applyAlignment="1">
      <alignment horizontal="right" wrapText="1"/>
    </xf>
    <xf numFmtId="0" fontId="0" fillId="21" borderId="61" xfId="0" applyFill="1" applyBorder="1" applyAlignment="1">
      <alignment horizontal="left"/>
    </xf>
    <xf numFmtId="0" fontId="20" fillId="21" borderId="1" xfId="0" applyFont="1" applyFill="1" applyBorder="1" applyAlignment="1">
      <alignment horizontal="right" wrapText="1"/>
    </xf>
    <xf numFmtId="0" fontId="1" fillId="21" borderId="0" xfId="0" applyFont="1" applyFill="1" applyAlignment="1">
      <alignment horizontal="left"/>
    </xf>
    <xf numFmtId="2" fontId="1" fillId="21" borderId="1" xfId="0" applyNumberFormat="1" applyFont="1" applyFill="1" applyBorder="1" applyAlignment="1">
      <alignment horizontal="center"/>
    </xf>
    <xf numFmtId="0" fontId="0" fillId="21" borderId="23" xfId="0" applyFill="1" applyBorder="1" applyAlignment="1">
      <alignment horizontal="center"/>
    </xf>
    <xf numFmtId="0" fontId="0" fillId="21" borderId="30" xfId="0" applyFill="1" applyBorder="1" applyAlignment="1">
      <alignment horizontal="center"/>
    </xf>
    <xf numFmtId="0" fontId="0" fillId="21" borderId="4" xfId="0" applyFill="1" applyBorder="1" applyAlignment="1">
      <alignment horizontal="center"/>
    </xf>
    <xf numFmtId="0" fontId="0" fillId="21" borderId="5" xfId="0" applyFill="1" applyBorder="1" applyAlignment="1">
      <alignment horizontal="center"/>
    </xf>
    <xf numFmtId="0" fontId="0" fillId="21" borderId="43" xfId="0" applyFill="1" applyBorder="1" applyAlignment="1">
      <alignment horizontal="center"/>
    </xf>
    <xf numFmtId="0" fontId="0" fillId="21" borderId="42" xfId="0" applyFill="1" applyBorder="1" applyAlignment="1">
      <alignment horizontal="center"/>
    </xf>
    <xf numFmtId="0" fontId="0" fillId="21" borderId="42" xfId="0" applyFill="1" applyBorder="1"/>
    <xf numFmtId="0" fontId="20" fillId="21" borderId="7" xfId="0" applyFont="1" applyFill="1" applyBorder="1" applyAlignment="1">
      <alignment horizontal="right" wrapText="1"/>
    </xf>
    <xf numFmtId="0" fontId="0" fillId="14" borderId="1" xfId="0" applyFill="1" applyBorder="1" applyAlignment="1">
      <alignment horizontal="center"/>
    </xf>
    <xf numFmtId="0" fontId="20" fillId="14" borderId="1" xfId="0" applyFont="1" applyFill="1" applyBorder="1" applyAlignment="1">
      <alignment horizontal="right" wrapText="1"/>
    </xf>
    <xf numFmtId="0" fontId="20" fillId="14" borderId="1" xfId="0" applyFont="1" applyFill="1" applyBorder="1" applyAlignment="1">
      <alignment horizontal="center" wrapText="1"/>
    </xf>
    <xf numFmtId="2" fontId="0" fillId="14" borderId="1" xfId="0" applyNumberFormat="1" applyFill="1" applyBorder="1" applyAlignment="1">
      <alignment horizontal="center"/>
    </xf>
    <xf numFmtId="0" fontId="20" fillId="14" borderId="1" xfId="0" applyFont="1" applyFill="1" applyBorder="1" applyAlignment="1">
      <alignment horizontal="center"/>
    </xf>
    <xf numFmtId="0" fontId="0" fillId="21" borderId="1" xfId="0" applyFill="1" applyBorder="1" applyAlignment="1">
      <alignment horizontal="center"/>
    </xf>
    <xf numFmtId="0" fontId="20" fillId="21" borderId="23" xfId="0" applyFont="1" applyFill="1" applyBorder="1" applyAlignment="1">
      <alignment horizontal="center" wrapText="1"/>
    </xf>
    <xf numFmtId="0" fontId="0" fillId="21" borderId="0" xfId="0" applyFill="1" applyAlignment="1">
      <alignment horizontal="center"/>
    </xf>
    <xf numFmtId="0" fontId="0" fillId="21" borderId="0" xfId="0" applyFill="1" applyAlignment="1">
      <alignment horizontal="left" wrapText="1"/>
    </xf>
    <xf numFmtId="2" fontId="0" fillId="21" borderId="24" xfId="0" applyNumberFormat="1" applyFill="1" applyBorder="1" applyAlignment="1">
      <alignment horizontal="center" vertical="center"/>
    </xf>
    <xf numFmtId="2" fontId="0" fillId="21" borderId="30" xfId="0" applyNumberFormat="1" applyFill="1" applyBorder="1" applyAlignment="1">
      <alignment horizontal="center" vertical="center"/>
    </xf>
    <xf numFmtId="0" fontId="20" fillId="21" borderId="30" xfId="0" applyFont="1" applyFill="1" applyBorder="1" applyAlignment="1">
      <alignment horizontal="center" vertical="center" wrapText="1"/>
    </xf>
    <xf numFmtId="0" fontId="14" fillId="21" borderId="19" xfId="0" applyFont="1" applyFill="1" applyBorder="1" applyAlignment="1">
      <alignment horizontal="center"/>
    </xf>
    <xf numFmtId="0" fontId="13" fillId="21" borderId="30" xfId="0" applyFont="1" applyFill="1" applyBorder="1" applyAlignment="1">
      <alignment horizontal="center" wrapText="1"/>
    </xf>
    <xf numFmtId="0" fontId="14" fillId="21" borderId="20" xfId="0" applyFont="1" applyFill="1" applyBorder="1"/>
    <xf numFmtId="0" fontId="13" fillId="21" borderId="30" xfId="0" applyFont="1" applyFill="1" applyBorder="1" applyAlignment="1">
      <alignment horizontal="right" wrapText="1"/>
    </xf>
    <xf numFmtId="2" fontId="14" fillId="21" borderId="30" xfId="0" applyNumberFormat="1" applyFont="1" applyFill="1" applyBorder="1" applyAlignment="1">
      <alignment horizontal="center"/>
    </xf>
    <xf numFmtId="2" fontId="14" fillId="21" borderId="24" xfId="0" applyNumberFormat="1" applyFont="1" applyFill="1" applyBorder="1" applyAlignment="1">
      <alignment horizontal="center"/>
    </xf>
    <xf numFmtId="0" fontId="0" fillId="21" borderId="62" xfId="0" applyFill="1" applyBorder="1" applyAlignment="1">
      <alignment horizontal="center"/>
    </xf>
    <xf numFmtId="0" fontId="0" fillId="21" borderId="52" xfId="0" applyFill="1" applyBorder="1" applyAlignment="1">
      <alignment horizontal="center"/>
    </xf>
    <xf numFmtId="0" fontId="20" fillId="21" borderId="52" xfId="0" applyFont="1" applyFill="1" applyBorder="1" applyAlignment="1">
      <alignment horizontal="right" wrapText="1"/>
    </xf>
    <xf numFmtId="2" fontId="0" fillId="4" borderId="7" xfId="0" applyNumberFormat="1" applyFill="1" applyBorder="1" applyAlignment="1">
      <alignment horizontal="left" indent="4"/>
    </xf>
    <xf numFmtId="0" fontId="20" fillId="21" borderId="30" xfId="0" applyFont="1" applyFill="1" applyBorder="1" applyAlignment="1">
      <alignment horizontal="center" vertical="center"/>
    </xf>
    <xf numFmtId="0" fontId="0" fillId="21" borderId="32" xfId="0" applyFill="1" applyBorder="1" applyAlignment="1">
      <alignment horizontal="center"/>
    </xf>
    <xf numFmtId="0" fontId="0" fillId="21" borderId="22" xfId="0" applyFill="1" applyBorder="1"/>
    <xf numFmtId="0" fontId="0" fillId="14" borderId="23" xfId="0" applyFill="1" applyBorder="1" applyAlignment="1">
      <alignment horizontal="center"/>
    </xf>
    <xf numFmtId="0" fontId="0" fillId="14" borderId="30" xfId="0" applyFill="1" applyBorder="1" applyAlignment="1">
      <alignment horizontal="center"/>
    </xf>
    <xf numFmtId="0" fontId="20" fillId="14" borderId="30" xfId="0" applyFont="1" applyFill="1" applyBorder="1" applyAlignment="1">
      <alignment horizontal="center"/>
    </xf>
    <xf numFmtId="0" fontId="1" fillId="14" borderId="30" xfId="0" applyFont="1" applyFill="1" applyBorder="1" applyAlignment="1">
      <alignment horizontal="center"/>
    </xf>
    <xf numFmtId="0" fontId="1" fillId="14" borderId="24" xfId="0" applyFont="1" applyFill="1" applyBorder="1" applyAlignment="1">
      <alignment horizontal="center"/>
    </xf>
    <xf numFmtId="0" fontId="0" fillId="21" borderId="24" xfId="0" applyFill="1" applyBorder="1" applyAlignment="1">
      <alignment horizontal="center"/>
    </xf>
    <xf numFmtId="0" fontId="20" fillId="21" borderId="30" xfId="0" applyFont="1" applyFill="1" applyBorder="1" applyAlignment="1">
      <alignment horizontal="center"/>
    </xf>
    <xf numFmtId="0" fontId="1" fillId="22" borderId="4" xfId="0" applyFont="1" applyFill="1" applyBorder="1" applyAlignment="1">
      <alignment horizontal="center" vertical="center" wrapText="1"/>
    </xf>
    <xf numFmtId="0" fontId="0" fillId="4" borderId="4" xfId="0" applyFill="1" applyBorder="1" applyAlignment="1">
      <alignment horizontal="center" vertical="center" wrapText="1"/>
    </xf>
    <xf numFmtId="0" fontId="0" fillId="4" borderId="43" xfId="0" applyFill="1" applyBorder="1" applyAlignment="1">
      <alignment horizontal="center" vertical="center" wrapText="1"/>
    </xf>
    <xf numFmtId="0" fontId="0" fillId="0" borderId="43" xfId="0" applyBorder="1" applyAlignment="1">
      <alignment horizontal="center"/>
    </xf>
    <xf numFmtId="0" fontId="0" fillId="4" borderId="13" xfId="0" applyFill="1" applyBorder="1" applyAlignment="1">
      <alignment horizontal="center" vertical="center" wrapText="1"/>
    </xf>
    <xf numFmtId="0" fontId="0" fillId="0" borderId="43" xfId="0" applyBorder="1"/>
    <xf numFmtId="0" fontId="0" fillId="0" borderId="19" xfId="0" applyBorder="1"/>
    <xf numFmtId="0" fontId="0" fillId="0" borderId="4" xfId="0" applyBorder="1"/>
    <xf numFmtId="0" fontId="0" fillId="4" borderId="25" xfId="0" applyFill="1" applyBorder="1" applyAlignment="1">
      <alignment horizontal="center" vertical="center" wrapText="1"/>
    </xf>
    <xf numFmtId="0" fontId="0" fillId="0" borderId="49" xfId="0" applyBorder="1" applyAlignment="1">
      <alignment horizontal="center"/>
    </xf>
    <xf numFmtId="0" fontId="0" fillId="0" borderId="13" xfId="0" applyBorder="1" applyAlignment="1">
      <alignment horizontal="center"/>
    </xf>
    <xf numFmtId="0" fontId="0" fillId="0" borderId="49" xfId="0" applyBorder="1"/>
    <xf numFmtId="2" fontId="0" fillId="4" borderId="43" xfId="0" applyNumberFormat="1" applyFill="1" applyBorder="1" applyAlignment="1">
      <alignment horizontal="center" vertical="center" wrapText="1"/>
    </xf>
    <xf numFmtId="2" fontId="0" fillId="4" borderId="4" xfId="0" applyNumberFormat="1" applyFill="1" applyBorder="1" applyAlignment="1">
      <alignment horizontal="center" vertical="center" wrapText="1"/>
    </xf>
    <xf numFmtId="0" fontId="0" fillId="0" borderId="18" xfId="0" applyBorder="1"/>
    <xf numFmtId="0" fontId="0" fillId="0" borderId="13" xfId="0" applyBorder="1"/>
    <xf numFmtId="0" fontId="0" fillId="4" borderId="49" xfId="0" applyFill="1" applyBorder="1" applyAlignment="1">
      <alignment horizontal="center" vertical="center" wrapText="1"/>
    </xf>
    <xf numFmtId="0" fontId="0" fillId="0" borderId="37" xfId="0" applyBorder="1"/>
    <xf numFmtId="0" fontId="0" fillId="0" borderId="43" xfId="0" applyBorder="1" applyAlignment="1">
      <alignment horizontal="center" vertical="top"/>
    </xf>
    <xf numFmtId="0" fontId="0" fillId="21" borderId="37" xfId="0" applyFill="1" applyBorder="1" applyAlignment="1">
      <alignment horizontal="center"/>
    </xf>
    <xf numFmtId="0" fontId="0" fillId="14" borderId="4" xfId="0" applyFill="1" applyBorder="1"/>
    <xf numFmtId="0" fontId="20" fillId="14" borderId="4" xfId="0" applyFont="1" applyFill="1" applyBorder="1" applyAlignment="1">
      <alignment horizontal="center"/>
    </xf>
    <xf numFmtId="0" fontId="0" fillId="21" borderId="37" xfId="0" applyFill="1" applyBorder="1"/>
    <xf numFmtId="0" fontId="20" fillId="21" borderId="37" xfId="0" applyFont="1" applyFill="1" applyBorder="1" applyAlignment="1">
      <alignment horizontal="center" wrapText="1"/>
    </xf>
    <xf numFmtId="0" fontId="0" fillId="21" borderId="63" xfId="0" applyFill="1" applyBorder="1"/>
    <xf numFmtId="0" fontId="0" fillId="21" borderId="4" xfId="0" applyFill="1" applyBorder="1"/>
    <xf numFmtId="0" fontId="0" fillId="14" borderId="37" xfId="0" applyFill="1" applyBorder="1" applyAlignment="1">
      <alignment horizontal="center"/>
    </xf>
    <xf numFmtId="0" fontId="1" fillId="22" borderId="6" xfId="0" applyFont="1" applyFill="1" applyBorder="1" applyAlignment="1">
      <alignment horizontal="center" vertical="center" wrapText="1"/>
    </xf>
    <xf numFmtId="0" fontId="0" fillId="4" borderId="6" xfId="0" applyFill="1" applyBorder="1" applyAlignment="1">
      <alignment horizontal="center" vertical="center" wrapText="1"/>
    </xf>
    <xf numFmtId="0" fontId="0" fillId="4" borderId="28" xfId="0" applyFill="1" applyBorder="1" applyAlignment="1">
      <alignment horizontal="center" vertical="center" wrapText="1"/>
    </xf>
    <xf numFmtId="0" fontId="0" fillId="0" borderId="6" xfId="0" applyBorder="1" applyAlignment="1">
      <alignment horizontal="center"/>
    </xf>
    <xf numFmtId="0" fontId="0" fillId="4" borderId="14" xfId="0" applyFill="1" applyBorder="1" applyAlignment="1">
      <alignment horizontal="center" vertical="center" wrapText="1"/>
    </xf>
    <xf numFmtId="0" fontId="0" fillId="0" borderId="44" xfId="0" applyBorder="1" applyAlignment="1">
      <alignment horizontal="center"/>
    </xf>
    <xf numFmtId="0" fontId="0" fillId="0" borderId="45" xfId="0" applyBorder="1" applyAlignment="1">
      <alignment horizontal="center"/>
    </xf>
    <xf numFmtId="0" fontId="0" fillId="4" borderId="39" xfId="0" applyFill="1" applyBorder="1" applyAlignment="1">
      <alignment horizontal="center" vertical="center" wrapText="1"/>
    </xf>
    <xf numFmtId="0" fontId="20" fillId="4" borderId="39" xfId="0" applyFont="1" applyFill="1" applyBorder="1" applyAlignment="1">
      <alignment horizontal="right" wrapText="1"/>
    </xf>
    <xf numFmtId="0" fontId="0" fillId="4" borderId="27" xfId="0" applyFill="1" applyBorder="1" applyAlignment="1">
      <alignment horizontal="center" vertical="center" wrapText="1"/>
    </xf>
    <xf numFmtId="0" fontId="0" fillId="0" borderId="27" xfId="0" applyBorder="1" applyAlignment="1">
      <alignment horizontal="center"/>
    </xf>
    <xf numFmtId="0" fontId="0" fillId="0" borderId="6" xfId="0" applyBorder="1" applyAlignment="1">
      <alignment horizontal="center" wrapText="1"/>
    </xf>
    <xf numFmtId="0" fontId="0" fillId="0" borderId="14" xfId="0" applyBorder="1" applyAlignment="1">
      <alignment horizontal="center"/>
    </xf>
    <xf numFmtId="0" fontId="0" fillId="4" borderId="27" xfId="0" applyFill="1" applyBorder="1" applyAlignment="1">
      <alignment horizontal="center" wrapText="1"/>
    </xf>
    <xf numFmtId="0" fontId="20" fillId="4" borderId="29" xfId="0" applyFont="1" applyFill="1" applyBorder="1" applyAlignment="1">
      <alignment horizontal="right" wrapText="1"/>
    </xf>
    <xf numFmtId="0" fontId="20" fillId="4" borderId="44" xfId="0" applyFont="1" applyFill="1" applyBorder="1" applyAlignment="1">
      <alignment horizontal="right" wrapText="1"/>
    </xf>
    <xf numFmtId="0" fontId="0" fillId="4" borderId="40" xfId="0" applyFill="1" applyBorder="1" applyAlignment="1">
      <alignment horizontal="center" vertical="center" wrapText="1"/>
    </xf>
    <xf numFmtId="0" fontId="20" fillId="4" borderId="45" xfId="0" applyFont="1" applyFill="1" applyBorder="1" applyAlignment="1">
      <alignment horizontal="right" wrapText="1"/>
    </xf>
    <xf numFmtId="0" fontId="0" fillId="4" borderId="40" xfId="0" applyFill="1" applyBorder="1" applyAlignment="1">
      <alignment horizontal="right" wrapText="1"/>
    </xf>
    <xf numFmtId="0" fontId="0" fillId="4" borderId="14" xfId="0" applyFill="1" applyBorder="1" applyAlignment="1">
      <alignment horizontal="right" wrapText="1"/>
    </xf>
    <xf numFmtId="0" fontId="0" fillId="4" borderId="6" xfId="0" applyFill="1" applyBorder="1" applyAlignment="1">
      <alignment horizontal="right" wrapText="1"/>
    </xf>
    <xf numFmtId="0" fontId="0" fillId="4" borderId="40" xfId="0" applyFill="1" applyBorder="1" applyAlignment="1">
      <alignment horizontal="center" wrapText="1"/>
    </xf>
    <xf numFmtId="0" fontId="20" fillId="21" borderId="40" xfId="0" applyFont="1" applyFill="1" applyBorder="1" applyAlignment="1">
      <alignment horizontal="right" wrapText="1"/>
    </xf>
    <xf numFmtId="0" fontId="20" fillId="21" borderId="29" xfId="0" applyFont="1" applyFill="1" applyBorder="1" applyAlignment="1">
      <alignment horizontal="right" wrapText="1"/>
    </xf>
    <xf numFmtId="0" fontId="20" fillId="21" borderId="6" xfId="0" applyFont="1" applyFill="1" applyBorder="1" applyAlignment="1">
      <alignment horizontal="right" wrapText="1"/>
    </xf>
    <xf numFmtId="0" fontId="20" fillId="21" borderId="39" xfId="0" applyFont="1" applyFill="1" applyBorder="1" applyAlignment="1">
      <alignment horizontal="right" wrapText="1"/>
    </xf>
    <xf numFmtId="0" fontId="20" fillId="14" borderId="6" xfId="0" applyFont="1" applyFill="1" applyBorder="1" applyAlignment="1">
      <alignment horizontal="right" wrapText="1"/>
    </xf>
    <xf numFmtId="0" fontId="20" fillId="14" borderId="6" xfId="0" applyFont="1" applyFill="1" applyBorder="1" applyAlignment="1">
      <alignment horizontal="center"/>
    </xf>
    <xf numFmtId="0" fontId="20" fillId="21" borderId="29" xfId="0" applyFont="1" applyFill="1" applyBorder="1" applyAlignment="1">
      <alignment horizontal="center" wrapText="1"/>
    </xf>
    <xf numFmtId="0" fontId="13" fillId="21" borderId="29" xfId="0" applyFont="1" applyFill="1" applyBorder="1" applyAlignment="1">
      <alignment horizontal="right" wrapText="1"/>
    </xf>
    <xf numFmtId="0" fontId="20" fillId="21" borderId="44" xfId="0" applyFont="1" applyFill="1" applyBorder="1" applyAlignment="1">
      <alignment horizontal="right" wrapText="1"/>
    </xf>
    <xf numFmtId="0" fontId="0" fillId="14" borderId="29" xfId="0" applyFill="1" applyBorder="1" applyAlignment="1">
      <alignment horizontal="center"/>
    </xf>
    <xf numFmtId="0" fontId="13" fillId="21" borderId="1" xfId="0" applyFont="1" applyFill="1" applyBorder="1" applyAlignment="1">
      <alignment horizontal="right" wrapText="1"/>
    </xf>
    <xf numFmtId="0" fontId="1" fillId="19" borderId="3" xfId="0" applyFont="1" applyFill="1" applyBorder="1" applyAlignment="1">
      <alignment horizontal="center" vertical="center"/>
    </xf>
    <xf numFmtId="0" fontId="3" fillId="19" borderId="3" xfId="0" applyFont="1" applyFill="1" applyBorder="1" applyAlignment="1">
      <alignment horizontal="center" vertical="center" wrapText="1"/>
    </xf>
    <xf numFmtId="2" fontId="3" fillId="19" borderId="3" xfId="0" applyNumberFormat="1" applyFont="1" applyFill="1" applyBorder="1" applyAlignment="1">
      <alignment horizontal="center" vertical="center" wrapText="1"/>
    </xf>
    <xf numFmtId="0" fontId="3" fillId="19" borderId="7" xfId="0" applyFont="1" applyFill="1" applyBorder="1" applyAlignment="1">
      <alignment horizontal="center" vertical="center" wrapText="1"/>
    </xf>
    <xf numFmtId="0" fontId="0" fillId="21" borderId="30" xfId="0" applyFill="1" applyBorder="1"/>
    <xf numFmtId="0" fontId="0" fillId="21" borderId="41" xfId="0" applyFill="1" applyBorder="1" applyAlignment="1">
      <alignment horizontal="left"/>
    </xf>
    <xf numFmtId="2" fontId="0" fillId="21" borderId="37" xfId="0" applyNumberFormat="1" applyFill="1" applyBorder="1" applyAlignment="1">
      <alignment horizontal="center"/>
    </xf>
    <xf numFmtId="0" fontId="0" fillId="0" borderId="0" xfId="0" applyAlignment="1">
      <alignment horizontal="left" vertical="top" wrapText="1"/>
    </xf>
    <xf numFmtId="2" fontId="0" fillId="4" borderId="28" xfId="0" applyNumberFormat="1" applyFill="1" applyBorder="1" applyAlignment="1">
      <alignment horizontal="center" vertical="center"/>
    </xf>
    <xf numFmtId="2" fontId="0" fillId="4" borderId="14" xfId="0" applyNumberFormat="1" applyFill="1" applyBorder="1" applyAlignment="1">
      <alignment horizontal="center" vertical="center"/>
    </xf>
    <xf numFmtId="2" fontId="0" fillId="21" borderId="1" xfId="0" applyNumberFormat="1" applyFill="1" applyBorder="1" applyAlignment="1">
      <alignment horizontal="center" vertical="center"/>
    </xf>
    <xf numFmtId="0" fontId="20" fillId="4" borderId="5" xfId="0" applyFont="1" applyFill="1" applyBorder="1"/>
    <xf numFmtId="0" fontId="20" fillId="4" borderId="6" xfId="0" applyFont="1" applyFill="1" applyBorder="1"/>
    <xf numFmtId="0" fontId="0" fillId="21" borderId="52" xfId="0" applyFill="1" applyBorder="1"/>
    <xf numFmtId="0" fontId="20" fillId="21" borderId="1" xfId="0" applyFont="1" applyFill="1" applyBorder="1"/>
    <xf numFmtId="0" fontId="20" fillId="21" borderId="30" xfId="0" applyFont="1" applyFill="1" applyBorder="1"/>
    <xf numFmtId="0" fontId="20" fillId="21" borderId="20" xfId="0" applyFont="1" applyFill="1" applyBorder="1"/>
    <xf numFmtId="0" fontId="20" fillId="21" borderId="29" xfId="0" applyFont="1" applyFill="1" applyBorder="1"/>
    <xf numFmtId="0" fontId="20" fillId="4" borderId="30" xfId="0" applyFont="1" applyFill="1" applyBorder="1"/>
    <xf numFmtId="0" fontId="20" fillId="4" borderId="20" xfId="0" applyFont="1" applyFill="1" applyBorder="1"/>
    <xf numFmtId="0" fontId="20" fillId="4" borderId="29" xfId="0" applyFont="1" applyFill="1" applyBorder="1"/>
    <xf numFmtId="0" fontId="0" fillId="4" borderId="38" xfId="0" applyFill="1" applyBorder="1" applyAlignment="1">
      <alignment horizontal="center" vertical="center" wrapText="1"/>
    </xf>
    <xf numFmtId="2" fontId="0" fillId="4" borderId="38" xfId="0" applyNumberFormat="1" applyFill="1" applyBorder="1" applyAlignment="1">
      <alignment horizontal="center" vertical="center" wrapText="1"/>
    </xf>
    <xf numFmtId="0" fontId="20" fillId="4" borderId="31" xfId="0" applyFont="1" applyFill="1" applyBorder="1"/>
    <xf numFmtId="0" fontId="20" fillId="4" borderId="45" xfId="0" applyFont="1" applyFill="1" applyBorder="1"/>
    <xf numFmtId="2" fontId="0" fillId="21" borderId="17" xfId="0" applyNumberFormat="1" applyFill="1" applyBorder="1" applyAlignment="1">
      <alignment horizontal="center" vertical="center"/>
    </xf>
    <xf numFmtId="0" fontId="0" fillId="4" borderId="66" xfId="0" applyFill="1" applyBorder="1" applyAlignment="1">
      <alignment horizontal="center" vertical="center" wrapText="1"/>
    </xf>
    <xf numFmtId="0" fontId="0" fillId="4" borderId="9" xfId="0" applyFill="1" applyBorder="1" applyAlignment="1">
      <alignment horizontal="center" vertical="center" wrapText="1"/>
    </xf>
    <xf numFmtId="0" fontId="0" fillId="4" borderId="66" xfId="0" applyFill="1" applyBorder="1" applyAlignment="1">
      <alignment horizontal="center"/>
    </xf>
    <xf numFmtId="2" fontId="0" fillId="4" borderId="45" xfId="0" applyNumberFormat="1" applyFill="1" applyBorder="1" applyAlignment="1">
      <alignment horizontal="center" vertical="center"/>
    </xf>
    <xf numFmtId="0" fontId="0" fillId="4" borderId="6" xfId="0" applyFill="1" applyBorder="1" applyAlignment="1">
      <alignment horizontal="center"/>
    </xf>
    <xf numFmtId="0" fontId="0" fillId="4" borderId="39" xfId="0" applyFill="1" applyBorder="1" applyAlignment="1">
      <alignment horizontal="center"/>
    </xf>
    <xf numFmtId="0" fontId="20" fillId="21" borderId="5" xfId="0" applyFont="1" applyFill="1" applyBorder="1"/>
    <xf numFmtId="0" fontId="20" fillId="21" borderId="6" xfId="0" applyFont="1" applyFill="1" applyBorder="1"/>
    <xf numFmtId="0" fontId="0" fillId="0" borderId="2" xfId="0" applyBorder="1" applyAlignment="1">
      <alignment vertical="center" wrapText="1"/>
    </xf>
    <xf numFmtId="0" fontId="0" fillId="21" borderId="2" xfId="0" applyFill="1" applyBorder="1" applyAlignment="1">
      <alignment horizontal="center" vertical="center" wrapText="1"/>
    </xf>
    <xf numFmtId="0" fontId="0" fillId="21" borderId="3" xfId="0" applyFill="1" applyBorder="1" applyAlignment="1">
      <alignment vertical="center"/>
    </xf>
    <xf numFmtId="0" fontId="0" fillId="0" borderId="56" xfId="0" applyBorder="1" applyAlignment="1">
      <alignment horizontal="center" vertical="center" wrapText="1"/>
    </xf>
    <xf numFmtId="0" fontId="0" fillId="21" borderId="67" xfId="0" applyFill="1" applyBorder="1" applyAlignment="1">
      <alignment horizontal="center" vertical="center" wrapText="1"/>
    </xf>
    <xf numFmtId="2" fontId="0" fillId="21" borderId="4" xfId="0" applyNumberFormat="1" applyFill="1" applyBorder="1" applyAlignment="1">
      <alignment horizontal="center"/>
    </xf>
    <xf numFmtId="0" fontId="0" fillId="21" borderId="1" xfId="0" applyFill="1" applyBorder="1" applyAlignment="1">
      <alignment horizontal="left"/>
    </xf>
    <xf numFmtId="0" fontId="0" fillId="21" borderId="68" xfId="0" applyFill="1" applyBorder="1" applyAlignment="1">
      <alignment horizontal="center"/>
    </xf>
    <xf numFmtId="0" fontId="0" fillId="21" borderId="3" xfId="0" applyFill="1" applyBorder="1" applyAlignment="1">
      <alignment horizontal="center"/>
    </xf>
    <xf numFmtId="0" fontId="20" fillId="21" borderId="3" xfId="0" applyFont="1" applyFill="1" applyBorder="1" applyAlignment="1">
      <alignment horizontal="center"/>
    </xf>
    <xf numFmtId="4" fontId="0" fillId="21" borderId="67" xfId="0" applyNumberFormat="1" applyFill="1" applyBorder="1" applyAlignment="1">
      <alignment horizontal="center"/>
    </xf>
    <xf numFmtId="0" fontId="0" fillId="21" borderId="8" xfId="0" applyFill="1" applyBorder="1" applyAlignment="1">
      <alignment horizontal="center"/>
    </xf>
    <xf numFmtId="0" fontId="20" fillId="21" borderId="0" xfId="0" applyFont="1" applyFill="1" applyAlignment="1">
      <alignment horizontal="center"/>
    </xf>
    <xf numFmtId="0" fontId="0" fillId="21" borderId="36" xfId="0" applyFill="1" applyBorder="1" applyAlignment="1">
      <alignment horizontal="center"/>
    </xf>
    <xf numFmtId="0" fontId="0" fillId="4" borderId="1" xfId="0" applyFill="1" applyBorder="1"/>
    <xf numFmtId="0" fontId="20" fillId="14" borderId="30" xfId="0" applyFont="1" applyFill="1" applyBorder="1" applyAlignment="1">
      <alignment horizontal="center" wrapText="1"/>
    </xf>
    <xf numFmtId="2" fontId="0" fillId="14" borderId="30" xfId="0" applyNumberFormat="1" applyFill="1" applyBorder="1" applyAlignment="1">
      <alignment horizontal="center" vertical="center"/>
    </xf>
    <xf numFmtId="2" fontId="0" fillId="14" borderId="24" xfId="0" applyNumberFormat="1" applyFill="1" applyBorder="1" applyAlignment="1">
      <alignment horizontal="center"/>
    </xf>
    <xf numFmtId="0" fontId="20" fillId="14" borderId="30" xfId="0" applyFont="1" applyFill="1" applyBorder="1"/>
    <xf numFmtId="0" fontId="10" fillId="8" borderId="21" xfId="1" applyFont="1" applyFill="1" applyBorder="1" applyAlignment="1">
      <alignment horizontal="center" vertical="center"/>
    </xf>
    <xf numFmtId="0" fontId="0" fillId="4" borderId="0" xfId="0" applyFill="1" applyAlignment="1">
      <alignment vertical="center"/>
    </xf>
    <xf numFmtId="0" fontId="0" fillId="8" borderId="21" xfId="1" applyFont="1" applyFill="1" applyBorder="1" applyAlignment="1">
      <alignment horizontal="center" vertical="center"/>
    </xf>
    <xf numFmtId="0" fontId="0" fillId="8" borderId="0" xfId="1" applyFont="1" applyFill="1" applyBorder="1" applyAlignment="1">
      <alignment vertical="center"/>
    </xf>
    <xf numFmtId="2" fontId="0" fillId="14" borderId="1" xfId="0" applyNumberFormat="1" applyFill="1" applyBorder="1" applyAlignment="1">
      <alignment horizontal="center" vertical="center"/>
    </xf>
    <xf numFmtId="0" fontId="20" fillId="14" borderId="1" xfId="0" applyFont="1" applyFill="1" applyBorder="1"/>
    <xf numFmtId="2" fontId="6" fillId="4" borderId="4" xfId="0" applyNumberFormat="1" applyFont="1" applyFill="1" applyBorder="1" applyAlignment="1">
      <alignment horizontal="center" vertical="center"/>
    </xf>
    <xf numFmtId="2" fontId="6" fillId="4" borderId="4" xfId="0" applyNumberFormat="1" applyFont="1" applyFill="1" applyBorder="1" applyAlignment="1">
      <alignment horizontal="center" vertical="top"/>
    </xf>
    <xf numFmtId="0" fontId="4" fillId="44" borderId="33" xfId="0" applyFont="1" applyFill="1" applyBorder="1" applyAlignment="1">
      <alignment horizontal="center" vertical="center"/>
    </xf>
    <xf numFmtId="164" fontId="1" fillId="2" borderId="64" xfId="0" applyNumberFormat="1" applyFont="1" applyFill="1" applyBorder="1" applyAlignment="1">
      <alignment horizontal="center" vertical="center" wrapText="1"/>
    </xf>
    <xf numFmtId="164" fontId="4" fillId="44" borderId="64" xfId="0" applyNumberFormat="1" applyFont="1" applyFill="1" applyBorder="1" applyAlignment="1">
      <alignment horizontal="center" vertical="center"/>
    </xf>
    <xf numFmtId="164" fontId="6" fillId="2" borderId="64" xfId="0" applyNumberFormat="1" applyFont="1" applyFill="1" applyBorder="1" applyAlignment="1">
      <alignment horizontal="center" vertical="center" wrapText="1"/>
    </xf>
    <xf numFmtId="2" fontId="0" fillId="11" borderId="33" xfId="0" applyNumberFormat="1" applyFill="1" applyBorder="1" applyAlignment="1">
      <alignment horizontal="center" vertical="center" wrapText="1"/>
    </xf>
    <xf numFmtId="0" fontId="0" fillId="11" borderId="70" xfId="0" applyFill="1" applyBorder="1" applyAlignment="1">
      <alignment horizontal="center" vertical="center"/>
    </xf>
    <xf numFmtId="0" fontId="0" fillId="11" borderId="69" xfId="0" applyFill="1" applyBorder="1" applyAlignment="1">
      <alignment horizontal="center" vertical="center"/>
    </xf>
    <xf numFmtId="0" fontId="0" fillId="11" borderId="26" xfId="0" applyFill="1" applyBorder="1" applyAlignment="1">
      <alignment horizontal="center" vertical="center"/>
    </xf>
    <xf numFmtId="0" fontId="0" fillId="11" borderId="5" xfId="0" applyFill="1" applyBorder="1" applyAlignment="1">
      <alignment horizontal="center" vertical="center"/>
    </xf>
    <xf numFmtId="164" fontId="6" fillId="17" borderId="64" xfId="0" applyNumberFormat="1" applyFont="1" applyFill="1" applyBorder="1" applyAlignment="1">
      <alignment horizontal="center" vertical="center" wrapText="1"/>
    </xf>
    <xf numFmtId="0" fontId="0" fillId="21" borderId="61" xfId="0" applyFill="1" applyBorder="1" applyAlignment="1">
      <alignment horizontal="center"/>
    </xf>
    <xf numFmtId="0" fontId="20" fillId="21" borderId="20" xfId="0" applyFont="1" applyFill="1" applyBorder="1" applyAlignment="1">
      <alignment horizontal="center"/>
    </xf>
    <xf numFmtId="0" fontId="0" fillId="21" borderId="22" xfId="0" applyFill="1" applyBorder="1" applyAlignment="1">
      <alignment horizontal="center"/>
    </xf>
    <xf numFmtId="0" fontId="20" fillId="21" borderId="22" xfId="0" applyFont="1" applyFill="1" applyBorder="1"/>
    <xf numFmtId="0" fontId="20" fillId="21" borderId="44" xfId="0" applyFont="1" applyFill="1" applyBorder="1"/>
    <xf numFmtId="2" fontId="0" fillId="21" borderId="52" xfId="0" applyNumberFormat="1" applyFill="1" applyBorder="1" applyAlignment="1">
      <alignment horizontal="center" vertical="center"/>
    </xf>
    <xf numFmtId="2" fontId="0" fillId="0" borderId="0" xfId="0" applyNumberFormat="1"/>
    <xf numFmtId="0" fontId="20" fillId="21" borderId="52" xfId="0" applyFont="1" applyFill="1" applyBorder="1"/>
    <xf numFmtId="2" fontId="0" fillId="4" borderId="7" xfId="0" applyNumberFormat="1" applyFill="1" applyBorder="1" applyAlignment="1">
      <alignment horizontal="center" vertical="center"/>
    </xf>
    <xf numFmtId="0" fontId="14" fillId="21" borderId="23" xfId="0" applyFont="1" applyFill="1" applyBorder="1" applyAlignment="1">
      <alignment horizontal="center"/>
    </xf>
    <xf numFmtId="0" fontId="13" fillId="21" borderId="30" xfId="0" applyFont="1" applyFill="1" applyBorder="1"/>
    <xf numFmtId="2" fontId="14" fillId="21" borderId="30" xfId="0" applyNumberFormat="1" applyFont="1" applyFill="1" applyBorder="1" applyAlignment="1">
      <alignment horizontal="center" vertical="center"/>
    </xf>
    <xf numFmtId="2" fontId="0" fillId="4" borderId="1" xfId="0" applyNumberFormat="1" applyFill="1" applyBorder="1" applyAlignment="1">
      <alignment horizontal="center" vertical="top"/>
    </xf>
    <xf numFmtId="0" fontId="0" fillId="4" borderId="0" xfId="0" applyFill="1" applyAlignment="1">
      <alignment horizontal="center"/>
    </xf>
    <xf numFmtId="0" fontId="20" fillId="21" borderId="19" xfId="0" applyFont="1" applyFill="1" applyBorder="1"/>
    <xf numFmtId="0" fontId="10" fillId="8" borderId="0" xfId="0" applyFont="1" applyFill="1" applyAlignment="1">
      <alignment vertical="top"/>
    </xf>
    <xf numFmtId="0" fontId="1" fillId="21" borderId="19" xfId="0" applyFont="1" applyFill="1" applyBorder="1" applyAlignment="1">
      <alignment horizontal="center"/>
    </xf>
    <xf numFmtId="0" fontId="1" fillId="21" borderId="20" xfId="0" applyFont="1" applyFill="1" applyBorder="1" applyAlignment="1">
      <alignment horizontal="center"/>
    </xf>
    <xf numFmtId="0" fontId="1" fillId="21" borderId="30" xfId="0" applyFont="1" applyFill="1" applyBorder="1" applyAlignment="1">
      <alignment horizontal="center"/>
    </xf>
    <xf numFmtId="0" fontId="1" fillId="21" borderId="61" xfId="0" applyFont="1" applyFill="1" applyBorder="1" applyAlignment="1">
      <alignment horizontal="center"/>
    </xf>
    <xf numFmtId="0" fontId="20" fillId="21" borderId="23" xfId="0" applyFont="1" applyFill="1" applyBorder="1" applyAlignment="1">
      <alignment horizontal="center"/>
    </xf>
    <xf numFmtId="0" fontId="20" fillId="4" borderId="0" xfId="0" applyFont="1" applyFill="1" applyAlignment="1">
      <alignment horizontal="left"/>
    </xf>
    <xf numFmtId="0" fontId="20" fillId="4" borderId="0" xfId="0" applyFont="1" applyFill="1" applyAlignment="1">
      <alignment horizontal="center"/>
    </xf>
    <xf numFmtId="0" fontId="1" fillId="21" borderId="41" xfId="0" applyFont="1" applyFill="1" applyBorder="1" applyAlignment="1">
      <alignment horizontal="center" vertical="top"/>
    </xf>
    <xf numFmtId="2" fontId="0" fillId="21" borderId="24" xfId="0" applyNumberFormat="1" applyFill="1" applyBorder="1" applyAlignment="1">
      <alignment horizontal="left" vertical="top"/>
    </xf>
    <xf numFmtId="0" fontId="20" fillId="21" borderId="29" xfId="0" applyFont="1" applyFill="1" applyBorder="1" applyAlignment="1">
      <alignment horizontal="center"/>
    </xf>
    <xf numFmtId="2" fontId="0" fillId="21" borderId="61" xfId="0" applyNumberFormat="1" applyFill="1" applyBorder="1" applyAlignment="1">
      <alignment horizontal="center"/>
    </xf>
    <xf numFmtId="2" fontId="0" fillId="21" borderId="29" xfId="0" applyNumberFormat="1" applyFill="1" applyBorder="1" applyAlignment="1">
      <alignment horizontal="center" vertical="center"/>
    </xf>
    <xf numFmtId="0" fontId="20" fillId="21" borderId="24" xfId="0" applyFont="1" applyFill="1" applyBorder="1" applyAlignment="1">
      <alignment horizontal="center" wrapText="1"/>
    </xf>
    <xf numFmtId="0" fontId="0" fillId="21" borderId="19" xfId="0" applyFill="1" applyBorder="1" applyAlignment="1">
      <alignment horizontal="left" vertical="center"/>
    </xf>
    <xf numFmtId="0" fontId="20" fillId="21" borderId="20" xfId="0" applyFont="1" applyFill="1" applyBorder="1" applyAlignment="1">
      <alignment horizontal="left" vertical="center"/>
    </xf>
    <xf numFmtId="0" fontId="20" fillId="21" borderId="29" xfId="0" applyFont="1" applyFill="1" applyBorder="1" applyAlignment="1">
      <alignment horizontal="left" vertical="center"/>
    </xf>
    <xf numFmtId="0" fontId="20" fillId="21" borderId="30" xfId="0" applyFont="1" applyFill="1" applyBorder="1" applyAlignment="1">
      <alignment horizontal="left" vertical="center" wrapText="1"/>
    </xf>
    <xf numFmtId="2" fontId="0" fillId="21" borderId="30" xfId="0" applyNumberFormat="1" applyFill="1" applyBorder="1" applyAlignment="1">
      <alignment horizontal="left" vertical="center"/>
    </xf>
    <xf numFmtId="2" fontId="0" fillId="21" borderId="24" xfId="0" applyNumberFormat="1" applyFill="1" applyBorder="1" applyAlignment="1">
      <alignment horizontal="left" vertical="center"/>
    </xf>
    <xf numFmtId="0" fontId="0" fillId="0" borderId="0" xfId="0" applyAlignment="1">
      <alignment horizontal="left" vertical="center"/>
    </xf>
    <xf numFmtId="0" fontId="0" fillId="0" borderId="0" xfId="0" applyAlignment="1">
      <alignment horizontal="left" vertical="top"/>
    </xf>
    <xf numFmtId="0" fontId="1" fillId="21" borderId="29" xfId="0" applyFont="1" applyFill="1" applyBorder="1" applyAlignment="1">
      <alignment horizontal="left" vertical="top" wrapText="1"/>
    </xf>
    <xf numFmtId="1" fontId="0" fillId="11" borderId="33" xfId="0" applyNumberFormat="1" applyFill="1" applyBorder="1" applyAlignment="1">
      <alignment horizontal="center" vertical="center" wrapText="1"/>
    </xf>
    <xf numFmtId="1" fontId="18" fillId="0" borderId="33" xfId="0" applyNumberFormat="1" applyFont="1" applyBorder="1" applyAlignment="1">
      <alignment horizontal="center" vertical="center" wrapText="1"/>
    </xf>
    <xf numFmtId="1" fontId="0" fillId="11" borderId="71" xfId="0" applyNumberFormat="1" applyFill="1" applyBorder="1" applyAlignment="1">
      <alignment horizontal="center" vertical="center" wrapText="1"/>
    </xf>
    <xf numFmtId="1" fontId="0" fillId="44" borderId="33" xfId="0" applyNumberFormat="1" applyFill="1" applyBorder="1" applyAlignment="1">
      <alignment horizontal="center" vertical="center"/>
    </xf>
    <xf numFmtId="1" fontId="0" fillId="2" borderId="71" xfId="0" applyNumberFormat="1" applyFill="1" applyBorder="1" applyAlignment="1">
      <alignment horizontal="center" vertical="center" wrapText="1"/>
    </xf>
    <xf numFmtId="1" fontId="0" fillId="44" borderId="64" xfId="0" applyNumberFormat="1" applyFill="1" applyBorder="1" applyAlignment="1">
      <alignment horizontal="center"/>
    </xf>
    <xf numFmtId="1" fontId="0" fillId="11" borderId="64" xfId="0" applyNumberFormat="1" applyFill="1" applyBorder="1" applyAlignment="1">
      <alignment horizontal="center" vertical="center"/>
    </xf>
    <xf numFmtId="1" fontId="0" fillId="11" borderId="33" xfId="0" applyNumberFormat="1" applyFill="1" applyBorder="1" applyAlignment="1">
      <alignment horizontal="center" vertical="center"/>
    </xf>
    <xf numFmtId="1" fontId="14" fillId="17" borderId="64" xfId="0" applyNumberFormat="1" applyFont="1" applyFill="1" applyBorder="1" applyAlignment="1">
      <alignment horizontal="center" vertical="center" wrapText="1"/>
    </xf>
    <xf numFmtId="1" fontId="0" fillId="11" borderId="69" xfId="0" applyNumberFormat="1" applyFill="1" applyBorder="1" applyAlignment="1">
      <alignment horizontal="center" vertical="center"/>
    </xf>
    <xf numFmtId="1" fontId="0" fillId="11" borderId="60" xfId="0" applyNumberFormat="1" applyFill="1" applyBorder="1" applyAlignment="1">
      <alignment horizontal="center" vertical="center"/>
    </xf>
    <xf numFmtId="1" fontId="1" fillId="21" borderId="14" xfId="0" applyNumberFormat="1" applyFont="1" applyFill="1" applyBorder="1" applyAlignment="1">
      <alignment horizontal="center" vertical="center"/>
    </xf>
    <xf numFmtId="1" fontId="0" fillId="21" borderId="2" xfId="0" applyNumberFormat="1" applyFill="1" applyBorder="1" applyAlignment="1">
      <alignment horizontal="center" vertical="center"/>
    </xf>
    <xf numFmtId="1" fontId="19" fillId="0" borderId="14" xfId="0" applyNumberFormat="1" applyFont="1" applyBorder="1" applyAlignment="1">
      <alignment horizontal="center" vertic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xf numFmtId="1" fontId="0" fillId="4" borderId="48" xfId="0" applyNumberFormat="1" applyFill="1" applyBorder="1" applyAlignment="1">
      <alignment horizontal="center"/>
    </xf>
    <xf numFmtId="1" fontId="0" fillId="4" borderId="4" xfId="0" applyNumberFormat="1" applyFill="1" applyBorder="1" applyAlignment="1">
      <alignment horizontal="center"/>
    </xf>
    <xf numFmtId="1" fontId="0" fillId="4" borderId="2" xfId="0" applyNumberFormat="1" applyFill="1" applyBorder="1" applyAlignment="1">
      <alignment horizontal="center" vertical="center" wrapText="1"/>
    </xf>
    <xf numFmtId="1" fontId="0" fillId="4" borderId="3" xfId="0" applyNumberFormat="1" applyFill="1" applyBorder="1" applyAlignment="1">
      <alignment horizontal="center" vertical="center" wrapText="1"/>
    </xf>
    <xf numFmtId="1" fontId="0" fillId="4" borderId="7" xfId="0" applyNumberFormat="1" applyFill="1" applyBorder="1" applyAlignment="1">
      <alignment horizontal="center" vertical="center" wrapText="1"/>
    </xf>
    <xf numFmtId="1" fontId="0" fillId="4" borderId="7" xfId="0" applyNumberFormat="1" applyFill="1" applyBorder="1" applyAlignment="1">
      <alignment horizontal="center"/>
    </xf>
    <xf numFmtId="1" fontId="0" fillId="0" borderId="1" xfId="0" applyNumberFormat="1" applyBorder="1" applyAlignment="1">
      <alignment horizontal="center"/>
    </xf>
    <xf numFmtId="1" fontId="0" fillId="0" borderId="7" xfId="0" applyNumberFormat="1" applyBorder="1" applyAlignment="1">
      <alignment horizontal="center"/>
    </xf>
    <xf numFmtId="1" fontId="0" fillId="4" borderId="42" xfId="0" applyNumberFormat="1" applyFill="1" applyBorder="1" applyAlignment="1">
      <alignment horizontal="center" vertical="center" wrapText="1"/>
    </xf>
    <xf numFmtId="1" fontId="0" fillId="4" borderId="42" xfId="0" applyNumberFormat="1" applyFill="1" applyBorder="1" applyAlignment="1">
      <alignment horizontal="center"/>
    </xf>
    <xf numFmtId="1" fontId="0" fillId="4" borderId="7" xfId="0" applyNumberFormat="1" applyFill="1" applyBorder="1" applyAlignment="1">
      <alignment horizontal="center" vertical="center"/>
    </xf>
    <xf numFmtId="1" fontId="0" fillId="4" borderId="12" xfId="0" applyNumberFormat="1" applyFill="1" applyBorder="1" applyAlignment="1">
      <alignment horizontal="center"/>
    </xf>
    <xf numFmtId="1" fontId="20" fillId="21" borderId="20" xfId="0" applyNumberFormat="1" applyFont="1" applyFill="1" applyBorder="1"/>
    <xf numFmtId="1" fontId="20" fillId="21" borderId="29" xfId="0" applyNumberFormat="1" applyFont="1" applyFill="1" applyBorder="1"/>
    <xf numFmtId="1" fontId="20" fillId="21" borderId="30" xfId="0" applyNumberFormat="1" applyFont="1" applyFill="1" applyBorder="1" applyAlignment="1">
      <alignment horizontal="center" wrapText="1"/>
    </xf>
    <xf numFmtId="1" fontId="0" fillId="21" borderId="30" xfId="0" applyNumberFormat="1" applyFill="1" applyBorder="1" applyAlignment="1">
      <alignment horizontal="center" vertical="center"/>
    </xf>
    <xf numFmtId="1" fontId="0" fillId="21" borderId="24" xfId="0" applyNumberFormat="1" applyFill="1" applyBorder="1" applyAlignment="1">
      <alignment horizontal="center"/>
    </xf>
    <xf numFmtId="0" fontId="17" fillId="8" borderId="21" xfId="0" applyFont="1" applyFill="1" applyBorder="1" applyAlignment="1">
      <alignment vertical="top"/>
    </xf>
    <xf numFmtId="0" fontId="17" fillId="8" borderId="28" xfId="0" applyFont="1" applyFill="1" applyBorder="1" applyAlignment="1">
      <alignment vertical="top"/>
    </xf>
    <xf numFmtId="0" fontId="17" fillId="8" borderId="13" xfId="0" applyFont="1" applyFill="1" applyBorder="1" applyAlignment="1">
      <alignment vertical="top"/>
    </xf>
    <xf numFmtId="0" fontId="17" fillId="8" borderId="14" xfId="0" applyFont="1" applyFill="1" applyBorder="1" applyAlignment="1">
      <alignment vertical="top"/>
    </xf>
    <xf numFmtId="1" fontId="0" fillId="21" borderId="29" xfId="0" applyNumberFormat="1" applyFill="1" applyBorder="1"/>
    <xf numFmtId="1" fontId="0" fillId="21" borderId="29" xfId="0" applyNumberFormat="1" applyFill="1" applyBorder="1" applyAlignment="1">
      <alignment horizontal="center" vertical="center"/>
    </xf>
    <xf numFmtId="1" fontId="20" fillId="21" borderId="24" xfId="0" applyNumberFormat="1" applyFont="1" applyFill="1" applyBorder="1" applyAlignment="1">
      <alignment horizontal="center" wrapText="1"/>
    </xf>
    <xf numFmtId="0" fontId="0" fillId="4" borderId="0" xfId="0" applyFill="1" applyAlignment="1">
      <alignment horizontal="left"/>
    </xf>
    <xf numFmtId="1" fontId="20" fillId="21" borderId="20" xfId="0" applyNumberFormat="1" applyFont="1" applyFill="1" applyBorder="1" applyAlignment="1">
      <alignment horizontal="center" wrapText="1"/>
    </xf>
    <xf numFmtId="1" fontId="0" fillId="21" borderId="20" xfId="0" applyNumberFormat="1" applyFill="1" applyBorder="1" applyAlignment="1">
      <alignment horizontal="center" vertical="center"/>
    </xf>
    <xf numFmtId="1" fontId="0" fillId="21" borderId="61" xfId="0" applyNumberFormat="1" applyFill="1" applyBorder="1" applyAlignment="1">
      <alignment horizontal="center"/>
    </xf>
    <xf numFmtId="1" fontId="20" fillId="21" borderId="22" xfId="0" applyNumberFormat="1" applyFont="1" applyFill="1" applyBorder="1"/>
    <xf numFmtId="1" fontId="20" fillId="21" borderId="44" xfId="0" applyNumberFormat="1" applyFont="1" applyFill="1" applyBorder="1"/>
    <xf numFmtId="1" fontId="20" fillId="21" borderId="52" xfId="0" applyNumberFormat="1" applyFont="1" applyFill="1" applyBorder="1" applyAlignment="1">
      <alignment horizontal="center" wrapText="1"/>
    </xf>
    <xf numFmtId="1" fontId="0" fillId="21" borderId="52" xfId="0" applyNumberFormat="1" applyFill="1" applyBorder="1" applyAlignment="1">
      <alignment horizontal="center" vertical="center"/>
    </xf>
    <xf numFmtId="1" fontId="0" fillId="21" borderId="57" xfId="0" applyNumberFormat="1" applyFill="1" applyBorder="1" applyAlignment="1">
      <alignment horizontal="center"/>
    </xf>
    <xf numFmtId="1" fontId="26" fillId="21" borderId="29" xfId="0" applyNumberFormat="1" applyFont="1" applyFill="1" applyBorder="1"/>
    <xf numFmtId="164" fontId="6" fillId="11" borderId="60" xfId="0" applyNumberFormat="1" applyFont="1" applyFill="1" applyBorder="1" applyAlignment="1">
      <alignment horizontal="center" vertical="center" wrapText="1"/>
    </xf>
    <xf numFmtId="1" fontId="20" fillId="45" borderId="20" xfId="0" applyNumberFormat="1" applyFont="1" applyFill="1" applyBorder="1"/>
    <xf numFmtId="1" fontId="20" fillId="45" borderId="29" xfId="0" applyNumberFormat="1" applyFont="1" applyFill="1" applyBorder="1"/>
    <xf numFmtId="1" fontId="20" fillId="45" borderId="30" xfId="0" applyNumberFormat="1" applyFont="1" applyFill="1" applyBorder="1" applyAlignment="1">
      <alignment horizontal="center" wrapText="1"/>
    </xf>
    <xf numFmtId="1" fontId="0" fillId="45" borderId="30" xfId="0" applyNumberFormat="1" applyFill="1" applyBorder="1" applyAlignment="1">
      <alignment horizontal="center" vertical="center"/>
    </xf>
    <xf numFmtId="1" fontId="0" fillId="45" borderId="24" xfId="0" applyNumberFormat="1" applyFill="1" applyBorder="1" applyAlignment="1">
      <alignment horizontal="center"/>
    </xf>
    <xf numFmtId="0" fontId="0" fillId="45" borderId="19" xfId="0" applyFill="1" applyBorder="1" applyAlignment="1">
      <alignment horizontal="center"/>
    </xf>
    <xf numFmtId="0" fontId="0" fillId="11" borderId="33" xfId="0" applyFill="1" applyBorder="1" applyAlignment="1">
      <alignment horizontal="center" vertical="center"/>
    </xf>
    <xf numFmtId="0" fontId="0" fillId="11" borderId="64" xfId="0" applyFill="1" applyBorder="1" applyAlignment="1">
      <alignment horizontal="center" vertical="center"/>
    </xf>
    <xf numFmtId="0" fontId="0" fillId="11" borderId="65" xfId="0" applyFill="1" applyBorder="1" applyAlignment="1">
      <alignment horizontal="center" vertical="center"/>
    </xf>
    <xf numFmtId="0" fontId="0" fillId="11" borderId="73" xfId="0" applyFill="1" applyBorder="1" applyAlignment="1">
      <alignment horizontal="center" vertical="center" wrapText="1"/>
    </xf>
    <xf numFmtId="0" fontId="0" fillId="11" borderId="74" xfId="0" applyFill="1" applyBorder="1" applyAlignment="1">
      <alignment horizontal="center" vertical="center" wrapText="1"/>
    </xf>
    <xf numFmtId="0" fontId="0" fillId="11" borderId="35" xfId="0" applyFill="1" applyBorder="1" applyAlignment="1">
      <alignment horizontal="center" vertical="center" wrapText="1"/>
    </xf>
    <xf numFmtId="0" fontId="14" fillId="11" borderId="54" xfId="0" applyFont="1" applyFill="1" applyBorder="1" applyAlignment="1">
      <alignment horizontal="center" vertical="center"/>
    </xf>
    <xf numFmtId="0" fontId="0" fillId="11" borderId="32" xfId="0" applyFill="1" applyBorder="1" applyAlignment="1">
      <alignment horizontal="center" vertical="center"/>
    </xf>
    <xf numFmtId="0" fontId="0" fillId="11" borderId="8" xfId="0" applyFill="1" applyBorder="1" applyAlignment="1">
      <alignment horizontal="center" vertical="center"/>
    </xf>
    <xf numFmtId="0" fontId="0" fillId="44" borderId="73" xfId="0" applyFill="1" applyBorder="1" applyAlignment="1">
      <alignment horizontal="center" vertical="center"/>
    </xf>
    <xf numFmtId="0" fontId="0" fillId="2" borderId="74" xfId="0" applyFill="1" applyBorder="1" applyAlignment="1">
      <alignment horizontal="center" vertical="center" wrapText="1"/>
    </xf>
    <xf numFmtId="0" fontId="0" fillId="44" borderId="75" xfId="0" applyFill="1" applyBorder="1" applyAlignment="1">
      <alignment horizontal="center" vertical="center"/>
    </xf>
    <xf numFmtId="0" fontId="14" fillId="2" borderId="74" xfId="0" applyFont="1" applyFill="1" applyBorder="1" applyAlignment="1">
      <alignment horizontal="center" vertical="center" wrapText="1"/>
    </xf>
    <xf numFmtId="164" fontId="14" fillId="17" borderId="75" xfId="0" applyNumberFormat="1" applyFont="1" applyFill="1" applyBorder="1" applyAlignment="1">
      <alignment horizontal="center" vertical="center" wrapText="1"/>
    </xf>
    <xf numFmtId="0" fontId="1" fillId="11" borderId="73" xfId="0" applyFont="1" applyFill="1" applyBorder="1" applyAlignment="1">
      <alignment horizontal="center" vertical="center" wrapText="1"/>
    </xf>
    <xf numFmtId="0" fontId="0" fillId="2" borderId="1" xfId="0" applyFill="1" applyBorder="1" applyAlignment="1">
      <alignment vertical="center"/>
    </xf>
    <xf numFmtId="0" fontId="0" fillId="11" borderId="7" xfId="0" applyFill="1" applyBorder="1" applyAlignment="1">
      <alignment vertical="center"/>
    </xf>
    <xf numFmtId="0" fontId="0" fillId="11" borderId="54" xfId="0" applyFill="1" applyBorder="1" applyAlignment="1">
      <alignment horizontal="center" vertical="center"/>
    </xf>
    <xf numFmtId="0" fontId="1" fillId="46" borderId="1" xfId="0" applyFont="1" applyFill="1" applyBorder="1" applyAlignment="1">
      <alignment horizontal="center" vertical="center"/>
    </xf>
    <xf numFmtId="0" fontId="1" fillId="46" borderId="39" xfId="0" applyFont="1" applyFill="1" applyBorder="1" applyAlignment="1">
      <alignment horizontal="center" vertical="center"/>
    </xf>
    <xf numFmtId="0" fontId="0" fillId="46" borderId="1" xfId="0" applyFill="1" applyBorder="1" applyAlignment="1">
      <alignment horizontal="center" vertical="center"/>
    </xf>
    <xf numFmtId="0" fontId="0" fillId="46" borderId="7" xfId="0" applyFill="1" applyBorder="1" applyAlignment="1">
      <alignment horizontal="center" vertical="center"/>
    </xf>
    <xf numFmtId="1" fontId="20" fillId="21" borderId="30" xfId="0" applyNumberFormat="1" applyFont="1" applyFill="1" applyBorder="1"/>
    <xf numFmtId="0" fontId="0" fillId="5" borderId="7" xfId="0" applyFill="1" applyBorder="1" applyAlignment="1">
      <alignment vertical="center"/>
    </xf>
    <xf numFmtId="0" fontId="7" fillId="3" borderId="41" xfId="0" applyFont="1" applyFill="1" applyBorder="1" applyAlignment="1">
      <alignment horizontal="center" vertical="center"/>
    </xf>
    <xf numFmtId="0" fontId="7" fillId="3" borderId="61" xfId="0" applyFont="1" applyFill="1" applyBorder="1" applyAlignment="1">
      <alignment horizontal="center" vertical="center" wrapText="1"/>
    </xf>
    <xf numFmtId="0" fontId="1" fillId="11" borderId="60" xfId="0" applyFont="1" applyFill="1" applyBorder="1" applyAlignment="1">
      <alignment horizontal="center" vertical="center" wrapText="1"/>
    </xf>
    <xf numFmtId="2" fontId="1" fillId="2" borderId="33" xfId="0" applyNumberFormat="1" applyFont="1" applyFill="1" applyBorder="1" applyAlignment="1">
      <alignment horizontal="center" vertical="center" wrapText="1"/>
    </xf>
    <xf numFmtId="0" fontId="14" fillId="11" borderId="70" xfId="0" applyFont="1" applyFill="1" applyBorder="1" applyAlignment="1">
      <alignment horizontal="center" vertical="center" wrapText="1"/>
    </xf>
    <xf numFmtId="0" fontId="14" fillId="11" borderId="76" xfId="0" applyFont="1" applyFill="1" applyBorder="1" applyAlignment="1">
      <alignment horizontal="center" vertical="center" wrapText="1"/>
    </xf>
    <xf numFmtId="0" fontId="14" fillId="2" borderId="76" xfId="0" applyFont="1" applyFill="1" applyBorder="1" applyAlignment="1">
      <alignment horizontal="center" vertical="center" wrapText="1"/>
    </xf>
    <xf numFmtId="164" fontId="14" fillId="17" borderId="69" xfId="0" applyNumberFormat="1" applyFont="1" applyFill="1" applyBorder="1" applyAlignment="1">
      <alignment horizontal="center" vertical="center" wrapText="1"/>
    </xf>
    <xf numFmtId="0" fontId="14" fillId="11" borderId="54" xfId="0" applyFont="1" applyFill="1" applyBorder="1" applyAlignment="1">
      <alignment horizontal="center" vertical="center" wrapText="1"/>
    </xf>
    <xf numFmtId="1" fontId="14" fillId="2" borderId="59" xfId="0" applyNumberFormat="1" applyFont="1" applyFill="1" applyBorder="1" applyAlignment="1">
      <alignment horizontal="center" vertical="center" wrapText="1"/>
    </xf>
    <xf numFmtId="1" fontId="0" fillId="11" borderId="1" xfId="0" applyNumberFormat="1" applyFill="1" applyBorder="1" applyAlignment="1">
      <alignment horizontal="center" vertical="center"/>
    </xf>
    <xf numFmtId="1" fontId="14" fillId="2" borderId="1" xfId="0" applyNumberFormat="1" applyFont="1" applyFill="1" applyBorder="1" applyAlignment="1">
      <alignment horizontal="center" vertical="center" wrapText="1"/>
    </xf>
    <xf numFmtId="1" fontId="14" fillId="17"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xf>
    <xf numFmtId="1" fontId="0" fillId="4" borderId="2" xfId="0" applyNumberFormat="1" applyFill="1" applyBorder="1" applyAlignment="1">
      <alignment horizontal="center"/>
    </xf>
    <xf numFmtId="1" fontId="0" fillId="4" borderId="2" xfId="0" applyNumberFormat="1" applyFill="1" applyBorder="1" applyAlignment="1">
      <alignment horizontal="center" vertical="center"/>
    </xf>
    <xf numFmtId="1" fontId="0" fillId="4" borderId="55" xfId="0" applyNumberFormat="1" applyFill="1" applyBorder="1" applyAlignment="1">
      <alignment horizontal="center"/>
    </xf>
    <xf numFmtId="1" fontId="20" fillId="21" borderId="20" xfId="0" applyNumberFormat="1" applyFont="1" applyFill="1" applyBorder="1" applyAlignment="1">
      <alignment horizontal="center" vertical="center"/>
    </xf>
    <xf numFmtId="1" fontId="20" fillId="21" borderId="29" xfId="0" applyNumberFormat="1" applyFont="1" applyFill="1" applyBorder="1" applyAlignment="1">
      <alignment horizontal="center" vertical="center"/>
    </xf>
    <xf numFmtId="1" fontId="20" fillId="21" borderId="30" xfId="0" applyNumberFormat="1" applyFont="1" applyFill="1" applyBorder="1" applyAlignment="1">
      <alignment horizontal="center" vertical="center" wrapText="1"/>
    </xf>
    <xf numFmtId="1" fontId="0" fillId="21" borderId="24" xfId="0" applyNumberFormat="1" applyFill="1" applyBorder="1" applyAlignment="1">
      <alignment horizontal="center" vertical="center"/>
    </xf>
    <xf numFmtId="1" fontId="0" fillId="21" borderId="30" xfId="0" applyNumberFormat="1" applyFill="1" applyBorder="1" applyAlignment="1">
      <alignment horizontal="center" vertical="center" wrapText="1"/>
    </xf>
    <xf numFmtId="2" fontId="6" fillId="9" borderId="43" xfId="1" applyNumberFormat="1" applyFont="1" applyFill="1" applyBorder="1" applyAlignment="1" applyProtection="1">
      <alignment horizontal="center" vertical="center"/>
    </xf>
    <xf numFmtId="2" fontId="0" fillId="4" borderId="0" xfId="0" applyNumberFormat="1" applyFill="1" applyAlignment="1">
      <alignment horizontal="center" vertical="center"/>
    </xf>
    <xf numFmtId="2" fontId="0" fillId="4" borderId="0" xfId="0" applyNumberFormat="1" applyFill="1" applyAlignment="1">
      <alignment horizontal="center"/>
    </xf>
    <xf numFmtId="2" fontId="0" fillId="4" borderId="0" xfId="0" applyNumberFormat="1" applyFill="1" applyAlignment="1">
      <alignment horizontal="center" vertical="top"/>
    </xf>
    <xf numFmtId="0" fontId="0" fillId="4" borderId="0" xfId="0" applyFill="1" applyAlignment="1">
      <alignment wrapText="1"/>
    </xf>
    <xf numFmtId="1" fontId="0" fillId="4" borderId="0" xfId="0" applyNumberFormat="1" applyFill="1" applyAlignment="1">
      <alignment horizontal="center" wrapText="1"/>
    </xf>
    <xf numFmtId="0" fontId="11" fillId="4" borderId="0" xfId="0" applyFont="1" applyFill="1" applyAlignment="1">
      <alignment horizontal="center" wrapText="1"/>
    </xf>
    <xf numFmtId="2" fontId="11" fillId="4" borderId="0" xfId="0" applyNumberFormat="1" applyFont="1" applyFill="1" applyAlignment="1">
      <alignment horizontal="center" wrapText="1"/>
    </xf>
    <xf numFmtId="164" fontId="4" fillId="17" borderId="64" xfId="0" applyNumberFormat="1" applyFont="1" applyFill="1" applyBorder="1" applyAlignment="1">
      <alignment horizontal="center" vertical="center" wrapText="1"/>
    </xf>
    <xf numFmtId="0" fontId="4" fillId="16" borderId="27" xfId="1" applyFont="1" applyFill="1" applyBorder="1" applyAlignment="1">
      <alignment horizontal="center" vertical="center"/>
    </xf>
    <xf numFmtId="0" fontId="7" fillId="12" borderId="31" xfId="0" applyFont="1" applyFill="1" applyBorder="1" applyAlignment="1">
      <alignment horizontal="center" wrapText="1"/>
    </xf>
    <xf numFmtId="1" fontId="0" fillId="11" borderId="76" xfId="0" applyNumberFormat="1" applyFill="1" applyBorder="1" applyAlignment="1">
      <alignment horizontal="center" vertical="center" wrapText="1"/>
    </xf>
    <xf numFmtId="1" fontId="0" fillId="11" borderId="4" xfId="0" applyNumberFormat="1" applyFill="1" applyBorder="1" applyAlignment="1">
      <alignment horizontal="center" vertical="center"/>
    </xf>
    <xf numFmtId="1" fontId="0" fillId="11" borderId="76" xfId="0" applyNumberFormat="1" applyFill="1" applyBorder="1" applyAlignment="1">
      <alignment horizontal="center" vertical="center"/>
    </xf>
    <xf numFmtId="1" fontId="0" fillId="11" borderId="70" xfId="0" applyNumberFormat="1" applyFill="1" applyBorder="1" applyAlignment="1">
      <alignment horizontal="center" vertical="center"/>
    </xf>
    <xf numFmtId="1" fontId="0" fillId="21" borderId="24" xfId="0" applyNumberFormat="1" applyFill="1" applyBorder="1" applyAlignment="1">
      <alignment horizontal="left"/>
    </xf>
    <xf numFmtId="0" fontId="0" fillId="21" borderId="41" xfId="0" applyFill="1" applyBorder="1" applyAlignment="1">
      <alignment horizontal="center"/>
    </xf>
    <xf numFmtId="0" fontId="0" fillId="0" borderId="12" xfId="0" applyBorder="1" applyAlignment="1">
      <alignment horizontal="center"/>
    </xf>
    <xf numFmtId="10" fontId="1" fillId="22" borderId="4" xfId="0" applyNumberFormat="1" applyFont="1" applyFill="1" applyBorder="1" applyAlignment="1">
      <alignment horizontal="left" vertical="top" wrapText="1"/>
    </xf>
    <xf numFmtId="10" fontId="1" fillId="22" borderId="5" xfId="0" applyNumberFormat="1" applyFont="1" applyFill="1" applyBorder="1" applyAlignment="1">
      <alignment horizontal="left" vertical="top" wrapText="1"/>
    </xf>
    <xf numFmtId="10" fontId="1" fillId="22" borderId="6" xfId="0" applyNumberFormat="1" applyFont="1" applyFill="1" applyBorder="1" applyAlignment="1">
      <alignment horizontal="left" vertical="top" wrapText="1"/>
    </xf>
    <xf numFmtId="0" fontId="1" fillId="22" borderId="4" xfId="0" applyFont="1" applyFill="1" applyBorder="1" applyAlignment="1">
      <alignment horizontal="left" vertical="top" wrapText="1"/>
    </xf>
    <xf numFmtId="0" fontId="1" fillId="22" borderId="5" xfId="0" applyFont="1" applyFill="1" applyBorder="1" applyAlignment="1">
      <alignment horizontal="left" vertical="top" wrapText="1"/>
    </xf>
    <xf numFmtId="0" fontId="1" fillId="22" borderId="6" xfId="0" applyFont="1" applyFill="1" applyBorder="1" applyAlignment="1">
      <alignment horizontal="left" vertical="top" wrapText="1"/>
    </xf>
    <xf numFmtId="10" fontId="1" fillId="22" borderId="4" xfId="0" applyNumberFormat="1" applyFont="1" applyFill="1" applyBorder="1" applyAlignment="1">
      <alignment horizontal="left" vertical="center" wrapText="1"/>
    </xf>
    <xf numFmtId="10" fontId="1" fillId="22" borderId="5" xfId="0" applyNumberFormat="1" applyFont="1" applyFill="1" applyBorder="1" applyAlignment="1">
      <alignment horizontal="left" vertical="center" wrapText="1"/>
    </xf>
    <xf numFmtId="10" fontId="1" fillId="22" borderId="6" xfId="0" applyNumberFormat="1" applyFont="1" applyFill="1" applyBorder="1" applyAlignment="1">
      <alignment horizontal="left" vertical="center" wrapText="1"/>
    </xf>
    <xf numFmtId="1" fontId="15" fillId="11" borderId="7" xfId="0" applyNumberFormat="1" applyFont="1" applyFill="1" applyBorder="1" applyAlignment="1">
      <alignment horizontal="center" vertical="center"/>
    </xf>
    <xf numFmtId="0" fontId="0" fillId="4" borderId="21" xfId="0" applyFill="1" applyBorder="1" applyAlignment="1">
      <alignment horizontal="center"/>
    </xf>
    <xf numFmtId="0" fontId="0" fillId="4" borderId="28" xfId="0" applyFill="1" applyBorder="1" applyAlignment="1">
      <alignment horizontal="center"/>
    </xf>
    <xf numFmtId="10" fontId="9" fillId="3" borderId="43" xfId="0" applyNumberFormat="1" applyFont="1" applyFill="1" applyBorder="1" applyAlignment="1">
      <alignment horizontal="center" vertical="center" wrapText="1"/>
    </xf>
    <xf numFmtId="10" fontId="9" fillId="3" borderId="42" xfId="0" applyNumberFormat="1" applyFont="1" applyFill="1" applyBorder="1" applyAlignment="1">
      <alignment horizontal="center" vertical="center" wrapText="1"/>
    </xf>
    <xf numFmtId="10" fontId="9" fillId="3" borderId="0" xfId="0" applyNumberFormat="1" applyFont="1" applyFill="1" applyAlignment="1">
      <alignment horizontal="center" vertical="center" wrapText="1"/>
    </xf>
    <xf numFmtId="2" fontId="6" fillId="4" borderId="43" xfId="0" applyNumberFormat="1" applyFont="1" applyFill="1" applyBorder="1" applyAlignment="1">
      <alignment horizontal="center" vertical="center"/>
    </xf>
    <xf numFmtId="2" fontId="6" fillId="4" borderId="13" xfId="0" applyNumberFormat="1" applyFont="1" applyFill="1" applyBorder="1" applyAlignment="1">
      <alignment horizontal="center" vertical="center"/>
    </xf>
    <xf numFmtId="0" fontId="0" fillId="4" borderId="43" xfId="0" applyFill="1" applyBorder="1" applyAlignment="1">
      <alignment horizontal="center"/>
    </xf>
    <xf numFmtId="0" fontId="0" fillId="4" borderId="39" xfId="0" applyFill="1" applyBorder="1" applyAlignment="1">
      <alignment horizontal="center"/>
    </xf>
    <xf numFmtId="0" fontId="0" fillId="8" borderId="10" xfId="1" applyFont="1" applyFill="1" applyBorder="1" applyAlignment="1">
      <alignment horizontal="center" vertical="center" wrapText="1"/>
    </xf>
    <xf numFmtId="0" fontId="0" fillId="8" borderId="48" xfId="1" applyFont="1" applyFill="1" applyBorder="1" applyAlignment="1">
      <alignment horizontal="center" vertical="center" wrapText="1"/>
    </xf>
    <xf numFmtId="0" fontId="0" fillId="8" borderId="11" xfId="1" applyFont="1" applyFill="1" applyBorder="1" applyAlignment="1">
      <alignment horizontal="center" vertical="center" wrapText="1"/>
    </xf>
    <xf numFmtId="0" fontId="0" fillId="8" borderId="50" xfId="1" applyFont="1" applyFill="1" applyBorder="1" applyAlignment="1">
      <alignment horizontal="center" vertical="center" wrapText="1"/>
    </xf>
    <xf numFmtId="0" fontId="2" fillId="18" borderId="4" xfId="0" applyFont="1" applyFill="1" applyBorder="1" applyAlignment="1">
      <alignment horizontal="center"/>
    </xf>
    <xf numFmtId="0" fontId="2" fillId="18" borderId="5" xfId="0" applyFont="1" applyFill="1" applyBorder="1" applyAlignment="1">
      <alignment horizontal="center"/>
    </xf>
    <xf numFmtId="0" fontId="0" fillId="11" borderId="70" xfId="0" applyFill="1" applyBorder="1" applyAlignment="1">
      <alignment horizontal="center" vertical="center"/>
    </xf>
    <xf numFmtId="0" fontId="0" fillId="11" borderId="69" xfId="0" applyFill="1" applyBorder="1" applyAlignment="1">
      <alignment horizontal="center" vertical="center"/>
    </xf>
    <xf numFmtId="0" fontId="0" fillId="11" borderId="72" xfId="0" applyFill="1" applyBorder="1" applyAlignment="1">
      <alignment horizontal="center" vertical="center"/>
    </xf>
    <xf numFmtId="0" fontId="0" fillId="11" borderId="32" xfId="0" applyFill="1" applyBorder="1" applyAlignment="1">
      <alignment horizontal="center" vertical="center"/>
    </xf>
    <xf numFmtId="0" fontId="0" fillId="11" borderId="8" xfId="0" applyFill="1" applyBorder="1" applyAlignment="1">
      <alignment horizontal="center" vertical="center"/>
    </xf>
    <xf numFmtId="0" fontId="14" fillId="11" borderId="32" xfId="0" applyFont="1" applyFill="1" applyBorder="1" applyAlignment="1">
      <alignment horizontal="center" vertical="center"/>
    </xf>
    <xf numFmtId="0" fontId="14" fillId="11" borderId="8" xfId="0" applyFont="1" applyFill="1" applyBorder="1" applyAlignment="1">
      <alignment horizontal="center" vertical="center"/>
    </xf>
    <xf numFmtId="0" fontId="1" fillId="20" borderId="39" xfId="0" applyFont="1" applyFill="1" applyBorder="1" applyAlignment="1">
      <alignment horizontal="center" vertical="center" wrapText="1"/>
    </xf>
    <xf numFmtId="0" fontId="1" fillId="20" borderId="28" xfId="0" applyFont="1" applyFill="1" applyBorder="1" applyAlignment="1">
      <alignment horizontal="center" vertical="center" wrapText="1"/>
    </xf>
    <xf numFmtId="0" fontId="0" fillId="11" borderId="32" xfId="0" applyFill="1" applyBorder="1" applyAlignment="1">
      <alignment horizontal="center" vertical="center" wrapText="1"/>
    </xf>
    <xf numFmtId="0" fontId="0" fillId="11" borderId="8" xfId="0" applyFill="1" applyBorder="1" applyAlignment="1">
      <alignment horizontal="center" vertical="center" wrapText="1"/>
    </xf>
    <xf numFmtId="0" fontId="0" fillId="11" borderId="54" xfId="0" applyFill="1" applyBorder="1" applyAlignment="1">
      <alignment horizontal="center" vertical="center" wrapText="1"/>
    </xf>
    <xf numFmtId="0" fontId="1" fillId="21" borderId="15" xfId="0" applyFont="1" applyFill="1" applyBorder="1" applyAlignment="1">
      <alignment horizontal="right" vertical="center"/>
    </xf>
    <xf numFmtId="0" fontId="1" fillId="21" borderId="14" xfId="0" applyFont="1" applyFill="1" applyBorder="1" applyAlignment="1">
      <alignment horizontal="right" vertical="center"/>
    </xf>
    <xf numFmtId="0" fontId="7" fillId="12" borderId="16" xfId="0" applyFont="1" applyFill="1" applyBorder="1" applyAlignment="1">
      <alignment horizontal="center" vertical="center" wrapText="1"/>
    </xf>
    <xf numFmtId="0" fontId="7" fillId="12" borderId="18" xfId="0" applyFont="1" applyFill="1" applyBorder="1" applyAlignment="1">
      <alignment horizontal="center" vertical="center" wrapText="1"/>
    </xf>
    <xf numFmtId="0" fontId="16" fillId="16" borderId="4" xfId="0" applyFont="1" applyFill="1" applyBorder="1" applyAlignment="1">
      <alignment horizontal="center" vertical="center" wrapText="1"/>
    </xf>
    <xf numFmtId="0" fontId="16" fillId="16" borderId="6" xfId="0" applyFont="1" applyFill="1" applyBorder="1" applyAlignment="1">
      <alignment horizontal="center" vertical="center" wrapText="1"/>
    </xf>
    <xf numFmtId="0" fontId="4" fillId="5" borderId="25" xfId="0" applyFont="1" applyFill="1" applyBorder="1" applyAlignment="1">
      <alignment horizontal="center" vertical="center"/>
    </xf>
    <xf numFmtId="0" fontId="4" fillId="5" borderId="26" xfId="0" applyFont="1" applyFill="1" applyBorder="1" applyAlignment="1">
      <alignment horizontal="center" vertical="center"/>
    </xf>
    <xf numFmtId="1" fontId="1" fillId="14" borderId="4" xfId="0" applyNumberFormat="1" applyFont="1" applyFill="1" applyBorder="1" applyAlignment="1">
      <alignment horizontal="center" vertical="center"/>
    </xf>
    <xf numFmtId="1" fontId="1" fillId="14" borderId="6" xfId="0" applyNumberFormat="1" applyFont="1" applyFill="1" applyBorder="1" applyAlignment="1">
      <alignment horizontal="center" vertical="center"/>
    </xf>
    <xf numFmtId="1" fontId="1" fillId="10" borderId="13" xfId="0" applyNumberFormat="1" applyFont="1" applyFill="1" applyBorder="1" applyAlignment="1">
      <alignment horizontal="center" vertical="center" wrapText="1"/>
    </xf>
    <xf numFmtId="1" fontId="1" fillId="10" borderId="14" xfId="0" applyNumberFormat="1" applyFont="1" applyFill="1" applyBorder="1" applyAlignment="1">
      <alignment horizontal="center" vertical="center" wrapText="1"/>
    </xf>
    <xf numFmtId="1" fontId="1" fillId="3" borderId="43" xfId="0" applyNumberFormat="1" applyFont="1" applyFill="1" applyBorder="1" applyAlignment="1">
      <alignment horizontal="center" vertical="center"/>
    </xf>
    <xf numFmtId="1" fontId="1" fillId="3" borderId="39" xfId="0" applyNumberFormat="1" applyFont="1" applyFill="1" applyBorder="1" applyAlignment="1">
      <alignment horizontal="center" vertical="center"/>
    </xf>
    <xf numFmtId="0" fontId="7" fillId="12" borderId="39" xfId="0" applyFont="1" applyFill="1" applyBorder="1" applyAlignment="1">
      <alignment horizontal="center" vertical="center" wrapText="1"/>
    </xf>
    <xf numFmtId="0" fontId="7" fillId="12" borderId="7"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4" fillId="16" borderId="10" xfId="1" applyFont="1" applyFill="1" applyBorder="1" applyAlignment="1">
      <alignment horizontal="center" vertical="center"/>
    </xf>
    <xf numFmtId="0" fontId="4" fillId="16" borderId="48" xfId="1" applyFont="1" applyFill="1" applyBorder="1" applyAlignment="1">
      <alignment horizontal="center" vertical="center"/>
    </xf>
    <xf numFmtId="0" fontId="7" fillId="12" borderId="51" xfId="0" applyFont="1" applyFill="1" applyBorder="1" applyAlignment="1">
      <alignment horizontal="center" vertical="center" wrapText="1"/>
    </xf>
    <xf numFmtId="0" fontId="7" fillId="12" borderId="47" xfId="0" applyFont="1" applyFill="1" applyBorder="1" applyAlignment="1">
      <alignment horizontal="center" vertical="center" wrapText="1"/>
    </xf>
    <xf numFmtId="0" fontId="0" fillId="21" borderId="2" xfId="0" applyFill="1" applyBorder="1" applyAlignment="1">
      <alignment horizontal="left" vertical="top" wrapText="1"/>
    </xf>
    <xf numFmtId="0" fontId="0" fillId="21" borderId="2" xfId="0" applyFill="1" applyBorder="1" applyAlignment="1">
      <alignment horizontal="left" vertical="top"/>
    </xf>
    <xf numFmtId="0" fontId="0" fillId="4" borderId="10" xfId="0" applyFill="1" applyBorder="1" applyAlignment="1">
      <alignment horizontal="center" vertical="center"/>
    </xf>
    <xf numFmtId="0" fontId="0" fillId="4" borderId="53" xfId="0" applyFill="1" applyBorder="1" applyAlignment="1">
      <alignment horizontal="center" vertical="center"/>
    </xf>
    <xf numFmtId="0" fontId="0" fillId="4" borderId="43" xfId="0" applyFill="1" applyBorder="1" applyAlignment="1">
      <alignment horizontal="center" vertical="center"/>
    </xf>
    <xf numFmtId="0" fontId="0" fillId="4" borderId="21" xfId="0" applyFill="1" applyBorder="1" applyAlignment="1">
      <alignment horizontal="center" vertical="center"/>
    </xf>
    <xf numFmtId="0" fontId="2" fillId="4" borderId="51" xfId="0" applyFont="1" applyFill="1" applyBorder="1" applyAlignment="1">
      <alignment horizontal="center" wrapText="1"/>
    </xf>
    <xf numFmtId="0" fontId="2" fillId="4" borderId="38" xfId="0" applyFont="1" applyFill="1" applyBorder="1" applyAlignment="1">
      <alignment horizontal="center" wrapText="1"/>
    </xf>
    <xf numFmtId="0" fontId="2" fillId="4" borderId="47" xfId="0" applyFont="1" applyFill="1" applyBorder="1" applyAlignment="1">
      <alignment horizontal="center" wrapText="1"/>
    </xf>
    <xf numFmtId="0" fontId="0" fillId="4" borderId="68" xfId="0" applyFill="1" applyBorder="1" applyAlignment="1">
      <alignment horizontal="center" vertical="center"/>
    </xf>
    <xf numFmtId="0" fontId="0" fillId="4" borderId="56" xfId="0" applyFill="1" applyBorder="1" applyAlignment="1">
      <alignment horizontal="center" vertical="center"/>
    </xf>
    <xf numFmtId="0" fontId="0" fillId="4" borderId="7" xfId="0" applyFill="1" applyBorder="1" applyAlignment="1">
      <alignment horizontal="center" vertical="center"/>
    </xf>
    <xf numFmtId="0" fontId="0" fillId="4" borderId="2" xfId="0" applyFill="1" applyBorder="1" applyAlignment="1">
      <alignment horizontal="center" vertical="center"/>
    </xf>
    <xf numFmtId="0" fontId="0" fillId="21" borderId="19" xfId="0" applyFill="1" applyBorder="1" applyAlignment="1">
      <alignment horizontal="left" vertical="top" wrapText="1"/>
    </xf>
    <xf numFmtId="0" fontId="0" fillId="21" borderId="20" xfId="0" applyFill="1" applyBorder="1" applyAlignment="1">
      <alignment horizontal="left" vertical="top" wrapText="1"/>
    </xf>
    <xf numFmtId="0" fontId="0" fillId="21" borderId="29" xfId="0" applyFill="1" applyBorder="1" applyAlignment="1">
      <alignment horizontal="left" vertical="top" wrapText="1"/>
    </xf>
    <xf numFmtId="0" fontId="0" fillId="21" borderId="19" xfId="0" applyFill="1" applyBorder="1" applyAlignment="1">
      <alignment horizontal="center"/>
    </xf>
    <xf numFmtId="0" fontId="0" fillId="21" borderId="20" xfId="0" applyFill="1" applyBorder="1" applyAlignment="1">
      <alignment horizontal="center"/>
    </xf>
    <xf numFmtId="0" fontId="0" fillId="21" borderId="29" xfId="0" applyFill="1" applyBorder="1" applyAlignment="1">
      <alignment horizontal="center"/>
    </xf>
    <xf numFmtId="0" fontId="0" fillId="21" borderId="61" xfId="0" applyFill="1" applyBorder="1" applyAlignment="1">
      <alignment horizontal="center"/>
    </xf>
    <xf numFmtId="0" fontId="24" fillId="43" borderId="15" xfId="0" applyFont="1" applyFill="1" applyBorder="1" applyAlignment="1">
      <alignment horizontal="center"/>
    </xf>
    <xf numFmtId="14" fontId="1" fillId="0" borderId="19" xfId="0" applyNumberFormat="1" applyFont="1" applyBorder="1" applyAlignment="1">
      <alignment horizontal="center"/>
    </xf>
    <xf numFmtId="14" fontId="1" fillId="0" borderId="29" xfId="0" applyNumberFormat="1" applyFont="1" applyBorder="1" applyAlignment="1">
      <alignment horizontal="center"/>
    </xf>
    <xf numFmtId="0" fontId="1" fillId="0" borderId="32" xfId="0" applyFont="1" applyBorder="1" applyAlignment="1">
      <alignment horizontal="center"/>
    </xf>
    <xf numFmtId="0" fontId="0" fillId="0" borderId="20" xfId="0" applyBorder="1" applyAlignment="1">
      <alignment horizontal="center"/>
    </xf>
    <xf numFmtId="0" fontId="1" fillId="0" borderId="19" xfId="0" applyFont="1" applyBorder="1" applyAlignment="1">
      <alignment horizontal="center"/>
    </xf>
    <xf numFmtId="0" fontId="0" fillId="21" borderId="19" xfId="0" applyFill="1" applyBorder="1" applyAlignment="1">
      <alignment horizontal="left" vertical="top"/>
    </xf>
    <xf numFmtId="0" fontId="0" fillId="21" borderId="20" xfId="0" applyFill="1" applyBorder="1" applyAlignment="1">
      <alignment horizontal="left" vertical="top"/>
    </xf>
    <xf numFmtId="0" fontId="0" fillId="21" borderId="61" xfId="0" applyFill="1" applyBorder="1" applyAlignment="1">
      <alignment horizontal="left" vertical="top"/>
    </xf>
    <xf numFmtId="0" fontId="0" fillId="21" borderId="1" xfId="0" applyFill="1" applyBorder="1" applyAlignment="1">
      <alignment horizontal="left" vertical="top"/>
    </xf>
    <xf numFmtId="0" fontId="0" fillId="21" borderId="21" xfId="0" applyFill="1" applyBorder="1" applyAlignment="1">
      <alignment horizontal="left"/>
    </xf>
    <xf numFmtId="0" fontId="0" fillId="21" borderId="0" xfId="0" applyFill="1" applyAlignment="1">
      <alignment horizontal="left"/>
    </xf>
    <xf numFmtId="0" fontId="0" fillId="21" borderId="19" xfId="0" applyFill="1" applyBorder="1" applyAlignment="1">
      <alignment horizontal="left" vertical="center"/>
    </xf>
    <xf numFmtId="0" fontId="0" fillId="21" borderId="20" xfId="0" applyFill="1" applyBorder="1" applyAlignment="1">
      <alignment horizontal="left" vertical="center"/>
    </xf>
    <xf numFmtId="0" fontId="0" fillId="21" borderId="61" xfId="0" applyFill="1" applyBorder="1" applyAlignment="1">
      <alignment horizontal="left" vertical="center"/>
    </xf>
  </cellXfs>
  <cellStyles count="35415">
    <cellStyle name="20% - Accent1 10" xfId="3" xr:uid="{00000000-0005-0000-0000-000000000000}"/>
    <cellStyle name="20% - Accent1 11" xfId="4" xr:uid="{00000000-0005-0000-0000-000001000000}"/>
    <cellStyle name="20% - Accent1 12" xfId="5" xr:uid="{00000000-0005-0000-0000-000002000000}"/>
    <cellStyle name="20% - Accent1 13" xfId="6" xr:uid="{00000000-0005-0000-0000-000003000000}"/>
    <cellStyle name="20% - Accent1 14" xfId="7" xr:uid="{00000000-0005-0000-0000-000004000000}"/>
    <cellStyle name="20% - Accent1 15" xfId="8" xr:uid="{00000000-0005-0000-0000-000005000000}"/>
    <cellStyle name="20% - Accent1 16" xfId="9" xr:uid="{00000000-0005-0000-0000-000006000000}"/>
    <cellStyle name="20% - Accent1 17" xfId="10" xr:uid="{00000000-0005-0000-0000-000007000000}"/>
    <cellStyle name="20% - Accent1 18" xfId="11" xr:uid="{00000000-0005-0000-0000-000008000000}"/>
    <cellStyle name="20% - Accent1 19" xfId="12" xr:uid="{00000000-0005-0000-0000-000009000000}"/>
    <cellStyle name="20% - Accent1 2" xfId="13" xr:uid="{00000000-0005-0000-0000-00000A000000}"/>
    <cellStyle name="20% - Accent1 2 10" xfId="14" xr:uid="{00000000-0005-0000-0000-00000B000000}"/>
    <cellStyle name="20% - Accent1 2 11" xfId="15" xr:uid="{00000000-0005-0000-0000-00000C000000}"/>
    <cellStyle name="20% - Accent1 2 12" xfId="16" xr:uid="{00000000-0005-0000-0000-00000D000000}"/>
    <cellStyle name="20% - Accent1 2 13" xfId="17" xr:uid="{00000000-0005-0000-0000-00000E000000}"/>
    <cellStyle name="20% - Accent1 2 14" xfId="18" xr:uid="{00000000-0005-0000-0000-00000F000000}"/>
    <cellStyle name="20% - Accent1 2 15" xfId="19" xr:uid="{00000000-0005-0000-0000-000010000000}"/>
    <cellStyle name="20% - Accent1 2 16" xfId="20" xr:uid="{00000000-0005-0000-0000-000011000000}"/>
    <cellStyle name="20% - Accent1 2 2" xfId="21" xr:uid="{00000000-0005-0000-0000-000012000000}"/>
    <cellStyle name="20% - Accent1 2 2 10" xfId="22" xr:uid="{00000000-0005-0000-0000-000013000000}"/>
    <cellStyle name="20% - Accent1 2 2 11" xfId="23" xr:uid="{00000000-0005-0000-0000-000014000000}"/>
    <cellStyle name="20% - Accent1 2 2 12" xfId="24" xr:uid="{00000000-0005-0000-0000-000015000000}"/>
    <cellStyle name="20% - Accent1 2 2 13" xfId="25" xr:uid="{00000000-0005-0000-0000-000016000000}"/>
    <cellStyle name="20% - Accent1 2 2 14" xfId="26" xr:uid="{00000000-0005-0000-0000-000017000000}"/>
    <cellStyle name="20% - Accent1 2 2 15" xfId="27" xr:uid="{00000000-0005-0000-0000-000018000000}"/>
    <cellStyle name="20% - Accent1 2 2 16" xfId="28" xr:uid="{00000000-0005-0000-0000-000019000000}"/>
    <cellStyle name="20% - Accent1 2 2 17" xfId="29" xr:uid="{00000000-0005-0000-0000-00001A000000}"/>
    <cellStyle name="20% - Accent1 2 2 18" xfId="30" xr:uid="{00000000-0005-0000-0000-00001B000000}"/>
    <cellStyle name="20% - Accent1 2 2 2" xfId="31" xr:uid="{00000000-0005-0000-0000-00001C000000}"/>
    <cellStyle name="20% - Accent1 2 2 3" xfId="32" xr:uid="{00000000-0005-0000-0000-00001D000000}"/>
    <cellStyle name="20% - Accent1 2 2 4" xfId="33" xr:uid="{00000000-0005-0000-0000-00001E000000}"/>
    <cellStyle name="20% - Accent1 2 2 5" xfId="34" xr:uid="{00000000-0005-0000-0000-00001F000000}"/>
    <cellStyle name="20% - Accent1 2 2 6" xfId="35" xr:uid="{00000000-0005-0000-0000-000020000000}"/>
    <cellStyle name="20% - Accent1 2 2 7" xfId="36" xr:uid="{00000000-0005-0000-0000-000021000000}"/>
    <cellStyle name="20% - Accent1 2 2 8" xfId="37" xr:uid="{00000000-0005-0000-0000-000022000000}"/>
    <cellStyle name="20% - Accent1 2 2 9" xfId="38" xr:uid="{00000000-0005-0000-0000-000023000000}"/>
    <cellStyle name="20% - Accent1 2 3" xfId="39" xr:uid="{00000000-0005-0000-0000-000024000000}"/>
    <cellStyle name="20% - Accent1 2 4" xfId="40" xr:uid="{00000000-0005-0000-0000-000025000000}"/>
    <cellStyle name="20% - Accent1 2 5" xfId="41" xr:uid="{00000000-0005-0000-0000-000026000000}"/>
    <cellStyle name="20% - Accent1 2 6" xfId="42" xr:uid="{00000000-0005-0000-0000-000027000000}"/>
    <cellStyle name="20% - Accent1 2 7" xfId="43" xr:uid="{00000000-0005-0000-0000-000028000000}"/>
    <cellStyle name="20% - Accent1 2 8" xfId="44" xr:uid="{00000000-0005-0000-0000-000029000000}"/>
    <cellStyle name="20% - Accent1 2 9" xfId="45" xr:uid="{00000000-0005-0000-0000-00002A000000}"/>
    <cellStyle name="20% - Accent1 20" xfId="46" xr:uid="{00000000-0005-0000-0000-00002B000000}"/>
    <cellStyle name="20% - Accent1 21" xfId="47" xr:uid="{00000000-0005-0000-0000-00002C000000}"/>
    <cellStyle name="20% - Accent1 22" xfId="48" xr:uid="{00000000-0005-0000-0000-00002D000000}"/>
    <cellStyle name="20% - Accent1 23" xfId="49" xr:uid="{00000000-0005-0000-0000-00002E000000}"/>
    <cellStyle name="20% - Accent1 24" xfId="50" xr:uid="{00000000-0005-0000-0000-00002F000000}"/>
    <cellStyle name="20% - Accent1 25" xfId="51" xr:uid="{00000000-0005-0000-0000-000030000000}"/>
    <cellStyle name="20% - Accent1 26" xfId="52" xr:uid="{00000000-0005-0000-0000-000031000000}"/>
    <cellStyle name="20% - Accent1 27" xfId="53" xr:uid="{00000000-0005-0000-0000-000032000000}"/>
    <cellStyle name="20% - Accent1 28" xfId="54" xr:uid="{00000000-0005-0000-0000-000033000000}"/>
    <cellStyle name="20% - Accent1 29" xfId="55" xr:uid="{00000000-0005-0000-0000-000034000000}"/>
    <cellStyle name="20% - Accent1 3" xfId="56" xr:uid="{00000000-0005-0000-0000-000035000000}"/>
    <cellStyle name="20% - Accent1 3 10" xfId="57" xr:uid="{00000000-0005-0000-0000-000036000000}"/>
    <cellStyle name="20% - Accent1 3 11" xfId="58" xr:uid="{00000000-0005-0000-0000-000037000000}"/>
    <cellStyle name="20% - Accent1 3 12" xfId="59" xr:uid="{00000000-0005-0000-0000-000038000000}"/>
    <cellStyle name="20% - Accent1 3 13" xfId="60" xr:uid="{00000000-0005-0000-0000-000039000000}"/>
    <cellStyle name="20% - Accent1 3 14" xfId="61" xr:uid="{00000000-0005-0000-0000-00003A000000}"/>
    <cellStyle name="20% - Accent1 3 15" xfId="62" xr:uid="{00000000-0005-0000-0000-00003B000000}"/>
    <cellStyle name="20% - Accent1 3 2" xfId="63" xr:uid="{00000000-0005-0000-0000-00003C000000}"/>
    <cellStyle name="20% - Accent1 3 3" xfId="64" xr:uid="{00000000-0005-0000-0000-00003D000000}"/>
    <cellStyle name="20% - Accent1 3 4" xfId="65" xr:uid="{00000000-0005-0000-0000-00003E000000}"/>
    <cellStyle name="20% - Accent1 3 5" xfId="66" xr:uid="{00000000-0005-0000-0000-00003F000000}"/>
    <cellStyle name="20% - Accent1 3 6" xfId="67" xr:uid="{00000000-0005-0000-0000-000040000000}"/>
    <cellStyle name="20% - Accent1 3 7" xfId="68" xr:uid="{00000000-0005-0000-0000-000041000000}"/>
    <cellStyle name="20% - Accent1 3 8" xfId="69" xr:uid="{00000000-0005-0000-0000-000042000000}"/>
    <cellStyle name="20% - Accent1 3 9" xfId="70" xr:uid="{00000000-0005-0000-0000-000043000000}"/>
    <cellStyle name="20% - Accent1 30" xfId="71" xr:uid="{00000000-0005-0000-0000-000044000000}"/>
    <cellStyle name="20% - Accent1 31" xfId="72" xr:uid="{00000000-0005-0000-0000-000045000000}"/>
    <cellStyle name="20% - Accent1 32" xfId="73" xr:uid="{00000000-0005-0000-0000-000046000000}"/>
    <cellStyle name="20% - Accent1 33" xfId="74" xr:uid="{00000000-0005-0000-0000-000047000000}"/>
    <cellStyle name="20% - Accent1 34" xfId="75" xr:uid="{00000000-0005-0000-0000-000048000000}"/>
    <cellStyle name="20% - Accent1 35" xfId="76" xr:uid="{00000000-0005-0000-0000-000049000000}"/>
    <cellStyle name="20% - Accent1 36" xfId="77" xr:uid="{00000000-0005-0000-0000-00004A000000}"/>
    <cellStyle name="20% - Accent1 37" xfId="78" xr:uid="{00000000-0005-0000-0000-00004B000000}"/>
    <cellStyle name="20% - Accent1 38" xfId="79" xr:uid="{00000000-0005-0000-0000-00004C000000}"/>
    <cellStyle name="20% - Accent1 39" xfId="80" xr:uid="{00000000-0005-0000-0000-00004D000000}"/>
    <cellStyle name="20% - Accent1 4" xfId="81" xr:uid="{00000000-0005-0000-0000-00004E000000}"/>
    <cellStyle name="20% - Accent1 4 10" xfId="82" xr:uid="{00000000-0005-0000-0000-00004F000000}"/>
    <cellStyle name="20% - Accent1 4 11" xfId="83" xr:uid="{00000000-0005-0000-0000-000050000000}"/>
    <cellStyle name="20% - Accent1 4 12" xfId="84" xr:uid="{00000000-0005-0000-0000-000051000000}"/>
    <cellStyle name="20% - Accent1 4 13" xfId="85" xr:uid="{00000000-0005-0000-0000-000052000000}"/>
    <cellStyle name="20% - Accent1 4 14" xfId="86" xr:uid="{00000000-0005-0000-0000-000053000000}"/>
    <cellStyle name="20% - Accent1 4 15" xfId="87" xr:uid="{00000000-0005-0000-0000-000054000000}"/>
    <cellStyle name="20% - Accent1 4 2" xfId="88" xr:uid="{00000000-0005-0000-0000-000055000000}"/>
    <cellStyle name="20% - Accent1 4 3" xfId="89" xr:uid="{00000000-0005-0000-0000-000056000000}"/>
    <cellStyle name="20% - Accent1 4 4" xfId="90" xr:uid="{00000000-0005-0000-0000-000057000000}"/>
    <cellStyle name="20% - Accent1 4 5" xfId="91" xr:uid="{00000000-0005-0000-0000-000058000000}"/>
    <cellStyle name="20% - Accent1 4 6" xfId="92" xr:uid="{00000000-0005-0000-0000-000059000000}"/>
    <cellStyle name="20% - Accent1 4 7" xfId="93" xr:uid="{00000000-0005-0000-0000-00005A000000}"/>
    <cellStyle name="20% - Accent1 4 8" xfId="94" xr:uid="{00000000-0005-0000-0000-00005B000000}"/>
    <cellStyle name="20% - Accent1 4 9" xfId="95" xr:uid="{00000000-0005-0000-0000-00005C000000}"/>
    <cellStyle name="20% - Accent1 40" xfId="96" xr:uid="{00000000-0005-0000-0000-00005D000000}"/>
    <cellStyle name="20% - Accent1 41" xfId="97" xr:uid="{00000000-0005-0000-0000-00005E000000}"/>
    <cellStyle name="20% - Accent1 42" xfId="98" xr:uid="{00000000-0005-0000-0000-00005F000000}"/>
    <cellStyle name="20% - Accent1 5" xfId="99" xr:uid="{00000000-0005-0000-0000-000060000000}"/>
    <cellStyle name="20% - Accent1 5 10" xfId="100" xr:uid="{00000000-0005-0000-0000-000061000000}"/>
    <cellStyle name="20% - Accent1 5 11" xfId="101" xr:uid="{00000000-0005-0000-0000-000062000000}"/>
    <cellStyle name="20% - Accent1 5 12" xfId="102" xr:uid="{00000000-0005-0000-0000-000063000000}"/>
    <cellStyle name="20% - Accent1 5 13" xfId="103" xr:uid="{00000000-0005-0000-0000-000064000000}"/>
    <cellStyle name="20% - Accent1 5 14" xfId="104" xr:uid="{00000000-0005-0000-0000-000065000000}"/>
    <cellStyle name="20% - Accent1 5 15" xfId="105" xr:uid="{00000000-0005-0000-0000-000066000000}"/>
    <cellStyle name="20% - Accent1 5 2" xfId="106" xr:uid="{00000000-0005-0000-0000-000067000000}"/>
    <cellStyle name="20% - Accent1 5 3" xfId="107" xr:uid="{00000000-0005-0000-0000-000068000000}"/>
    <cellStyle name="20% - Accent1 5 4" xfId="108" xr:uid="{00000000-0005-0000-0000-000069000000}"/>
    <cellStyle name="20% - Accent1 5 5" xfId="109" xr:uid="{00000000-0005-0000-0000-00006A000000}"/>
    <cellStyle name="20% - Accent1 5 6" xfId="110" xr:uid="{00000000-0005-0000-0000-00006B000000}"/>
    <cellStyle name="20% - Accent1 5 7" xfId="111" xr:uid="{00000000-0005-0000-0000-00006C000000}"/>
    <cellStyle name="20% - Accent1 5 8" xfId="112" xr:uid="{00000000-0005-0000-0000-00006D000000}"/>
    <cellStyle name="20% - Accent1 5 9" xfId="113" xr:uid="{00000000-0005-0000-0000-00006E000000}"/>
    <cellStyle name="20% - Accent1 6" xfId="114" xr:uid="{00000000-0005-0000-0000-00006F000000}"/>
    <cellStyle name="20% - Accent1 6 10" xfId="115" xr:uid="{00000000-0005-0000-0000-000070000000}"/>
    <cellStyle name="20% - Accent1 6 11" xfId="116" xr:uid="{00000000-0005-0000-0000-000071000000}"/>
    <cellStyle name="20% - Accent1 6 12" xfId="117" xr:uid="{00000000-0005-0000-0000-000072000000}"/>
    <cellStyle name="20% - Accent1 6 13" xfId="118" xr:uid="{00000000-0005-0000-0000-000073000000}"/>
    <cellStyle name="20% - Accent1 6 14" xfId="119" xr:uid="{00000000-0005-0000-0000-000074000000}"/>
    <cellStyle name="20% - Accent1 6 15" xfId="120" xr:uid="{00000000-0005-0000-0000-000075000000}"/>
    <cellStyle name="20% - Accent1 6 2" xfId="121" xr:uid="{00000000-0005-0000-0000-000076000000}"/>
    <cellStyle name="20% - Accent1 6 3" xfId="122" xr:uid="{00000000-0005-0000-0000-000077000000}"/>
    <cellStyle name="20% - Accent1 6 4" xfId="123" xr:uid="{00000000-0005-0000-0000-000078000000}"/>
    <cellStyle name="20% - Accent1 6 5" xfId="124" xr:uid="{00000000-0005-0000-0000-000079000000}"/>
    <cellStyle name="20% - Accent1 6 6" xfId="125" xr:uid="{00000000-0005-0000-0000-00007A000000}"/>
    <cellStyle name="20% - Accent1 6 7" xfId="126" xr:uid="{00000000-0005-0000-0000-00007B000000}"/>
    <cellStyle name="20% - Accent1 6 8" xfId="127" xr:uid="{00000000-0005-0000-0000-00007C000000}"/>
    <cellStyle name="20% - Accent1 6 9" xfId="128" xr:uid="{00000000-0005-0000-0000-00007D000000}"/>
    <cellStyle name="20% - Accent1 7" xfId="129" xr:uid="{00000000-0005-0000-0000-00007E000000}"/>
    <cellStyle name="20% - Accent1 7 10" xfId="130" xr:uid="{00000000-0005-0000-0000-00007F000000}"/>
    <cellStyle name="20% - Accent1 7 11" xfId="131" xr:uid="{00000000-0005-0000-0000-000080000000}"/>
    <cellStyle name="20% - Accent1 7 12" xfId="132" xr:uid="{00000000-0005-0000-0000-000081000000}"/>
    <cellStyle name="20% - Accent1 7 13" xfId="133" xr:uid="{00000000-0005-0000-0000-000082000000}"/>
    <cellStyle name="20% - Accent1 7 14" xfId="134" xr:uid="{00000000-0005-0000-0000-000083000000}"/>
    <cellStyle name="20% - Accent1 7 15" xfId="135" xr:uid="{00000000-0005-0000-0000-000084000000}"/>
    <cellStyle name="20% - Accent1 7 2" xfId="136" xr:uid="{00000000-0005-0000-0000-000085000000}"/>
    <cellStyle name="20% - Accent1 7 3" xfId="137" xr:uid="{00000000-0005-0000-0000-000086000000}"/>
    <cellStyle name="20% - Accent1 7 4" xfId="138" xr:uid="{00000000-0005-0000-0000-000087000000}"/>
    <cellStyle name="20% - Accent1 7 5" xfId="139" xr:uid="{00000000-0005-0000-0000-000088000000}"/>
    <cellStyle name="20% - Accent1 7 6" xfId="140" xr:uid="{00000000-0005-0000-0000-000089000000}"/>
    <cellStyle name="20% - Accent1 7 7" xfId="141" xr:uid="{00000000-0005-0000-0000-00008A000000}"/>
    <cellStyle name="20% - Accent1 7 8" xfId="142" xr:uid="{00000000-0005-0000-0000-00008B000000}"/>
    <cellStyle name="20% - Accent1 7 9" xfId="143" xr:uid="{00000000-0005-0000-0000-00008C000000}"/>
    <cellStyle name="20% - Accent1 8" xfId="144" xr:uid="{00000000-0005-0000-0000-00008D000000}"/>
    <cellStyle name="20% - Accent1 9" xfId="145" xr:uid="{00000000-0005-0000-0000-00008E000000}"/>
    <cellStyle name="20% - Accent1 9 2" xfId="146" xr:uid="{00000000-0005-0000-0000-00008F000000}"/>
    <cellStyle name="20% - Accent1 9 3" xfId="147" xr:uid="{00000000-0005-0000-0000-000090000000}"/>
    <cellStyle name="20% - Accent2 10" xfId="148" xr:uid="{00000000-0005-0000-0000-000091000000}"/>
    <cellStyle name="20% - Accent2 11" xfId="149" xr:uid="{00000000-0005-0000-0000-000092000000}"/>
    <cellStyle name="20% - Accent2 12" xfId="150" xr:uid="{00000000-0005-0000-0000-000093000000}"/>
    <cellStyle name="20% - Accent2 13" xfId="151" xr:uid="{00000000-0005-0000-0000-000094000000}"/>
    <cellStyle name="20% - Accent2 14" xfId="152" xr:uid="{00000000-0005-0000-0000-000095000000}"/>
    <cellStyle name="20% - Accent2 15" xfId="153" xr:uid="{00000000-0005-0000-0000-000096000000}"/>
    <cellStyle name="20% - Accent2 16" xfId="154" xr:uid="{00000000-0005-0000-0000-000097000000}"/>
    <cellStyle name="20% - Accent2 17" xfId="155" xr:uid="{00000000-0005-0000-0000-000098000000}"/>
    <cellStyle name="20% - Accent2 18" xfId="156" xr:uid="{00000000-0005-0000-0000-000099000000}"/>
    <cellStyle name="20% - Accent2 19" xfId="157" xr:uid="{00000000-0005-0000-0000-00009A000000}"/>
    <cellStyle name="20% - Accent2 2" xfId="158" xr:uid="{00000000-0005-0000-0000-00009B000000}"/>
    <cellStyle name="20% - Accent2 2 10" xfId="159" xr:uid="{00000000-0005-0000-0000-00009C000000}"/>
    <cellStyle name="20% - Accent2 2 11" xfId="160" xr:uid="{00000000-0005-0000-0000-00009D000000}"/>
    <cellStyle name="20% - Accent2 2 12" xfId="161" xr:uid="{00000000-0005-0000-0000-00009E000000}"/>
    <cellStyle name="20% - Accent2 2 13" xfId="162" xr:uid="{00000000-0005-0000-0000-00009F000000}"/>
    <cellStyle name="20% - Accent2 2 14" xfId="163" xr:uid="{00000000-0005-0000-0000-0000A0000000}"/>
    <cellStyle name="20% - Accent2 2 15" xfId="164" xr:uid="{00000000-0005-0000-0000-0000A1000000}"/>
    <cellStyle name="20% - Accent2 2 16" xfId="165" xr:uid="{00000000-0005-0000-0000-0000A2000000}"/>
    <cellStyle name="20% - Accent2 2 2" xfId="166" xr:uid="{00000000-0005-0000-0000-0000A3000000}"/>
    <cellStyle name="20% - Accent2 2 2 10" xfId="167" xr:uid="{00000000-0005-0000-0000-0000A4000000}"/>
    <cellStyle name="20% - Accent2 2 2 11" xfId="168" xr:uid="{00000000-0005-0000-0000-0000A5000000}"/>
    <cellStyle name="20% - Accent2 2 2 12" xfId="169" xr:uid="{00000000-0005-0000-0000-0000A6000000}"/>
    <cellStyle name="20% - Accent2 2 2 13" xfId="170" xr:uid="{00000000-0005-0000-0000-0000A7000000}"/>
    <cellStyle name="20% - Accent2 2 2 14" xfId="171" xr:uid="{00000000-0005-0000-0000-0000A8000000}"/>
    <cellStyle name="20% - Accent2 2 2 15" xfId="172" xr:uid="{00000000-0005-0000-0000-0000A9000000}"/>
    <cellStyle name="20% - Accent2 2 2 16" xfId="173" xr:uid="{00000000-0005-0000-0000-0000AA000000}"/>
    <cellStyle name="20% - Accent2 2 2 17" xfId="174" xr:uid="{00000000-0005-0000-0000-0000AB000000}"/>
    <cellStyle name="20% - Accent2 2 2 18" xfId="175" xr:uid="{00000000-0005-0000-0000-0000AC000000}"/>
    <cellStyle name="20% - Accent2 2 2 2" xfId="176" xr:uid="{00000000-0005-0000-0000-0000AD000000}"/>
    <cellStyle name="20% - Accent2 2 2 3" xfId="177" xr:uid="{00000000-0005-0000-0000-0000AE000000}"/>
    <cellStyle name="20% - Accent2 2 2 4" xfId="178" xr:uid="{00000000-0005-0000-0000-0000AF000000}"/>
    <cellStyle name="20% - Accent2 2 2 5" xfId="179" xr:uid="{00000000-0005-0000-0000-0000B0000000}"/>
    <cellStyle name="20% - Accent2 2 2 6" xfId="180" xr:uid="{00000000-0005-0000-0000-0000B1000000}"/>
    <cellStyle name="20% - Accent2 2 2 7" xfId="181" xr:uid="{00000000-0005-0000-0000-0000B2000000}"/>
    <cellStyle name="20% - Accent2 2 2 8" xfId="182" xr:uid="{00000000-0005-0000-0000-0000B3000000}"/>
    <cellStyle name="20% - Accent2 2 2 9" xfId="183" xr:uid="{00000000-0005-0000-0000-0000B4000000}"/>
    <cellStyle name="20% - Accent2 2 3" xfId="184" xr:uid="{00000000-0005-0000-0000-0000B5000000}"/>
    <cellStyle name="20% - Accent2 2 4" xfId="185" xr:uid="{00000000-0005-0000-0000-0000B6000000}"/>
    <cellStyle name="20% - Accent2 2 5" xfId="186" xr:uid="{00000000-0005-0000-0000-0000B7000000}"/>
    <cellStyle name="20% - Accent2 2 6" xfId="187" xr:uid="{00000000-0005-0000-0000-0000B8000000}"/>
    <cellStyle name="20% - Accent2 2 7" xfId="188" xr:uid="{00000000-0005-0000-0000-0000B9000000}"/>
    <cellStyle name="20% - Accent2 2 8" xfId="189" xr:uid="{00000000-0005-0000-0000-0000BA000000}"/>
    <cellStyle name="20% - Accent2 2 9" xfId="190" xr:uid="{00000000-0005-0000-0000-0000BB000000}"/>
    <cellStyle name="20% - Accent2 20" xfId="191" xr:uid="{00000000-0005-0000-0000-0000BC000000}"/>
    <cellStyle name="20% - Accent2 21" xfId="192" xr:uid="{00000000-0005-0000-0000-0000BD000000}"/>
    <cellStyle name="20% - Accent2 22" xfId="193" xr:uid="{00000000-0005-0000-0000-0000BE000000}"/>
    <cellStyle name="20% - Accent2 23" xfId="194" xr:uid="{00000000-0005-0000-0000-0000BF000000}"/>
    <cellStyle name="20% - Accent2 24" xfId="195" xr:uid="{00000000-0005-0000-0000-0000C0000000}"/>
    <cellStyle name="20% - Accent2 25" xfId="196" xr:uid="{00000000-0005-0000-0000-0000C1000000}"/>
    <cellStyle name="20% - Accent2 26" xfId="197" xr:uid="{00000000-0005-0000-0000-0000C2000000}"/>
    <cellStyle name="20% - Accent2 27" xfId="198" xr:uid="{00000000-0005-0000-0000-0000C3000000}"/>
    <cellStyle name="20% - Accent2 28" xfId="199" xr:uid="{00000000-0005-0000-0000-0000C4000000}"/>
    <cellStyle name="20% - Accent2 29" xfId="200" xr:uid="{00000000-0005-0000-0000-0000C5000000}"/>
    <cellStyle name="20% - Accent2 3" xfId="201" xr:uid="{00000000-0005-0000-0000-0000C6000000}"/>
    <cellStyle name="20% - Accent2 3 10" xfId="202" xr:uid="{00000000-0005-0000-0000-0000C7000000}"/>
    <cellStyle name="20% - Accent2 3 11" xfId="203" xr:uid="{00000000-0005-0000-0000-0000C8000000}"/>
    <cellStyle name="20% - Accent2 3 12" xfId="204" xr:uid="{00000000-0005-0000-0000-0000C9000000}"/>
    <cellStyle name="20% - Accent2 3 13" xfId="205" xr:uid="{00000000-0005-0000-0000-0000CA000000}"/>
    <cellStyle name="20% - Accent2 3 14" xfId="206" xr:uid="{00000000-0005-0000-0000-0000CB000000}"/>
    <cellStyle name="20% - Accent2 3 15" xfId="207" xr:uid="{00000000-0005-0000-0000-0000CC000000}"/>
    <cellStyle name="20% - Accent2 3 2" xfId="208" xr:uid="{00000000-0005-0000-0000-0000CD000000}"/>
    <cellStyle name="20% - Accent2 3 3" xfId="209" xr:uid="{00000000-0005-0000-0000-0000CE000000}"/>
    <cellStyle name="20% - Accent2 3 4" xfId="210" xr:uid="{00000000-0005-0000-0000-0000CF000000}"/>
    <cellStyle name="20% - Accent2 3 5" xfId="211" xr:uid="{00000000-0005-0000-0000-0000D0000000}"/>
    <cellStyle name="20% - Accent2 3 6" xfId="212" xr:uid="{00000000-0005-0000-0000-0000D1000000}"/>
    <cellStyle name="20% - Accent2 3 7" xfId="213" xr:uid="{00000000-0005-0000-0000-0000D2000000}"/>
    <cellStyle name="20% - Accent2 3 8" xfId="214" xr:uid="{00000000-0005-0000-0000-0000D3000000}"/>
    <cellStyle name="20% - Accent2 3 9" xfId="215" xr:uid="{00000000-0005-0000-0000-0000D4000000}"/>
    <cellStyle name="20% - Accent2 30" xfId="216" xr:uid="{00000000-0005-0000-0000-0000D5000000}"/>
    <cellStyle name="20% - Accent2 31" xfId="217" xr:uid="{00000000-0005-0000-0000-0000D6000000}"/>
    <cellStyle name="20% - Accent2 32" xfId="218" xr:uid="{00000000-0005-0000-0000-0000D7000000}"/>
    <cellStyle name="20% - Accent2 33" xfId="219" xr:uid="{00000000-0005-0000-0000-0000D8000000}"/>
    <cellStyle name="20% - Accent2 34" xfId="220" xr:uid="{00000000-0005-0000-0000-0000D9000000}"/>
    <cellStyle name="20% - Accent2 35" xfId="221" xr:uid="{00000000-0005-0000-0000-0000DA000000}"/>
    <cellStyle name="20% - Accent2 36" xfId="222" xr:uid="{00000000-0005-0000-0000-0000DB000000}"/>
    <cellStyle name="20% - Accent2 37" xfId="223" xr:uid="{00000000-0005-0000-0000-0000DC000000}"/>
    <cellStyle name="20% - Accent2 38" xfId="224" xr:uid="{00000000-0005-0000-0000-0000DD000000}"/>
    <cellStyle name="20% - Accent2 39" xfId="225" xr:uid="{00000000-0005-0000-0000-0000DE000000}"/>
    <cellStyle name="20% - Accent2 4" xfId="226" xr:uid="{00000000-0005-0000-0000-0000DF000000}"/>
    <cellStyle name="20% - Accent2 4 10" xfId="227" xr:uid="{00000000-0005-0000-0000-0000E0000000}"/>
    <cellStyle name="20% - Accent2 4 11" xfId="228" xr:uid="{00000000-0005-0000-0000-0000E1000000}"/>
    <cellStyle name="20% - Accent2 4 12" xfId="229" xr:uid="{00000000-0005-0000-0000-0000E2000000}"/>
    <cellStyle name="20% - Accent2 4 13" xfId="230" xr:uid="{00000000-0005-0000-0000-0000E3000000}"/>
    <cellStyle name="20% - Accent2 4 14" xfId="231" xr:uid="{00000000-0005-0000-0000-0000E4000000}"/>
    <cellStyle name="20% - Accent2 4 15" xfId="232" xr:uid="{00000000-0005-0000-0000-0000E5000000}"/>
    <cellStyle name="20% - Accent2 4 2" xfId="233" xr:uid="{00000000-0005-0000-0000-0000E6000000}"/>
    <cellStyle name="20% - Accent2 4 3" xfId="234" xr:uid="{00000000-0005-0000-0000-0000E7000000}"/>
    <cellStyle name="20% - Accent2 4 4" xfId="235" xr:uid="{00000000-0005-0000-0000-0000E8000000}"/>
    <cellStyle name="20% - Accent2 4 5" xfId="236" xr:uid="{00000000-0005-0000-0000-0000E9000000}"/>
    <cellStyle name="20% - Accent2 4 6" xfId="237" xr:uid="{00000000-0005-0000-0000-0000EA000000}"/>
    <cellStyle name="20% - Accent2 4 7" xfId="238" xr:uid="{00000000-0005-0000-0000-0000EB000000}"/>
    <cellStyle name="20% - Accent2 4 8" xfId="239" xr:uid="{00000000-0005-0000-0000-0000EC000000}"/>
    <cellStyle name="20% - Accent2 4 9" xfId="240" xr:uid="{00000000-0005-0000-0000-0000ED000000}"/>
    <cellStyle name="20% - Accent2 40" xfId="241" xr:uid="{00000000-0005-0000-0000-0000EE000000}"/>
    <cellStyle name="20% - Accent2 41" xfId="242" xr:uid="{00000000-0005-0000-0000-0000EF000000}"/>
    <cellStyle name="20% - Accent2 42" xfId="243" xr:uid="{00000000-0005-0000-0000-0000F0000000}"/>
    <cellStyle name="20% - Accent2 5" xfId="244" xr:uid="{00000000-0005-0000-0000-0000F1000000}"/>
    <cellStyle name="20% - Accent2 5 10" xfId="245" xr:uid="{00000000-0005-0000-0000-0000F2000000}"/>
    <cellStyle name="20% - Accent2 5 11" xfId="246" xr:uid="{00000000-0005-0000-0000-0000F3000000}"/>
    <cellStyle name="20% - Accent2 5 12" xfId="247" xr:uid="{00000000-0005-0000-0000-0000F4000000}"/>
    <cellStyle name="20% - Accent2 5 13" xfId="248" xr:uid="{00000000-0005-0000-0000-0000F5000000}"/>
    <cellStyle name="20% - Accent2 5 14" xfId="249" xr:uid="{00000000-0005-0000-0000-0000F6000000}"/>
    <cellStyle name="20% - Accent2 5 15" xfId="250" xr:uid="{00000000-0005-0000-0000-0000F7000000}"/>
    <cellStyle name="20% - Accent2 5 2" xfId="251" xr:uid="{00000000-0005-0000-0000-0000F8000000}"/>
    <cellStyle name="20% - Accent2 5 3" xfId="252" xr:uid="{00000000-0005-0000-0000-0000F9000000}"/>
    <cellStyle name="20% - Accent2 5 4" xfId="253" xr:uid="{00000000-0005-0000-0000-0000FA000000}"/>
    <cellStyle name="20% - Accent2 5 5" xfId="254" xr:uid="{00000000-0005-0000-0000-0000FB000000}"/>
    <cellStyle name="20% - Accent2 5 6" xfId="255" xr:uid="{00000000-0005-0000-0000-0000FC000000}"/>
    <cellStyle name="20% - Accent2 5 7" xfId="256" xr:uid="{00000000-0005-0000-0000-0000FD000000}"/>
    <cellStyle name="20% - Accent2 5 8" xfId="257" xr:uid="{00000000-0005-0000-0000-0000FE000000}"/>
    <cellStyle name="20% - Accent2 5 9" xfId="258" xr:uid="{00000000-0005-0000-0000-0000FF000000}"/>
    <cellStyle name="20% - Accent2 6" xfId="259" xr:uid="{00000000-0005-0000-0000-000000010000}"/>
    <cellStyle name="20% - Accent2 6 10" xfId="260" xr:uid="{00000000-0005-0000-0000-000001010000}"/>
    <cellStyle name="20% - Accent2 6 11" xfId="261" xr:uid="{00000000-0005-0000-0000-000002010000}"/>
    <cellStyle name="20% - Accent2 6 12" xfId="262" xr:uid="{00000000-0005-0000-0000-000003010000}"/>
    <cellStyle name="20% - Accent2 6 13" xfId="263" xr:uid="{00000000-0005-0000-0000-000004010000}"/>
    <cellStyle name="20% - Accent2 6 14" xfId="264" xr:uid="{00000000-0005-0000-0000-000005010000}"/>
    <cellStyle name="20% - Accent2 6 15" xfId="265" xr:uid="{00000000-0005-0000-0000-000006010000}"/>
    <cellStyle name="20% - Accent2 6 2" xfId="266" xr:uid="{00000000-0005-0000-0000-000007010000}"/>
    <cellStyle name="20% - Accent2 6 3" xfId="267" xr:uid="{00000000-0005-0000-0000-000008010000}"/>
    <cellStyle name="20% - Accent2 6 4" xfId="268" xr:uid="{00000000-0005-0000-0000-000009010000}"/>
    <cellStyle name="20% - Accent2 6 5" xfId="269" xr:uid="{00000000-0005-0000-0000-00000A010000}"/>
    <cellStyle name="20% - Accent2 6 6" xfId="270" xr:uid="{00000000-0005-0000-0000-00000B010000}"/>
    <cellStyle name="20% - Accent2 6 7" xfId="271" xr:uid="{00000000-0005-0000-0000-00000C010000}"/>
    <cellStyle name="20% - Accent2 6 8" xfId="272" xr:uid="{00000000-0005-0000-0000-00000D010000}"/>
    <cellStyle name="20% - Accent2 6 9" xfId="273" xr:uid="{00000000-0005-0000-0000-00000E010000}"/>
    <cellStyle name="20% - Accent2 7" xfId="274" xr:uid="{00000000-0005-0000-0000-00000F010000}"/>
    <cellStyle name="20% - Accent2 7 10" xfId="275" xr:uid="{00000000-0005-0000-0000-000010010000}"/>
    <cellStyle name="20% - Accent2 7 11" xfId="276" xr:uid="{00000000-0005-0000-0000-000011010000}"/>
    <cellStyle name="20% - Accent2 7 12" xfId="277" xr:uid="{00000000-0005-0000-0000-000012010000}"/>
    <cellStyle name="20% - Accent2 7 13" xfId="278" xr:uid="{00000000-0005-0000-0000-000013010000}"/>
    <cellStyle name="20% - Accent2 7 14" xfId="279" xr:uid="{00000000-0005-0000-0000-000014010000}"/>
    <cellStyle name="20% - Accent2 7 15" xfId="280" xr:uid="{00000000-0005-0000-0000-000015010000}"/>
    <cellStyle name="20% - Accent2 7 2" xfId="281" xr:uid="{00000000-0005-0000-0000-000016010000}"/>
    <cellStyle name="20% - Accent2 7 3" xfId="282" xr:uid="{00000000-0005-0000-0000-000017010000}"/>
    <cellStyle name="20% - Accent2 7 4" xfId="283" xr:uid="{00000000-0005-0000-0000-000018010000}"/>
    <cellStyle name="20% - Accent2 7 5" xfId="284" xr:uid="{00000000-0005-0000-0000-000019010000}"/>
    <cellStyle name="20% - Accent2 7 6" xfId="285" xr:uid="{00000000-0005-0000-0000-00001A010000}"/>
    <cellStyle name="20% - Accent2 7 7" xfId="286" xr:uid="{00000000-0005-0000-0000-00001B010000}"/>
    <cellStyle name="20% - Accent2 7 8" xfId="287" xr:uid="{00000000-0005-0000-0000-00001C010000}"/>
    <cellStyle name="20% - Accent2 7 9" xfId="288" xr:uid="{00000000-0005-0000-0000-00001D010000}"/>
    <cellStyle name="20% - Accent2 8" xfId="289" xr:uid="{00000000-0005-0000-0000-00001E010000}"/>
    <cellStyle name="20% - Accent2 9" xfId="290" xr:uid="{00000000-0005-0000-0000-00001F010000}"/>
    <cellStyle name="20% - Accent2 9 2" xfId="291" xr:uid="{00000000-0005-0000-0000-000020010000}"/>
    <cellStyle name="20% - Accent2 9 3" xfId="292" xr:uid="{00000000-0005-0000-0000-000021010000}"/>
    <cellStyle name="20% - Accent3 10" xfId="293" xr:uid="{00000000-0005-0000-0000-000022010000}"/>
    <cellStyle name="20% - Accent3 11" xfId="294" xr:uid="{00000000-0005-0000-0000-000023010000}"/>
    <cellStyle name="20% - Accent3 12" xfId="295" xr:uid="{00000000-0005-0000-0000-000024010000}"/>
    <cellStyle name="20% - Accent3 13" xfId="296" xr:uid="{00000000-0005-0000-0000-000025010000}"/>
    <cellStyle name="20% - Accent3 14" xfId="297" xr:uid="{00000000-0005-0000-0000-000026010000}"/>
    <cellStyle name="20% - Accent3 15" xfId="298" xr:uid="{00000000-0005-0000-0000-000027010000}"/>
    <cellStyle name="20% - Accent3 16" xfId="299" xr:uid="{00000000-0005-0000-0000-000028010000}"/>
    <cellStyle name="20% - Accent3 17" xfId="300" xr:uid="{00000000-0005-0000-0000-000029010000}"/>
    <cellStyle name="20% - Accent3 18" xfId="301" xr:uid="{00000000-0005-0000-0000-00002A010000}"/>
    <cellStyle name="20% - Accent3 19" xfId="302" xr:uid="{00000000-0005-0000-0000-00002B010000}"/>
    <cellStyle name="20% - Accent3 2" xfId="303" xr:uid="{00000000-0005-0000-0000-00002C010000}"/>
    <cellStyle name="20% - Accent3 2 10" xfId="304" xr:uid="{00000000-0005-0000-0000-00002D010000}"/>
    <cellStyle name="20% - Accent3 2 11" xfId="305" xr:uid="{00000000-0005-0000-0000-00002E010000}"/>
    <cellStyle name="20% - Accent3 2 12" xfId="306" xr:uid="{00000000-0005-0000-0000-00002F010000}"/>
    <cellStyle name="20% - Accent3 2 13" xfId="307" xr:uid="{00000000-0005-0000-0000-000030010000}"/>
    <cellStyle name="20% - Accent3 2 14" xfId="308" xr:uid="{00000000-0005-0000-0000-000031010000}"/>
    <cellStyle name="20% - Accent3 2 15" xfId="309" xr:uid="{00000000-0005-0000-0000-000032010000}"/>
    <cellStyle name="20% - Accent3 2 16" xfId="310" xr:uid="{00000000-0005-0000-0000-000033010000}"/>
    <cellStyle name="20% - Accent3 2 2" xfId="311" xr:uid="{00000000-0005-0000-0000-000034010000}"/>
    <cellStyle name="20% - Accent3 2 2 10" xfId="312" xr:uid="{00000000-0005-0000-0000-000035010000}"/>
    <cellStyle name="20% - Accent3 2 2 11" xfId="313" xr:uid="{00000000-0005-0000-0000-000036010000}"/>
    <cellStyle name="20% - Accent3 2 2 12" xfId="314" xr:uid="{00000000-0005-0000-0000-000037010000}"/>
    <cellStyle name="20% - Accent3 2 2 13" xfId="315" xr:uid="{00000000-0005-0000-0000-000038010000}"/>
    <cellStyle name="20% - Accent3 2 2 14" xfId="316" xr:uid="{00000000-0005-0000-0000-000039010000}"/>
    <cellStyle name="20% - Accent3 2 2 15" xfId="317" xr:uid="{00000000-0005-0000-0000-00003A010000}"/>
    <cellStyle name="20% - Accent3 2 2 16" xfId="318" xr:uid="{00000000-0005-0000-0000-00003B010000}"/>
    <cellStyle name="20% - Accent3 2 2 17" xfId="319" xr:uid="{00000000-0005-0000-0000-00003C010000}"/>
    <cellStyle name="20% - Accent3 2 2 18" xfId="320" xr:uid="{00000000-0005-0000-0000-00003D010000}"/>
    <cellStyle name="20% - Accent3 2 2 2" xfId="321" xr:uid="{00000000-0005-0000-0000-00003E010000}"/>
    <cellStyle name="20% - Accent3 2 2 3" xfId="322" xr:uid="{00000000-0005-0000-0000-00003F010000}"/>
    <cellStyle name="20% - Accent3 2 2 4" xfId="323" xr:uid="{00000000-0005-0000-0000-000040010000}"/>
    <cellStyle name="20% - Accent3 2 2 5" xfId="324" xr:uid="{00000000-0005-0000-0000-000041010000}"/>
    <cellStyle name="20% - Accent3 2 2 6" xfId="325" xr:uid="{00000000-0005-0000-0000-000042010000}"/>
    <cellStyle name="20% - Accent3 2 2 7" xfId="326" xr:uid="{00000000-0005-0000-0000-000043010000}"/>
    <cellStyle name="20% - Accent3 2 2 8" xfId="327" xr:uid="{00000000-0005-0000-0000-000044010000}"/>
    <cellStyle name="20% - Accent3 2 2 9" xfId="328" xr:uid="{00000000-0005-0000-0000-000045010000}"/>
    <cellStyle name="20% - Accent3 2 3" xfId="329" xr:uid="{00000000-0005-0000-0000-000046010000}"/>
    <cellStyle name="20% - Accent3 2 4" xfId="330" xr:uid="{00000000-0005-0000-0000-000047010000}"/>
    <cellStyle name="20% - Accent3 2 5" xfId="331" xr:uid="{00000000-0005-0000-0000-000048010000}"/>
    <cellStyle name="20% - Accent3 2 6" xfId="332" xr:uid="{00000000-0005-0000-0000-000049010000}"/>
    <cellStyle name="20% - Accent3 2 7" xfId="333" xr:uid="{00000000-0005-0000-0000-00004A010000}"/>
    <cellStyle name="20% - Accent3 2 8" xfId="334" xr:uid="{00000000-0005-0000-0000-00004B010000}"/>
    <cellStyle name="20% - Accent3 2 9" xfId="335" xr:uid="{00000000-0005-0000-0000-00004C010000}"/>
    <cellStyle name="20% - Accent3 20" xfId="336" xr:uid="{00000000-0005-0000-0000-00004D010000}"/>
    <cellStyle name="20% - Accent3 21" xfId="337" xr:uid="{00000000-0005-0000-0000-00004E010000}"/>
    <cellStyle name="20% - Accent3 22" xfId="338" xr:uid="{00000000-0005-0000-0000-00004F010000}"/>
    <cellStyle name="20% - Accent3 23" xfId="339" xr:uid="{00000000-0005-0000-0000-000050010000}"/>
    <cellStyle name="20% - Accent3 24" xfId="340" xr:uid="{00000000-0005-0000-0000-000051010000}"/>
    <cellStyle name="20% - Accent3 25" xfId="341" xr:uid="{00000000-0005-0000-0000-000052010000}"/>
    <cellStyle name="20% - Accent3 26" xfId="342" xr:uid="{00000000-0005-0000-0000-000053010000}"/>
    <cellStyle name="20% - Accent3 27" xfId="343" xr:uid="{00000000-0005-0000-0000-000054010000}"/>
    <cellStyle name="20% - Accent3 28" xfId="344" xr:uid="{00000000-0005-0000-0000-000055010000}"/>
    <cellStyle name="20% - Accent3 29" xfId="345" xr:uid="{00000000-0005-0000-0000-000056010000}"/>
    <cellStyle name="20% - Accent3 3" xfId="346" xr:uid="{00000000-0005-0000-0000-000057010000}"/>
    <cellStyle name="20% - Accent3 3 10" xfId="347" xr:uid="{00000000-0005-0000-0000-000058010000}"/>
    <cellStyle name="20% - Accent3 3 11" xfId="348" xr:uid="{00000000-0005-0000-0000-000059010000}"/>
    <cellStyle name="20% - Accent3 3 12" xfId="349" xr:uid="{00000000-0005-0000-0000-00005A010000}"/>
    <cellStyle name="20% - Accent3 3 13" xfId="350" xr:uid="{00000000-0005-0000-0000-00005B010000}"/>
    <cellStyle name="20% - Accent3 3 14" xfId="351" xr:uid="{00000000-0005-0000-0000-00005C010000}"/>
    <cellStyle name="20% - Accent3 3 15" xfId="352" xr:uid="{00000000-0005-0000-0000-00005D010000}"/>
    <cellStyle name="20% - Accent3 3 2" xfId="353" xr:uid="{00000000-0005-0000-0000-00005E010000}"/>
    <cellStyle name="20% - Accent3 3 3" xfId="354" xr:uid="{00000000-0005-0000-0000-00005F010000}"/>
    <cellStyle name="20% - Accent3 3 4" xfId="355" xr:uid="{00000000-0005-0000-0000-000060010000}"/>
    <cellStyle name="20% - Accent3 3 5" xfId="356" xr:uid="{00000000-0005-0000-0000-000061010000}"/>
    <cellStyle name="20% - Accent3 3 6" xfId="357" xr:uid="{00000000-0005-0000-0000-000062010000}"/>
    <cellStyle name="20% - Accent3 3 7" xfId="358" xr:uid="{00000000-0005-0000-0000-000063010000}"/>
    <cellStyle name="20% - Accent3 3 8" xfId="359" xr:uid="{00000000-0005-0000-0000-000064010000}"/>
    <cellStyle name="20% - Accent3 3 9" xfId="360" xr:uid="{00000000-0005-0000-0000-000065010000}"/>
    <cellStyle name="20% - Accent3 30" xfId="361" xr:uid="{00000000-0005-0000-0000-000066010000}"/>
    <cellStyle name="20% - Accent3 31" xfId="362" xr:uid="{00000000-0005-0000-0000-000067010000}"/>
    <cellStyle name="20% - Accent3 32" xfId="363" xr:uid="{00000000-0005-0000-0000-000068010000}"/>
    <cellStyle name="20% - Accent3 33" xfId="364" xr:uid="{00000000-0005-0000-0000-000069010000}"/>
    <cellStyle name="20% - Accent3 34" xfId="365" xr:uid="{00000000-0005-0000-0000-00006A010000}"/>
    <cellStyle name="20% - Accent3 35" xfId="366" xr:uid="{00000000-0005-0000-0000-00006B010000}"/>
    <cellStyle name="20% - Accent3 36" xfId="367" xr:uid="{00000000-0005-0000-0000-00006C010000}"/>
    <cellStyle name="20% - Accent3 37" xfId="368" xr:uid="{00000000-0005-0000-0000-00006D010000}"/>
    <cellStyle name="20% - Accent3 38" xfId="369" xr:uid="{00000000-0005-0000-0000-00006E010000}"/>
    <cellStyle name="20% - Accent3 39" xfId="370" xr:uid="{00000000-0005-0000-0000-00006F010000}"/>
    <cellStyle name="20% - Accent3 4" xfId="371" xr:uid="{00000000-0005-0000-0000-000070010000}"/>
    <cellStyle name="20% - Accent3 4 10" xfId="372" xr:uid="{00000000-0005-0000-0000-000071010000}"/>
    <cellStyle name="20% - Accent3 4 11" xfId="373" xr:uid="{00000000-0005-0000-0000-000072010000}"/>
    <cellStyle name="20% - Accent3 4 12" xfId="374" xr:uid="{00000000-0005-0000-0000-000073010000}"/>
    <cellStyle name="20% - Accent3 4 13" xfId="375" xr:uid="{00000000-0005-0000-0000-000074010000}"/>
    <cellStyle name="20% - Accent3 4 14" xfId="376" xr:uid="{00000000-0005-0000-0000-000075010000}"/>
    <cellStyle name="20% - Accent3 4 15" xfId="377" xr:uid="{00000000-0005-0000-0000-000076010000}"/>
    <cellStyle name="20% - Accent3 4 2" xfId="378" xr:uid="{00000000-0005-0000-0000-000077010000}"/>
    <cellStyle name="20% - Accent3 4 3" xfId="379" xr:uid="{00000000-0005-0000-0000-000078010000}"/>
    <cellStyle name="20% - Accent3 4 4" xfId="380" xr:uid="{00000000-0005-0000-0000-000079010000}"/>
    <cellStyle name="20% - Accent3 4 5" xfId="381" xr:uid="{00000000-0005-0000-0000-00007A010000}"/>
    <cellStyle name="20% - Accent3 4 6" xfId="382" xr:uid="{00000000-0005-0000-0000-00007B010000}"/>
    <cellStyle name="20% - Accent3 4 7" xfId="383" xr:uid="{00000000-0005-0000-0000-00007C010000}"/>
    <cellStyle name="20% - Accent3 4 8" xfId="384" xr:uid="{00000000-0005-0000-0000-00007D010000}"/>
    <cellStyle name="20% - Accent3 4 9" xfId="385" xr:uid="{00000000-0005-0000-0000-00007E010000}"/>
    <cellStyle name="20% - Accent3 40" xfId="386" xr:uid="{00000000-0005-0000-0000-00007F010000}"/>
    <cellStyle name="20% - Accent3 41" xfId="387" xr:uid="{00000000-0005-0000-0000-000080010000}"/>
    <cellStyle name="20% - Accent3 42" xfId="388" xr:uid="{00000000-0005-0000-0000-000081010000}"/>
    <cellStyle name="20% - Accent3 5" xfId="389" xr:uid="{00000000-0005-0000-0000-000082010000}"/>
    <cellStyle name="20% - Accent3 5 10" xfId="390" xr:uid="{00000000-0005-0000-0000-000083010000}"/>
    <cellStyle name="20% - Accent3 5 11" xfId="391" xr:uid="{00000000-0005-0000-0000-000084010000}"/>
    <cellStyle name="20% - Accent3 5 12" xfId="392" xr:uid="{00000000-0005-0000-0000-000085010000}"/>
    <cellStyle name="20% - Accent3 5 13" xfId="393" xr:uid="{00000000-0005-0000-0000-000086010000}"/>
    <cellStyle name="20% - Accent3 5 14" xfId="394" xr:uid="{00000000-0005-0000-0000-000087010000}"/>
    <cellStyle name="20% - Accent3 5 15" xfId="395" xr:uid="{00000000-0005-0000-0000-000088010000}"/>
    <cellStyle name="20% - Accent3 5 2" xfId="396" xr:uid="{00000000-0005-0000-0000-000089010000}"/>
    <cellStyle name="20% - Accent3 5 3" xfId="397" xr:uid="{00000000-0005-0000-0000-00008A010000}"/>
    <cellStyle name="20% - Accent3 5 4" xfId="398" xr:uid="{00000000-0005-0000-0000-00008B010000}"/>
    <cellStyle name="20% - Accent3 5 5" xfId="399" xr:uid="{00000000-0005-0000-0000-00008C010000}"/>
    <cellStyle name="20% - Accent3 5 6" xfId="400" xr:uid="{00000000-0005-0000-0000-00008D010000}"/>
    <cellStyle name="20% - Accent3 5 7" xfId="401" xr:uid="{00000000-0005-0000-0000-00008E010000}"/>
    <cellStyle name="20% - Accent3 5 8" xfId="402" xr:uid="{00000000-0005-0000-0000-00008F010000}"/>
    <cellStyle name="20% - Accent3 5 9" xfId="403" xr:uid="{00000000-0005-0000-0000-000090010000}"/>
    <cellStyle name="20% - Accent3 6" xfId="404" xr:uid="{00000000-0005-0000-0000-000091010000}"/>
    <cellStyle name="20% - Accent3 6 10" xfId="405" xr:uid="{00000000-0005-0000-0000-000092010000}"/>
    <cellStyle name="20% - Accent3 6 11" xfId="406" xr:uid="{00000000-0005-0000-0000-000093010000}"/>
    <cellStyle name="20% - Accent3 6 12" xfId="407" xr:uid="{00000000-0005-0000-0000-000094010000}"/>
    <cellStyle name="20% - Accent3 6 13" xfId="408" xr:uid="{00000000-0005-0000-0000-000095010000}"/>
    <cellStyle name="20% - Accent3 6 14" xfId="409" xr:uid="{00000000-0005-0000-0000-000096010000}"/>
    <cellStyle name="20% - Accent3 6 15" xfId="410" xr:uid="{00000000-0005-0000-0000-000097010000}"/>
    <cellStyle name="20% - Accent3 6 2" xfId="411" xr:uid="{00000000-0005-0000-0000-000098010000}"/>
    <cellStyle name="20% - Accent3 6 3" xfId="412" xr:uid="{00000000-0005-0000-0000-000099010000}"/>
    <cellStyle name="20% - Accent3 6 4" xfId="413" xr:uid="{00000000-0005-0000-0000-00009A010000}"/>
    <cellStyle name="20% - Accent3 6 5" xfId="414" xr:uid="{00000000-0005-0000-0000-00009B010000}"/>
    <cellStyle name="20% - Accent3 6 6" xfId="415" xr:uid="{00000000-0005-0000-0000-00009C010000}"/>
    <cellStyle name="20% - Accent3 6 7" xfId="416" xr:uid="{00000000-0005-0000-0000-00009D010000}"/>
    <cellStyle name="20% - Accent3 6 8" xfId="417" xr:uid="{00000000-0005-0000-0000-00009E010000}"/>
    <cellStyle name="20% - Accent3 6 9" xfId="418" xr:uid="{00000000-0005-0000-0000-00009F010000}"/>
    <cellStyle name="20% - Accent3 7" xfId="419" xr:uid="{00000000-0005-0000-0000-0000A0010000}"/>
    <cellStyle name="20% - Accent3 7 10" xfId="420" xr:uid="{00000000-0005-0000-0000-0000A1010000}"/>
    <cellStyle name="20% - Accent3 7 11" xfId="421" xr:uid="{00000000-0005-0000-0000-0000A2010000}"/>
    <cellStyle name="20% - Accent3 7 12" xfId="422" xr:uid="{00000000-0005-0000-0000-0000A3010000}"/>
    <cellStyle name="20% - Accent3 7 13" xfId="423" xr:uid="{00000000-0005-0000-0000-0000A4010000}"/>
    <cellStyle name="20% - Accent3 7 14" xfId="424" xr:uid="{00000000-0005-0000-0000-0000A5010000}"/>
    <cellStyle name="20% - Accent3 7 15" xfId="425" xr:uid="{00000000-0005-0000-0000-0000A6010000}"/>
    <cellStyle name="20% - Accent3 7 2" xfId="426" xr:uid="{00000000-0005-0000-0000-0000A7010000}"/>
    <cellStyle name="20% - Accent3 7 3" xfId="427" xr:uid="{00000000-0005-0000-0000-0000A8010000}"/>
    <cellStyle name="20% - Accent3 7 4" xfId="428" xr:uid="{00000000-0005-0000-0000-0000A9010000}"/>
    <cellStyle name="20% - Accent3 7 5" xfId="429" xr:uid="{00000000-0005-0000-0000-0000AA010000}"/>
    <cellStyle name="20% - Accent3 7 6" xfId="430" xr:uid="{00000000-0005-0000-0000-0000AB010000}"/>
    <cellStyle name="20% - Accent3 7 7" xfId="431" xr:uid="{00000000-0005-0000-0000-0000AC010000}"/>
    <cellStyle name="20% - Accent3 7 8" xfId="432" xr:uid="{00000000-0005-0000-0000-0000AD010000}"/>
    <cellStyle name="20% - Accent3 7 9" xfId="433" xr:uid="{00000000-0005-0000-0000-0000AE010000}"/>
    <cellStyle name="20% - Accent3 8" xfId="434" xr:uid="{00000000-0005-0000-0000-0000AF010000}"/>
    <cellStyle name="20% - Accent3 9" xfId="435" xr:uid="{00000000-0005-0000-0000-0000B0010000}"/>
    <cellStyle name="20% - Accent3 9 2" xfId="436" xr:uid="{00000000-0005-0000-0000-0000B1010000}"/>
    <cellStyle name="20% - Accent3 9 3" xfId="437" xr:uid="{00000000-0005-0000-0000-0000B2010000}"/>
    <cellStyle name="20% - Accent4 10" xfId="438" xr:uid="{00000000-0005-0000-0000-0000B3010000}"/>
    <cellStyle name="20% - Accent4 11" xfId="439" xr:uid="{00000000-0005-0000-0000-0000B4010000}"/>
    <cellStyle name="20% - Accent4 12" xfId="440" xr:uid="{00000000-0005-0000-0000-0000B5010000}"/>
    <cellStyle name="20% - Accent4 13" xfId="441" xr:uid="{00000000-0005-0000-0000-0000B6010000}"/>
    <cellStyle name="20% - Accent4 14" xfId="442" xr:uid="{00000000-0005-0000-0000-0000B7010000}"/>
    <cellStyle name="20% - Accent4 15" xfId="443" xr:uid="{00000000-0005-0000-0000-0000B8010000}"/>
    <cellStyle name="20% - Accent4 16" xfId="444" xr:uid="{00000000-0005-0000-0000-0000B9010000}"/>
    <cellStyle name="20% - Accent4 17" xfId="445" xr:uid="{00000000-0005-0000-0000-0000BA010000}"/>
    <cellStyle name="20% - Accent4 18" xfId="446" xr:uid="{00000000-0005-0000-0000-0000BB010000}"/>
    <cellStyle name="20% - Accent4 19" xfId="447" xr:uid="{00000000-0005-0000-0000-0000BC010000}"/>
    <cellStyle name="20% - Accent4 2" xfId="448" xr:uid="{00000000-0005-0000-0000-0000BD010000}"/>
    <cellStyle name="20% - Accent4 2 10" xfId="449" xr:uid="{00000000-0005-0000-0000-0000BE010000}"/>
    <cellStyle name="20% - Accent4 2 11" xfId="450" xr:uid="{00000000-0005-0000-0000-0000BF010000}"/>
    <cellStyle name="20% - Accent4 2 12" xfId="451" xr:uid="{00000000-0005-0000-0000-0000C0010000}"/>
    <cellStyle name="20% - Accent4 2 13" xfId="452" xr:uid="{00000000-0005-0000-0000-0000C1010000}"/>
    <cellStyle name="20% - Accent4 2 14" xfId="453" xr:uid="{00000000-0005-0000-0000-0000C2010000}"/>
    <cellStyle name="20% - Accent4 2 15" xfId="454" xr:uid="{00000000-0005-0000-0000-0000C3010000}"/>
    <cellStyle name="20% - Accent4 2 16" xfId="455" xr:uid="{00000000-0005-0000-0000-0000C4010000}"/>
    <cellStyle name="20% - Accent4 2 2" xfId="456" xr:uid="{00000000-0005-0000-0000-0000C5010000}"/>
    <cellStyle name="20% - Accent4 2 2 10" xfId="457" xr:uid="{00000000-0005-0000-0000-0000C6010000}"/>
    <cellStyle name="20% - Accent4 2 2 11" xfId="458" xr:uid="{00000000-0005-0000-0000-0000C7010000}"/>
    <cellStyle name="20% - Accent4 2 2 12" xfId="459" xr:uid="{00000000-0005-0000-0000-0000C8010000}"/>
    <cellStyle name="20% - Accent4 2 2 13" xfId="460" xr:uid="{00000000-0005-0000-0000-0000C9010000}"/>
    <cellStyle name="20% - Accent4 2 2 14" xfId="461" xr:uid="{00000000-0005-0000-0000-0000CA010000}"/>
    <cellStyle name="20% - Accent4 2 2 15" xfId="462" xr:uid="{00000000-0005-0000-0000-0000CB010000}"/>
    <cellStyle name="20% - Accent4 2 2 16" xfId="463" xr:uid="{00000000-0005-0000-0000-0000CC010000}"/>
    <cellStyle name="20% - Accent4 2 2 17" xfId="464" xr:uid="{00000000-0005-0000-0000-0000CD010000}"/>
    <cellStyle name="20% - Accent4 2 2 18" xfId="465" xr:uid="{00000000-0005-0000-0000-0000CE010000}"/>
    <cellStyle name="20% - Accent4 2 2 2" xfId="466" xr:uid="{00000000-0005-0000-0000-0000CF010000}"/>
    <cellStyle name="20% - Accent4 2 2 3" xfId="467" xr:uid="{00000000-0005-0000-0000-0000D0010000}"/>
    <cellStyle name="20% - Accent4 2 2 4" xfId="468" xr:uid="{00000000-0005-0000-0000-0000D1010000}"/>
    <cellStyle name="20% - Accent4 2 2 5" xfId="469" xr:uid="{00000000-0005-0000-0000-0000D2010000}"/>
    <cellStyle name="20% - Accent4 2 2 6" xfId="470" xr:uid="{00000000-0005-0000-0000-0000D3010000}"/>
    <cellStyle name="20% - Accent4 2 2 7" xfId="471" xr:uid="{00000000-0005-0000-0000-0000D4010000}"/>
    <cellStyle name="20% - Accent4 2 2 8" xfId="472" xr:uid="{00000000-0005-0000-0000-0000D5010000}"/>
    <cellStyle name="20% - Accent4 2 2 9" xfId="473" xr:uid="{00000000-0005-0000-0000-0000D6010000}"/>
    <cellStyle name="20% - Accent4 2 3" xfId="474" xr:uid="{00000000-0005-0000-0000-0000D7010000}"/>
    <cellStyle name="20% - Accent4 2 4" xfId="475" xr:uid="{00000000-0005-0000-0000-0000D8010000}"/>
    <cellStyle name="20% - Accent4 2 5" xfId="476" xr:uid="{00000000-0005-0000-0000-0000D9010000}"/>
    <cellStyle name="20% - Accent4 2 6" xfId="477" xr:uid="{00000000-0005-0000-0000-0000DA010000}"/>
    <cellStyle name="20% - Accent4 2 7" xfId="478" xr:uid="{00000000-0005-0000-0000-0000DB010000}"/>
    <cellStyle name="20% - Accent4 2 8" xfId="479" xr:uid="{00000000-0005-0000-0000-0000DC010000}"/>
    <cellStyle name="20% - Accent4 2 9" xfId="480" xr:uid="{00000000-0005-0000-0000-0000DD010000}"/>
    <cellStyle name="20% - Accent4 20" xfId="481" xr:uid="{00000000-0005-0000-0000-0000DE010000}"/>
    <cellStyle name="20% - Accent4 21" xfId="482" xr:uid="{00000000-0005-0000-0000-0000DF010000}"/>
    <cellStyle name="20% - Accent4 22" xfId="483" xr:uid="{00000000-0005-0000-0000-0000E0010000}"/>
    <cellStyle name="20% - Accent4 23" xfId="484" xr:uid="{00000000-0005-0000-0000-0000E1010000}"/>
    <cellStyle name="20% - Accent4 24" xfId="485" xr:uid="{00000000-0005-0000-0000-0000E2010000}"/>
    <cellStyle name="20% - Accent4 25" xfId="486" xr:uid="{00000000-0005-0000-0000-0000E3010000}"/>
    <cellStyle name="20% - Accent4 26" xfId="487" xr:uid="{00000000-0005-0000-0000-0000E4010000}"/>
    <cellStyle name="20% - Accent4 27" xfId="488" xr:uid="{00000000-0005-0000-0000-0000E5010000}"/>
    <cellStyle name="20% - Accent4 28" xfId="489" xr:uid="{00000000-0005-0000-0000-0000E6010000}"/>
    <cellStyle name="20% - Accent4 29" xfId="490" xr:uid="{00000000-0005-0000-0000-0000E7010000}"/>
    <cellStyle name="20% - Accent4 3" xfId="491" xr:uid="{00000000-0005-0000-0000-0000E8010000}"/>
    <cellStyle name="20% - Accent4 3 10" xfId="492" xr:uid="{00000000-0005-0000-0000-0000E9010000}"/>
    <cellStyle name="20% - Accent4 3 11" xfId="493" xr:uid="{00000000-0005-0000-0000-0000EA010000}"/>
    <cellStyle name="20% - Accent4 3 12" xfId="494" xr:uid="{00000000-0005-0000-0000-0000EB010000}"/>
    <cellStyle name="20% - Accent4 3 13" xfId="495" xr:uid="{00000000-0005-0000-0000-0000EC010000}"/>
    <cellStyle name="20% - Accent4 3 14" xfId="496" xr:uid="{00000000-0005-0000-0000-0000ED010000}"/>
    <cellStyle name="20% - Accent4 3 15" xfId="497" xr:uid="{00000000-0005-0000-0000-0000EE010000}"/>
    <cellStyle name="20% - Accent4 3 2" xfId="498" xr:uid="{00000000-0005-0000-0000-0000EF010000}"/>
    <cellStyle name="20% - Accent4 3 3" xfId="499" xr:uid="{00000000-0005-0000-0000-0000F0010000}"/>
    <cellStyle name="20% - Accent4 3 4" xfId="500" xr:uid="{00000000-0005-0000-0000-0000F1010000}"/>
    <cellStyle name="20% - Accent4 3 5" xfId="501" xr:uid="{00000000-0005-0000-0000-0000F2010000}"/>
    <cellStyle name="20% - Accent4 3 6" xfId="502" xr:uid="{00000000-0005-0000-0000-0000F3010000}"/>
    <cellStyle name="20% - Accent4 3 7" xfId="503" xr:uid="{00000000-0005-0000-0000-0000F4010000}"/>
    <cellStyle name="20% - Accent4 3 8" xfId="504" xr:uid="{00000000-0005-0000-0000-0000F5010000}"/>
    <cellStyle name="20% - Accent4 3 9" xfId="505" xr:uid="{00000000-0005-0000-0000-0000F6010000}"/>
    <cellStyle name="20% - Accent4 30" xfId="506" xr:uid="{00000000-0005-0000-0000-0000F7010000}"/>
    <cellStyle name="20% - Accent4 31" xfId="507" xr:uid="{00000000-0005-0000-0000-0000F8010000}"/>
    <cellStyle name="20% - Accent4 32" xfId="508" xr:uid="{00000000-0005-0000-0000-0000F9010000}"/>
    <cellStyle name="20% - Accent4 33" xfId="509" xr:uid="{00000000-0005-0000-0000-0000FA010000}"/>
    <cellStyle name="20% - Accent4 34" xfId="510" xr:uid="{00000000-0005-0000-0000-0000FB010000}"/>
    <cellStyle name="20% - Accent4 35" xfId="511" xr:uid="{00000000-0005-0000-0000-0000FC010000}"/>
    <cellStyle name="20% - Accent4 36" xfId="512" xr:uid="{00000000-0005-0000-0000-0000FD010000}"/>
    <cellStyle name="20% - Accent4 37" xfId="513" xr:uid="{00000000-0005-0000-0000-0000FE010000}"/>
    <cellStyle name="20% - Accent4 38" xfId="514" xr:uid="{00000000-0005-0000-0000-0000FF010000}"/>
    <cellStyle name="20% - Accent4 39" xfId="515" xr:uid="{00000000-0005-0000-0000-000000020000}"/>
    <cellStyle name="20% - Accent4 4" xfId="516" xr:uid="{00000000-0005-0000-0000-000001020000}"/>
    <cellStyle name="20% - Accent4 4 10" xfId="517" xr:uid="{00000000-0005-0000-0000-000002020000}"/>
    <cellStyle name="20% - Accent4 4 11" xfId="518" xr:uid="{00000000-0005-0000-0000-000003020000}"/>
    <cellStyle name="20% - Accent4 4 12" xfId="519" xr:uid="{00000000-0005-0000-0000-000004020000}"/>
    <cellStyle name="20% - Accent4 4 13" xfId="520" xr:uid="{00000000-0005-0000-0000-000005020000}"/>
    <cellStyle name="20% - Accent4 4 14" xfId="521" xr:uid="{00000000-0005-0000-0000-000006020000}"/>
    <cellStyle name="20% - Accent4 4 15" xfId="522" xr:uid="{00000000-0005-0000-0000-000007020000}"/>
    <cellStyle name="20% - Accent4 4 2" xfId="523" xr:uid="{00000000-0005-0000-0000-000008020000}"/>
    <cellStyle name="20% - Accent4 4 3" xfId="524" xr:uid="{00000000-0005-0000-0000-000009020000}"/>
    <cellStyle name="20% - Accent4 4 4" xfId="525" xr:uid="{00000000-0005-0000-0000-00000A020000}"/>
    <cellStyle name="20% - Accent4 4 5" xfId="526" xr:uid="{00000000-0005-0000-0000-00000B020000}"/>
    <cellStyle name="20% - Accent4 4 6" xfId="527" xr:uid="{00000000-0005-0000-0000-00000C020000}"/>
    <cellStyle name="20% - Accent4 4 7" xfId="528" xr:uid="{00000000-0005-0000-0000-00000D020000}"/>
    <cellStyle name="20% - Accent4 4 8" xfId="529" xr:uid="{00000000-0005-0000-0000-00000E020000}"/>
    <cellStyle name="20% - Accent4 4 9" xfId="530" xr:uid="{00000000-0005-0000-0000-00000F020000}"/>
    <cellStyle name="20% - Accent4 40" xfId="531" xr:uid="{00000000-0005-0000-0000-000010020000}"/>
    <cellStyle name="20% - Accent4 41" xfId="532" xr:uid="{00000000-0005-0000-0000-000011020000}"/>
    <cellStyle name="20% - Accent4 42" xfId="533" xr:uid="{00000000-0005-0000-0000-000012020000}"/>
    <cellStyle name="20% - Accent4 5" xfId="534" xr:uid="{00000000-0005-0000-0000-000013020000}"/>
    <cellStyle name="20% - Accent4 5 10" xfId="535" xr:uid="{00000000-0005-0000-0000-000014020000}"/>
    <cellStyle name="20% - Accent4 5 11" xfId="536" xr:uid="{00000000-0005-0000-0000-000015020000}"/>
    <cellStyle name="20% - Accent4 5 12" xfId="537" xr:uid="{00000000-0005-0000-0000-000016020000}"/>
    <cellStyle name="20% - Accent4 5 13" xfId="538" xr:uid="{00000000-0005-0000-0000-000017020000}"/>
    <cellStyle name="20% - Accent4 5 14" xfId="539" xr:uid="{00000000-0005-0000-0000-000018020000}"/>
    <cellStyle name="20% - Accent4 5 15" xfId="540" xr:uid="{00000000-0005-0000-0000-000019020000}"/>
    <cellStyle name="20% - Accent4 5 2" xfId="541" xr:uid="{00000000-0005-0000-0000-00001A020000}"/>
    <cellStyle name="20% - Accent4 5 3" xfId="542" xr:uid="{00000000-0005-0000-0000-00001B020000}"/>
    <cellStyle name="20% - Accent4 5 4" xfId="543" xr:uid="{00000000-0005-0000-0000-00001C020000}"/>
    <cellStyle name="20% - Accent4 5 5" xfId="544" xr:uid="{00000000-0005-0000-0000-00001D020000}"/>
    <cellStyle name="20% - Accent4 5 6" xfId="545" xr:uid="{00000000-0005-0000-0000-00001E020000}"/>
    <cellStyle name="20% - Accent4 5 7" xfId="546" xr:uid="{00000000-0005-0000-0000-00001F020000}"/>
    <cellStyle name="20% - Accent4 5 8" xfId="547" xr:uid="{00000000-0005-0000-0000-000020020000}"/>
    <cellStyle name="20% - Accent4 5 9" xfId="548" xr:uid="{00000000-0005-0000-0000-000021020000}"/>
    <cellStyle name="20% - Accent4 6" xfId="549" xr:uid="{00000000-0005-0000-0000-000022020000}"/>
    <cellStyle name="20% - Accent4 6 10" xfId="550" xr:uid="{00000000-0005-0000-0000-000023020000}"/>
    <cellStyle name="20% - Accent4 6 11" xfId="551" xr:uid="{00000000-0005-0000-0000-000024020000}"/>
    <cellStyle name="20% - Accent4 6 12" xfId="552" xr:uid="{00000000-0005-0000-0000-000025020000}"/>
    <cellStyle name="20% - Accent4 6 13" xfId="553" xr:uid="{00000000-0005-0000-0000-000026020000}"/>
    <cellStyle name="20% - Accent4 6 14" xfId="554" xr:uid="{00000000-0005-0000-0000-000027020000}"/>
    <cellStyle name="20% - Accent4 6 15" xfId="555" xr:uid="{00000000-0005-0000-0000-000028020000}"/>
    <cellStyle name="20% - Accent4 6 2" xfId="556" xr:uid="{00000000-0005-0000-0000-000029020000}"/>
    <cellStyle name="20% - Accent4 6 3" xfId="557" xr:uid="{00000000-0005-0000-0000-00002A020000}"/>
    <cellStyle name="20% - Accent4 6 4" xfId="558" xr:uid="{00000000-0005-0000-0000-00002B020000}"/>
    <cellStyle name="20% - Accent4 6 5" xfId="559" xr:uid="{00000000-0005-0000-0000-00002C020000}"/>
    <cellStyle name="20% - Accent4 6 6" xfId="560" xr:uid="{00000000-0005-0000-0000-00002D020000}"/>
    <cellStyle name="20% - Accent4 6 7" xfId="561" xr:uid="{00000000-0005-0000-0000-00002E020000}"/>
    <cellStyle name="20% - Accent4 6 8" xfId="562" xr:uid="{00000000-0005-0000-0000-00002F020000}"/>
    <cellStyle name="20% - Accent4 6 9" xfId="563" xr:uid="{00000000-0005-0000-0000-000030020000}"/>
    <cellStyle name="20% - Accent4 7" xfId="564" xr:uid="{00000000-0005-0000-0000-000031020000}"/>
    <cellStyle name="20% - Accent4 7 10" xfId="565" xr:uid="{00000000-0005-0000-0000-000032020000}"/>
    <cellStyle name="20% - Accent4 7 11" xfId="566" xr:uid="{00000000-0005-0000-0000-000033020000}"/>
    <cellStyle name="20% - Accent4 7 12" xfId="567" xr:uid="{00000000-0005-0000-0000-000034020000}"/>
    <cellStyle name="20% - Accent4 7 13" xfId="568" xr:uid="{00000000-0005-0000-0000-000035020000}"/>
    <cellStyle name="20% - Accent4 7 14" xfId="569" xr:uid="{00000000-0005-0000-0000-000036020000}"/>
    <cellStyle name="20% - Accent4 7 15" xfId="570" xr:uid="{00000000-0005-0000-0000-000037020000}"/>
    <cellStyle name="20% - Accent4 7 2" xfId="571" xr:uid="{00000000-0005-0000-0000-000038020000}"/>
    <cellStyle name="20% - Accent4 7 3" xfId="572" xr:uid="{00000000-0005-0000-0000-000039020000}"/>
    <cellStyle name="20% - Accent4 7 4" xfId="573" xr:uid="{00000000-0005-0000-0000-00003A020000}"/>
    <cellStyle name="20% - Accent4 7 5" xfId="574" xr:uid="{00000000-0005-0000-0000-00003B020000}"/>
    <cellStyle name="20% - Accent4 7 6" xfId="575" xr:uid="{00000000-0005-0000-0000-00003C020000}"/>
    <cellStyle name="20% - Accent4 7 7" xfId="576" xr:uid="{00000000-0005-0000-0000-00003D020000}"/>
    <cellStyle name="20% - Accent4 7 8" xfId="577" xr:uid="{00000000-0005-0000-0000-00003E020000}"/>
    <cellStyle name="20% - Accent4 7 9" xfId="578" xr:uid="{00000000-0005-0000-0000-00003F020000}"/>
    <cellStyle name="20% - Accent4 8" xfId="579" xr:uid="{00000000-0005-0000-0000-000040020000}"/>
    <cellStyle name="20% - Accent4 9" xfId="580" xr:uid="{00000000-0005-0000-0000-000041020000}"/>
    <cellStyle name="20% - Accent4 9 2" xfId="581" xr:uid="{00000000-0005-0000-0000-000042020000}"/>
    <cellStyle name="20% - Accent4 9 3" xfId="582" xr:uid="{00000000-0005-0000-0000-000043020000}"/>
    <cellStyle name="20% - Accent5 10" xfId="583" xr:uid="{00000000-0005-0000-0000-000044020000}"/>
    <cellStyle name="20% - Accent5 11" xfId="584" xr:uid="{00000000-0005-0000-0000-000045020000}"/>
    <cellStyle name="20% - Accent5 12" xfId="585" xr:uid="{00000000-0005-0000-0000-000046020000}"/>
    <cellStyle name="20% - Accent5 13" xfId="586" xr:uid="{00000000-0005-0000-0000-000047020000}"/>
    <cellStyle name="20% - Accent5 14" xfId="587" xr:uid="{00000000-0005-0000-0000-000048020000}"/>
    <cellStyle name="20% - Accent5 15" xfId="588" xr:uid="{00000000-0005-0000-0000-000049020000}"/>
    <cellStyle name="20% - Accent5 16" xfId="589" xr:uid="{00000000-0005-0000-0000-00004A020000}"/>
    <cellStyle name="20% - Accent5 17" xfId="590" xr:uid="{00000000-0005-0000-0000-00004B020000}"/>
    <cellStyle name="20% - Accent5 18" xfId="591" xr:uid="{00000000-0005-0000-0000-00004C020000}"/>
    <cellStyle name="20% - Accent5 19" xfId="592" xr:uid="{00000000-0005-0000-0000-00004D020000}"/>
    <cellStyle name="20% - Accent5 2" xfId="593" xr:uid="{00000000-0005-0000-0000-00004E020000}"/>
    <cellStyle name="20% - Accent5 2 10" xfId="594" xr:uid="{00000000-0005-0000-0000-00004F020000}"/>
    <cellStyle name="20% - Accent5 2 11" xfId="595" xr:uid="{00000000-0005-0000-0000-000050020000}"/>
    <cellStyle name="20% - Accent5 2 12" xfId="596" xr:uid="{00000000-0005-0000-0000-000051020000}"/>
    <cellStyle name="20% - Accent5 2 13" xfId="597" xr:uid="{00000000-0005-0000-0000-000052020000}"/>
    <cellStyle name="20% - Accent5 2 14" xfId="598" xr:uid="{00000000-0005-0000-0000-000053020000}"/>
    <cellStyle name="20% - Accent5 2 15" xfId="599" xr:uid="{00000000-0005-0000-0000-000054020000}"/>
    <cellStyle name="20% - Accent5 2 16" xfId="600" xr:uid="{00000000-0005-0000-0000-000055020000}"/>
    <cellStyle name="20% - Accent5 2 2" xfId="601" xr:uid="{00000000-0005-0000-0000-000056020000}"/>
    <cellStyle name="20% - Accent5 2 2 10" xfId="602" xr:uid="{00000000-0005-0000-0000-000057020000}"/>
    <cellStyle name="20% - Accent5 2 2 11" xfId="603" xr:uid="{00000000-0005-0000-0000-000058020000}"/>
    <cellStyle name="20% - Accent5 2 2 12" xfId="604" xr:uid="{00000000-0005-0000-0000-000059020000}"/>
    <cellStyle name="20% - Accent5 2 2 13" xfId="605" xr:uid="{00000000-0005-0000-0000-00005A020000}"/>
    <cellStyle name="20% - Accent5 2 2 14" xfId="606" xr:uid="{00000000-0005-0000-0000-00005B020000}"/>
    <cellStyle name="20% - Accent5 2 2 15" xfId="607" xr:uid="{00000000-0005-0000-0000-00005C020000}"/>
    <cellStyle name="20% - Accent5 2 2 16" xfId="608" xr:uid="{00000000-0005-0000-0000-00005D020000}"/>
    <cellStyle name="20% - Accent5 2 2 17" xfId="609" xr:uid="{00000000-0005-0000-0000-00005E020000}"/>
    <cellStyle name="20% - Accent5 2 2 18" xfId="610" xr:uid="{00000000-0005-0000-0000-00005F020000}"/>
    <cellStyle name="20% - Accent5 2 2 2" xfId="611" xr:uid="{00000000-0005-0000-0000-000060020000}"/>
    <cellStyle name="20% - Accent5 2 2 3" xfId="612" xr:uid="{00000000-0005-0000-0000-000061020000}"/>
    <cellStyle name="20% - Accent5 2 2 4" xfId="613" xr:uid="{00000000-0005-0000-0000-000062020000}"/>
    <cellStyle name="20% - Accent5 2 2 5" xfId="614" xr:uid="{00000000-0005-0000-0000-000063020000}"/>
    <cellStyle name="20% - Accent5 2 2 6" xfId="615" xr:uid="{00000000-0005-0000-0000-000064020000}"/>
    <cellStyle name="20% - Accent5 2 2 7" xfId="616" xr:uid="{00000000-0005-0000-0000-000065020000}"/>
    <cellStyle name="20% - Accent5 2 2 8" xfId="617" xr:uid="{00000000-0005-0000-0000-000066020000}"/>
    <cellStyle name="20% - Accent5 2 2 9" xfId="618" xr:uid="{00000000-0005-0000-0000-000067020000}"/>
    <cellStyle name="20% - Accent5 2 3" xfId="619" xr:uid="{00000000-0005-0000-0000-000068020000}"/>
    <cellStyle name="20% - Accent5 2 4" xfId="620" xr:uid="{00000000-0005-0000-0000-000069020000}"/>
    <cellStyle name="20% - Accent5 2 5" xfId="621" xr:uid="{00000000-0005-0000-0000-00006A020000}"/>
    <cellStyle name="20% - Accent5 2 6" xfId="622" xr:uid="{00000000-0005-0000-0000-00006B020000}"/>
    <cellStyle name="20% - Accent5 2 7" xfId="623" xr:uid="{00000000-0005-0000-0000-00006C020000}"/>
    <cellStyle name="20% - Accent5 2 8" xfId="624" xr:uid="{00000000-0005-0000-0000-00006D020000}"/>
    <cellStyle name="20% - Accent5 2 9" xfId="625" xr:uid="{00000000-0005-0000-0000-00006E020000}"/>
    <cellStyle name="20% - Accent5 20" xfId="626" xr:uid="{00000000-0005-0000-0000-00006F020000}"/>
    <cellStyle name="20% - Accent5 21" xfId="627" xr:uid="{00000000-0005-0000-0000-000070020000}"/>
    <cellStyle name="20% - Accent5 22" xfId="628" xr:uid="{00000000-0005-0000-0000-000071020000}"/>
    <cellStyle name="20% - Accent5 23" xfId="629" xr:uid="{00000000-0005-0000-0000-000072020000}"/>
    <cellStyle name="20% - Accent5 24" xfId="630" xr:uid="{00000000-0005-0000-0000-000073020000}"/>
    <cellStyle name="20% - Accent5 25" xfId="631" xr:uid="{00000000-0005-0000-0000-000074020000}"/>
    <cellStyle name="20% - Accent5 26" xfId="632" xr:uid="{00000000-0005-0000-0000-000075020000}"/>
    <cellStyle name="20% - Accent5 27" xfId="633" xr:uid="{00000000-0005-0000-0000-000076020000}"/>
    <cellStyle name="20% - Accent5 28" xfId="634" xr:uid="{00000000-0005-0000-0000-000077020000}"/>
    <cellStyle name="20% - Accent5 29" xfId="635" xr:uid="{00000000-0005-0000-0000-000078020000}"/>
    <cellStyle name="20% - Accent5 3" xfId="636" xr:uid="{00000000-0005-0000-0000-000079020000}"/>
    <cellStyle name="20% - Accent5 3 10" xfId="637" xr:uid="{00000000-0005-0000-0000-00007A020000}"/>
    <cellStyle name="20% - Accent5 3 11" xfId="638" xr:uid="{00000000-0005-0000-0000-00007B020000}"/>
    <cellStyle name="20% - Accent5 3 12" xfId="639" xr:uid="{00000000-0005-0000-0000-00007C020000}"/>
    <cellStyle name="20% - Accent5 3 13" xfId="640" xr:uid="{00000000-0005-0000-0000-00007D020000}"/>
    <cellStyle name="20% - Accent5 3 14" xfId="641" xr:uid="{00000000-0005-0000-0000-00007E020000}"/>
    <cellStyle name="20% - Accent5 3 15" xfId="642" xr:uid="{00000000-0005-0000-0000-00007F020000}"/>
    <cellStyle name="20% - Accent5 3 2" xfId="643" xr:uid="{00000000-0005-0000-0000-000080020000}"/>
    <cellStyle name="20% - Accent5 3 3" xfId="644" xr:uid="{00000000-0005-0000-0000-000081020000}"/>
    <cellStyle name="20% - Accent5 3 4" xfId="645" xr:uid="{00000000-0005-0000-0000-000082020000}"/>
    <cellStyle name="20% - Accent5 3 5" xfId="646" xr:uid="{00000000-0005-0000-0000-000083020000}"/>
    <cellStyle name="20% - Accent5 3 6" xfId="647" xr:uid="{00000000-0005-0000-0000-000084020000}"/>
    <cellStyle name="20% - Accent5 3 7" xfId="648" xr:uid="{00000000-0005-0000-0000-000085020000}"/>
    <cellStyle name="20% - Accent5 3 8" xfId="649" xr:uid="{00000000-0005-0000-0000-000086020000}"/>
    <cellStyle name="20% - Accent5 3 9" xfId="650" xr:uid="{00000000-0005-0000-0000-000087020000}"/>
    <cellStyle name="20% - Accent5 30" xfId="651" xr:uid="{00000000-0005-0000-0000-000088020000}"/>
    <cellStyle name="20% - Accent5 31" xfId="652" xr:uid="{00000000-0005-0000-0000-000089020000}"/>
    <cellStyle name="20% - Accent5 32" xfId="653" xr:uid="{00000000-0005-0000-0000-00008A020000}"/>
    <cellStyle name="20% - Accent5 33" xfId="654" xr:uid="{00000000-0005-0000-0000-00008B020000}"/>
    <cellStyle name="20% - Accent5 34" xfId="655" xr:uid="{00000000-0005-0000-0000-00008C020000}"/>
    <cellStyle name="20% - Accent5 35" xfId="656" xr:uid="{00000000-0005-0000-0000-00008D020000}"/>
    <cellStyle name="20% - Accent5 36" xfId="657" xr:uid="{00000000-0005-0000-0000-00008E020000}"/>
    <cellStyle name="20% - Accent5 37" xfId="658" xr:uid="{00000000-0005-0000-0000-00008F020000}"/>
    <cellStyle name="20% - Accent5 38" xfId="659" xr:uid="{00000000-0005-0000-0000-000090020000}"/>
    <cellStyle name="20% - Accent5 39" xfId="660" xr:uid="{00000000-0005-0000-0000-000091020000}"/>
    <cellStyle name="20% - Accent5 4" xfId="661" xr:uid="{00000000-0005-0000-0000-000092020000}"/>
    <cellStyle name="20% - Accent5 4 10" xfId="662" xr:uid="{00000000-0005-0000-0000-000093020000}"/>
    <cellStyle name="20% - Accent5 4 11" xfId="663" xr:uid="{00000000-0005-0000-0000-000094020000}"/>
    <cellStyle name="20% - Accent5 4 12" xfId="664" xr:uid="{00000000-0005-0000-0000-000095020000}"/>
    <cellStyle name="20% - Accent5 4 13" xfId="665" xr:uid="{00000000-0005-0000-0000-000096020000}"/>
    <cellStyle name="20% - Accent5 4 14" xfId="666" xr:uid="{00000000-0005-0000-0000-000097020000}"/>
    <cellStyle name="20% - Accent5 4 15" xfId="667" xr:uid="{00000000-0005-0000-0000-000098020000}"/>
    <cellStyle name="20% - Accent5 4 2" xfId="668" xr:uid="{00000000-0005-0000-0000-000099020000}"/>
    <cellStyle name="20% - Accent5 4 3" xfId="669" xr:uid="{00000000-0005-0000-0000-00009A020000}"/>
    <cellStyle name="20% - Accent5 4 4" xfId="670" xr:uid="{00000000-0005-0000-0000-00009B020000}"/>
    <cellStyle name="20% - Accent5 4 5" xfId="671" xr:uid="{00000000-0005-0000-0000-00009C020000}"/>
    <cellStyle name="20% - Accent5 4 6" xfId="672" xr:uid="{00000000-0005-0000-0000-00009D020000}"/>
    <cellStyle name="20% - Accent5 4 7" xfId="673" xr:uid="{00000000-0005-0000-0000-00009E020000}"/>
    <cellStyle name="20% - Accent5 4 8" xfId="674" xr:uid="{00000000-0005-0000-0000-00009F020000}"/>
    <cellStyle name="20% - Accent5 4 9" xfId="675" xr:uid="{00000000-0005-0000-0000-0000A0020000}"/>
    <cellStyle name="20% - Accent5 40" xfId="676" xr:uid="{00000000-0005-0000-0000-0000A1020000}"/>
    <cellStyle name="20% - Accent5 41" xfId="677" xr:uid="{00000000-0005-0000-0000-0000A2020000}"/>
    <cellStyle name="20% - Accent5 42" xfId="678" xr:uid="{00000000-0005-0000-0000-0000A3020000}"/>
    <cellStyle name="20% - Accent5 5" xfId="679" xr:uid="{00000000-0005-0000-0000-0000A4020000}"/>
    <cellStyle name="20% - Accent5 5 10" xfId="680" xr:uid="{00000000-0005-0000-0000-0000A5020000}"/>
    <cellStyle name="20% - Accent5 5 11" xfId="681" xr:uid="{00000000-0005-0000-0000-0000A6020000}"/>
    <cellStyle name="20% - Accent5 5 12" xfId="682" xr:uid="{00000000-0005-0000-0000-0000A7020000}"/>
    <cellStyle name="20% - Accent5 5 13" xfId="683" xr:uid="{00000000-0005-0000-0000-0000A8020000}"/>
    <cellStyle name="20% - Accent5 5 14" xfId="684" xr:uid="{00000000-0005-0000-0000-0000A9020000}"/>
    <cellStyle name="20% - Accent5 5 15" xfId="685" xr:uid="{00000000-0005-0000-0000-0000AA020000}"/>
    <cellStyle name="20% - Accent5 5 2" xfId="686" xr:uid="{00000000-0005-0000-0000-0000AB020000}"/>
    <cellStyle name="20% - Accent5 5 3" xfId="687" xr:uid="{00000000-0005-0000-0000-0000AC020000}"/>
    <cellStyle name="20% - Accent5 5 4" xfId="688" xr:uid="{00000000-0005-0000-0000-0000AD020000}"/>
    <cellStyle name="20% - Accent5 5 5" xfId="689" xr:uid="{00000000-0005-0000-0000-0000AE020000}"/>
    <cellStyle name="20% - Accent5 5 6" xfId="690" xr:uid="{00000000-0005-0000-0000-0000AF020000}"/>
    <cellStyle name="20% - Accent5 5 7" xfId="691" xr:uid="{00000000-0005-0000-0000-0000B0020000}"/>
    <cellStyle name="20% - Accent5 5 8" xfId="692" xr:uid="{00000000-0005-0000-0000-0000B1020000}"/>
    <cellStyle name="20% - Accent5 5 9" xfId="693" xr:uid="{00000000-0005-0000-0000-0000B2020000}"/>
    <cellStyle name="20% - Accent5 6" xfId="694" xr:uid="{00000000-0005-0000-0000-0000B3020000}"/>
    <cellStyle name="20% - Accent5 6 10" xfId="695" xr:uid="{00000000-0005-0000-0000-0000B4020000}"/>
    <cellStyle name="20% - Accent5 6 11" xfId="696" xr:uid="{00000000-0005-0000-0000-0000B5020000}"/>
    <cellStyle name="20% - Accent5 6 12" xfId="697" xr:uid="{00000000-0005-0000-0000-0000B6020000}"/>
    <cellStyle name="20% - Accent5 6 13" xfId="698" xr:uid="{00000000-0005-0000-0000-0000B7020000}"/>
    <cellStyle name="20% - Accent5 6 14" xfId="699" xr:uid="{00000000-0005-0000-0000-0000B8020000}"/>
    <cellStyle name="20% - Accent5 6 15" xfId="700" xr:uid="{00000000-0005-0000-0000-0000B9020000}"/>
    <cellStyle name="20% - Accent5 6 2" xfId="701" xr:uid="{00000000-0005-0000-0000-0000BA020000}"/>
    <cellStyle name="20% - Accent5 6 3" xfId="702" xr:uid="{00000000-0005-0000-0000-0000BB020000}"/>
    <cellStyle name="20% - Accent5 6 4" xfId="703" xr:uid="{00000000-0005-0000-0000-0000BC020000}"/>
    <cellStyle name="20% - Accent5 6 5" xfId="704" xr:uid="{00000000-0005-0000-0000-0000BD020000}"/>
    <cellStyle name="20% - Accent5 6 6" xfId="705" xr:uid="{00000000-0005-0000-0000-0000BE020000}"/>
    <cellStyle name="20% - Accent5 6 7" xfId="706" xr:uid="{00000000-0005-0000-0000-0000BF020000}"/>
    <cellStyle name="20% - Accent5 6 8" xfId="707" xr:uid="{00000000-0005-0000-0000-0000C0020000}"/>
    <cellStyle name="20% - Accent5 6 9" xfId="708" xr:uid="{00000000-0005-0000-0000-0000C1020000}"/>
    <cellStyle name="20% - Accent5 7" xfId="709" xr:uid="{00000000-0005-0000-0000-0000C2020000}"/>
    <cellStyle name="20% - Accent5 7 10" xfId="710" xr:uid="{00000000-0005-0000-0000-0000C3020000}"/>
    <cellStyle name="20% - Accent5 7 11" xfId="711" xr:uid="{00000000-0005-0000-0000-0000C4020000}"/>
    <cellStyle name="20% - Accent5 7 12" xfId="712" xr:uid="{00000000-0005-0000-0000-0000C5020000}"/>
    <cellStyle name="20% - Accent5 7 13" xfId="713" xr:uid="{00000000-0005-0000-0000-0000C6020000}"/>
    <cellStyle name="20% - Accent5 7 14" xfId="714" xr:uid="{00000000-0005-0000-0000-0000C7020000}"/>
    <cellStyle name="20% - Accent5 7 15" xfId="715" xr:uid="{00000000-0005-0000-0000-0000C8020000}"/>
    <cellStyle name="20% - Accent5 7 2" xfId="716" xr:uid="{00000000-0005-0000-0000-0000C9020000}"/>
    <cellStyle name="20% - Accent5 7 3" xfId="717" xr:uid="{00000000-0005-0000-0000-0000CA020000}"/>
    <cellStyle name="20% - Accent5 7 4" xfId="718" xr:uid="{00000000-0005-0000-0000-0000CB020000}"/>
    <cellStyle name="20% - Accent5 7 5" xfId="719" xr:uid="{00000000-0005-0000-0000-0000CC020000}"/>
    <cellStyle name="20% - Accent5 7 6" xfId="720" xr:uid="{00000000-0005-0000-0000-0000CD020000}"/>
    <cellStyle name="20% - Accent5 7 7" xfId="721" xr:uid="{00000000-0005-0000-0000-0000CE020000}"/>
    <cellStyle name="20% - Accent5 7 8" xfId="722" xr:uid="{00000000-0005-0000-0000-0000CF020000}"/>
    <cellStyle name="20% - Accent5 7 9" xfId="723" xr:uid="{00000000-0005-0000-0000-0000D0020000}"/>
    <cellStyle name="20% - Accent5 8" xfId="724" xr:uid="{00000000-0005-0000-0000-0000D1020000}"/>
    <cellStyle name="20% - Accent5 9" xfId="725" xr:uid="{00000000-0005-0000-0000-0000D2020000}"/>
    <cellStyle name="20% - Accent5 9 2" xfId="726" xr:uid="{00000000-0005-0000-0000-0000D3020000}"/>
    <cellStyle name="20% - Accent5 9 3" xfId="727" xr:uid="{00000000-0005-0000-0000-0000D4020000}"/>
    <cellStyle name="20% - Accent6 10" xfId="728" xr:uid="{00000000-0005-0000-0000-0000D5020000}"/>
    <cellStyle name="20% - Accent6 11" xfId="729" xr:uid="{00000000-0005-0000-0000-0000D6020000}"/>
    <cellStyle name="20% - Accent6 12" xfId="730" xr:uid="{00000000-0005-0000-0000-0000D7020000}"/>
    <cellStyle name="20% - Accent6 13" xfId="731" xr:uid="{00000000-0005-0000-0000-0000D8020000}"/>
    <cellStyle name="20% - Accent6 14" xfId="732" xr:uid="{00000000-0005-0000-0000-0000D9020000}"/>
    <cellStyle name="20% - Accent6 15" xfId="733" xr:uid="{00000000-0005-0000-0000-0000DA020000}"/>
    <cellStyle name="20% - Accent6 16" xfId="734" xr:uid="{00000000-0005-0000-0000-0000DB020000}"/>
    <cellStyle name="20% - Accent6 17" xfId="735" xr:uid="{00000000-0005-0000-0000-0000DC020000}"/>
    <cellStyle name="20% - Accent6 18" xfId="736" xr:uid="{00000000-0005-0000-0000-0000DD020000}"/>
    <cellStyle name="20% - Accent6 19" xfId="737" xr:uid="{00000000-0005-0000-0000-0000DE020000}"/>
    <cellStyle name="20% - Accent6 2" xfId="738" xr:uid="{00000000-0005-0000-0000-0000DF020000}"/>
    <cellStyle name="20% - Accent6 2 10" xfId="739" xr:uid="{00000000-0005-0000-0000-0000E0020000}"/>
    <cellStyle name="20% - Accent6 2 11" xfId="740" xr:uid="{00000000-0005-0000-0000-0000E1020000}"/>
    <cellStyle name="20% - Accent6 2 12" xfId="741" xr:uid="{00000000-0005-0000-0000-0000E2020000}"/>
    <cellStyle name="20% - Accent6 2 13" xfId="742" xr:uid="{00000000-0005-0000-0000-0000E3020000}"/>
    <cellStyle name="20% - Accent6 2 14" xfId="743" xr:uid="{00000000-0005-0000-0000-0000E4020000}"/>
    <cellStyle name="20% - Accent6 2 15" xfId="744" xr:uid="{00000000-0005-0000-0000-0000E5020000}"/>
    <cellStyle name="20% - Accent6 2 16" xfId="745" xr:uid="{00000000-0005-0000-0000-0000E6020000}"/>
    <cellStyle name="20% - Accent6 2 2" xfId="746" xr:uid="{00000000-0005-0000-0000-0000E7020000}"/>
    <cellStyle name="20% - Accent6 2 2 10" xfId="747" xr:uid="{00000000-0005-0000-0000-0000E8020000}"/>
    <cellStyle name="20% - Accent6 2 2 11" xfId="748" xr:uid="{00000000-0005-0000-0000-0000E9020000}"/>
    <cellStyle name="20% - Accent6 2 2 12" xfId="749" xr:uid="{00000000-0005-0000-0000-0000EA020000}"/>
    <cellStyle name="20% - Accent6 2 2 13" xfId="750" xr:uid="{00000000-0005-0000-0000-0000EB020000}"/>
    <cellStyle name="20% - Accent6 2 2 14" xfId="751" xr:uid="{00000000-0005-0000-0000-0000EC020000}"/>
    <cellStyle name="20% - Accent6 2 2 15" xfId="752" xr:uid="{00000000-0005-0000-0000-0000ED020000}"/>
    <cellStyle name="20% - Accent6 2 2 16" xfId="753" xr:uid="{00000000-0005-0000-0000-0000EE020000}"/>
    <cellStyle name="20% - Accent6 2 2 17" xfId="754" xr:uid="{00000000-0005-0000-0000-0000EF020000}"/>
    <cellStyle name="20% - Accent6 2 2 18" xfId="755" xr:uid="{00000000-0005-0000-0000-0000F0020000}"/>
    <cellStyle name="20% - Accent6 2 2 2" xfId="756" xr:uid="{00000000-0005-0000-0000-0000F1020000}"/>
    <cellStyle name="20% - Accent6 2 2 3" xfId="757" xr:uid="{00000000-0005-0000-0000-0000F2020000}"/>
    <cellStyle name="20% - Accent6 2 2 4" xfId="758" xr:uid="{00000000-0005-0000-0000-0000F3020000}"/>
    <cellStyle name="20% - Accent6 2 2 5" xfId="759" xr:uid="{00000000-0005-0000-0000-0000F4020000}"/>
    <cellStyle name="20% - Accent6 2 2 6" xfId="760" xr:uid="{00000000-0005-0000-0000-0000F5020000}"/>
    <cellStyle name="20% - Accent6 2 2 7" xfId="761" xr:uid="{00000000-0005-0000-0000-0000F6020000}"/>
    <cellStyle name="20% - Accent6 2 2 8" xfId="762" xr:uid="{00000000-0005-0000-0000-0000F7020000}"/>
    <cellStyle name="20% - Accent6 2 2 9" xfId="763" xr:uid="{00000000-0005-0000-0000-0000F8020000}"/>
    <cellStyle name="20% - Accent6 2 3" xfId="764" xr:uid="{00000000-0005-0000-0000-0000F9020000}"/>
    <cellStyle name="20% - Accent6 2 4" xfId="765" xr:uid="{00000000-0005-0000-0000-0000FA020000}"/>
    <cellStyle name="20% - Accent6 2 5" xfId="766" xr:uid="{00000000-0005-0000-0000-0000FB020000}"/>
    <cellStyle name="20% - Accent6 2 6" xfId="767" xr:uid="{00000000-0005-0000-0000-0000FC020000}"/>
    <cellStyle name="20% - Accent6 2 7" xfId="768" xr:uid="{00000000-0005-0000-0000-0000FD020000}"/>
    <cellStyle name="20% - Accent6 2 8" xfId="769" xr:uid="{00000000-0005-0000-0000-0000FE020000}"/>
    <cellStyle name="20% - Accent6 2 9" xfId="770" xr:uid="{00000000-0005-0000-0000-0000FF020000}"/>
    <cellStyle name="20% - Accent6 20" xfId="771" xr:uid="{00000000-0005-0000-0000-000000030000}"/>
    <cellStyle name="20% - Accent6 21" xfId="772" xr:uid="{00000000-0005-0000-0000-000001030000}"/>
    <cellStyle name="20% - Accent6 22" xfId="773" xr:uid="{00000000-0005-0000-0000-000002030000}"/>
    <cellStyle name="20% - Accent6 23" xfId="774" xr:uid="{00000000-0005-0000-0000-000003030000}"/>
    <cellStyle name="20% - Accent6 24" xfId="775" xr:uid="{00000000-0005-0000-0000-000004030000}"/>
    <cellStyle name="20% - Accent6 25" xfId="776" xr:uid="{00000000-0005-0000-0000-000005030000}"/>
    <cellStyle name="20% - Accent6 26" xfId="777" xr:uid="{00000000-0005-0000-0000-000006030000}"/>
    <cellStyle name="20% - Accent6 27" xfId="778" xr:uid="{00000000-0005-0000-0000-000007030000}"/>
    <cellStyle name="20% - Accent6 28" xfId="779" xr:uid="{00000000-0005-0000-0000-000008030000}"/>
    <cellStyle name="20% - Accent6 29" xfId="780" xr:uid="{00000000-0005-0000-0000-000009030000}"/>
    <cellStyle name="20% - Accent6 3" xfId="781" xr:uid="{00000000-0005-0000-0000-00000A030000}"/>
    <cellStyle name="20% - Accent6 3 10" xfId="782" xr:uid="{00000000-0005-0000-0000-00000B030000}"/>
    <cellStyle name="20% - Accent6 3 11" xfId="783" xr:uid="{00000000-0005-0000-0000-00000C030000}"/>
    <cellStyle name="20% - Accent6 3 12" xfId="784" xr:uid="{00000000-0005-0000-0000-00000D030000}"/>
    <cellStyle name="20% - Accent6 3 13" xfId="785" xr:uid="{00000000-0005-0000-0000-00000E030000}"/>
    <cellStyle name="20% - Accent6 3 14" xfId="786" xr:uid="{00000000-0005-0000-0000-00000F030000}"/>
    <cellStyle name="20% - Accent6 3 15" xfId="787" xr:uid="{00000000-0005-0000-0000-000010030000}"/>
    <cellStyle name="20% - Accent6 3 2" xfId="788" xr:uid="{00000000-0005-0000-0000-000011030000}"/>
    <cellStyle name="20% - Accent6 3 3" xfId="789" xr:uid="{00000000-0005-0000-0000-000012030000}"/>
    <cellStyle name="20% - Accent6 3 4" xfId="790" xr:uid="{00000000-0005-0000-0000-000013030000}"/>
    <cellStyle name="20% - Accent6 3 5" xfId="791" xr:uid="{00000000-0005-0000-0000-000014030000}"/>
    <cellStyle name="20% - Accent6 3 6" xfId="792" xr:uid="{00000000-0005-0000-0000-000015030000}"/>
    <cellStyle name="20% - Accent6 3 7" xfId="793" xr:uid="{00000000-0005-0000-0000-000016030000}"/>
    <cellStyle name="20% - Accent6 3 8" xfId="794" xr:uid="{00000000-0005-0000-0000-000017030000}"/>
    <cellStyle name="20% - Accent6 3 9" xfId="795" xr:uid="{00000000-0005-0000-0000-000018030000}"/>
    <cellStyle name="20% - Accent6 30" xfId="796" xr:uid="{00000000-0005-0000-0000-000019030000}"/>
    <cellStyle name="20% - Accent6 31" xfId="797" xr:uid="{00000000-0005-0000-0000-00001A030000}"/>
    <cellStyle name="20% - Accent6 32" xfId="798" xr:uid="{00000000-0005-0000-0000-00001B030000}"/>
    <cellStyle name="20% - Accent6 33" xfId="799" xr:uid="{00000000-0005-0000-0000-00001C030000}"/>
    <cellStyle name="20% - Accent6 34" xfId="800" xr:uid="{00000000-0005-0000-0000-00001D030000}"/>
    <cellStyle name="20% - Accent6 35" xfId="801" xr:uid="{00000000-0005-0000-0000-00001E030000}"/>
    <cellStyle name="20% - Accent6 36" xfId="802" xr:uid="{00000000-0005-0000-0000-00001F030000}"/>
    <cellStyle name="20% - Accent6 37" xfId="803" xr:uid="{00000000-0005-0000-0000-000020030000}"/>
    <cellStyle name="20% - Accent6 38" xfId="804" xr:uid="{00000000-0005-0000-0000-000021030000}"/>
    <cellStyle name="20% - Accent6 39" xfId="805" xr:uid="{00000000-0005-0000-0000-000022030000}"/>
    <cellStyle name="20% - Accent6 4" xfId="806" xr:uid="{00000000-0005-0000-0000-000023030000}"/>
    <cellStyle name="20% - Accent6 4 10" xfId="807" xr:uid="{00000000-0005-0000-0000-000024030000}"/>
    <cellStyle name="20% - Accent6 4 11" xfId="808" xr:uid="{00000000-0005-0000-0000-000025030000}"/>
    <cellStyle name="20% - Accent6 4 12" xfId="809" xr:uid="{00000000-0005-0000-0000-000026030000}"/>
    <cellStyle name="20% - Accent6 4 13" xfId="810" xr:uid="{00000000-0005-0000-0000-000027030000}"/>
    <cellStyle name="20% - Accent6 4 14" xfId="811" xr:uid="{00000000-0005-0000-0000-000028030000}"/>
    <cellStyle name="20% - Accent6 4 15" xfId="812" xr:uid="{00000000-0005-0000-0000-000029030000}"/>
    <cellStyle name="20% - Accent6 4 2" xfId="813" xr:uid="{00000000-0005-0000-0000-00002A030000}"/>
    <cellStyle name="20% - Accent6 4 3" xfId="814" xr:uid="{00000000-0005-0000-0000-00002B030000}"/>
    <cellStyle name="20% - Accent6 4 4" xfId="815" xr:uid="{00000000-0005-0000-0000-00002C030000}"/>
    <cellStyle name="20% - Accent6 4 5" xfId="816" xr:uid="{00000000-0005-0000-0000-00002D030000}"/>
    <cellStyle name="20% - Accent6 4 6" xfId="817" xr:uid="{00000000-0005-0000-0000-00002E030000}"/>
    <cellStyle name="20% - Accent6 4 7" xfId="818" xr:uid="{00000000-0005-0000-0000-00002F030000}"/>
    <cellStyle name="20% - Accent6 4 8" xfId="819" xr:uid="{00000000-0005-0000-0000-000030030000}"/>
    <cellStyle name="20% - Accent6 4 9" xfId="820" xr:uid="{00000000-0005-0000-0000-000031030000}"/>
    <cellStyle name="20% - Accent6 40" xfId="821" xr:uid="{00000000-0005-0000-0000-000032030000}"/>
    <cellStyle name="20% - Accent6 41" xfId="822" xr:uid="{00000000-0005-0000-0000-000033030000}"/>
    <cellStyle name="20% - Accent6 42" xfId="823" xr:uid="{00000000-0005-0000-0000-000034030000}"/>
    <cellStyle name="20% - Accent6 5" xfId="824" xr:uid="{00000000-0005-0000-0000-000035030000}"/>
    <cellStyle name="20% - Accent6 5 10" xfId="825" xr:uid="{00000000-0005-0000-0000-000036030000}"/>
    <cellStyle name="20% - Accent6 5 11" xfId="826" xr:uid="{00000000-0005-0000-0000-000037030000}"/>
    <cellStyle name="20% - Accent6 5 12" xfId="827" xr:uid="{00000000-0005-0000-0000-000038030000}"/>
    <cellStyle name="20% - Accent6 5 13" xfId="828" xr:uid="{00000000-0005-0000-0000-000039030000}"/>
    <cellStyle name="20% - Accent6 5 14" xfId="829" xr:uid="{00000000-0005-0000-0000-00003A030000}"/>
    <cellStyle name="20% - Accent6 5 15" xfId="830" xr:uid="{00000000-0005-0000-0000-00003B030000}"/>
    <cellStyle name="20% - Accent6 5 2" xfId="831" xr:uid="{00000000-0005-0000-0000-00003C030000}"/>
    <cellStyle name="20% - Accent6 5 3" xfId="832" xr:uid="{00000000-0005-0000-0000-00003D030000}"/>
    <cellStyle name="20% - Accent6 5 4" xfId="833" xr:uid="{00000000-0005-0000-0000-00003E030000}"/>
    <cellStyle name="20% - Accent6 5 5" xfId="834" xr:uid="{00000000-0005-0000-0000-00003F030000}"/>
    <cellStyle name="20% - Accent6 5 6" xfId="835" xr:uid="{00000000-0005-0000-0000-000040030000}"/>
    <cellStyle name="20% - Accent6 5 7" xfId="836" xr:uid="{00000000-0005-0000-0000-000041030000}"/>
    <cellStyle name="20% - Accent6 5 8" xfId="837" xr:uid="{00000000-0005-0000-0000-000042030000}"/>
    <cellStyle name="20% - Accent6 5 9" xfId="838" xr:uid="{00000000-0005-0000-0000-000043030000}"/>
    <cellStyle name="20% - Accent6 6" xfId="839" xr:uid="{00000000-0005-0000-0000-000044030000}"/>
    <cellStyle name="20% - Accent6 6 10" xfId="840" xr:uid="{00000000-0005-0000-0000-000045030000}"/>
    <cellStyle name="20% - Accent6 6 11" xfId="841" xr:uid="{00000000-0005-0000-0000-000046030000}"/>
    <cellStyle name="20% - Accent6 6 12" xfId="842" xr:uid="{00000000-0005-0000-0000-000047030000}"/>
    <cellStyle name="20% - Accent6 6 13" xfId="843" xr:uid="{00000000-0005-0000-0000-000048030000}"/>
    <cellStyle name="20% - Accent6 6 14" xfId="844" xr:uid="{00000000-0005-0000-0000-000049030000}"/>
    <cellStyle name="20% - Accent6 6 15" xfId="845" xr:uid="{00000000-0005-0000-0000-00004A030000}"/>
    <cellStyle name="20% - Accent6 6 2" xfId="846" xr:uid="{00000000-0005-0000-0000-00004B030000}"/>
    <cellStyle name="20% - Accent6 6 3" xfId="847" xr:uid="{00000000-0005-0000-0000-00004C030000}"/>
    <cellStyle name="20% - Accent6 6 4" xfId="848" xr:uid="{00000000-0005-0000-0000-00004D030000}"/>
    <cellStyle name="20% - Accent6 6 5" xfId="849" xr:uid="{00000000-0005-0000-0000-00004E030000}"/>
    <cellStyle name="20% - Accent6 6 6" xfId="850" xr:uid="{00000000-0005-0000-0000-00004F030000}"/>
    <cellStyle name="20% - Accent6 6 7" xfId="851" xr:uid="{00000000-0005-0000-0000-000050030000}"/>
    <cellStyle name="20% - Accent6 6 8" xfId="852" xr:uid="{00000000-0005-0000-0000-000051030000}"/>
    <cellStyle name="20% - Accent6 6 9" xfId="853" xr:uid="{00000000-0005-0000-0000-000052030000}"/>
    <cellStyle name="20% - Accent6 7" xfId="854" xr:uid="{00000000-0005-0000-0000-000053030000}"/>
    <cellStyle name="20% - Accent6 7 10" xfId="855" xr:uid="{00000000-0005-0000-0000-000054030000}"/>
    <cellStyle name="20% - Accent6 7 11" xfId="856" xr:uid="{00000000-0005-0000-0000-000055030000}"/>
    <cellStyle name="20% - Accent6 7 12" xfId="857" xr:uid="{00000000-0005-0000-0000-000056030000}"/>
    <cellStyle name="20% - Accent6 7 13" xfId="858" xr:uid="{00000000-0005-0000-0000-000057030000}"/>
    <cellStyle name="20% - Accent6 7 14" xfId="859" xr:uid="{00000000-0005-0000-0000-000058030000}"/>
    <cellStyle name="20% - Accent6 7 15" xfId="860" xr:uid="{00000000-0005-0000-0000-000059030000}"/>
    <cellStyle name="20% - Accent6 7 2" xfId="861" xr:uid="{00000000-0005-0000-0000-00005A030000}"/>
    <cellStyle name="20% - Accent6 7 3" xfId="862" xr:uid="{00000000-0005-0000-0000-00005B030000}"/>
    <cellStyle name="20% - Accent6 7 4" xfId="863" xr:uid="{00000000-0005-0000-0000-00005C030000}"/>
    <cellStyle name="20% - Accent6 7 5" xfId="864" xr:uid="{00000000-0005-0000-0000-00005D030000}"/>
    <cellStyle name="20% - Accent6 7 6" xfId="865" xr:uid="{00000000-0005-0000-0000-00005E030000}"/>
    <cellStyle name="20% - Accent6 7 7" xfId="866" xr:uid="{00000000-0005-0000-0000-00005F030000}"/>
    <cellStyle name="20% - Accent6 7 8" xfId="867" xr:uid="{00000000-0005-0000-0000-000060030000}"/>
    <cellStyle name="20% - Accent6 7 9" xfId="868" xr:uid="{00000000-0005-0000-0000-000061030000}"/>
    <cellStyle name="20% - Accent6 8" xfId="869" xr:uid="{00000000-0005-0000-0000-000062030000}"/>
    <cellStyle name="20% - Accent6 9" xfId="870" xr:uid="{00000000-0005-0000-0000-000063030000}"/>
    <cellStyle name="20% - Accent6 9 2" xfId="871" xr:uid="{00000000-0005-0000-0000-000064030000}"/>
    <cellStyle name="20% - Accent6 9 3" xfId="872" xr:uid="{00000000-0005-0000-0000-000065030000}"/>
    <cellStyle name="40% - Accent1 10" xfId="873" xr:uid="{00000000-0005-0000-0000-000066030000}"/>
    <cellStyle name="40% - Accent1 11" xfId="874" xr:uid="{00000000-0005-0000-0000-000067030000}"/>
    <cellStyle name="40% - Accent1 12" xfId="875" xr:uid="{00000000-0005-0000-0000-000068030000}"/>
    <cellStyle name="40% - Accent1 13" xfId="876" xr:uid="{00000000-0005-0000-0000-000069030000}"/>
    <cellStyle name="40% - Accent1 14" xfId="877" xr:uid="{00000000-0005-0000-0000-00006A030000}"/>
    <cellStyle name="40% - Accent1 15" xfId="878" xr:uid="{00000000-0005-0000-0000-00006B030000}"/>
    <cellStyle name="40% - Accent1 16" xfId="879" xr:uid="{00000000-0005-0000-0000-00006C030000}"/>
    <cellStyle name="40% - Accent1 17" xfId="880" xr:uid="{00000000-0005-0000-0000-00006D030000}"/>
    <cellStyle name="40% - Accent1 18" xfId="881" xr:uid="{00000000-0005-0000-0000-00006E030000}"/>
    <cellStyle name="40% - Accent1 19" xfId="882" xr:uid="{00000000-0005-0000-0000-00006F030000}"/>
    <cellStyle name="40% - Accent1 2" xfId="883" xr:uid="{00000000-0005-0000-0000-000070030000}"/>
    <cellStyle name="40% - Accent1 2 10" xfId="884" xr:uid="{00000000-0005-0000-0000-000071030000}"/>
    <cellStyle name="40% - Accent1 2 11" xfId="885" xr:uid="{00000000-0005-0000-0000-000072030000}"/>
    <cellStyle name="40% - Accent1 2 12" xfId="886" xr:uid="{00000000-0005-0000-0000-000073030000}"/>
    <cellStyle name="40% - Accent1 2 13" xfId="887" xr:uid="{00000000-0005-0000-0000-000074030000}"/>
    <cellStyle name="40% - Accent1 2 14" xfId="888" xr:uid="{00000000-0005-0000-0000-000075030000}"/>
    <cellStyle name="40% - Accent1 2 15" xfId="889" xr:uid="{00000000-0005-0000-0000-000076030000}"/>
    <cellStyle name="40% - Accent1 2 16" xfId="890" xr:uid="{00000000-0005-0000-0000-000077030000}"/>
    <cellStyle name="40% - Accent1 2 2" xfId="891" xr:uid="{00000000-0005-0000-0000-000078030000}"/>
    <cellStyle name="40% - Accent1 2 2 10" xfId="892" xr:uid="{00000000-0005-0000-0000-000079030000}"/>
    <cellStyle name="40% - Accent1 2 2 11" xfId="893" xr:uid="{00000000-0005-0000-0000-00007A030000}"/>
    <cellStyle name="40% - Accent1 2 2 12" xfId="894" xr:uid="{00000000-0005-0000-0000-00007B030000}"/>
    <cellStyle name="40% - Accent1 2 2 13" xfId="895" xr:uid="{00000000-0005-0000-0000-00007C030000}"/>
    <cellStyle name="40% - Accent1 2 2 14" xfId="896" xr:uid="{00000000-0005-0000-0000-00007D030000}"/>
    <cellStyle name="40% - Accent1 2 2 15" xfId="897" xr:uid="{00000000-0005-0000-0000-00007E030000}"/>
    <cellStyle name="40% - Accent1 2 2 16" xfId="898" xr:uid="{00000000-0005-0000-0000-00007F030000}"/>
    <cellStyle name="40% - Accent1 2 2 17" xfId="899" xr:uid="{00000000-0005-0000-0000-000080030000}"/>
    <cellStyle name="40% - Accent1 2 2 18" xfId="900" xr:uid="{00000000-0005-0000-0000-000081030000}"/>
    <cellStyle name="40% - Accent1 2 2 2" xfId="901" xr:uid="{00000000-0005-0000-0000-000082030000}"/>
    <cellStyle name="40% - Accent1 2 2 3" xfId="902" xr:uid="{00000000-0005-0000-0000-000083030000}"/>
    <cellStyle name="40% - Accent1 2 2 4" xfId="903" xr:uid="{00000000-0005-0000-0000-000084030000}"/>
    <cellStyle name="40% - Accent1 2 2 5" xfId="904" xr:uid="{00000000-0005-0000-0000-000085030000}"/>
    <cellStyle name="40% - Accent1 2 2 6" xfId="905" xr:uid="{00000000-0005-0000-0000-000086030000}"/>
    <cellStyle name="40% - Accent1 2 2 7" xfId="906" xr:uid="{00000000-0005-0000-0000-000087030000}"/>
    <cellStyle name="40% - Accent1 2 2 8" xfId="907" xr:uid="{00000000-0005-0000-0000-000088030000}"/>
    <cellStyle name="40% - Accent1 2 2 9" xfId="908" xr:uid="{00000000-0005-0000-0000-000089030000}"/>
    <cellStyle name="40% - Accent1 2 3" xfId="909" xr:uid="{00000000-0005-0000-0000-00008A030000}"/>
    <cellStyle name="40% - Accent1 2 4" xfId="910" xr:uid="{00000000-0005-0000-0000-00008B030000}"/>
    <cellStyle name="40% - Accent1 2 5" xfId="911" xr:uid="{00000000-0005-0000-0000-00008C030000}"/>
    <cellStyle name="40% - Accent1 2 6" xfId="912" xr:uid="{00000000-0005-0000-0000-00008D030000}"/>
    <cellStyle name="40% - Accent1 2 7" xfId="913" xr:uid="{00000000-0005-0000-0000-00008E030000}"/>
    <cellStyle name="40% - Accent1 2 8" xfId="914" xr:uid="{00000000-0005-0000-0000-00008F030000}"/>
    <cellStyle name="40% - Accent1 2 9" xfId="915" xr:uid="{00000000-0005-0000-0000-000090030000}"/>
    <cellStyle name="40% - Accent1 20" xfId="916" xr:uid="{00000000-0005-0000-0000-000091030000}"/>
    <cellStyle name="40% - Accent1 21" xfId="917" xr:uid="{00000000-0005-0000-0000-000092030000}"/>
    <cellStyle name="40% - Accent1 22" xfId="918" xr:uid="{00000000-0005-0000-0000-000093030000}"/>
    <cellStyle name="40% - Accent1 23" xfId="919" xr:uid="{00000000-0005-0000-0000-000094030000}"/>
    <cellStyle name="40% - Accent1 24" xfId="920" xr:uid="{00000000-0005-0000-0000-000095030000}"/>
    <cellStyle name="40% - Accent1 25" xfId="921" xr:uid="{00000000-0005-0000-0000-000096030000}"/>
    <cellStyle name="40% - Accent1 26" xfId="922" xr:uid="{00000000-0005-0000-0000-000097030000}"/>
    <cellStyle name="40% - Accent1 27" xfId="923" xr:uid="{00000000-0005-0000-0000-000098030000}"/>
    <cellStyle name="40% - Accent1 28" xfId="924" xr:uid="{00000000-0005-0000-0000-000099030000}"/>
    <cellStyle name="40% - Accent1 29" xfId="925" xr:uid="{00000000-0005-0000-0000-00009A030000}"/>
    <cellStyle name="40% - Accent1 3" xfId="926" xr:uid="{00000000-0005-0000-0000-00009B030000}"/>
    <cellStyle name="40% - Accent1 3 10" xfId="927" xr:uid="{00000000-0005-0000-0000-00009C030000}"/>
    <cellStyle name="40% - Accent1 3 11" xfId="928" xr:uid="{00000000-0005-0000-0000-00009D030000}"/>
    <cellStyle name="40% - Accent1 3 12" xfId="929" xr:uid="{00000000-0005-0000-0000-00009E030000}"/>
    <cellStyle name="40% - Accent1 3 13" xfId="930" xr:uid="{00000000-0005-0000-0000-00009F030000}"/>
    <cellStyle name="40% - Accent1 3 14" xfId="931" xr:uid="{00000000-0005-0000-0000-0000A0030000}"/>
    <cellStyle name="40% - Accent1 3 15" xfId="932" xr:uid="{00000000-0005-0000-0000-0000A1030000}"/>
    <cellStyle name="40% - Accent1 3 2" xfId="933" xr:uid="{00000000-0005-0000-0000-0000A2030000}"/>
    <cellStyle name="40% - Accent1 3 3" xfId="934" xr:uid="{00000000-0005-0000-0000-0000A3030000}"/>
    <cellStyle name="40% - Accent1 3 4" xfId="935" xr:uid="{00000000-0005-0000-0000-0000A4030000}"/>
    <cellStyle name="40% - Accent1 3 5" xfId="936" xr:uid="{00000000-0005-0000-0000-0000A5030000}"/>
    <cellStyle name="40% - Accent1 3 6" xfId="937" xr:uid="{00000000-0005-0000-0000-0000A6030000}"/>
    <cellStyle name="40% - Accent1 3 7" xfId="938" xr:uid="{00000000-0005-0000-0000-0000A7030000}"/>
    <cellStyle name="40% - Accent1 3 8" xfId="939" xr:uid="{00000000-0005-0000-0000-0000A8030000}"/>
    <cellStyle name="40% - Accent1 3 9" xfId="940" xr:uid="{00000000-0005-0000-0000-0000A9030000}"/>
    <cellStyle name="40% - Accent1 30" xfId="941" xr:uid="{00000000-0005-0000-0000-0000AA030000}"/>
    <cellStyle name="40% - Accent1 31" xfId="942" xr:uid="{00000000-0005-0000-0000-0000AB030000}"/>
    <cellStyle name="40% - Accent1 32" xfId="943" xr:uid="{00000000-0005-0000-0000-0000AC030000}"/>
    <cellStyle name="40% - Accent1 33" xfId="944" xr:uid="{00000000-0005-0000-0000-0000AD030000}"/>
    <cellStyle name="40% - Accent1 34" xfId="945" xr:uid="{00000000-0005-0000-0000-0000AE030000}"/>
    <cellStyle name="40% - Accent1 35" xfId="946" xr:uid="{00000000-0005-0000-0000-0000AF030000}"/>
    <cellStyle name="40% - Accent1 36" xfId="947" xr:uid="{00000000-0005-0000-0000-0000B0030000}"/>
    <cellStyle name="40% - Accent1 37" xfId="948" xr:uid="{00000000-0005-0000-0000-0000B1030000}"/>
    <cellStyle name="40% - Accent1 38" xfId="949" xr:uid="{00000000-0005-0000-0000-0000B2030000}"/>
    <cellStyle name="40% - Accent1 39" xfId="950" xr:uid="{00000000-0005-0000-0000-0000B3030000}"/>
    <cellStyle name="40% - Accent1 4" xfId="951" xr:uid="{00000000-0005-0000-0000-0000B4030000}"/>
    <cellStyle name="40% - Accent1 4 10" xfId="952" xr:uid="{00000000-0005-0000-0000-0000B5030000}"/>
    <cellStyle name="40% - Accent1 4 11" xfId="953" xr:uid="{00000000-0005-0000-0000-0000B6030000}"/>
    <cellStyle name="40% - Accent1 4 12" xfId="954" xr:uid="{00000000-0005-0000-0000-0000B7030000}"/>
    <cellStyle name="40% - Accent1 4 13" xfId="955" xr:uid="{00000000-0005-0000-0000-0000B8030000}"/>
    <cellStyle name="40% - Accent1 4 14" xfId="956" xr:uid="{00000000-0005-0000-0000-0000B9030000}"/>
    <cellStyle name="40% - Accent1 4 15" xfId="957" xr:uid="{00000000-0005-0000-0000-0000BA030000}"/>
    <cellStyle name="40% - Accent1 4 2" xfId="958" xr:uid="{00000000-0005-0000-0000-0000BB030000}"/>
    <cellStyle name="40% - Accent1 4 3" xfId="959" xr:uid="{00000000-0005-0000-0000-0000BC030000}"/>
    <cellStyle name="40% - Accent1 4 4" xfId="960" xr:uid="{00000000-0005-0000-0000-0000BD030000}"/>
    <cellStyle name="40% - Accent1 4 5" xfId="961" xr:uid="{00000000-0005-0000-0000-0000BE030000}"/>
    <cellStyle name="40% - Accent1 4 6" xfId="962" xr:uid="{00000000-0005-0000-0000-0000BF030000}"/>
    <cellStyle name="40% - Accent1 4 7" xfId="963" xr:uid="{00000000-0005-0000-0000-0000C0030000}"/>
    <cellStyle name="40% - Accent1 4 8" xfId="964" xr:uid="{00000000-0005-0000-0000-0000C1030000}"/>
    <cellStyle name="40% - Accent1 4 9" xfId="965" xr:uid="{00000000-0005-0000-0000-0000C2030000}"/>
    <cellStyle name="40% - Accent1 40" xfId="966" xr:uid="{00000000-0005-0000-0000-0000C3030000}"/>
    <cellStyle name="40% - Accent1 41" xfId="967" xr:uid="{00000000-0005-0000-0000-0000C4030000}"/>
    <cellStyle name="40% - Accent1 42" xfId="968" xr:uid="{00000000-0005-0000-0000-0000C5030000}"/>
    <cellStyle name="40% - Accent1 5" xfId="969" xr:uid="{00000000-0005-0000-0000-0000C6030000}"/>
    <cellStyle name="40% - Accent1 5 10" xfId="970" xr:uid="{00000000-0005-0000-0000-0000C7030000}"/>
    <cellStyle name="40% - Accent1 5 11" xfId="971" xr:uid="{00000000-0005-0000-0000-0000C8030000}"/>
    <cellStyle name="40% - Accent1 5 12" xfId="972" xr:uid="{00000000-0005-0000-0000-0000C9030000}"/>
    <cellStyle name="40% - Accent1 5 13" xfId="973" xr:uid="{00000000-0005-0000-0000-0000CA030000}"/>
    <cellStyle name="40% - Accent1 5 14" xfId="974" xr:uid="{00000000-0005-0000-0000-0000CB030000}"/>
    <cellStyle name="40% - Accent1 5 15" xfId="975" xr:uid="{00000000-0005-0000-0000-0000CC030000}"/>
    <cellStyle name="40% - Accent1 5 2" xfId="976" xr:uid="{00000000-0005-0000-0000-0000CD030000}"/>
    <cellStyle name="40% - Accent1 5 3" xfId="977" xr:uid="{00000000-0005-0000-0000-0000CE030000}"/>
    <cellStyle name="40% - Accent1 5 4" xfId="978" xr:uid="{00000000-0005-0000-0000-0000CF030000}"/>
    <cellStyle name="40% - Accent1 5 5" xfId="979" xr:uid="{00000000-0005-0000-0000-0000D0030000}"/>
    <cellStyle name="40% - Accent1 5 6" xfId="980" xr:uid="{00000000-0005-0000-0000-0000D1030000}"/>
    <cellStyle name="40% - Accent1 5 7" xfId="981" xr:uid="{00000000-0005-0000-0000-0000D2030000}"/>
    <cellStyle name="40% - Accent1 5 8" xfId="982" xr:uid="{00000000-0005-0000-0000-0000D3030000}"/>
    <cellStyle name="40% - Accent1 5 9" xfId="983" xr:uid="{00000000-0005-0000-0000-0000D4030000}"/>
    <cellStyle name="40% - Accent1 6" xfId="984" xr:uid="{00000000-0005-0000-0000-0000D5030000}"/>
    <cellStyle name="40% - Accent1 6 10" xfId="985" xr:uid="{00000000-0005-0000-0000-0000D6030000}"/>
    <cellStyle name="40% - Accent1 6 11" xfId="986" xr:uid="{00000000-0005-0000-0000-0000D7030000}"/>
    <cellStyle name="40% - Accent1 6 12" xfId="987" xr:uid="{00000000-0005-0000-0000-0000D8030000}"/>
    <cellStyle name="40% - Accent1 6 13" xfId="988" xr:uid="{00000000-0005-0000-0000-0000D9030000}"/>
    <cellStyle name="40% - Accent1 6 14" xfId="989" xr:uid="{00000000-0005-0000-0000-0000DA030000}"/>
    <cellStyle name="40% - Accent1 6 15" xfId="990" xr:uid="{00000000-0005-0000-0000-0000DB030000}"/>
    <cellStyle name="40% - Accent1 6 2" xfId="991" xr:uid="{00000000-0005-0000-0000-0000DC030000}"/>
    <cellStyle name="40% - Accent1 6 3" xfId="992" xr:uid="{00000000-0005-0000-0000-0000DD030000}"/>
    <cellStyle name="40% - Accent1 6 4" xfId="993" xr:uid="{00000000-0005-0000-0000-0000DE030000}"/>
    <cellStyle name="40% - Accent1 6 5" xfId="994" xr:uid="{00000000-0005-0000-0000-0000DF030000}"/>
    <cellStyle name="40% - Accent1 6 6" xfId="995" xr:uid="{00000000-0005-0000-0000-0000E0030000}"/>
    <cellStyle name="40% - Accent1 6 7" xfId="996" xr:uid="{00000000-0005-0000-0000-0000E1030000}"/>
    <cellStyle name="40% - Accent1 6 8" xfId="997" xr:uid="{00000000-0005-0000-0000-0000E2030000}"/>
    <cellStyle name="40% - Accent1 6 9" xfId="998" xr:uid="{00000000-0005-0000-0000-0000E3030000}"/>
    <cellStyle name="40% - Accent1 7" xfId="999" xr:uid="{00000000-0005-0000-0000-0000E4030000}"/>
    <cellStyle name="40% - Accent1 7 10" xfId="1000" xr:uid="{00000000-0005-0000-0000-0000E5030000}"/>
    <cellStyle name="40% - Accent1 7 11" xfId="1001" xr:uid="{00000000-0005-0000-0000-0000E6030000}"/>
    <cellStyle name="40% - Accent1 7 12" xfId="1002" xr:uid="{00000000-0005-0000-0000-0000E7030000}"/>
    <cellStyle name="40% - Accent1 7 13" xfId="1003" xr:uid="{00000000-0005-0000-0000-0000E8030000}"/>
    <cellStyle name="40% - Accent1 7 14" xfId="1004" xr:uid="{00000000-0005-0000-0000-0000E9030000}"/>
    <cellStyle name="40% - Accent1 7 15" xfId="1005" xr:uid="{00000000-0005-0000-0000-0000EA030000}"/>
    <cellStyle name="40% - Accent1 7 2" xfId="1006" xr:uid="{00000000-0005-0000-0000-0000EB030000}"/>
    <cellStyle name="40% - Accent1 7 3" xfId="1007" xr:uid="{00000000-0005-0000-0000-0000EC030000}"/>
    <cellStyle name="40% - Accent1 7 4" xfId="1008" xr:uid="{00000000-0005-0000-0000-0000ED030000}"/>
    <cellStyle name="40% - Accent1 7 5" xfId="1009" xr:uid="{00000000-0005-0000-0000-0000EE030000}"/>
    <cellStyle name="40% - Accent1 7 6" xfId="1010" xr:uid="{00000000-0005-0000-0000-0000EF030000}"/>
    <cellStyle name="40% - Accent1 7 7" xfId="1011" xr:uid="{00000000-0005-0000-0000-0000F0030000}"/>
    <cellStyle name="40% - Accent1 7 8" xfId="1012" xr:uid="{00000000-0005-0000-0000-0000F1030000}"/>
    <cellStyle name="40% - Accent1 7 9" xfId="1013" xr:uid="{00000000-0005-0000-0000-0000F2030000}"/>
    <cellStyle name="40% - Accent1 8" xfId="1014" xr:uid="{00000000-0005-0000-0000-0000F3030000}"/>
    <cellStyle name="40% - Accent1 9" xfId="1015" xr:uid="{00000000-0005-0000-0000-0000F4030000}"/>
    <cellStyle name="40% - Accent1 9 2" xfId="1016" xr:uid="{00000000-0005-0000-0000-0000F5030000}"/>
    <cellStyle name="40% - Accent1 9 3" xfId="1017" xr:uid="{00000000-0005-0000-0000-0000F6030000}"/>
    <cellStyle name="40% - Accent2 10" xfId="1018" xr:uid="{00000000-0005-0000-0000-0000F7030000}"/>
    <cellStyle name="40% - Accent2 11" xfId="1019" xr:uid="{00000000-0005-0000-0000-0000F8030000}"/>
    <cellStyle name="40% - Accent2 12" xfId="1020" xr:uid="{00000000-0005-0000-0000-0000F9030000}"/>
    <cellStyle name="40% - Accent2 13" xfId="1021" xr:uid="{00000000-0005-0000-0000-0000FA030000}"/>
    <cellStyle name="40% - Accent2 14" xfId="1022" xr:uid="{00000000-0005-0000-0000-0000FB030000}"/>
    <cellStyle name="40% - Accent2 15" xfId="1023" xr:uid="{00000000-0005-0000-0000-0000FC030000}"/>
    <cellStyle name="40% - Accent2 16" xfId="1024" xr:uid="{00000000-0005-0000-0000-0000FD030000}"/>
    <cellStyle name="40% - Accent2 17" xfId="1025" xr:uid="{00000000-0005-0000-0000-0000FE030000}"/>
    <cellStyle name="40% - Accent2 18" xfId="1026" xr:uid="{00000000-0005-0000-0000-0000FF030000}"/>
    <cellStyle name="40% - Accent2 19" xfId="1027" xr:uid="{00000000-0005-0000-0000-000000040000}"/>
    <cellStyle name="40% - Accent2 2" xfId="1028" xr:uid="{00000000-0005-0000-0000-000001040000}"/>
    <cellStyle name="40% - Accent2 2 10" xfId="1029" xr:uid="{00000000-0005-0000-0000-000002040000}"/>
    <cellStyle name="40% - Accent2 2 11" xfId="1030" xr:uid="{00000000-0005-0000-0000-000003040000}"/>
    <cellStyle name="40% - Accent2 2 12" xfId="1031" xr:uid="{00000000-0005-0000-0000-000004040000}"/>
    <cellStyle name="40% - Accent2 2 13" xfId="1032" xr:uid="{00000000-0005-0000-0000-000005040000}"/>
    <cellStyle name="40% - Accent2 2 14" xfId="1033" xr:uid="{00000000-0005-0000-0000-000006040000}"/>
    <cellStyle name="40% - Accent2 2 15" xfId="1034" xr:uid="{00000000-0005-0000-0000-000007040000}"/>
    <cellStyle name="40% - Accent2 2 16" xfId="1035" xr:uid="{00000000-0005-0000-0000-000008040000}"/>
    <cellStyle name="40% - Accent2 2 2" xfId="1036" xr:uid="{00000000-0005-0000-0000-000009040000}"/>
    <cellStyle name="40% - Accent2 2 2 10" xfId="1037" xr:uid="{00000000-0005-0000-0000-00000A040000}"/>
    <cellStyle name="40% - Accent2 2 2 11" xfId="1038" xr:uid="{00000000-0005-0000-0000-00000B040000}"/>
    <cellStyle name="40% - Accent2 2 2 12" xfId="1039" xr:uid="{00000000-0005-0000-0000-00000C040000}"/>
    <cellStyle name="40% - Accent2 2 2 13" xfId="1040" xr:uid="{00000000-0005-0000-0000-00000D040000}"/>
    <cellStyle name="40% - Accent2 2 2 14" xfId="1041" xr:uid="{00000000-0005-0000-0000-00000E040000}"/>
    <cellStyle name="40% - Accent2 2 2 15" xfId="1042" xr:uid="{00000000-0005-0000-0000-00000F040000}"/>
    <cellStyle name="40% - Accent2 2 2 16" xfId="1043" xr:uid="{00000000-0005-0000-0000-000010040000}"/>
    <cellStyle name="40% - Accent2 2 2 17" xfId="1044" xr:uid="{00000000-0005-0000-0000-000011040000}"/>
    <cellStyle name="40% - Accent2 2 2 18" xfId="1045" xr:uid="{00000000-0005-0000-0000-000012040000}"/>
    <cellStyle name="40% - Accent2 2 2 2" xfId="1046" xr:uid="{00000000-0005-0000-0000-000013040000}"/>
    <cellStyle name="40% - Accent2 2 2 3" xfId="1047" xr:uid="{00000000-0005-0000-0000-000014040000}"/>
    <cellStyle name="40% - Accent2 2 2 4" xfId="1048" xr:uid="{00000000-0005-0000-0000-000015040000}"/>
    <cellStyle name="40% - Accent2 2 2 5" xfId="1049" xr:uid="{00000000-0005-0000-0000-000016040000}"/>
    <cellStyle name="40% - Accent2 2 2 6" xfId="1050" xr:uid="{00000000-0005-0000-0000-000017040000}"/>
    <cellStyle name="40% - Accent2 2 2 7" xfId="1051" xr:uid="{00000000-0005-0000-0000-000018040000}"/>
    <cellStyle name="40% - Accent2 2 2 8" xfId="1052" xr:uid="{00000000-0005-0000-0000-000019040000}"/>
    <cellStyle name="40% - Accent2 2 2 9" xfId="1053" xr:uid="{00000000-0005-0000-0000-00001A040000}"/>
    <cellStyle name="40% - Accent2 2 3" xfId="1054" xr:uid="{00000000-0005-0000-0000-00001B040000}"/>
    <cellStyle name="40% - Accent2 2 4" xfId="1055" xr:uid="{00000000-0005-0000-0000-00001C040000}"/>
    <cellStyle name="40% - Accent2 2 5" xfId="1056" xr:uid="{00000000-0005-0000-0000-00001D040000}"/>
    <cellStyle name="40% - Accent2 2 6" xfId="1057" xr:uid="{00000000-0005-0000-0000-00001E040000}"/>
    <cellStyle name="40% - Accent2 2 7" xfId="1058" xr:uid="{00000000-0005-0000-0000-00001F040000}"/>
    <cellStyle name="40% - Accent2 2 8" xfId="1059" xr:uid="{00000000-0005-0000-0000-000020040000}"/>
    <cellStyle name="40% - Accent2 2 9" xfId="1060" xr:uid="{00000000-0005-0000-0000-000021040000}"/>
    <cellStyle name="40% - Accent2 20" xfId="1061" xr:uid="{00000000-0005-0000-0000-000022040000}"/>
    <cellStyle name="40% - Accent2 21" xfId="1062" xr:uid="{00000000-0005-0000-0000-000023040000}"/>
    <cellStyle name="40% - Accent2 22" xfId="1063" xr:uid="{00000000-0005-0000-0000-000024040000}"/>
    <cellStyle name="40% - Accent2 23" xfId="1064" xr:uid="{00000000-0005-0000-0000-000025040000}"/>
    <cellStyle name="40% - Accent2 24" xfId="1065" xr:uid="{00000000-0005-0000-0000-000026040000}"/>
    <cellStyle name="40% - Accent2 25" xfId="1066" xr:uid="{00000000-0005-0000-0000-000027040000}"/>
    <cellStyle name="40% - Accent2 26" xfId="1067" xr:uid="{00000000-0005-0000-0000-000028040000}"/>
    <cellStyle name="40% - Accent2 27" xfId="1068" xr:uid="{00000000-0005-0000-0000-000029040000}"/>
    <cellStyle name="40% - Accent2 28" xfId="1069" xr:uid="{00000000-0005-0000-0000-00002A040000}"/>
    <cellStyle name="40% - Accent2 29" xfId="1070" xr:uid="{00000000-0005-0000-0000-00002B040000}"/>
    <cellStyle name="40% - Accent2 3" xfId="1071" xr:uid="{00000000-0005-0000-0000-00002C040000}"/>
    <cellStyle name="40% - Accent2 3 10" xfId="1072" xr:uid="{00000000-0005-0000-0000-00002D040000}"/>
    <cellStyle name="40% - Accent2 3 11" xfId="1073" xr:uid="{00000000-0005-0000-0000-00002E040000}"/>
    <cellStyle name="40% - Accent2 3 12" xfId="1074" xr:uid="{00000000-0005-0000-0000-00002F040000}"/>
    <cellStyle name="40% - Accent2 3 13" xfId="1075" xr:uid="{00000000-0005-0000-0000-000030040000}"/>
    <cellStyle name="40% - Accent2 3 14" xfId="1076" xr:uid="{00000000-0005-0000-0000-000031040000}"/>
    <cellStyle name="40% - Accent2 3 15" xfId="1077" xr:uid="{00000000-0005-0000-0000-000032040000}"/>
    <cellStyle name="40% - Accent2 3 2" xfId="1078" xr:uid="{00000000-0005-0000-0000-000033040000}"/>
    <cellStyle name="40% - Accent2 3 3" xfId="1079" xr:uid="{00000000-0005-0000-0000-000034040000}"/>
    <cellStyle name="40% - Accent2 3 4" xfId="1080" xr:uid="{00000000-0005-0000-0000-000035040000}"/>
    <cellStyle name="40% - Accent2 3 5" xfId="1081" xr:uid="{00000000-0005-0000-0000-000036040000}"/>
    <cellStyle name="40% - Accent2 3 6" xfId="1082" xr:uid="{00000000-0005-0000-0000-000037040000}"/>
    <cellStyle name="40% - Accent2 3 7" xfId="1083" xr:uid="{00000000-0005-0000-0000-000038040000}"/>
    <cellStyle name="40% - Accent2 3 8" xfId="1084" xr:uid="{00000000-0005-0000-0000-000039040000}"/>
    <cellStyle name="40% - Accent2 3 9" xfId="1085" xr:uid="{00000000-0005-0000-0000-00003A040000}"/>
    <cellStyle name="40% - Accent2 30" xfId="1086" xr:uid="{00000000-0005-0000-0000-00003B040000}"/>
    <cellStyle name="40% - Accent2 31" xfId="1087" xr:uid="{00000000-0005-0000-0000-00003C040000}"/>
    <cellStyle name="40% - Accent2 32" xfId="1088" xr:uid="{00000000-0005-0000-0000-00003D040000}"/>
    <cellStyle name="40% - Accent2 33" xfId="1089" xr:uid="{00000000-0005-0000-0000-00003E040000}"/>
    <cellStyle name="40% - Accent2 34" xfId="1090" xr:uid="{00000000-0005-0000-0000-00003F040000}"/>
    <cellStyle name="40% - Accent2 35" xfId="1091" xr:uid="{00000000-0005-0000-0000-000040040000}"/>
    <cellStyle name="40% - Accent2 36" xfId="1092" xr:uid="{00000000-0005-0000-0000-000041040000}"/>
    <cellStyle name="40% - Accent2 37" xfId="1093" xr:uid="{00000000-0005-0000-0000-000042040000}"/>
    <cellStyle name="40% - Accent2 38" xfId="1094" xr:uid="{00000000-0005-0000-0000-000043040000}"/>
    <cellStyle name="40% - Accent2 39" xfId="1095" xr:uid="{00000000-0005-0000-0000-000044040000}"/>
    <cellStyle name="40% - Accent2 4" xfId="1096" xr:uid="{00000000-0005-0000-0000-000045040000}"/>
    <cellStyle name="40% - Accent2 4 10" xfId="1097" xr:uid="{00000000-0005-0000-0000-000046040000}"/>
    <cellStyle name="40% - Accent2 4 11" xfId="1098" xr:uid="{00000000-0005-0000-0000-000047040000}"/>
    <cellStyle name="40% - Accent2 4 12" xfId="1099" xr:uid="{00000000-0005-0000-0000-000048040000}"/>
    <cellStyle name="40% - Accent2 4 13" xfId="1100" xr:uid="{00000000-0005-0000-0000-000049040000}"/>
    <cellStyle name="40% - Accent2 4 14" xfId="1101" xr:uid="{00000000-0005-0000-0000-00004A040000}"/>
    <cellStyle name="40% - Accent2 4 15" xfId="1102" xr:uid="{00000000-0005-0000-0000-00004B040000}"/>
    <cellStyle name="40% - Accent2 4 2" xfId="1103" xr:uid="{00000000-0005-0000-0000-00004C040000}"/>
    <cellStyle name="40% - Accent2 4 3" xfId="1104" xr:uid="{00000000-0005-0000-0000-00004D040000}"/>
    <cellStyle name="40% - Accent2 4 4" xfId="1105" xr:uid="{00000000-0005-0000-0000-00004E040000}"/>
    <cellStyle name="40% - Accent2 4 5" xfId="1106" xr:uid="{00000000-0005-0000-0000-00004F040000}"/>
    <cellStyle name="40% - Accent2 4 6" xfId="1107" xr:uid="{00000000-0005-0000-0000-000050040000}"/>
    <cellStyle name="40% - Accent2 4 7" xfId="1108" xr:uid="{00000000-0005-0000-0000-000051040000}"/>
    <cellStyle name="40% - Accent2 4 8" xfId="1109" xr:uid="{00000000-0005-0000-0000-000052040000}"/>
    <cellStyle name="40% - Accent2 4 9" xfId="1110" xr:uid="{00000000-0005-0000-0000-000053040000}"/>
    <cellStyle name="40% - Accent2 40" xfId="1111" xr:uid="{00000000-0005-0000-0000-000054040000}"/>
    <cellStyle name="40% - Accent2 41" xfId="1112" xr:uid="{00000000-0005-0000-0000-000055040000}"/>
    <cellStyle name="40% - Accent2 42" xfId="1113" xr:uid="{00000000-0005-0000-0000-000056040000}"/>
    <cellStyle name="40% - Accent2 5" xfId="1114" xr:uid="{00000000-0005-0000-0000-000057040000}"/>
    <cellStyle name="40% - Accent2 5 10" xfId="1115" xr:uid="{00000000-0005-0000-0000-000058040000}"/>
    <cellStyle name="40% - Accent2 5 11" xfId="1116" xr:uid="{00000000-0005-0000-0000-000059040000}"/>
    <cellStyle name="40% - Accent2 5 12" xfId="1117" xr:uid="{00000000-0005-0000-0000-00005A040000}"/>
    <cellStyle name="40% - Accent2 5 13" xfId="1118" xr:uid="{00000000-0005-0000-0000-00005B040000}"/>
    <cellStyle name="40% - Accent2 5 14" xfId="1119" xr:uid="{00000000-0005-0000-0000-00005C040000}"/>
    <cellStyle name="40% - Accent2 5 15" xfId="1120" xr:uid="{00000000-0005-0000-0000-00005D040000}"/>
    <cellStyle name="40% - Accent2 5 2" xfId="1121" xr:uid="{00000000-0005-0000-0000-00005E040000}"/>
    <cellStyle name="40% - Accent2 5 3" xfId="1122" xr:uid="{00000000-0005-0000-0000-00005F040000}"/>
    <cellStyle name="40% - Accent2 5 4" xfId="1123" xr:uid="{00000000-0005-0000-0000-000060040000}"/>
    <cellStyle name="40% - Accent2 5 5" xfId="1124" xr:uid="{00000000-0005-0000-0000-000061040000}"/>
    <cellStyle name="40% - Accent2 5 6" xfId="1125" xr:uid="{00000000-0005-0000-0000-000062040000}"/>
    <cellStyle name="40% - Accent2 5 7" xfId="1126" xr:uid="{00000000-0005-0000-0000-000063040000}"/>
    <cellStyle name="40% - Accent2 5 8" xfId="1127" xr:uid="{00000000-0005-0000-0000-000064040000}"/>
    <cellStyle name="40% - Accent2 5 9" xfId="1128" xr:uid="{00000000-0005-0000-0000-000065040000}"/>
    <cellStyle name="40% - Accent2 6" xfId="1129" xr:uid="{00000000-0005-0000-0000-000066040000}"/>
    <cellStyle name="40% - Accent2 6 10" xfId="1130" xr:uid="{00000000-0005-0000-0000-000067040000}"/>
    <cellStyle name="40% - Accent2 6 11" xfId="1131" xr:uid="{00000000-0005-0000-0000-000068040000}"/>
    <cellStyle name="40% - Accent2 6 12" xfId="1132" xr:uid="{00000000-0005-0000-0000-000069040000}"/>
    <cellStyle name="40% - Accent2 6 13" xfId="1133" xr:uid="{00000000-0005-0000-0000-00006A040000}"/>
    <cellStyle name="40% - Accent2 6 14" xfId="1134" xr:uid="{00000000-0005-0000-0000-00006B040000}"/>
    <cellStyle name="40% - Accent2 6 15" xfId="1135" xr:uid="{00000000-0005-0000-0000-00006C040000}"/>
    <cellStyle name="40% - Accent2 6 2" xfId="1136" xr:uid="{00000000-0005-0000-0000-00006D040000}"/>
    <cellStyle name="40% - Accent2 6 3" xfId="1137" xr:uid="{00000000-0005-0000-0000-00006E040000}"/>
    <cellStyle name="40% - Accent2 6 4" xfId="1138" xr:uid="{00000000-0005-0000-0000-00006F040000}"/>
    <cellStyle name="40% - Accent2 6 5" xfId="1139" xr:uid="{00000000-0005-0000-0000-000070040000}"/>
    <cellStyle name="40% - Accent2 6 6" xfId="1140" xr:uid="{00000000-0005-0000-0000-000071040000}"/>
    <cellStyle name="40% - Accent2 6 7" xfId="1141" xr:uid="{00000000-0005-0000-0000-000072040000}"/>
    <cellStyle name="40% - Accent2 6 8" xfId="1142" xr:uid="{00000000-0005-0000-0000-000073040000}"/>
    <cellStyle name="40% - Accent2 6 9" xfId="1143" xr:uid="{00000000-0005-0000-0000-000074040000}"/>
    <cellStyle name="40% - Accent2 7" xfId="1144" xr:uid="{00000000-0005-0000-0000-000075040000}"/>
    <cellStyle name="40% - Accent2 7 10" xfId="1145" xr:uid="{00000000-0005-0000-0000-000076040000}"/>
    <cellStyle name="40% - Accent2 7 11" xfId="1146" xr:uid="{00000000-0005-0000-0000-000077040000}"/>
    <cellStyle name="40% - Accent2 7 12" xfId="1147" xr:uid="{00000000-0005-0000-0000-000078040000}"/>
    <cellStyle name="40% - Accent2 7 13" xfId="1148" xr:uid="{00000000-0005-0000-0000-000079040000}"/>
    <cellStyle name="40% - Accent2 7 14" xfId="1149" xr:uid="{00000000-0005-0000-0000-00007A040000}"/>
    <cellStyle name="40% - Accent2 7 15" xfId="1150" xr:uid="{00000000-0005-0000-0000-00007B040000}"/>
    <cellStyle name="40% - Accent2 7 2" xfId="1151" xr:uid="{00000000-0005-0000-0000-00007C040000}"/>
    <cellStyle name="40% - Accent2 7 3" xfId="1152" xr:uid="{00000000-0005-0000-0000-00007D040000}"/>
    <cellStyle name="40% - Accent2 7 4" xfId="1153" xr:uid="{00000000-0005-0000-0000-00007E040000}"/>
    <cellStyle name="40% - Accent2 7 5" xfId="1154" xr:uid="{00000000-0005-0000-0000-00007F040000}"/>
    <cellStyle name="40% - Accent2 7 6" xfId="1155" xr:uid="{00000000-0005-0000-0000-000080040000}"/>
    <cellStyle name="40% - Accent2 7 7" xfId="1156" xr:uid="{00000000-0005-0000-0000-000081040000}"/>
    <cellStyle name="40% - Accent2 7 8" xfId="1157" xr:uid="{00000000-0005-0000-0000-000082040000}"/>
    <cellStyle name="40% - Accent2 7 9" xfId="1158" xr:uid="{00000000-0005-0000-0000-000083040000}"/>
    <cellStyle name="40% - Accent2 8" xfId="1159" xr:uid="{00000000-0005-0000-0000-000084040000}"/>
    <cellStyle name="40% - Accent2 9" xfId="1160" xr:uid="{00000000-0005-0000-0000-000085040000}"/>
    <cellStyle name="40% - Accent2 9 2" xfId="1161" xr:uid="{00000000-0005-0000-0000-000086040000}"/>
    <cellStyle name="40% - Accent2 9 3" xfId="1162" xr:uid="{00000000-0005-0000-0000-000087040000}"/>
    <cellStyle name="40% - Accent3 10" xfId="1163" xr:uid="{00000000-0005-0000-0000-000088040000}"/>
    <cellStyle name="40% - Accent3 11" xfId="1164" xr:uid="{00000000-0005-0000-0000-000089040000}"/>
    <cellStyle name="40% - Accent3 12" xfId="1165" xr:uid="{00000000-0005-0000-0000-00008A040000}"/>
    <cellStyle name="40% - Accent3 13" xfId="1166" xr:uid="{00000000-0005-0000-0000-00008B040000}"/>
    <cellStyle name="40% - Accent3 14" xfId="1167" xr:uid="{00000000-0005-0000-0000-00008C040000}"/>
    <cellStyle name="40% - Accent3 15" xfId="1168" xr:uid="{00000000-0005-0000-0000-00008D040000}"/>
    <cellStyle name="40% - Accent3 16" xfId="1169" xr:uid="{00000000-0005-0000-0000-00008E040000}"/>
    <cellStyle name="40% - Accent3 17" xfId="1170" xr:uid="{00000000-0005-0000-0000-00008F040000}"/>
    <cellStyle name="40% - Accent3 18" xfId="1171" xr:uid="{00000000-0005-0000-0000-000090040000}"/>
    <cellStyle name="40% - Accent3 19" xfId="1172" xr:uid="{00000000-0005-0000-0000-000091040000}"/>
    <cellStyle name="40% - Accent3 2" xfId="1173" xr:uid="{00000000-0005-0000-0000-000092040000}"/>
    <cellStyle name="40% - Accent3 2 10" xfId="1174" xr:uid="{00000000-0005-0000-0000-000093040000}"/>
    <cellStyle name="40% - Accent3 2 11" xfId="1175" xr:uid="{00000000-0005-0000-0000-000094040000}"/>
    <cellStyle name="40% - Accent3 2 12" xfId="1176" xr:uid="{00000000-0005-0000-0000-000095040000}"/>
    <cellStyle name="40% - Accent3 2 13" xfId="1177" xr:uid="{00000000-0005-0000-0000-000096040000}"/>
    <cellStyle name="40% - Accent3 2 14" xfId="1178" xr:uid="{00000000-0005-0000-0000-000097040000}"/>
    <cellStyle name="40% - Accent3 2 15" xfId="1179" xr:uid="{00000000-0005-0000-0000-000098040000}"/>
    <cellStyle name="40% - Accent3 2 16" xfId="1180" xr:uid="{00000000-0005-0000-0000-000099040000}"/>
    <cellStyle name="40% - Accent3 2 2" xfId="1181" xr:uid="{00000000-0005-0000-0000-00009A040000}"/>
    <cellStyle name="40% - Accent3 2 2 10" xfId="1182" xr:uid="{00000000-0005-0000-0000-00009B040000}"/>
    <cellStyle name="40% - Accent3 2 2 11" xfId="1183" xr:uid="{00000000-0005-0000-0000-00009C040000}"/>
    <cellStyle name="40% - Accent3 2 2 12" xfId="1184" xr:uid="{00000000-0005-0000-0000-00009D040000}"/>
    <cellStyle name="40% - Accent3 2 2 13" xfId="1185" xr:uid="{00000000-0005-0000-0000-00009E040000}"/>
    <cellStyle name="40% - Accent3 2 2 14" xfId="1186" xr:uid="{00000000-0005-0000-0000-00009F040000}"/>
    <cellStyle name="40% - Accent3 2 2 15" xfId="1187" xr:uid="{00000000-0005-0000-0000-0000A0040000}"/>
    <cellStyle name="40% - Accent3 2 2 16" xfId="1188" xr:uid="{00000000-0005-0000-0000-0000A1040000}"/>
    <cellStyle name="40% - Accent3 2 2 17" xfId="1189" xr:uid="{00000000-0005-0000-0000-0000A2040000}"/>
    <cellStyle name="40% - Accent3 2 2 18" xfId="1190" xr:uid="{00000000-0005-0000-0000-0000A3040000}"/>
    <cellStyle name="40% - Accent3 2 2 2" xfId="1191" xr:uid="{00000000-0005-0000-0000-0000A4040000}"/>
    <cellStyle name="40% - Accent3 2 2 3" xfId="1192" xr:uid="{00000000-0005-0000-0000-0000A5040000}"/>
    <cellStyle name="40% - Accent3 2 2 4" xfId="1193" xr:uid="{00000000-0005-0000-0000-0000A6040000}"/>
    <cellStyle name="40% - Accent3 2 2 5" xfId="1194" xr:uid="{00000000-0005-0000-0000-0000A7040000}"/>
    <cellStyle name="40% - Accent3 2 2 6" xfId="1195" xr:uid="{00000000-0005-0000-0000-0000A8040000}"/>
    <cellStyle name="40% - Accent3 2 2 7" xfId="1196" xr:uid="{00000000-0005-0000-0000-0000A9040000}"/>
    <cellStyle name="40% - Accent3 2 2 8" xfId="1197" xr:uid="{00000000-0005-0000-0000-0000AA040000}"/>
    <cellStyle name="40% - Accent3 2 2 9" xfId="1198" xr:uid="{00000000-0005-0000-0000-0000AB040000}"/>
    <cellStyle name="40% - Accent3 2 3" xfId="1199" xr:uid="{00000000-0005-0000-0000-0000AC040000}"/>
    <cellStyle name="40% - Accent3 2 4" xfId="1200" xr:uid="{00000000-0005-0000-0000-0000AD040000}"/>
    <cellStyle name="40% - Accent3 2 5" xfId="1201" xr:uid="{00000000-0005-0000-0000-0000AE040000}"/>
    <cellStyle name="40% - Accent3 2 6" xfId="1202" xr:uid="{00000000-0005-0000-0000-0000AF040000}"/>
    <cellStyle name="40% - Accent3 2 7" xfId="1203" xr:uid="{00000000-0005-0000-0000-0000B0040000}"/>
    <cellStyle name="40% - Accent3 2 8" xfId="1204" xr:uid="{00000000-0005-0000-0000-0000B1040000}"/>
    <cellStyle name="40% - Accent3 2 9" xfId="1205" xr:uid="{00000000-0005-0000-0000-0000B2040000}"/>
    <cellStyle name="40% - Accent3 20" xfId="1206" xr:uid="{00000000-0005-0000-0000-0000B3040000}"/>
    <cellStyle name="40% - Accent3 21" xfId="1207" xr:uid="{00000000-0005-0000-0000-0000B4040000}"/>
    <cellStyle name="40% - Accent3 22" xfId="1208" xr:uid="{00000000-0005-0000-0000-0000B5040000}"/>
    <cellStyle name="40% - Accent3 23" xfId="1209" xr:uid="{00000000-0005-0000-0000-0000B6040000}"/>
    <cellStyle name="40% - Accent3 24" xfId="1210" xr:uid="{00000000-0005-0000-0000-0000B7040000}"/>
    <cellStyle name="40% - Accent3 25" xfId="1211" xr:uid="{00000000-0005-0000-0000-0000B8040000}"/>
    <cellStyle name="40% - Accent3 26" xfId="1212" xr:uid="{00000000-0005-0000-0000-0000B9040000}"/>
    <cellStyle name="40% - Accent3 27" xfId="1213" xr:uid="{00000000-0005-0000-0000-0000BA040000}"/>
    <cellStyle name="40% - Accent3 28" xfId="1214" xr:uid="{00000000-0005-0000-0000-0000BB040000}"/>
    <cellStyle name="40% - Accent3 29" xfId="1215" xr:uid="{00000000-0005-0000-0000-0000BC040000}"/>
    <cellStyle name="40% - Accent3 3" xfId="1216" xr:uid="{00000000-0005-0000-0000-0000BD040000}"/>
    <cellStyle name="40% - Accent3 3 10" xfId="1217" xr:uid="{00000000-0005-0000-0000-0000BE040000}"/>
    <cellStyle name="40% - Accent3 3 11" xfId="1218" xr:uid="{00000000-0005-0000-0000-0000BF040000}"/>
    <cellStyle name="40% - Accent3 3 12" xfId="1219" xr:uid="{00000000-0005-0000-0000-0000C0040000}"/>
    <cellStyle name="40% - Accent3 3 13" xfId="1220" xr:uid="{00000000-0005-0000-0000-0000C1040000}"/>
    <cellStyle name="40% - Accent3 3 14" xfId="1221" xr:uid="{00000000-0005-0000-0000-0000C2040000}"/>
    <cellStyle name="40% - Accent3 3 15" xfId="1222" xr:uid="{00000000-0005-0000-0000-0000C3040000}"/>
    <cellStyle name="40% - Accent3 3 2" xfId="1223" xr:uid="{00000000-0005-0000-0000-0000C4040000}"/>
    <cellStyle name="40% - Accent3 3 3" xfId="1224" xr:uid="{00000000-0005-0000-0000-0000C5040000}"/>
    <cellStyle name="40% - Accent3 3 4" xfId="1225" xr:uid="{00000000-0005-0000-0000-0000C6040000}"/>
    <cellStyle name="40% - Accent3 3 5" xfId="1226" xr:uid="{00000000-0005-0000-0000-0000C7040000}"/>
    <cellStyle name="40% - Accent3 3 6" xfId="1227" xr:uid="{00000000-0005-0000-0000-0000C8040000}"/>
    <cellStyle name="40% - Accent3 3 7" xfId="1228" xr:uid="{00000000-0005-0000-0000-0000C9040000}"/>
    <cellStyle name="40% - Accent3 3 8" xfId="1229" xr:uid="{00000000-0005-0000-0000-0000CA040000}"/>
    <cellStyle name="40% - Accent3 3 9" xfId="1230" xr:uid="{00000000-0005-0000-0000-0000CB040000}"/>
    <cellStyle name="40% - Accent3 30" xfId="1231" xr:uid="{00000000-0005-0000-0000-0000CC040000}"/>
    <cellStyle name="40% - Accent3 31" xfId="1232" xr:uid="{00000000-0005-0000-0000-0000CD040000}"/>
    <cellStyle name="40% - Accent3 32" xfId="1233" xr:uid="{00000000-0005-0000-0000-0000CE040000}"/>
    <cellStyle name="40% - Accent3 33" xfId="1234" xr:uid="{00000000-0005-0000-0000-0000CF040000}"/>
    <cellStyle name="40% - Accent3 34" xfId="1235" xr:uid="{00000000-0005-0000-0000-0000D0040000}"/>
    <cellStyle name="40% - Accent3 35" xfId="1236" xr:uid="{00000000-0005-0000-0000-0000D1040000}"/>
    <cellStyle name="40% - Accent3 36" xfId="1237" xr:uid="{00000000-0005-0000-0000-0000D2040000}"/>
    <cellStyle name="40% - Accent3 37" xfId="1238" xr:uid="{00000000-0005-0000-0000-0000D3040000}"/>
    <cellStyle name="40% - Accent3 38" xfId="1239" xr:uid="{00000000-0005-0000-0000-0000D4040000}"/>
    <cellStyle name="40% - Accent3 39" xfId="1240" xr:uid="{00000000-0005-0000-0000-0000D5040000}"/>
    <cellStyle name="40% - Accent3 4" xfId="1241" xr:uid="{00000000-0005-0000-0000-0000D6040000}"/>
    <cellStyle name="40% - Accent3 4 10" xfId="1242" xr:uid="{00000000-0005-0000-0000-0000D7040000}"/>
    <cellStyle name="40% - Accent3 4 11" xfId="1243" xr:uid="{00000000-0005-0000-0000-0000D8040000}"/>
    <cellStyle name="40% - Accent3 4 12" xfId="1244" xr:uid="{00000000-0005-0000-0000-0000D9040000}"/>
    <cellStyle name="40% - Accent3 4 13" xfId="1245" xr:uid="{00000000-0005-0000-0000-0000DA040000}"/>
    <cellStyle name="40% - Accent3 4 14" xfId="1246" xr:uid="{00000000-0005-0000-0000-0000DB040000}"/>
    <cellStyle name="40% - Accent3 4 15" xfId="1247" xr:uid="{00000000-0005-0000-0000-0000DC040000}"/>
    <cellStyle name="40% - Accent3 4 2" xfId="1248" xr:uid="{00000000-0005-0000-0000-0000DD040000}"/>
    <cellStyle name="40% - Accent3 4 3" xfId="1249" xr:uid="{00000000-0005-0000-0000-0000DE040000}"/>
    <cellStyle name="40% - Accent3 4 4" xfId="1250" xr:uid="{00000000-0005-0000-0000-0000DF040000}"/>
    <cellStyle name="40% - Accent3 4 5" xfId="1251" xr:uid="{00000000-0005-0000-0000-0000E0040000}"/>
    <cellStyle name="40% - Accent3 4 6" xfId="1252" xr:uid="{00000000-0005-0000-0000-0000E1040000}"/>
    <cellStyle name="40% - Accent3 4 7" xfId="1253" xr:uid="{00000000-0005-0000-0000-0000E2040000}"/>
    <cellStyle name="40% - Accent3 4 8" xfId="1254" xr:uid="{00000000-0005-0000-0000-0000E3040000}"/>
    <cellStyle name="40% - Accent3 4 9" xfId="1255" xr:uid="{00000000-0005-0000-0000-0000E4040000}"/>
    <cellStyle name="40% - Accent3 40" xfId="1256" xr:uid="{00000000-0005-0000-0000-0000E5040000}"/>
    <cellStyle name="40% - Accent3 41" xfId="1257" xr:uid="{00000000-0005-0000-0000-0000E6040000}"/>
    <cellStyle name="40% - Accent3 42" xfId="1258" xr:uid="{00000000-0005-0000-0000-0000E7040000}"/>
    <cellStyle name="40% - Accent3 5" xfId="1259" xr:uid="{00000000-0005-0000-0000-0000E8040000}"/>
    <cellStyle name="40% - Accent3 5 10" xfId="1260" xr:uid="{00000000-0005-0000-0000-0000E9040000}"/>
    <cellStyle name="40% - Accent3 5 11" xfId="1261" xr:uid="{00000000-0005-0000-0000-0000EA040000}"/>
    <cellStyle name="40% - Accent3 5 12" xfId="1262" xr:uid="{00000000-0005-0000-0000-0000EB040000}"/>
    <cellStyle name="40% - Accent3 5 13" xfId="1263" xr:uid="{00000000-0005-0000-0000-0000EC040000}"/>
    <cellStyle name="40% - Accent3 5 14" xfId="1264" xr:uid="{00000000-0005-0000-0000-0000ED040000}"/>
    <cellStyle name="40% - Accent3 5 15" xfId="1265" xr:uid="{00000000-0005-0000-0000-0000EE040000}"/>
    <cellStyle name="40% - Accent3 5 2" xfId="1266" xr:uid="{00000000-0005-0000-0000-0000EF040000}"/>
    <cellStyle name="40% - Accent3 5 3" xfId="1267" xr:uid="{00000000-0005-0000-0000-0000F0040000}"/>
    <cellStyle name="40% - Accent3 5 4" xfId="1268" xr:uid="{00000000-0005-0000-0000-0000F1040000}"/>
    <cellStyle name="40% - Accent3 5 5" xfId="1269" xr:uid="{00000000-0005-0000-0000-0000F2040000}"/>
    <cellStyle name="40% - Accent3 5 6" xfId="1270" xr:uid="{00000000-0005-0000-0000-0000F3040000}"/>
    <cellStyle name="40% - Accent3 5 7" xfId="1271" xr:uid="{00000000-0005-0000-0000-0000F4040000}"/>
    <cellStyle name="40% - Accent3 5 8" xfId="1272" xr:uid="{00000000-0005-0000-0000-0000F5040000}"/>
    <cellStyle name="40% - Accent3 5 9" xfId="1273" xr:uid="{00000000-0005-0000-0000-0000F6040000}"/>
    <cellStyle name="40% - Accent3 6" xfId="1274" xr:uid="{00000000-0005-0000-0000-0000F7040000}"/>
    <cellStyle name="40% - Accent3 6 10" xfId="1275" xr:uid="{00000000-0005-0000-0000-0000F8040000}"/>
    <cellStyle name="40% - Accent3 6 11" xfId="1276" xr:uid="{00000000-0005-0000-0000-0000F9040000}"/>
    <cellStyle name="40% - Accent3 6 12" xfId="1277" xr:uid="{00000000-0005-0000-0000-0000FA040000}"/>
    <cellStyle name="40% - Accent3 6 13" xfId="1278" xr:uid="{00000000-0005-0000-0000-0000FB040000}"/>
    <cellStyle name="40% - Accent3 6 14" xfId="1279" xr:uid="{00000000-0005-0000-0000-0000FC040000}"/>
    <cellStyle name="40% - Accent3 6 15" xfId="1280" xr:uid="{00000000-0005-0000-0000-0000FD040000}"/>
    <cellStyle name="40% - Accent3 6 2" xfId="1281" xr:uid="{00000000-0005-0000-0000-0000FE040000}"/>
    <cellStyle name="40% - Accent3 6 3" xfId="1282" xr:uid="{00000000-0005-0000-0000-0000FF040000}"/>
    <cellStyle name="40% - Accent3 6 4" xfId="1283" xr:uid="{00000000-0005-0000-0000-000000050000}"/>
    <cellStyle name="40% - Accent3 6 5" xfId="1284" xr:uid="{00000000-0005-0000-0000-000001050000}"/>
    <cellStyle name="40% - Accent3 6 6" xfId="1285" xr:uid="{00000000-0005-0000-0000-000002050000}"/>
    <cellStyle name="40% - Accent3 6 7" xfId="1286" xr:uid="{00000000-0005-0000-0000-000003050000}"/>
    <cellStyle name="40% - Accent3 6 8" xfId="1287" xr:uid="{00000000-0005-0000-0000-000004050000}"/>
    <cellStyle name="40% - Accent3 6 9" xfId="1288" xr:uid="{00000000-0005-0000-0000-000005050000}"/>
    <cellStyle name="40% - Accent3 7" xfId="1289" xr:uid="{00000000-0005-0000-0000-000006050000}"/>
    <cellStyle name="40% - Accent3 7 10" xfId="1290" xr:uid="{00000000-0005-0000-0000-000007050000}"/>
    <cellStyle name="40% - Accent3 7 11" xfId="1291" xr:uid="{00000000-0005-0000-0000-000008050000}"/>
    <cellStyle name="40% - Accent3 7 12" xfId="1292" xr:uid="{00000000-0005-0000-0000-000009050000}"/>
    <cellStyle name="40% - Accent3 7 13" xfId="1293" xr:uid="{00000000-0005-0000-0000-00000A050000}"/>
    <cellStyle name="40% - Accent3 7 14" xfId="1294" xr:uid="{00000000-0005-0000-0000-00000B050000}"/>
    <cellStyle name="40% - Accent3 7 15" xfId="1295" xr:uid="{00000000-0005-0000-0000-00000C050000}"/>
    <cellStyle name="40% - Accent3 7 2" xfId="1296" xr:uid="{00000000-0005-0000-0000-00000D050000}"/>
    <cellStyle name="40% - Accent3 7 3" xfId="1297" xr:uid="{00000000-0005-0000-0000-00000E050000}"/>
    <cellStyle name="40% - Accent3 7 4" xfId="1298" xr:uid="{00000000-0005-0000-0000-00000F050000}"/>
    <cellStyle name="40% - Accent3 7 5" xfId="1299" xr:uid="{00000000-0005-0000-0000-000010050000}"/>
    <cellStyle name="40% - Accent3 7 6" xfId="1300" xr:uid="{00000000-0005-0000-0000-000011050000}"/>
    <cellStyle name="40% - Accent3 7 7" xfId="1301" xr:uid="{00000000-0005-0000-0000-000012050000}"/>
    <cellStyle name="40% - Accent3 7 8" xfId="1302" xr:uid="{00000000-0005-0000-0000-000013050000}"/>
    <cellStyle name="40% - Accent3 7 9" xfId="1303" xr:uid="{00000000-0005-0000-0000-000014050000}"/>
    <cellStyle name="40% - Accent3 8" xfId="1304" xr:uid="{00000000-0005-0000-0000-000015050000}"/>
    <cellStyle name="40% - Accent3 9" xfId="1305" xr:uid="{00000000-0005-0000-0000-000016050000}"/>
    <cellStyle name="40% - Accent3 9 2" xfId="1306" xr:uid="{00000000-0005-0000-0000-000017050000}"/>
    <cellStyle name="40% - Accent3 9 3" xfId="1307" xr:uid="{00000000-0005-0000-0000-000018050000}"/>
    <cellStyle name="40% - Accent4 10" xfId="1308" xr:uid="{00000000-0005-0000-0000-000019050000}"/>
    <cellStyle name="40% - Accent4 11" xfId="1309" xr:uid="{00000000-0005-0000-0000-00001A050000}"/>
    <cellStyle name="40% - Accent4 12" xfId="1310" xr:uid="{00000000-0005-0000-0000-00001B050000}"/>
    <cellStyle name="40% - Accent4 13" xfId="1311" xr:uid="{00000000-0005-0000-0000-00001C050000}"/>
    <cellStyle name="40% - Accent4 14" xfId="1312" xr:uid="{00000000-0005-0000-0000-00001D050000}"/>
    <cellStyle name="40% - Accent4 15" xfId="1313" xr:uid="{00000000-0005-0000-0000-00001E050000}"/>
    <cellStyle name="40% - Accent4 16" xfId="1314" xr:uid="{00000000-0005-0000-0000-00001F050000}"/>
    <cellStyle name="40% - Accent4 17" xfId="1315" xr:uid="{00000000-0005-0000-0000-000020050000}"/>
    <cellStyle name="40% - Accent4 18" xfId="1316" xr:uid="{00000000-0005-0000-0000-000021050000}"/>
    <cellStyle name="40% - Accent4 19" xfId="1317" xr:uid="{00000000-0005-0000-0000-000022050000}"/>
    <cellStyle name="40% - Accent4 2" xfId="1318" xr:uid="{00000000-0005-0000-0000-000023050000}"/>
    <cellStyle name="40% - Accent4 2 10" xfId="1319" xr:uid="{00000000-0005-0000-0000-000024050000}"/>
    <cellStyle name="40% - Accent4 2 11" xfId="1320" xr:uid="{00000000-0005-0000-0000-000025050000}"/>
    <cellStyle name="40% - Accent4 2 12" xfId="1321" xr:uid="{00000000-0005-0000-0000-000026050000}"/>
    <cellStyle name="40% - Accent4 2 13" xfId="1322" xr:uid="{00000000-0005-0000-0000-000027050000}"/>
    <cellStyle name="40% - Accent4 2 14" xfId="1323" xr:uid="{00000000-0005-0000-0000-000028050000}"/>
    <cellStyle name="40% - Accent4 2 15" xfId="1324" xr:uid="{00000000-0005-0000-0000-000029050000}"/>
    <cellStyle name="40% - Accent4 2 16" xfId="1325" xr:uid="{00000000-0005-0000-0000-00002A050000}"/>
    <cellStyle name="40% - Accent4 2 2" xfId="1326" xr:uid="{00000000-0005-0000-0000-00002B050000}"/>
    <cellStyle name="40% - Accent4 2 2 10" xfId="1327" xr:uid="{00000000-0005-0000-0000-00002C050000}"/>
    <cellStyle name="40% - Accent4 2 2 11" xfId="1328" xr:uid="{00000000-0005-0000-0000-00002D050000}"/>
    <cellStyle name="40% - Accent4 2 2 12" xfId="1329" xr:uid="{00000000-0005-0000-0000-00002E050000}"/>
    <cellStyle name="40% - Accent4 2 2 13" xfId="1330" xr:uid="{00000000-0005-0000-0000-00002F050000}"/>
    <cellStyle name="40% - Accent4 2 2 14" xfId="1331" xr:uid="{00000000-0005-0000-0000-000030050000}"/>
    <cellStyle name="40% - Accent4 2 2 15" xfId="1332" xr:uid="{00000000-0005-0000-0000-000031050000}"/>
    <cellStyle name="40% - Accent4 2 2 16" xfId="1333" xr:uid="{00000000-0005-0000-0000-000032050000}"/>
    <cellStyle name="40% - Accent4 2 2 17" xfId="1334" xr:uid="{00000000-0005-0000-0000-000033050000}"/>
    <cellStyle name="40% - Accent4 2 2 18" xfId="1335" xr:uid="{00000000-0005-0000-0000-000034050000}"/>
    <cellStyle name="40% - Accent4 2 2 2" xfId="1336" xr:uid="{00000000-0005-0000-0000-000035050000}"/>
    <cellStyle name="40% - Accent4 2 2 3" xfId="1337" xr:uid="{00000000-0005-0000-0000-000036050000}"/>
    <cellStyle name="40% - Accent4 2 2 4" xfId="1338" xr:uid="{00000000-0005-0000-0000-000037050000}"/>
    <cellStyle name="40% - Accent4 2 2 5" xfId="1339" xr:uid="{00000000-0005-0000-0000-000038050000}"/>
    <cellStyle name="40% - Accent4 2 2 6" xfId="1340" xr:uid="{00000000-0005-0000-0000-000039050000}"/>
    <cellStyle name="40% - Accent4 2 2 7" xfId="1341" xr:uid="{00000000-0005-0000-0000-00003A050000}"/>
    <cellStyle name="40% - Accent4 2 2 8" xfId="1342" xr:uid="{00000000-0005-0000-0000-00003B050000}"/>
    <cellStyle name="40% - Accent4 2 2 9" xfId="1343" xr:uid="{00000000-0005-0000-0000-00003C050000}"/>
    <cellStyle name="40% - Accent4 2 3" xfId="1344" xr:uid="{00000000-0005-0000-0000-00003D050000}"/>
    <cellStyle name="40% - Accent4 2 4" xfId="1345" xr:uid="{00000000-0005-0000-0000-00003E050000}"/>
    <cellStyle name="40% - Accent4 2 5" xfId="1346" xr:uid="{00000000-0005-0000-0000-00003F050000}"/>
    <cellStyle name="40% - Accent4 2 6" xfId="1347" xr:uid="{00000000-0005-0000-0000-000040050000}"/>
    <cellStyle name="40% - Accent4 2 7" xfId="1348" xr:uid="{00000000-0005-0000-0000-000041050000}"/>
    <cellStyle name="40% - Accent4 2 8" xfId="1349" xr:uid="{00000000-0005-0000-0000-000042050000}"/>
    <cellStyle name="40% - Accent4 2 9" xfId="1350" xr:uid="{00000000-0005-0000-0000-000043050000}"/>
    <cellStyle name="40% - Accent4 20" xfId="1351" xr:uid="{00000000-0005-0000-0000-000044050000}"/>
    <cellStyle name="40% - Accent4 21" xfId="1352" xr:uid="{00000000-0005-0000-0000-000045050000}"/>
    <cellStyle name="40% - Accent4 22" xfId="1353" xr:uid="{00000000-0005-0000-0000-000046050000}"/>
    <cellStyle name="40% - Accent4 23" xfId="1354" xr:uid="{00000000-0005-0000-0000-000047050000}"/>
    <cellStyle name="40% - Accent4 24" xfId="1355" xr:uid="{00000000-0005-0000-0000-000048050000}"/>
    <cellStyle name="40% - Accent4 25" xfId="1356" xr:uid="{00000000-0005-0000-0000-000049050000}"/>
    <cellStyle name="40% - Accent4 26" xfId="1357" xr:uid="{00000000-0005-0000-0000-00004A050000}"/>
    <cellStyle name="40% - Accent4 27" xfId="1358" xr:uid="{00000000-0005-0000-0000-00004B050000}"/>
    <cellStyle name="40% - Accent4 28" xfId="1359" xr:uid="{00000000-0005-0000-0000-00004C050000}"/>
    <cellStyle name="40% - Accent4 29" xfId="1360" xr:uid="{00000000-0005-0000-0000-00004D050000}"/>
    <cellStyle name="40% - Accent4 3" xfId="1361" xr:uid="{00000000-0005-0000-0000-00004E050000}"/>
    <cellStyle name="40% - Accent4 3 10" xfId="1362" xr:uid="{00000000-0005-0000-0000-00004F050000}"/>
    <cellStyle name="40% - Accent4 3 11" xfId="1363" xr:uid="{00000000-0005-0000-0000-000050050000}"/>
    <cellStyle name="40% - Accent4 3 12" xfId="1364" xr:uid="{00000000-0005-0000-0000-000051050000}"/>
    <cellStyle name="40% - Accent4 3 13" xfId="1365" xr:uid="{00000000-0005-0000-0000-000052050000}"/>
    <cellStyle name="40% - Accent4 3 14" xfId="1366" xr:uid="{00000000-0005-0000-0000-000053050000}"/>
    <cellStyle name="40% - Accent4 3 15" xfId="1367" xr:uid="{00000000-0005-0000-0000-000054050000}"/>
    <cellStyle name="40% - Accent4 3 2" xfId="1368" xr:uid="{00000000-0005-0000-0000-000055050000}"/>
    <cellStyle name="40% - Accent4 3 3" xfId="1369" xr:uid="{00000000-0005-0000-0000-000056050000}"/>
    <cellStyle name="40% - Accent4 3 4" xfId="1370" xr:uid="{00000000-0005-0000-0000-000057050000}"/>
    <cellStyle name="40% - Accent4 3 5" xfId="1371" xr:uid="{00000000-0005-0000-0000-000058050000}"/>
    <cellStyle name="40% - Accent4 3 6" xfId="1372" xr:uid="{00000000-0005-0000-0000-000059050000}"/>
    <cellStyle name="40% - Accent4 3 7" xfId="1373" xr:uid="{00000000-0005-0000-0000-00005A050000}"/>
    <cellStyle name="40% - Accent4 3 8" xfId="1374" xr:uid="{00000000-0005-0000-0000-00005B050000}"/>
    <cellStyle name="40% - Accent4 3 9" xfId="1375" xr:uid="{00000000-0005-0000-0000-00005C050000}"/>
    <cellStyle name="40% - Accent4 30" xfId="1376" xr:uid="{00000000-0005-0000-0000-00005D050000}"/>
    <cellStyle name="40% - Accent4 31" xfId="1377" xr:uid="{00000000-0005-0000-0000-00005E050000}"/>
    <cellStyle name="40% - Accent4 32" xfId="1378" xr:uid="{00000000-0005-0000-0000-00005F050000}"/>
    <cellStyle name="40% - Accent4 33" xfId="1379" xr:uid="{00000000-0005-0000-0000-000060050000}"/>
    <cellStyle name="40% - Accent4 34" xfId="1380" xr:uid="{00000000-0005-0000-0000-000061050000}"/>
    <cellStyle name="40% - Accent4 35" xfId="1381" xr:uid="{00000000-0005-0000-0000-000062050000}"/>
    <cellStyle name="40% - Accent4 36" xfId="1382" xr:uid="{00000000-0005-0000-0000-000063050000}"/>
    <cellStyle name="40% - Accent4 37" xfId="1383" xr:uid="{00000000-0005-0000-0000-000064050000}"/>
    <cellStyle name="40% - Accent4 38" xfId="1384" xr:uid="{00000000-0005-0000-0000-000065050000}"/>
    <cellStyle name="40% - Accent4 39" xfId="1385" xr:uid="{00000000-0005-0000-0000-000066050000}"/>
    <cellStyle name="40% - Accent4 4" xfId="1386" xr:uid="{00000000-0005-0000-0000-000067050000}"/>
    <cellStyle name="40% - Accent4 4 10" xfId="1387" xr:uid="{00000000-0005-0000-0000-000068050000}"/>
    <cellStyle name="40% - Accent4 4 11" xfId="1388" xr:uid="{00000000-0005-0000-0000-000069050000}"/>
    <cellStyle name="40% - Accent4 4 12" xfId="1389" xr:uid="{00000000-0005-0000-0000-00006A050000}"/>
    <cellStyle name="40% - Accent4 4 13" xfId="1390" xr:uid="{00000000-0005-0000-0000-00006B050000}"/>
    <cellStyle name="40% - Accent4 4 14" xfId="1391" xr:uid="{00000000-0005-0000-0000-00006C050000}"/>
    <cellStyle name="40% - Accent4 4 15" xfId="1392" xr:uid="{00000000-0005-0000-0000-00006D050000}"/>
    <cellStyle name="40% - Accent4 4 2" xfId="1393" xr:uid="{00000000-0005-0000-0000-00006E050000}"/>
    <cellStyle name="40% - Accent4 4 3" xfId="1394" xr:uid="{00000000-0005-0000-0000-00006F050000}"/>
    <cellStyle name="40% - Accent4 4 4" xfId="1395" xr:uid="{00000000-0005-0000-0000-000070050000}"/>
    <cellStyle name="40% - Accent4 4 5" xfId="1396" xr:uid="{00000000-0005-0000-0000-000071050000}"/>
    <cellStyle name="40% - Accent4 4 6" xfId="1397" xr:uid="{00000000-0005-0000-0000-000072050000}"/>
    <cellStyle name="40% - Accent4 4 7" xfId="1398" xr:uid="{00000000-0005-0000-0000-000073050000}"/>
    <cellStyle name="40% - Accent4 4 8" xfId="1399" xr:uid="{00000000-0005-0000-0000-000074050000}"/>
    <cellStyle name="40% - Accent4 4 9" xfId="1400" xr:uid="{00000000-0005-0000-0000-000075050000}"/>
    <cellStyle name="40% - Accent4 40" xfId="1401" xr:uid="{00000000-0005-0000-0000-000076050000}"/>
    <cellStyle name="40% - Accent4 41" xfId="1402" xr:uid="{00000000-0005-0000-0000-000077050000}"/>
    <cellStyle name="40% - Accent4 42" xfId="1403" xr:uid="{00000000-0005-0000-0000-000078050000}"/>
    <cellStyle name="40% - Accent4 5" xfId="1404" xr:uid="{00000000-0005-0000-0000-000079050000}"/>
    <cellStyle name="40% - Accent4 5 10" xfId="1405" xr:uid="{00000000-0005-0000-0000-00007A050000}"/>
    <cellStyle name="40% - Accent4 5 11" xfId="1406" xr:uid="{00000000-0005-0000-0000-00007B050000}"/>
    <cellStyle name="40% - Accent4 5 12" xfId="1407" xr:uid="{00000000-0005-0000-0000-00007C050000}"/>
    <cellStyle name="40% - Accent4 5 13" xfId="1408" xr:uid="{00000000-0005-0000-0000-00007D050000}"/>
    <cellStyle name="40% - Accent4 5 14" xfId="1409" xr:uid="{00000000-0005-0000-0000-00007E050000}"/>
    <cellStyle name="40% - Accent4 5 15" xfId="1410" xr:uid="{00000000-0005-0000-0000-00007F050000}"/>
    <cellStyle name="40% - Accent4 5 2" xfId="1411" xr:uid="{00000000-0005-0000-0000-000080050000}"/>
    <cellStyle name="40% - Accent4 5 3" xfId="1412" xr:uid="{00000000-0005-0000-0000-000081050000}"/>
    <cellStyle name="40% - Accent4 5 4" xfId="1413" xr:uid="{00000000-0005-0000-0000-000082050000}"/>
    <cellStyle name="40% - Accent4 5 5" xfId="1414" xr:uid="{00000000-0005-0000-0000-000083050000}"/>
    <cellStyle name="40% - Accent4 5 6" xfId="1415" xr:uid="{00000000-0005-0000-0000-000084050000}"/>
    <cellStyle name="40% - Accent4 5 7" xfId="1416" xr:uid="{00000000-0005-0000-0000-000085050000}"/>
    <cellStyle name="40% - Accent4 5 8" xfId="1417" xr:uid="{00000000-0005-0000-0000-000086050000}"/>
    <cellStyle name="40% - Accent4 5 9" xfId="1418" xr:uid="{00000000-0005-0000-0000-000087050000}"/>
    <cellStyle name="40% - Accent4 6" xfId="1419" xr:uid="{00000000-0005-0000-0000-000088050000}"/>
    <cellStyle name="40% - Accent4 6 10" xfId="1420" xr:uid="{00000000-0005-0000-0000-000089050000}"/>
    <cellStyle name="40% - Accent4 6 11" xfId="1421" xr:uid="{00000000-0005-0000-0000-00008A050000}"/>
    <cellStyle name="40% - Accent4 6 12" xfId="1422" xr:uid="{00000000-0005-0000-0000-00008B050000}"/>
    <cellStyle name="40% - Accent4 6 13" xfId="1423" xr:uid="{00000000-0005-0000-0000-00008C050000}"/>
    <cellStyle name="40% - Accent4 6 14" xfId="1424" xr:uid="{00000000-0005-0000-0000-00008D050000}"/>
    <cellStyle name="40% - Accent4 6 15" xfId="1425" xr:uid="{00000000-0005-0000-0000-00008E050000}"/>
    <cellStyle name="40% - Accent4 6 2" xfId="1426" xr:uid="{00000000-0005-0000-0000-00008F050000}"/>
    <cellStyle name="40% - Accent4 6 3" xfId="1427" xr:uid="{00000000-0005-0000-0000-000090050000}"/>
    <cellStyle name="40% - Accent4 6 4" xfId="1428" xr:uid="{00000000-0005-0000-0000-000091050000}"/>
    <cellStyle name="40% - Accent4 6 5" xfId="1429" xr:uid="{00000000-0005-0000-0000-000092050000}"/>
    <cellStyle name="40% - Accent4 6 6" xfId="1430" xr:uid="{00000000-0005-0000-0000-000093050000}"/>
    <cellStyle name="40% - Accent4 6 7" xfId="1431" xr:uid="{00000000-0005-0000-0000-000094050000}"/>
    <cellStyle name="40% - Accent4 6 8" xfId="1432" xr:uid="{00000000-0005-0000-0000-000095050000}"/>
    <cellStyle name="40% - Accent4 6 9" xfId="1433" xr:uid="{00000000-0005-0000-0000-000096050000}"/>
    <cellStyle name="40% - Accent4 7" xfId="1434" xr:uid="{00000000-0005-0000-0000-000097050000}"/>
    <cellStyle name="40% - Accent4 7 10" xfId="1435" xr:uid="{00000000-0005-0000-0000-000098050000}"/>
    <cellStyle name="40% - Accent4 7 11" xfId="1436" xr:uid="{00000000-0005-0000-0000-000099050000}"/>
    <cellStyle name="40% - Accent4 7 12" xfId="1437" xr:uid="{00000000-0005-0000-0000-00009A050000}"/>
    <cellStyle name="40% - Accent4 7 13" xfId="1438" xr:uid="{00000000-0005-0000-0000-00009B050000}"/>
    <cellStyle name="40% - Accent4 7 14" xfId="1439" xr:uid="{00000000-0005-0000-0000-00009C050000}"/>
    <cellStyle name="40% - Accent4 7 15" xfId="1440" xr:uid="{00000000-0005-0000-0000-00009D050000}"/>
    <cellStyle name="40% - Accent4 7 2" xfId="1441" xr:uid="{00000000-0005-0000-0000-00009E050000}"/>
    <cellStyle name="40% - Accent4 7 3" xfId="1442" xr:uid="{00000000-0005-0000-0000-00009F050000}"/>
    <cellStyle name="40% - Accent4 7 4" xfId="1443" xr:uid="{00000000-0005-0000-0000-0000A0050000}"/>
    <cellStyle name="40% - Accent4 7 5" xfId="1444" xr:uid="{00000000-0005-0000-0000-0000A1050000}"/>
    <cellStyle name="40% - Accent4 7 6" xfId="1445" xr:uid="{00000000-0005-0000-0000-0000A2050000}"/>
    <cellStyle name="40% - Accent4 7 7" xfId="1446" xr:uid="{00000000-0005-0000-0000-0000A3050000}"/>
    <cellStyle name="40% - Accent4 7 8" xfId="1447" xr:uid="{00000000-0005-0000-0000-0000A4050000}"/>
    <cellStyle name="40% - Accent4 7 9" xfId="1448" xr:uid="{00000000-0005-0000-0000-0000A5050000}"/>
    <cellStyle name="40% - Accent4 8" xfId="1449" xr:uid="{00000000-0005-0000-0000-0000A6050000}"/>
    <cellStyle name="40% - Accent4 9" xfId="1450" xr:uid="{00000000-0005-0000-0000-0000A7050000}"/>
    <cellStyle name="40% - Accent4 9 2" xfId="1451" xr:uid="{00000000-0005-0000-0000-0000A8050000}"/>
    <cellStyle name="40% - Accent4 9 3" xfId="1452" xr:uid="{00000000-0005-0000-0000-0000A9050000}"/>
    <cellStyle name="40% - Accent5 10" xfId="1453" xr:uid="{00000000-0005-0000-0000-0000AA050000}"/>
    <cellStyle name="40% - Accent5 11" xfId="1454" xr:uid="{00000000-0005-0000-0000-0000AB050000}"/>
    <cellStyle name="40% - Accent5 12" xfId="1455" xr:uid="{00000000-0005-0000-0000-0000AC050000}"/>
    <cellStyle name="40% - Accent5 13" xfId="1456" xr:uid="{00000000-0005-0000-0000-0000AD050000}"/>
    <cellStyle name="40% - Accent5 14" xfId="1457" xr:uid="{00000000-0005-0000-0000-0000AE050000}"/>
    <cellStyle name="40% - Accent5 15" xfId="1458" xr:uid="{00000000-0005-0000-0000-0000AF050000}"/>
    <cellStyle name="40% - Accent5 16" xfId="1459" xr:uid="{00000000-0005-0000-0000-0000B0050000}"/>
    <cellStyle name="40% - Accent5 17" xfId="1460" xr:uid="{00000000-0005-0000-0000-0000B1050000}"/>
    <cellStyle name="40% - Accent5 18" xfId="1461" xr:uid="{00000000-0005-0000-0000-0000B2050000}"/>
    <cellStyle name="40% - Accent5 19" xfId="1462" xr:uid="{00000000-0005-0000-0000-0000B3050000}"/>
    <cellStyle name="40% - Accent5 2" xfId="1463" xr:uid="{00000000-0005-0000-0000-0000B4050000}"/>
    <cellStyle name="40% - Accent5 2 10" xfId="1464" xr:uid="{00000000-0005-0000-0000-0000B5050000}"/>
    <cellStyle name="40% - Accent5 2 11" xfId="1465" xr:uid="{00000000-0005-0000-0000-0000B6050000}"/>
    <cellStyle name="40% - Accent5 2 12" xfId="1466" xr:uid="{00000000-0005-0000-0000-0000B7050000}"/>
    <cellStyle name="40% - Accent5 2 13" xfId="1467" xr:uid="{00000000-0005-0000-0000-0000B8050000}"/>
    <cellStyle name="40% - Accent5 2 14" xfId="1468" xr:uid="{00000000-0005-0000-0000-0000B9050000}"/>
    <cellStyle name="40% - Accent5 2 15" xfId="1469" xr:uid="{00000000-0005-0000-0000-0000BA050000}"/>
    <cellStyle name="40% - Accent5 2 16" xfId="1470" xr:uid="{00000000-0005-0000-0000-0000BB050000}"/>
    <cellStyle name="40% - Accent5 2 2" xfId="1471" xr:uid="{00000000-0005-0000-0000-0000BC050000}"/>
    <cellStyle name="40% - Accent5 2 2 10" xfId="1472" xr:uid="{00000000-0005-0000-0000-0000BD050000}"/>
    <cellStyle name="40% - Accent5 2 2 11" xfId="1473" xr:uid="{00000000-0005-0000-0000-0000BE050000}"/>
    <cellStyle name="40% - Accent5 2 2 12" xfId="1474" xr:uid="{00000000-0005-0000-0000-0000BF050000}"/>
    <cellStyle name="40% - Accent5 2 2 13" xfId="1475" xr:uid="{00000000-0005-0000-0000-0000C0050000}"/>
    <cellStyle name="40% - Accent5 2 2 14" xfId="1476" xr:uid="{00000000-0005-0000-0000-0000C1050000}"/>
    <cellStyle name="40% - Accent5 2 2 15" xfId="1477" xr:uid="{00000000-0005-0000-0000-0000C2050000}"/>
    <cellStyle name="40% - Accent5 2 2 16" xfId="1478" xr:uid="{00000000-0005-0000-0000-0000C3050000}"/>
    <cellStyle name="40% - Accent5 2 2 17" xfId="1479" xr:uid="{00000000-0005-0000-0000-0000C4050000}"/>
    <cellStyle name="40% - Accent5 2 2 18" xfId="1480" xr:uid="{00000000-0005-0000-0000-0000C5050000}"/>
    <cellStyle name="40% - Accent5 2 2 2" xfId="1481" xr:uid="{00000000-0005-0000-0000-0000C6050000}"/>
    <cellStyle name="40% - Accent5 2 2 3" xfId="1482" xr:uid="{00000000-0005-0000-0000-0000C7050000}"/>
    <cellStyle name="40% - Accent5 2 2 4" xfId="1483" xr:uid="{00000000-0005-0000-0000-0000C8050000}"/>
    <cellStyle name="40% - Accent5 2 2 5" xfId="1484" xr:uid="{00000000-0005-0000-0000-0000C9050000}"/>
    <cellStyle name="40% - Accent5 2 2 6" xfId="1485" xr:uid="{00000000-0005-0000-0000-0000CA050000}"/>
    <cellStyle name="40% - Accent5 2 2 7" xfId="1486" xr:uid="{00000000-0005-0000-0000-0000CB050000}"/>
    <cellStyle name="40% - Accent5 2 2 8" xfId="1487" xr:uid="{00000000-0005-0000-0000-0000CC050000}"/>
    <cellStyle name="40% - Accent5 2 2 9" xfId="1488" xr:uid="{00000000-0005-0000-0000-0000CD050000}"/>
    <cellStyle name="40% - Accent5 2 3" xfId="1489" xr:uid="{00000000-0005-0000-0000-0000CE050000}"/>
    <cellStyle name="40% - Accent5 2 4" xfId="1490" xr:uid="{00000000-0005-0000-0000-0000CF050000}"/>
    <cellStyle name="40% - Accent5 2 5" xfId="1491" xr:uid="{00000000-0005-0000-0000-0000D0050000}"/>
    <cellStyle name="40% - Accent5 2 6" xfId="1492" xr:uid="{00000000-0005-0000-0000-0000D1050000}"/>
    <cellStyle name="40% - Accent5 2 7" xfId="1493" xr:uid="{00000000-0005-0000-0000-0000D2050000}"/>
    <cellStyle name="40% - Accent5 2 8" xfId="1494" xr:uid="{00000000-0005-0000-0000-0000D3050000}"/>
    <cellStyle name="40% - Accent5 2 9" xfId="1495" xr:uid="{00000000-0005-0000-0000-0000D4050000}"/>
    <cellStyle name="40% - Accent5 20" xfId="1496" xr:uid="{00000000-0005-0000-0000-0000D5050000}"/>
    <cellStyle name="40% - Accent5 21" xfId="1497" xr:uid="{00000000-0005-0000-0000-0000D6050000}"/>
    <cellStyle name="40% - Accent5 22" xfId="1498" xr:uid="{00000000-0005-0000-0000-0000D7050000}"/>
    <cellStyle name="40% - Accent5 23" xfId="1499" xr:uid="{00000000-0005-0000-0000-0000D8050000}"/>
    <cellStyle name="40% - Accent5 24" xfId="1500" xr:uid="{00000000-0005-0000-0000-0000D9050000}"/>
    <cellStyle name="40% - Accent5 25" xfId="1501" xr:uid="{00000000-0005-0000-0000-0000DA050000}"/>
    <cellStyle name="40% - Accent5 26" xfId="1502" xr:uid="{00000000-0005-0000-0000-0000DB050000}"/>
    <cellStyle name="40% - Accent5 27" xfId="1503" xr:uid="{00000000-0005-0000-0000-0000DC050000}"/>
    <cellStyle name="40% - Accent5 28" xfId="1504" xr:uid="{00000000-0005-0000-0000-0000DD050000}"/>
    <cellStyle name="40% - Accent5 29" xfId="1505" xr:uid="{00000000-0005-0000-0000-0000DE050000}"/>
    <cellStyle name="40% - Accent5 3" xfId="1506" xr:uid="{00000000-0005-0000-0000-0000DF050000}"/>
    <cellStyle name="40% - Accent5 3 10" xfId="1507" xr:uid="{00000000-0005-0000-0000-0000E0050000}"/>
    <cellStyle name="40% - Accent5 3 11" xfId="1508" xr:uid="{00000000-0005-0000-0000-0000E1050000}"/>
    <cellStyle name="40% - Accent5 3 12" xfId="1509" xr:uid="{00000000-0005-0000-0000-0000E2050000}"/>
    <cellStyle name="40% - Accent5 3 13" xfId="1510" xr:uid="{00000000-0005-0000-0000-0000E3050000}"/>
    <cellStyle name="40% - Accent5 3 14" xfId="1511" xr:uid="{00000000-0005-0000-0000-0000E4050000}"/>
    <cellStyle name="40% - Accent5 3 15" xfId="1512" xr:uid="{00000000-0005-0000-0000-0000E5050000}"/>
    <cellStyle name="40% - Accent5 3 2" xfId="1513" xr:uid="{00000000-0005-0000-0000-0000E6050000}"/>
    <cellStyle name="40% - Accent5 3 3" xfId="1514" xr:uid="{00000000-0005-0000-0000-0000E7050000}"/>
    <cellStyle name="40% - Accent5 3 4" xfId="1515" xr:uid="{00000000-0005-0000-0000-0000E8050000}"/>
    <cellStyle name="40% - Accent5 3 5" xfId="1516" xr:uid="{00000000-0005-0000-0000-0000E9050000}"/>
    <cellStyle name="40% - Accent5 3 6" xfId="1517" xr:uid="{00000000-0005-0000-0000-0000EA050000}"/>
    <cellStyle name="40% - Accent5 3 7" xfId="1518" xr:uid="{00000000-0005-0000-0000-0000EB050000}"/>
    <cellStyle name="40% - Accent5 3 8" xfId="1519" xr:uid="{00000000-0005-0000-0000-0000EC050000}"/>
    <cellStyle name="40% - Accent5 3 9" xfId="1520" xr:uid="{00000000-0005-0000-0000-0000ED050000}"/>
    <cellStyle name="40% - Accent5 30" xfId="1521" xr:uid="{00000000-0005-0000-0000-0000EE050000}"/>
    <cellStyle name="40% - Accent5 31" xfId="1522" xr:uid="{00000000-0005-0000-0000-0000EF050000}"/>
    <cellStyle name="40% - Accent5 32" xfId="1523" xr:uid="{00000000-0005-0000-0000-0000F0050000}"/>
    <cellStyle name="40% - Accent5 33" xfId="1524" xr:uid="{00000000-0005-0000-0000-0000F1050000}"/>
    <cellStyle name="40% - Accent5 34" xfId="1525" xr:uid="{00000000-0005-0000-0000-0000F2050000}"/>
    <cellStyle name="40% - Accent5 35" xfId="1526" xr:uid="{00000000-0005-0000-0000-0000F3050000}"/>
    <cellStyle name="40% - Accent5 36" xfId="1527" xr:uid="{00000000-0005-0000-0000-0000F4050000}"/>
    <cellStyle name="40% - Accent5 37" xfId="1528" xr:uid="{00000000-0005-0000-0000-0000F5050000}"/>
    <cellStyle name="40% - Accent5 38" xfId="1529" xr:uid="{00000000-0005-0000-0000-0000F6050000}"/>
    <cellStyle name="40% - Accent5 39" xfId="1530" xr:uid="{00000000-0005-0000-0000-0000F7050000}"/>
    <cellStyle name="40% - Accent5 4" xfId="1531" xr:uid="{00000000-0005-0000-0000-0000F8050000}"/>
    <cellStyle name="40% - Accent5 4 10" xfId="1532" xr:uid="{00000000-0005-0000-0000-0000F9050000}"/>
    <cellStyle name="40% - Accent5 4 11" xfId="1533" xr:uid="{00000000-0005-0000-0000-0000FA050000}"/>
    <cellStyle name="40% - Accent5 4 12" xfId="1534" xr:uid="{00000000-0005-0000-0000-0000FB050000}"/>
    <cellStyle name="40% - Accent5 4 13" xfId="1535" xr:uid="{00000000-0005-0000-0000-0000FC050000}"/>
    <cellStyle name="40% - Accent5 4 14" xfId="1536" xr:uid="{00000000-0005-0000-0000-0000FD050000}"/>
    <cellStyle name="40% - Accent5 4 15" xfId="1537" xr:uid="{00000000-0005-0000-0000-0000FE050000}"/>
    <cellStyle name="40% - Accent5 4 2" xfId="1538" xr:uid="{00000000-0005-0000-0000-0000FF050000}"/>
    <cellStyle name="40% - Accent5 4 3" xfId="1" xr:uid="{00000000-0005-0000-0000-000000060000}"/>
    <cellStyle name="40% - Accent5 4 3 2" xfId="1539" xr:uid="{00000000-0005-0000-0000-000001060000}"/>
    <cellStyle name="40% - Accent5 4 4" xfId="1540" xr:uid="{00000000-0005-0000-0000-000002060000}"/>
    <cellStyle name="40% - Accent5 4 5" xfId="1541" xr:uid="{00000000-0005-0000-0000-000003060000}"/>
    <cellStyle name="40% - Accent5 4 6" xfId="1542" xr:uid="{00000000-0005-0000-0000-000004060000}"/>
    <cellStyle name="40% - Accent5 4 7" xfId="1543" xr:uid="{00000000-0005-0000-0000-000005060000}"/>
    <cellStyle name="40% - Accent5 4 8" xfId="1544" xr:uid="{00000000-0005-0000-0000-000006060000}"/>
    <cellStyle name="40% - Accent5 4 9" xfId="1545" xr:uid="{00000000-0005-0000-0000-000007060000}"/>
    <cellStyle name="40% - Accent5 40" xfId="1546" xr:uid="{00000000-0005-0000-0000-000008060000}"/>
    <cellStyle name="40% - Accent5 41" xfId="1547" xr:uid="{00000000-0005-0000-0000-000009060000}"/>
    <cellStyle name="40% - Accent5 42" xfId="1548" xr:uid="{00000000-0005-0000-0000-00000A060000}"/>
    <cellStyle name="40% - Accent5 5" xfId="1549" xr:uid="{00000000-0005-0000-0000-00000B060000}"/>
    <cellStyle name="40% - Accent5 5 10" xfId="1550" xr:uid="{00000000-0005-0000-0000-00000C060000}"/>
    <cellStyle name="40% - Accent5 5 11" xfId="1551" xr:uid="{00000000-0005-0000-0000-00000D060000}"/>
    <cellStyle name="40% - Accent5 5 12" xfId="1552" xr:uid="{00000000-0005-0000-0000-00000E060000}"/>
    <cellStyle name="40% - Accent5 5 13" xfId="1553" xr:uid="{00000000-0005-0000-0000-00000F060000}"/>
    <cellStyle name="40% - Accent5 5 14" xfId="1554" xr:uid="{00000000-0005-0000-0000-000010060000}"/>
    <cellStyle name="40% - Accent5 5 15" xfId="1555" xr:uid="{00000000-0005-0000-0000-000011060000}"/>
    <cellStyle name="40% - Accent5 5 2" xfId="1556" xr:uid="{00000000-0005-0000-0000-000012060000}"/>
    <cellStyle name="40% - Accent5 5 3" xfId="1557" xr:uid="{00000000-0005-0000-0000-000013060000}"/>
    <cellStyle name="40% - Accent5 5 4" xfId="1558" xr:uid="{00000000-0005-0000-0000-000014060000}"/>
    <cellStyle name="40% - Accent5 5 5" xfId="1559" xr:uid="{00000000-0005-0000-0000-000015060000}"/>
    <cellStyle name="40% - Accent5 5 6" xfId="1560" xr:uid="{00000000-0005-0000-0000-000016060000}"/>
    <cellStyle name="40% - Accent5 5 7" xfId="1561" xr:uid="{00000000-0005-0000-0000-000017060000}"/>
    <cellStyle name="40% - Accent5 5 8" xfId="1562" xr:uid="{00000000-0005-0000-0000-000018060000}"/>
    <cellStyle name="40% - Accent5 5 9" xfId="1563" xr:uid="{00000000-0005-0000-0000-000019060000}"/>
    <cellStyle name="40% - Accent5 6" xfId="1564" xr:uid="{00000000-0005-0000-0000-00001A060000}"/>
    <cellStyle name="40% - Accent5 6 10" xfId="1565" xr:uid="{00000000-0005-0000-0000-00001B060000}"/>
    <cellStyle name="40% - Accent5 6 11" xfId="1566" xr:uid="{00000000-0005-0000-0000-00001C060000}"/>
    <cellStyle name="40% - Accent5 6 12" xfId="1567" xr:uid="{00000000-0005-0000-0000-00001D060000}"/>
    <cellStyle name="40% - Accent5 6 13" xfId="1568" xr:uid="{00000000-0005-0000-0000-00001E060000}"/>
    <cellStyle name="40% - Accent5 6 14" xfId="1569" xr:uid="{00000000-0005-0000-0000-00001F060000}"/>
    <cellStyle name="40% - Accent5 6 15" xfId="1570" xr:uid="{00000000-0005-0000-0000-000020060000}"/>
    <cellStyle name="40% - Accent5 6 2" xfId="1571" xr:uid="{00000000-0005-0000-0000-000021060000}"/>
    <cellStyle name="40% - Accent5 6 3" xfId="1572" xr:uid="{00000000-0005-0000-0000-000022060000}"/>
    <cellStyle name="40% - Accent5 6 4" xfId="1573" xr:uid="{00000000-0005-0000-0000-000023060000}"/>
    <cellStyle name="40% - Accent5 6 5" xfId="1574" xr:uid="{00000000-0005-0000-0000-000024060000}"/>
    <cellStyle name="40% - Accent5 6 6" xfId="1575" xr:uid="{00000000-0005-0000-0000-000025060000}"/>
    <cellStyle name="40% - Accent5 6 7" xfId="1576" xr:uid="{00000000-0005-0000-0000-000026060000}"/>
    <cellStyle name="40% - Accent5 6 8" xfId="1577" xr:uid="{00000000-0005-0000-0000-000027060000}"/>
    <cellStyle name="40% - Accent5 6 9" xfId="1578" xr:uid="{00000000-0005-0000-0000-000028060000}"/>
    <cellStyle name="40% - Accent5 7" xfId="1579" xr:uid="{00000000-0005-0000-0000-000029060000}"/>
    <cellStyle name="40% - Accent5 7 10" xfId="1580" xr:uid="{00000000-0005-0000-0000-00002A060000}"/>
    <cellStyle name="40% - Accent5 7 11" xfId="1581" xr:uid="{00000000-0005-0000-0000-00002B060000}"/>
    <cellStyle name="40% - Accent5 7 12" xfId="1582" xr:uid="{00000000-0005-0000-0000-00002C060000}"/>
    <cellStyle name="40% - Accent5 7 13" xfId="1583" xr:uid="{00000000-0005-0000-0000-00002D060000}"/>
    <cellStyle name="40% - Accent5 7 14" xfId="1584" xr:uid="{00000000-0005-0000-0000-00002E060000}"/>
    <cellStyle name="40% - Accent5 7 15" xfId="1585" xr:uid="{00000000-0005-0000-0000-00002F060000}"/>
    <cellStyle name="40% - Accent5 7 2" xfId="1586" xr:uid="{00000000-0005-0000-0000-000030060000}"/>
    <cellStyle name="40% - Accent5 7 3" xfId="1587" xr:uid="{00000000-0005-0000-0000-000031060000}"/>
    <cellStyle name="40% - Accent5 7 4" xfId="1588" xr:uid="{00000000-0005-0000-0000-000032060000}"/>
    <cellStyle name="40% - Accent5 7 5" xfId="1589" xr:uid="{00000000-0005-0000-0000-000033060000}"/>
    <cellStyle name="40% - Accent5 7 6" xfId="1590" xr:uid="{00000000-0005-0000-0000-000034060000}"/>
    <cellStyle name="40% - Accent5 7 7" xfId="1591" xr:uid="{00000000-0005-0000-0000-000035060000}"/>
    <cellStyle name="40% - Accent5 7 8" xfId="1592" xr:uid="{00000000-0005-0000-0000-000036060000}"/>
    <cellStyle name="40% - Accent5 7 9" xfId="1593" xr:uid="{00000000-0005-0000-0000-000037060000}"/>
    <cellStyle name="40% - Accent5 8" xfId="1594" xr:uid="{00000000-0005-0000-0000-000038060000}"/>
    <cellStyle name="40% - Accent5 9" xfId="1595" xr:uid="{00000000-0005-0000-0000-000039060000}"/>
    <cellStyle name="40% - Accent5 9 2" xfId="1596" xr:uid="{00000000-0005-0000-0000-00003A060000}"/>
    <cellStyle name="40% - Accent5 9 3" xfId="1597" xr:uid="{00000000-0005-0000-0000-00003B060000}"/>
    <cellStyle name="40% - Accent6 10" xfId="1598" xr:uid="{00000000-0005-0000-0000-00003C060000}"/>
    <cellStyle name="40% - Accent6 11" xfId="1599" xr:uid="{00000000-0005-0000-0000-00003D060000}"/>
    <cellStyle name="40% - Accent6 12" xfId="1600" xr:uid="{00000000-0005-0000-0000-00003E060000}"/>
    <cellStyle name="40% - Accent6 13" xfId="1601" xr:uid="{00000000-0005-0000-0000-00003F060000}"/>
    <cellStyle name="40% - Accent6 14" xfId="1602" xr:uid="{00000000-0005-0000-0000-000040060000}"/>
    <cellStyle name="40% - Accent6 15" xfId="1603" xr:uid="{00000000-0005-0000-0000-000041060000}"/>
    <cellStyle name="40% - Accent6 16" xfId="1604" xr:uid="{00000000-0005-0000-0000-000042060000}"/>
    <cellStyle name="40% - Accent6 17" xfId="1605" xr:uid="{00000000-0005-0000-0000-000043060000}"/>
    <cellStyle name="40% - Accent6 18" xfId="1606" xr:uid="{00000000-0005-0000-0000-000044060000}"/>
    <cellStyle name="40% - Accent6 19" xfId="1607" xr:uid="{00000000-0005-0000-0000-000045060000}"/>
    <cellStyle name="40% - Accent6 2" xfId="1608" xr:uid="{00000000-0005-0000-0000-000046060000}"/>
    <cellStyle name="40% - Accent6 2 10" xfId="1609" xr:uid="{00000000-0005-0000-0000-000047060000}"/>
    <cellStyle name="40% - Accent6 2 11" xfId="1610" xr:uid="{00000000-0005-0000-0000-000048060000}"/>
    <cellStyle name="40% - Accent6 2 12" xfId="1611" xr:uid="{00000000-0005-0000-0000-000049060000}"/>
    <cellStyle name="40% - Accent6 2 13" xfId="1612" xr:uid="{00000000-0005-0000-0000-00004A060000}"/>
    <cellStyle name="40% - Accent6 2 14" xfId="1613" xr:uid="{00000000-0005-0000-0000-00004B060000}"/>
    <cellStyle name="40% - Accent6 2 15" xfId="1614" xr:uid="{00000000-0005-0000-0000-00004C060000}"/>
    <cellStyle name="40% - Accent6 2 16" xfId="1615" xr:uid="{00000000-0005-0000-0000-00004D060000}"/>
    <cellStyle name="40% - Accent6 2 2" xfId="1616" xr:uid="{00000000-0005-0000-0000-00004E060000}"/>
    <cellStyle name="40% - Accent6 2 2 10" xfId="1617" xr:uid="{00000000-0005-0000-0000-00004F060000}"/>
    <cellStyle name="40% - Accent6 2 2 11" xfId="1618" xr:uid="{00000000-0005-0000-0000-000050060000}"/>
    <cellStyle name="40% - Accent6 2 2 12" xfId="1619" xr:uid="{00000000-0005-0000-0000-000051060000}"/>
    <cellStyle name="40% - Accent6 2 2 13" xfId="1620" xr:uid="{00000000-0005-0000-0000-000052060000}"/>
    <cellStyle name="40% - Accent6 2 2 14" xfId="1621" xr:uid="{00000000-0005-0000-0000-000053060000}"/>
    <cellStyle name="40% - Accent6 2 2 15" xfId="1622" xr:uid="{00000000-0005-0000-0000-000054060000}"/>
    <cellStyle name="40% - Accent6 2 2 16" xfId="1623" xr:uid="{00000000-0005-0000-0000-000055060000}"/>
    <cellStyle name="40% - Accent6 2 2 17" xfId="1624" xr:uid="{00000000-0005-0000-0000-000056060000}"/>
    <cellStyle name="40% - Accent6 2 2 18" xfId="1625" xr:uid="{00000000-0005-0000-0000-000057060000}"/>
    <cellStyle name="40% - Accent6 2 2 2" xfId="1626" xr:uid="{00000000-0005-0000-0000-000058060000}"/>
    <cellStyle name="40% - Accent6 2 2 3" xfId="1627" xr:uid="{00000000-0005-0000-0000-000059060000}"/>
    <cellStyle name="40% - Accent6 2 2 4" xfId="1628" xr:uid="{00000000-0005-0000-0000-00005A060000}"/>
    <cellStyle name="40% - Accent6 2 2 5" xfId="1629" xr:uid="{00000000-0005-0000-0000-00005B060000}"/>
    <cellStyle name="40% - Accent6 2 2 6" xfId="1630" xr:uid="{00000000-0005-0000-0000-00005C060000}"/>
    <cellStyle name="40% - Accent6 2 2 7" xfId="1631" xr:uid="{00000000-0005-0000-0000-00005D060000}"/>
    <cellStyle name="40% - Accent6 2 2 8" xfId="1632" xr:uid="{00000000-0005-0000-0000-00005E060000}"/>
    <cellStyle name="40% - Accent6 2 2 9" xfId="1633" xr:uid="{00000000-0005-0000-0000-00005F060000}"/>
    <cellStyle name="40% - Accent6 2 3" xfId="1634" xr:uid="{00000000-0005-0000-0000-000060060000}"/>
    <cellStyle name="40% - Accent6 2 4" xfId="1635" xr:uid="{00000000-0005-0000-0000-000061060000}"/>
    <cellStyle name="40% - Accent6 2 5" xfId="1636" xr:uid="{00000000-0005-0000-0000-000062060000}"/>
    <cellStyle name="40% - Accent6 2 6" xfId="1637" xr:uid="{00000000-0005-0000-0000-000063060000}"/>
    <cellStyle name="40% - Accent6 2 7" xfId="1638" xr:uid="{00000000-0005-0000-0000-000064060000}"/>
    <cellStyle name="40% - Accent6 2 8" xfId="1639" xr:uid="{00000000-0005-0000-0000-000065060000}"/>
    <cellStyle name="40% - Accent6 2 9" xfId="1640" xr:uid="{00000000-0005-0000-0000-000066060000}"/>
    <cellStyle name="40% - Accent6 20" xfId="1641" xr:uid="{00000000-0005-0000-0000-000067060000}"/>
    <cellStyle name="40% - Accent6 21" xfId="1642" xr:uid="{00000000-0005-0000-0000-000068060000}"/>
    <cellStyle name="40% - Accent6 22" xfId="1643" xr:uid="{00000000-0005-0000-0000-000069060000}"/>
    <cellStyle name="40% - Accent6 23" xfId="1644" xr:uid="{00000000-0005-0000-0000-00006A060000}"/>
    <cellStyle name="40% - Accent6 24" xfId="1645" xr:uid="{00000000-0005-0000-0000-00006B060000}"/>
    <cellStyle name="40% - Accent6 25" xfId="1646" xr:uid="{00000000-0005-0000-0000-00006C060000}"/>
    <cellStyle name="40% - Accent6 26" xfId="1647" xr:uid="{00000000-0005-0000-0000-00006D060000}"/>
    <cellStyle name="40% - Accent6 27" xfId="1648" xr:uid="{00000000-0005-0000-0000-00006E060000}"/>
    <cellStyle name="40% - Accent6 28" xfId="1649" xr:uid="{00000000-0005-0000-0000-00006F060000}"/>
    <cellStyle name="40% - Accent6 29" xfId="1650" xr:uid="{00000000-0005-0000-0000-000070060000}"/>
    <cellStyle name="40% - Accent6 3" xfId="1651" xr:uid="{00000000-0005-0000-0000-000071060000}"/>
    <cellStyle name="40% - Accent6 3 10" xfId="1652" xr:uid="{00000000-0005-0000-0000-000072060000}"/>
    <cellStyle name="40% - Accent6 3 11" xfId="1653" xr:uid="{00000000-0005-0000-0000-000073060000}"/>
    <cellStyle name="40% - Accent6 3 12" xfId="1654" xr:uid="{00000000-0005-0000-0000-000074060000}"/>
    <cellStyle name="40% - Accent6 3 13" xfId="1655" xr:uid="{00000000-0005-0000-0000-000075060000}"/>
    <cellStyle name="40% - Accent6 3 14" xfId="1656" xr:uid="{00000000-0005-0000-0000-000076060000}"/>
    <cellStyle name="40% - Accent6 3 15" xfId="1657" xr:uid="{00000000-0005-0000-0000-000077060000}"/>
    <cellStyle name="40% - Accent6 3 2" xfId="1658" xr:uid="{00000000-0005-0000-0000-000078060000}"/>
    <cellStyle name="40% - Accent6 3 3" xfId="1659" xr:uid="{00000000-0005-0000-0000-000079060000}"/>
    <cellStyle name="40% - Accent6 3 4" xfId="1660" xr:uid="{00000000-0005-0000-0000-00007A060000}"/>
    <cellStyle name="40% - Accent6 3 5" xfId="1661" xr:uid="{00000000-0005-0000-0000-00007B060000}"/>
    <cellStyle name="40% - Accent6 3 6" xfId="1662" xr:uid="{00000000-0005-0000-0000-00007C060000}"/>
    <cellStyle name="40% - Accent6 3 7" xfId="1663" xr:uid="{00000000-0005-0000-0000-00007D060000}"/>
    <cellStyle name="40% - Accent6 3 8" xfId="1664" xr:uid="{00000000-0005-0000-0000-00007E060000}"/>
    <cellStyle name="40% - Accent6 3 9" xfId="1665" xr:uid="{00000000-0005-0000-0000-00007F060000}"/>
    <cellStyle name="40% - Accent6 30" xfId="1666" xr:uid="{00000000-0005-0000-0000-000080060000}"/>
    <cellStyle name="40% - Accent6 31" xfId="1667" xr:uid="{00000000-0005-0000-0000-000081060000}"/>
    <cellStyle name="40% - Accent6 32" xfId="1668" xr:uid="{00000000-0005-0000-0000-000082060000}"/>
    <cellStyle name="40% - Accent6 33" xfId="1669" xr:uid="{00000000-0005-0000-0000-000083060000}"/>
    <cellStyle name="40% - Accent6 34" xfId="1670" xr:uid="{00000000-0005-0000-0000-000084060000}"/>
    <cellStyle name="40% - Accent6 35" xfId="1671" xr:uid="{00000000-0005-0000-0000-000085060000}"/>
    <cellStyle name="40% - Accent6 36" xfId="1672" xr:uid="{00000000-0005-0000-0000-000086060000}"/>
    <cellStyle name="40% - Accent6 37" xfId="1673" xr:uid="{00000000-0005-0000-0000-000087060000}"/>
    <cellStyle name="40% - Accent6 38" xfId="1674" xr:uid="{00000000-0005-0000-0000-000088060000}"/>
    <cellStyle name="40% - Accent6 39" xfId="1675" xr:uid="{00000000-0005-0000-0000-000089060000}"/>
    <cellStyle name="40% - Accent6 4" xfId="1676" xr:uid="{00000000-0005-0000-0000-00008A060000}"/>
    <cellStyle name="40% - Accent6 4 10" xfId="1677" xr:uid="{00000000-0005-0000-0000-00008B060000}"/>
    <cellStyle name="40% - Accent6 4 11" xfId="1678" xr:uid="{00000000-0005-0000-0000-00008C060000}"/>
    <cellStyle name="40% - Accent6 4 12" xfId="1679" xr:uid="{00000000-0005-0000-0000-00008D060000}"/>
    <cellStyle name="40% - Accent6 4 13" xfId="1680" xr:uid="{00000000-0005-0000-0000-00008E060000}"/>
    <cellStyle name="40% - Accent6 4 14" xfId="1681" xr:uid="{00000000-0005-0000-0000-00008F060000}"/>
    <cellStyle name="40% - Accent6 4 15" xfId="1682" xr:uid="{00000000-0005-0000-0000-000090060000}"/>
    <cellStyle name="40% - Accent6 4 2" xfId="1683" xr:uid="{00000000-0005-0000-0000-000091060000}"/>
    <cellStyle name="40% - Accent6 4 3" xfId="1684" xr:uid="{00000000-0005-0000-0000-000092060000}"/>
    <cellStyle name="40% - Accent6 4 4" xfId="1685" xr:uid="{00000000-0005-0000-0000-000093060000}"/>
    <cellStyle name="40% - Accent6 4 5" xfId="1686" xr:uid="{00000000-0005-0000-0000-000094060000}"/>
    <cellStyle name="40% - Accent6 4 6" xfId="1687" xr:uid="{00000000-0005-0000-0000-000095060000}"/>
    <cellStyle name="40% - Accent6 4 7" xfId="1688" xr:uid="{00000000-0005-0000-0000-000096060000}"/>
    <cellStyle name="40% - Accent6 4 8" xfId="1689" xr:uid="{00000000-0005-0000-0000-000097060000}"/>
    <cellStyle name="40% - Accent6 4 9" xfId="1690" xr:uid="{00000000-0005-0000-0000-000098060000}"/>
    <cellStyle name="40% - Accent6 40" xfId="1691" xr:uid="{00000000-0005-0000-0000-000099060000}"/>
    <cellStyle name="40% - Accent6 41" xfId="1692" xr:uid="{00000000-0005-0000-0000-00009A060000}"/>
    <cellStyle name="40% - Accent6 42" xfId="1693" xr:uid="{00000000-0005-0000-0000-00009B060000}"/>
    <cellStyle name="40% - Accent6 5" xfId="1694" xr:uid="{00000000-0005-0000-0000-00009C060000}"/>
    <cellStyle name="40% - Accent6 5 10" xfId="1695" xr:uid="{00000000-0005-0000-0000-00009D060000}"/>
    <cellStyle name="40% - Accent6 5 11" xfId="1696" xr:uid="{00000000-0005-0000-0000-00009E060000}"/>
    <cellStyle name="40% - Accent6 5 12" xfId="1697" xr:uid="{00000000-0005-0000-0000-00009F060000}"/>
    <cellStyle name="40% - Accent6 5 13" xfId="1698" xr:uid="{00000000-0005-0000-0000-0000A0060000}"/>
    <cellStyle name="40% - Accent6 5 14" xfId="1699" xr:uid="{00000000-0005-0000-0000-0000A1060000}"/>
    <cellStyle name="40% - Accent6 5 15" xfId="1700" xr:uid="{00000000-0005-0000-0000-0000A2060000}"/>
    <cellStyle name="40% - Accent6 5 2" xfId="1701" xr:uid="{00000000-0005-0000-0000-0000A3060000}"/>
    <cellStyle name="40% - Accent6 5 3" xfId="1702" xr:uid="{00000000-0005-0000-0000-0000A4060000}"/>
    <cellStyle name="40% - Accent6 5 4" xfId="1703" xr:uid="{00000000-0005-0000-0000-0000A5060000}"/>
    <cellStyle name="40% - Accent6 5 5" xfId="1704" xr:uid="{00000000-0005-0000-0000-0000A6060000}"/>
    <cellStyle name="40% - Accent6 5 6" xfId="1705" xr:uid="{00000000-0005-0000-0000-0000A7060000}"/>
    <cellStyle name="40% - Accent6 5 7" xfId="1706" xr:uid="{00000000-0005-0000-0000-0000A8060000}"/>
    <cellStyle name="40% - Accent6 5 8" xfId="1707" xr:uid="{00000000-0005-0000-0000-0000A9060000}"/>
    <cellStyle name="40% - Accent6 5 9" xfId="1708" xr:uid="{00000000-0005-0000-0000-0000AA060000}"/>
    <cellStyle name="40% - Accent6 6" xfId="1709" xr:uid="{00000000-0005-0000-0000-0000AB060000}"/>
    <cellStyle name="40% - Accent6 6 10" xfId="1710" xr:uid="{00000000-0005-0000-0000-0000AC060000}"/>
    <cellStyle name="40% - Accent6 6 11" xfId="1711" xr:uid="{00000000-0005-0000-0000-0000AD060000}"/>
    <cellStyle name="40% - Accent6 6 12" xfId="1712" xr:uid="{00000000-0005-0000-0000-0000AE060000}"/>
    <cellStyle name="40% - Accent6 6 13" xfId="1713" xr:uid="{00000000-0005-0000-0000-0000AF060000}"/>
    <cellStyle name="40% - Accent6 6 14" xfId="1714" xr:uid="{00000000-0005-0000-0000-0000B0060000}"/>
    <cellStyle name="40% - Accent6 6 15" xfId="1715" xr:uid="{00000000-0005-0000-0000-0000B1060000}"/>
    <cellStyle name="40% - Accent6 6 2" xfId="1716" xr:uid="{00000000-0005-0000-0000-0000B2060000}"/>
    <cellStyle name="40% - Accent6 6 3" xfId="1717" xr:uid="{00000000-0005-0000-0000-0000B3060000}"/>
    <cellStyle name="40% - Accent6 6 4" xfId="1718" xr:uid="{00000000-0005-0000-0000-0000B4060000}"/>
    <cellStyle name="40% - Accent6 6 5" xfId="1719" xr:uid="{00000000-0005-0000-0000-0000B5060000}"/>
    <cellStyle name="40% - Accent6 6 6" xfId="1720" xr:uid="{00000000-0005-0000-0000-0000B6060000}"/>
    <cellStyle name="40% - Accent6 6 7" xfId="1721" xr:uid="{00000000-0005-0000-0000-0000B7060000}"/>
    <cellStyle name="40% - Accent6 6 8" xfId="1722" xr:uid="{00000000-0005-0000-0000-0000B8060000}"/>
    <cellStyle name="40% - Accent6 6 9" xfId="1723" xr:uid="{00000000-0005-0000-0000-0000B9060000}"/>
    <cellStyle name="40% - Accent6 7" xfId="1724" xr:uid="{00000000-0005-0000-0000-0000BA060000}"/>
    <cellStyle name="40% - Accent6 7 10" xfId="1725" xr:uid="{00000000-0005-0000-0000-0000BB060000}"/>
    <cellStyle name="40% - Accent6 7 11" xfId="1726" xr:uid="{00000000-0005-0000-0000-0000BC060000}"/>
    <cellStyle name="40% - Accent6 7 12" xfId="1727" xr:uid="{00000000-0005-0000-0000-0000BD060000}"/>
    <cellStyle name="40% - Accent6 7 13" xfId="1728" xr:uid="{00000000-0005-0000-0000-0000BE060000}"/>
    <cellStyle name="40% - Accent6 7 14" xfId="1729" xr:uid="{00000000-0005-0000-0000-0000BF060000}"/>
    <cellStyle name="40% - Accent6 7 15" xfId="1730" xr:uid="{00000000-0005-0000-0000-0000C0060000}"/>
    <cellStyle name="40% - Accent6 7 2" xfId="1731" xr:uid="{00000000-0005-0000-0000-0000C1060000}"/>
    <cellStyle name="40% - Accent6 7 3" xfId="1732" xr:uid="{00000000-0005-0000-0000-0000C2060000}"/>
    <cellStyle name="40% - Accent6 7 4" xfId="1733" xr:uid="{00000000-0005-0000-0000-0000C3060000}"/>
    <cellStyle name="40% - Accent6 7 5" xfId="1734" xr:uid="{00000000-0005-0000-0000-0000C4060000}"/>
    <cellStyle name="40% - Accent6 7 6" xfId="1735" xr:uid="{00000000-0005-0000-0000-0000C5060000}"/>
    <cellStyle name="40% - Accent6 7 7" xfId="1736" xr:uid="{00000000-0005-0000-0000-0000C6060000}"/>
    <cellStyle name="40% - Accent6 7 8" xfId="1737" xr:uid="{00000000-0005-0000-0000-0000C7060000}"/>
    <cellStyle name="40% - Accent6 7 9" xfId="1738" xr:uid="{00000000-0005-0000-0000-0000C8060000}"/>
    <cellStyle name="40% - Accent6 8" xfId="1739" xr:uid="{00000000-0005-0000-0000-0000C9060000}"/>
    <cellStyle name="40% - Accent6 9" xfId="1740" xr:uid="{00000000-0005-0000-0000-0000CA060000}"/>
    <cellStyle name="40% - Accent6 9 2" xfId="1741" xr:uid="{00000000-0005-0000-0000-0000CB060000}"/>
    <cellStyle name="40% - Accent6 9 3" xfId="1742" xr:uid="{00000000-0005-0000-0000-0000CC060000}"/>
    <cellStyle name="60% - Accent1 10" xfId="1743" xr:uid="{00000000-0005-0000-0000-0000CD060000}"/>
    <cellStyle name="60% - Accent1 11" xfId="1744" xr:uid="{00000000-0005-0000-0000-0000CE060000}"/>
    <cellStyle name="60% - Accent1 12" xfId="1745" xr:uid="{00000000-0005-0000-0000-0000CF060000}"/>
    <cellStyle name="60% - Accent1 13" xfId="1746" xr:uid="{00000000-0005-0000-0000-0000D0060000}"/>
    <cellStyle name="60% - Accent1 14" xfId="1747" xr:uid="{00000000-0005-0000-0000-0000D1060000}"/>
    <cellStyle name="60% - Accent1 15" xfId="1748" xr:uid="{00000000-0005-0000-0000-0000D2060000}"/>
    <cellStyle name="60% - Accent1 16" xfId="1749" xr:uid="{00000000-0005-0000-0000-0000D3060000}"/>
    <cellStyle name="60% - Accent1 17" xfId="1750" xr:uid="{00000000-0005-0000-0000-0000D4060000}"/>
    <cellStyle name="60% - Accent1 18" xfId="1751" xr:uid="{00000000-0005-0000-0000-0000D5060000}"/>
    <cellStyle name="60% - Accent1 19" xfId="1752" xr:uid="{00000000-0005-0000-0000-0000D6060000}"/>
    <cellStyle name="60% - Accent1 2" xfId="1753" xr:uid="{00000000-0005-0000-0000-0000D7060000}"/>
    <cellStyle name="60% - Accent1 2 2" xfId="1754" xr:uid="{00000000-0005-0000-0000-0000D8060000}"/>
    <cellStyle name="60% - Accent1 20" xfId="1755" xr:uid="{00000000-0005-0000-0000-0000D9060000}"/>
    <cellStyle name="60% - Accent1 21" xfId="1756" xr:uid="{00000000-0005-0000-0000-0000DA060000}"/>
    <cellStyle name="60% - Accent1 22" xfId="1757" xr:uid="{00000000-0005-0000-0000-0000DB060000}"/>
    <cellStyle name="60% - Accent1 23" xfId="1758" xr:uid="{00000000-0005-0000-0000-0000DC060000}"/>
    <cellStyle name="60% - Accent1 24" xfId="1759" xr:uid="{00000000-0005-0000-0000-0000DD060000}"/>
    <cellStyle name="60% - Accent1 25" xfId="1760" xr:uid="{00000000-0005-0000-0000-0000DE060000}"/>
    <cellStyle name="60% - Accent1 26" xfId="1761" xr:uid="{00000000-0005-0000-0000-0000DF060000}"/>
    <cellStyle name="60% - Accent1 27" xfId="1762" xr:uid="{00000000-0005-0000-0000-0000E0060000}"/>
    <cellStyle name="60% - Accent1 28" xfId="1763" xr:uid="{00000000-0005-0000-0000-0000E1060000}"/>
    <cellStyle name="60% - Accent1 29" xfId="1764" xr:uid="{00000000-0005-0000-0000-0000E2060000}"/>
    <cellStyle name="60% - Accent1 3" xfId="1765" xr:uid="{00000000-0005-0000-0000-0000E3060000}"/>
    <cellStyle name="60% - Accent1 30" xfId="1766" xr:uid="{00000000-0005-0000-0000-0000E4060000}"/>
    <cellStyle name="60% - Accent1 31" xfId="1767" xr:uid="{00000000-0005-0000-0000-0000E5060000}"/>
    <cellStyle name="60% - Accent1 32" xfId="1768" xr:uid="{00000000-0005-0000-0000-0000E6060000}"/>
    <cellStyle name="60% - Accent1 33" xfId="1769" xr:uid="{00000000-0005-0000-0000-0000E7060000}"/>
    <cellStyle name="60% - Accent1 34" xfId="1770" xr:uid="{00000000-0005-0000-0000-0000E8060000}"/>
    <cellStyle name="60% - Accent1 35" xfId="1771" xr:uid="{00000000-0005-0000-0000-0000E9060000}"/>
    <cellStyle name="60% - Accent1 36" xfId="1772" xr:uid="{00000000-0005-0000-0000-0000EA060000}"/>
    <cellStyle name="60% - Accent1 37" xfId="1773" xr:uid="{00000000-0005-0000-0000-0000EB060000}"/>
    <cellStyle name="60% - Accent1 38" xfId="1774" xr:uid="{00000000-0005-0000-0000-0000EC060000}"/>
    <cellStyle name="60% - Accent1 39" xfId="1775" xr:uid="{00000000-0005-0000-0000-0000ED060000}"/>
    <cellStyle name="60% - Accent1 4" xfId="1776" xr:uid="{00000000-0005-0000-0000-0000EE060000}"/>
    <cellStyle name="60% - Accent1 40" xfId="1777" xr:uid="{00000000-0005-0000-0000-0000EF060000}"/>
    <cellStyle name="60% - Accent1 41" xfId="1778" xr:uid="{00000000-0005-0000-0000-0000F0060000}"/>
    <cellStyle name="60% - Accent1 42" xfId="1779" xr:uid="{00000000-0005-0000-0000-0000F1060000}"/>
    <cellStyle name="60% - Accent1 5" xfId="1780" xr:uid="{00000000-0005-0000-0000-0000F2060000}"/>
    <cellStyle name="60% - Accent1 6" xfId="1781" xr:uid="{00000000-0005-0000-0000-0000F3060000}"/>
    <cellStyle name="60% - Accent1 7" xfId="1782" xr:uid="{00000000-0005-0000-0000-0000F4060000}"/>
    <cellStyle name="60% - Accent1 8" xfId="1783" xr:uid="{00000000-0005-0000-0000-0000F5060000}"/>
    <cellStyle name="60% - Accent1 9" xfId="1784" xr:uid="{00000000-0005-0000-0000-0000F6060000}"/>
    <cellStyle name="60% - Accent1 9 2" xfId="1785" xr:uid="{00000000-0005-0000-0000-0000F7060000}"/>
    <cellStyle name="60% - Accent1 9 3" xfId="1786" xr:uid="{00000000-0005-0000-0000-0000F8060000}"/>
    <cellStyle name="60% - Accent2 10" xfId="1787" xr:uid="{00000000-0005-0000-0000-0000F9060000}"/>
    <cellStyle name="60% - Accent2 11" xfId="1788" xr:uid="{00000000-0005-0000-0000-0000FA060000}"/>
    <cellStyle name="60% - Accent2 12" xfId="1789" xr:uid="{00000000-0005-0000-0000-0000FB060000}"/>
    <cellStyle name="60% - Accent2 13" xfId="1790" xr:uid="{00000000-0005-0000-0000-0000FC060000}"/>
    <cellStyle name="60% - Accent2 14" xfId="1791" xr:uid="{00000000-0005-0000-0000-0000FD060000}"/>
    <cellStyle name="60% - Accent2 15" xfId="1792" xr:uid="{00000000-0005-0000-0000-0000FE060000}"/>
    <cellStyle name="60% - Accent2 16" xfId="1793" xr:uid="{00000000-0005-0000-0000-0000FF060000}"/>
    <cellStyle name="60% - Accent2 17" xfId="1794" xr:uid="{00000000-0005-0000-0000-000000070000}"/>
    <cellStyle name="60% - Accent2 18" xfId="1795" xr:uid="{00000000-0005-0000-0000-000001070000}"/>
    <cellStyle name="60% - Accent2 19" xfId="1796" xr:uid="{00000000-0005-0000-0000-000002070000}"/>
    <cellStyle name="60% - Accent2 2" xfId="1797" xr:uid="{00000000-0005-0000-0000-000003070000}"/>
    <cellStyle name="60% - Accent2 2 2" xfId="1798" xr:uid="{00000000-0005-0000-0000-000004070000}"/>
    <cellStyle name="60% - Accent2 20" xfId="1799" xr:uid="{00000000-0005-0000-0000-000005070000}"/>
    <cellStyle name="60% - Accent2 21" xfId="1800" xr:uid="{00000000-0005-0000-0000-000006070000}"/>
    <cellStyle name="60% - Accent2 22" xfId="1801" xr:uid="{00000000-0005-0000-0000-000007070000}"/>
    <cellStyle name="60% - Accent2 23" xfId="1802" xr:uid="{00000000-0005-0000-0000-000008070000}"/>
    <cellStyle name="60% - Accent2 24" xfId="1803" xr:uid="{00000000-0005-0000-0000-000009070000}"/>
    <cellStyle name="60% - Accent2 25" xfId="1804" xr:uid="{00000000-0005-0000-0000-00000A070000}"/>
    <cellStyle name="60% - Accent2 26" xfId="1805" xr:uid="{00000000-0005-0000-0000-00000B070000}"/>
    <cellStyle name="60% - Accent2 27" xfId="1806" xr:uid="{00000000-0005-0000-0000-00000C070000}"/>
    <cellStyle name="60% - Accent2 28" xfId="1807" xr:uid="{00000000-0005-0000-0000-00000D070000}"/>
    <cellStyle name="60% - Accent2 29" xfId="1808" xr:uid="{00000000-0005-0000-0000-00000E070000}"/>
    <cellStyle name="60% - Accent2 3" xfId="1809" xr:uid="{00000000-0005-0000-0000-00000F070000}"/>
    <cellStyle name="60% - Accent2 30" xfId="1810" xr:uid="{00000000-0005-0000-0000-000010070000}"/>
    <cellStyle name="60% - Accent2 31" xfId="1811" xr:uid="{00000000-0005-0000-0000-000011070000}"/>
    <cellStyle name="60% - Accent2 32" xfId="1812" xr:uid="{00000000-0005-0000-0000-000012070000}"/>
    <cellStyle name="60% - Accent2 33" xfId="1813" xr:uid="{00000000-0005-0000-0000-000013070000}"/>
    <cellStyle name="60% - Accent2 34" xfId="1814" xr:uid="{00000000-0005-0000-0000-000014070000}"/>
    <cellStyle name="60% - Accent2 35" xfId="1815" xr:uid="{00000000-0005-0000-0000-000015070000}"/>
    <cellStyle name="60% - Accent2 36" xfId="1816" xr:uid="{00000000-0005-0000-0000-000016070000}"/>
    <cellStyle name="60% - Accent2 37" xfId="1817" xr:uid="{00000000-0005-0000-0000-000017070000}"/>
    <cellStyle name="60% - Accent2 38" xfId="1818" xr:uid="{00000000-0005-0000-0000-000018070000}"/>
    <cellStyle name="60% - Accent2 39" xfId="1819" xr:uid="{00000000-0005-0000-0000-000019070000}"/>
    <cellStyle name="60% - Accent2 4" xfId="1820" xr:uid="{00000000-0005-0000-0000-00001A070000}"/>
    <cellStyle name="60% - Accent2 40" xfId="1821" xr:uid="{00000000-0005-0000-0000-00001B070000}"/>
    <cellStyle name="60% - Accent2 41" xfId="1822" xr:uid="{00000000-0005-0000-0000-00001C070000}"/>
    <cellStyle name="60% - Accent2 42" xfId="1823" xr:uid="{00000000-0005-0000-0000-00001D070000}"/>
    <cellStyle name="60% - Accent2 5" xfId="1824" xr:uid="{00000000-0005-0000-0000-00001E070000}"/>
    <cellStyle name="60% - Accent2 6" xfId="1825" xr:uid="{00000000-0005-0000-0000-00001F070000}"/>
    <cellStyle name="60% - Accent2 7" xfId="1826" xr:uid="{00000000-0005-0000-0000-000020070000}"/>
    <cellStyle name="60% - Accent2 8" xfId="1827" xr:uid="{00000000-0005-0000-0000-000021070000}"/>
    <cellStyle name="60% - Accent2 9" xfId="1828" xr:uid="{00000000-0005-0000-0000-000022070000}"/>
    <cellStyle name="60% - Accent2 9 2" xfId="1829" xr:uid="{00000000-0005-0000-0000-000023070000}"/>
    <cellStyle name="60% - Accent2 9 3" xfId="1830" xr:uid="{00000000-0005-0000-0000-000024070000}"/>
    <cellStyle name="60% - Accent3 10" xfId="1831" xr:uid="{00000000-0005-0000-0000-000025070000}"/>
    <cellStyle name="60% - Accent3 11" xfId="1832" xr:uid="{00000000-0005-0000-0000-000026070000}"/>
    <cellStyle name="60% - Accent3 12" xfId="1833" xr:uid="{00000000-0005-0000-0000-000027070000}"/>
    <cellStyle name="60% - Accent3 13" xfId="1834" xr:uid="{00000000-0005-0000-0000-000028070000}"/>
    <cellStyle name="60% - Accent3 14" xfId="1835" xr:uid="{00000000-0005-0000-0000-000029070000}"/>
    <cellStyle name="60% - Accent3 15" xfId="1836" xr:uid="{00000000-0005-0000-0000-00002A070000}"/>
    <cellStyle name="60% - Accent3 16" xfId="1837" xr:uid="{00000000-0005-0000-0000-00002B070000}"/>
    <cellStyle name="60% - Accent3 17" xfId="1838" xr:uid="{00000000-0005-0000-0000-00002C070000}"/>
    <cellStyle name="60% - Accent3 18" xfId="1839" xr:uid="{00000000-0005-0000-0000-00002D070000}"/>
    <cellStyle name="60% - Accent3 19" xfId="1840" xr:uid="{00000000-0005-0000-0000-00002E070000}"/>
    <cellStyle name="60% - Accent3 2" xfId="1841" xr:uid="{00000000-0005-0000-0000-00002F070000}"/>
    <cellStyle name="60% - Accent3 2 2" xfId="1842" xr:uid="{00000000-0005-0000-0000-000030070000}"/>
    <cellStyle name="60% - Accent3 20" xfId="1843" xr:uid="{00000000-0005-0000-0000-000031070000}"/>
    <cellStyle name="60% - Accent3 21" xfId="1844" xr:uid="{00000000-0005-0000-0000-000032070000}"/>
    <cellStyle name="60% - Accent3 22" xfId="1845" xr:uid="{00000000-0005-0000-0000-000033070000}"/>
    <cellStyle name="60% - Accent3 23" xfId="1846" xr:uid="{00000000-0005-0000-0000-000034070000}"/>
    <cellStyle name="60% - Accent3 24" xfId="1847" xr:uid="{00000000-0005-0000-0000-000035070000}"/>
    <cellStyle name="60% - Accent3 25" xfId="1848" xr:uid="{00000000-0005-0000-0000-000036070000}"/>
    <cellStyle name="60% - Accent3 26" xfId="1849" xr:uid="{00000000-0005-0000-0000-000037070000}"/>
    <cellStyle name="60% - Accent3 27" xfId="1850" xr:uid="{00000000-0005-0000-0000-000038070000}"/>
    <cellStyle name="60% - Accent3 28" xfId="1851" xr:uid="{00000000-0005-0000-0000-000039070000}"/>
    <cellStyle name="60% - Accent3 29" xfId="1852" xr:uid="{00000000-0005-0000-0000-00003A070000}"/>
    <cellStyle name="60% - Accent3 3" xfId="1853" xr:uid="{00000000-0005-0000-0000-00003B070000}"/>
    <cellStyle name="60% - Accent3 30" xfId="1854" xr:uid="{00000000-0005-0000-0000-00003C070000}"/>
    <cellStyle name="60% - Accent3 31" xfId="1855" xr:uid="{00000000-0005-0000-0000-00003D070000}"/>
    <cellStyle name="60% - Accent3 32" xfId="1856" xr:uid="{00000000-0005-0000-0000-00003E070000}"/>
    <cellStyle name="60% - Accent3 33" xfId="1857" xr:uid="{00000000-0005-0000-0000-00003F070000}"/>
    <cellStyle name="60% - Accent3 34" xfId="1858" xr:uid="{00000000-0005-0000-0000-000040070000}"/>
    <cellStyle name="60% - Accent3 35" xfId="1859" xr:uid="{00000000-0005-0000-0000-000041070000}"/>
    <cellStyle name="60% - Accent3 36" xfId="1860" xr:uid="{00000000-0005-0000-0000-000042070000}"/>
    <cellStyle name="60% - Accent3 37" xfId="1861" xr:uid="{00000000-0005-0000-0000-000043070000}"/>
    <cellStyle name="60% - Accent3 38" xfId="1862" xr:uid="{00000000-0005-0000-0000-000044070000}"/>
    <cellStyle name="60% - Accent3 39" xfId="1863" xr:uid="{00000000-0005-0000-0000-000045070000}"/>
    <cellStyle name="60% - Accent3 4" xfId="1864" xr:uid="{00000000-0005-0000-0000-000046070000}"/>
    <cellStyle name="60% - Accent3 40" xfId="1865" xr:uid="{00000000-0005-0000-0000-000047070000}"/>
    <cellStyle name="60% - Accent3 41" xfId="1866" xr:uid="{00000000-0005-0000-0000-000048070000}"/>
    <cellStyle name="60% - Accent3 42" xfId="1867" xr:uid="{00000000-0005-0000-0000-000049070000}"/>
    <cellStyle name="60% - Accent3 5" xfId="1868" xr:uid="{00000000-0005-0000-0000-00004A070000}"/>
    <cellStyle name="60% - Accent3 6" xfId="1869" xr:uid="{00000000-0005-0000-0000-00004B070000}"/>
    <cellStyle name="60% - Accent3 7" xfId="1870" xr:uid="{00000000-0005-0000-0000-00004C070000}"/>
    <cellStyle name="60% - Accent3 8" xfId="1871" xr:uid="{00000000-0005-0000-0000-00004D070000}"/>
    <cellStyle name="60% - Accent3 9" xfId="1872" xr:uid="{00000000-0005-0000-0000-00004E070000}"/>
    <cellStyle name="60% - Accent3 9 2" xfId="1873" xr:uid="{00000000-0005-0000-0000-00004F070000}"/>
    <cellStyle name="60% - Accent3 9 3" xfId="1874" xr:uid="{00000000-0005-0000-0000-000050070000}"/>
    <cellStyle name="60% - Accent4 10" xfId="1875" xr:uid="{00000000-0005-0000-0000-000051070000}"/>
    <cellStyle name="60% - Accent4 11" xfId="1876" xr:uid="{00000000-0005-0000-0000-000052070000}"/>
    <cellStyle name="60% - Accent4 12" xfId="1877" xr:uid="{00000000-0005-0000-0000-000053070000}"/>
    <cellStyle name="60% - Accent4 13" xfId="1878" xr:uid="{00000000-0005-0000-0000-000054070000}"/>
    <cellStyle name="60% - Accent4 14" xfId="1879" xr:uid="{00000000-0005-0000-0000-000055070000}"/>
    <cellStyle name="60% - Accent4 15" xfId="1880" xr:uid="{00000000-0005-0000-0000-000056070000}"/>
    <cellStyle name="60% - Accent4 16" xfId="1881" xr:uid="{00000000-0005-0000-0000-000057070000}"/>
    <cellStyle name="60% - Accent4 17" xfId="1882" xr:uid="{00000000-0005-0000-0000-000058070000}"/>
    <cellStyle name="60% - Accent4 18" xfId="1883" xr:uid="{00000000-0005-0000-0000-000059070000}"/>
    <cellStyle name="60% - Accent4 19" xfId="1884" xr:uid="{00000000-0005-0000-0000-00005A070000}"/>
    <cellStyle name="60% - Accent4 2" xfId="1885" xr:uid="{00000000-0005-0000-0000-00005B070000}"/>
    <cellStyle name="60% - Accent4 2 2" xfId="1886" xr:uid="{00000000-0005-0000-0000-00005C070000}"/>
    <cellStyle name="60% - Accent4 20" xfId="1887" xr:uid="{00000000-0005-0000-0000-00005D070000}"/>
    <cellStyle name="60% - Accent4 21" xfId="1888" xr:uid="{00000000-0005-0000-0000-00005E070000}"/>
    <cellStyle name="60% - Accent4 22" xfId="1889" xr:uid="{00000000-0005-0000-0000-00005F070000}"/>
    <cellStyle name="60% - Accent4 23" xfId="1890" xr:uid="{00000000-0005-0000-0000-000060070000}"/>
    <cellStyle name="60% - Accent4 24" xfId="1891" xr:uid="{00000000-0005-0000-0000-000061070000}"/>
    <cellStyle name="60% - Accent4 25" xfId="1892" xr:uid="{00000000-0005-0000-0000-000062070000}"/>
    <cellStyle name="60% - Accent4 26" xfId="1893" xr:uid="{00000000-0005-0000-0000-000063070000}"/>
    <cellStyle name="60% - Accent4 27" xfId="1894" xr:uid="{00000000-0005-0000-0000-000064070000}"/>
    <cellStyle name="60% - Accent4 28" xfId="1895" xr:uid="{00000000-0005-0000-0000-000065070000}"/>
    <cellStyle name="60% - Accent4 29" xfId="1896" xr:uid="{00000000-0005-0000-0000-000066070000}"/>
    <cellStyle name="60% - Accent4 3" xfId="1897" xr:uid="{00000000-0005-0000-0000-000067070000}"/>
    <cellStyle name="60% - Accent4 30" xfId="1898" xr:uid="{00000000-0005-0000-0000-000068070000}"/>
    <cellStyle name="60% - Accent4 31" xfId="1899" xr:uid="{00000000-0005-0000-0000-000069070000}"/>
    <cellStyle name="60% - Accent4 32" xfId="1900" xr:uid="{00000000-0005-0000-0000-00006A070000}"/>
    <cellStyle name="60% - Accent4 33" xfId="1901" xr:uid="{00000000-0005-0000-0000-00006B070000}"/>
    <cellStyle name="60% - Accent4 34" xfId="1902" xr:uid="{00000000-0005-0000-0000-00006C070000}"/>
    <cellStyle name="60% - Accent4 35" xfId="1903" xr:uid="{00000000-0005-0000-0000-00006D070000}"/>
    <cellStyle name="60% - Accent4 36" xfId="1904" xr:uid="{00000000-0005-0000-0000-00006E070000}"/>
    <cellStyle name="60% - Accent4 37" xfId="1905" xr:uid="{00000000-0005-0000-0000-00006F070000}"/>
    <cellStyle name="60% - Accent4 38" xfId="1906" xr:uid="{00000000-0005-0000-0000-000070070000}"/>
    <cellStyle name="60% - Accent4 39" xfId="1907" xr:uid="{00000000-0005-0000-0000-000071070000}"/>
    <cellStyle name="60% - Accent4 4" xfId="1908" xr:uid="{00000000-0005-0000-0000-000072070000}"/>
    <cellStyle name="60% - Accent4 40" xfId="1909" xr:uid="{00000000-0005-0000-0000-000073070000}"/>
    <cellStyle name="60% - Accent4 41" xfId="1910" xr:uid="{00000000-0005-0000-0000-000074070000}"/>
    <cellStyle name="60% - Accent4 42" xfId="1911" xr:uid="{00000000-0005-0000-0000-000075070000}"/>
    <cellStyle name="60% - Accent4 5" xfId="1912" xr:uid="{00000000-0005-0000-0000-000076070000}"/>
    <cellStyle name="60% - Accent4 6" xfId="1913" xr:uid="{00000000-0005-0000-0000-000077070000}"/>
    <cellStyle name="60% - Accent4 7" xfId="1914" xr:uid="{00000000-0005-0000-0000-000078070000}"/>
    <cellStyle name="60% - Accent4 8" xfId="1915" xr:uid="{00000000-0005-0000-0000-000079070000}"/>
    <cellStyle name="60% - Accent4 9" xfId="1916" xr:uid="{00000000-0005-0000-0000-00007A070000}"/>
    <cellStyle name="60% - Accent4 9 2" xfId="1917" xr:uid="{00000000-0005-0000-0000-00007B070000}"/>
    <cellStyle name="60% - Accent4 9 3" xfId="1918" xr:uid="{00000000-0005-0000-0000-00007C070000}"/>
    <cellStyle name="60% - Accent5 10" xfId="1919" xr:uid="{00000000-0005-0000-0000-00007D070000}"/>
    <cellStyle name="60% - Accent5 11" xfId="1920" xr:uid="{00000000-0005-0000-0000-00007E070000}"/>
    <cellStyle name="60% - Accent5 12" xfId="1921" xr:uid="{00000000-0005-0000-0000-00007F070000}"/>
    <cellStyle name="60% - Accent5 13" xfId="1922" xr:uid="{00000000-0005-0000-0000-000080070000}"/>
    <cellStyle name="60% - Accent5 14" xfId="1923" xr:uid="{00000000-0005-0000-0000-000081070000}"/>
    <cellStyle name="60% - Accent5 15" xfId="1924" xr:uid="{00000000-0005-0000-0000-000082070000}"/>
    <cellStyle name="60% - Accent5 16" xfId="1925" xr:uid="{00000000-0005-0000-0000-000083070000}"/>
    <cellStyle name="60% - Accent5 17" xfId="1926" xr:uid="{00000000-0005-0000-0000-000084070000}"/>
    <cellStyle name="60% - Accent5 18" xfId="1927" xr:uid="{00000000-0005-0000-0000-000085070000}"/>
    <cellStyle name="60% - Accent5 19" xfId="1928" xr:uid="{00000000-0005-0000-0000-000086070000}"/>
    <cellStyle name="60% - Accent5 2" xfId="1929" xr:uid="{00000000-0005-0000-0000-000087070000}"/>
    <cellStyle name="60% - Accent5 2 2" xfId="1930" xr:uid="{00000000-0005-0000-0000-000088070000}"/>
    <cellStyle name="60% - Accent5 20" xfId="1931" xr:uid="{00000000-0005-0000-0000-000089070000}"/>
    <cellStyle name="60% - Accent5 21" xfId="1932" xr:uid="{00000000-0005-0000-0000-00008A070000}"/>
    <cellStyle name="60% - Accent5 22" xfId="1933" xr:uid="{00000000-0005-0000-0000-00008B070000}"/>
    <cellStyle name="60% - Accent5 23" xfId="1934" xr:uid="{00000000-0005-0000-0000-00008C070000}"/>
    <cellStyle name="60% - Accent5 24" xfId="1935" xr:uid="{00000000-0005-0000-0000-00008D070000}"/>
    <cellStyle name="60% - Accent5 25" xfId="1936" xr:uid="{00000000-0005-0000-0000-00008E070000}"/>
    <cellStyle name="60% - Accent5 26" xfId="1937" xr:uid="{00000000-0005-0000-0000-00008F070000}"/>
    <cellStyle name="60% - Accent5 27" xfId="1938" xr:uid="{00000000-0005-0000-0000-000090070000}"/>
    <cellStyle name="60% - Accent5 28" xfId="1939" xr:uid="{00000000-0005-0000-0000-000091070000}"/>
    <cellStyle name="60% - Accent5 29" xfId="1940" xr:uid="{00000000-0005-0000-0000-000092070000}"/>
    <cellStyle name="60% - Accent5 3" xfId="1941" xr:uid="{00000000-0005-0000-0000-000093070000}"/>
    <cellStyle name="60% - Accent5 30" xfId="1942" xr:uid="{00000000-0005-0000-0000-000094070000}"/>
    <cellStyle name="60% - Accent5 31" xfId="1943" xr:uid="{00000000-0005-0000-0000-000095070000}"/>
    <cellStyle name="60% - Accent5 32" xfId="1944" xr:uid="{00000000-0005-0000-0000-000096070000}"/>
    <cellStyle name="60% - Accent5 33" xfId="1945" xr:uid="{00000000-0005-0000-0000-000097070000}"/>
    <cellStyle name="60% - Accent5 34" xfId="1946" xr:uid="{00000000-0005-0000-0000-000098070000}"/>
    <cellStyle name="60% - Accent5 35" xfId="1947" xr:uid="{00000000-0005-0000-0000-000099070000}"/>
    <cellStyle name="60% - Accent5 36" xfId="1948" xr:uid="{00000000-0005-0000-0000-00009A070000}"/>
    <cellStyle name="60% - Accent5 37" xfId="1949" xr:uid="{00000000-0005-0000-0000-00009B070000}"/>
    <cellStyle name="60% - Accent5 38" xfId="1950" xr:uid="{00000000-0005-0000-0000-00009C070000}"/>
    <cellStyle name="60% - Accent5 39" xfId="1951" xr:uid="{00000000-0005-0000-0000-00009D070000}"/>
    <cellStyle name="60% - Accent5 4" xfId="1952" xr:uid="{00000000-0005-0000-0000-00009E070000}"/>
    <cellStyle name="60% - Accent5 40" xfId="1953" xr:uid="{00000000-0005-0000-0000-00009F070000}"/>
    <cellStyle name="60% - Accent5 41" xfId="1954" xr:uid="{00000000-0005-0000-0000-0000A0070000}"/>
    <cellStyle name="60% - Accent5 42" xfId="1955" xr:uid="{00000000-0005-0000-0000-0000A1070000}"/>
    <cellStyle name="60% - Accent5 5" xfId="1956" xr:uid="{00000000-0005-0000-0000-0000A2070000}"/>
    <cellStyle name="60% - Accent5 6" xfId="1957" xr:uid="{00000000-0005-0000-0000-0000A3070000}"/>
    <cellStyle name="60% - Accent5 7" xfId="1958" xr:uid="{00000000-0005-0000-0000-0000A4070000}"/>
    <cellStyle name="60% - Accent5 8" xfId="1959" xr:uid="{00000000-0005-0000-0000-0000A5070000}"/>
    <cellStyle name="60% - Accent5 9" xfId="1960" xr:uid="{00000000-0005-0000-0000-0000A6070000}"/>
    <cellStyle name="60% - Accent5 9 2" xfId="1961" xr:uid="{00000000-0005-0000-0000-0000A7070000}"/>
    <cellStyle name="60% - Accent5 9 3" xfId="1962" xr:uid="{00000000-0005-0000-0000-0000A8070000}"/>
    <cellStyle name="60% - Accent6 10" xfId="1963" xr:uid="{00000000-0005-0000-0000-0000A9070000}"/>
    <cellStyle name="60% - Accent6 11" xfId="1964" xr:uid="{00000000-0005-0000-0000-0000AA070000}"/>
    <cellStyle name="60% - Accent6 12" xfId="1965" xr:uid="{00000000-0005-0000-0000-0000AB070000}"/>
    <cellStyle name="60% - Accent6 13" xfId="1966" xr:uid="{00000000-0005-0000-0000-0000AC070000}"/>
    <cellStyle name="60% - Accent6 14" xfId="1967" xr:uid="{00000000-0005-0000-0000-0000AD070000}"/>
    <cellStyle name="60% - Accent6 15" xfId="1968" xr:uid="{00000000-0005-0000-0000-0000AE070000}"/>
    <cellStyle name="60% - Accent6 16" xfId="1969" xr:uid="{00000000-0005-0000-0000-0000AF070000}"/>
    <cellStyle name="60% - Accent6 17" xfId="1970" xr:uid="{00000000-0005-0000-0000-0000B0070000}"/>
    <cellStyle name="60% - Accent6 18" xfId="1971" xr:uid="{00000000-0005-0000-0000-0000B1070000}"/>
    <cellStyle name="60% - Accent6 19" xfId="1972" xr:uid="{00000000-0005-0000-0000-0000B2070000}"/>
    <cellStyle name="60% - Accent6 2" xfId="1973" xr:uid="{00000000-0005-0000-0000-0000B3070000}"/>
    <cellStyle name="60% - Accent6 2 2" xfId="1974" xr:uid="{00000000-0005-0000-0000-0000B4070000}"/>
    <cellStyle name="60% - Accent6 20" xfId="1975" xr:uid="{00000000-0005-0000-0000-0000B5070000}"/>
    <cellStyle name="60% - Accent6 21" xfId="1976" xr:uid="{00000000-0005-0000-0000-0000B6070000}"/>
    <cellStyle name="60% - Accent6 22" xfId="1977" xr:uid="{00000000-0005-0000-0000-0000B7070000}"/>
    <cellStyle name="60% - Accent6 23" xfId="1978" xr:uid="{00000000-0005-0000-0000-0000B8070000}"/>
    <cellStyle name="60% - Accent6 24" xfId="1979" xr:uid="{00000000-0005-0000-0000-0000B9070000}"/>
    <cellStyle name="60% - Accent6 25" xfId="1980" xr:uid="{00000000-0005-0000-0000-0000BA070000}"/>
    <cellStyle name="60% - Accent6 26" xfId="1981" xr:uid="{00000000-0005-0000-0000-0000BB070000}"/>
    <cellStyle name="60% - Accent6 27" xfId="1982" xr:uid="{00000000-0005-0000-0000-0000BC070000}"/>
    <cellStyle name="60% - Accent6 28" xfId="1983" xr:uid="{00000000-0005-0000-0000-0000BD070000}"/>
    <cellStyle name="60% - Accent6 29" xfId="1984" xr:uid="{00000000-0005-0000-0000-0000BE070000}"/>
    <cellStyle name="60% - Accent6 3" xfId="1985" xr:uid="{00000000-0005-0000-0000-0000BF070000}"/>
    <cellStyle name="60% - Accent6 30" xfId="1986" xr:uid="{00000000-0005-0000-0000-0000C0070000}"/>
    <cellStyle name="60% - Accent6 31" xfId="1987" xr:uid="{00000000-0005-0000-0000-0000C1070000}"/>
    <cellStyle name="60% - Accent6 32" xfId="1988" xr:uid="{00000000-0005-0000-0000-0000C2070000}"/>
    <cellStyle name="60% - Accent6 33" xfId="1989" xr:uid="{00000000-0005-0000-0000-0000C3070000}"/>
    <cellStyle name="60% - Accent6 34" xfId="1990" xr:uid="{00000000-0005-0000-0000-0000C4070000}"/>
    <cellStyle name="60% - Accent6 35" xfId="1991" xr:uid="{00000000-0005-0000-0000-0000C5070000}"/>
    <cellStyle name="60% - Accent6 36" xfId="1992" xr:uid="{00000000-0005-0000-0000-0000C6070000}"/>
    <cellStyle name="60% - Accent6 37" xfId="1993" xr:uid="{00000000-0005-0000-0000-0000C7070000}"/>
    <cellStyle name="60% - Accent6 38" xfId="1994" xr:uid="{00000000-0005-0000-0000-0000C8070000}"/>
    <cellStyle name="60% - Accent6 39" xfId="1995" xr:uid="{00000000-0005-0000-0000-0000C9070000}"/>
    <cellStyle name="60% - Accent6 4" xfId="1996" xr:uid="{00000000-0005-0000-0000-0000CA070000}"/>
    <cellStyle name="60% - Accent6 40" xfId="1997" xr:uid="{00000000-0005-0000-0000-0000CB070000}"/>
    <cellStyle name="60% - Accent6 41" xfId="1998" xr:uid="{00000000-0005-0000-0000-0000CC070000}"/>
    <cellStyle name="60% - Accent6 42" xfId="1999" xr:uid="{00000000-0005-0000-0000-0000CD070000}"/>
    <cellStyle name="60% - Accent6 5" xfId="2000" xr:uid="{00000000-0005-0000-0000-0000CE070000}"/>
    <cellStyle name="60% - Accent6 6" xfId="2001" xr:uid="{00000000-0005-0000-0000-0000CF070000}"/>
    <cellStyle name="60% - Accent6 7" xfId="2002" xr:uid="{00000000-0005-0000-0000-0000D0070000}"/>
    <cellStyle name="60% - Accent6 8" xfId="2003" xr:uid="{00000000-0005-0000-0000-0000D1070000}"/>
    <cellStyle name="60% - Accent6 9" xfId="2004" xr:uid="{00000000-0005-0000-0000-0000D2070000}"/>
    <cellStyle name="60% - Accent6 9 2" xfId="2005" xr:uid="{00000000-0005-0000-0000-0000D3070000}"/>
    <cellStyle name="60% - Accent6 9 3" xfId="2006" xr:uid="{00000000-0005-0000-0000-0000D4070000}"/>
    <cellStyle name="Accent1 10" xfId="2007" xr:uid="{00000000-0005-0000-0000-0000D5070000}"/>
    <cellStyle name="Accent1 11" xfId="2008" xr:uid="{00000000-0005-0000-0000-0000D6070000}"/>
    <cellStyle name="Accent1 12" xfId="2009" xr:uid="{00000000-0005-0000-0000-0000D7070000}"/>
    <cellStyle name="Accent1 13" xfId="2010" xr:uid="{00000000-0005-0000-0000-0000D8070000}"/>
    <cellStyle name="Accent1 14" xfId="2011" xr:uid="{00000000-0005-0000-0000-0000D9070000}"/>
    <cellStyle name="Accent1 15" xfId="2012" xr:uid="{00000000-0005-0000-0000-0000DA070000}"/>
    <cellStyle name="Accent1 16" xfId="2013" xr:uid="{00000000-0005-0000-0000-0000DB070000}"/>
    <cellStyle name="Accent1 17" xfId="2014" xr:uid="{00000000-0005-0000-0000-0000DC070000}"/>
    <cellStyle name="Accent1 18" xfId="2015" xr:uid="{00000000-0005-0000-0000-0000DD070000}"/>
    <cellStyle name="Accent1 19" xfId="2016" xr:uid="{00000000-0005-0000-0000-0000DE070000}"/>
    <cellStyle name="Accent1 2" xfId="2017" xr:uid="{00000000-0005-0000-0000-0000DF070000}"/>
    <cellStyle name="Accent1 2 2" xfId="2018" xr:uid="{00000000-0005-0000-0000-0000E0070000}"/>
    <cellStyle name="Accent1 20" xfId="2019" xr:uid="{00000000-0005-0000-0000-0000E1070000}"/>
    <cellStyle name="Accent1 21" xfId="2020" xr:uid="{00000000-0005-0000-0000-0000E2070000}"/>
    <cellStyle name="Accent1 22" xfId="2021" xr:uid="{00000000-0005-0000-0000-0000E3070000}"/>
    <cellStyle name="Accent1 23" xfId="2022" xr:uid="{00000000-0005-0000-0000-0000E4070000}"/>
    <cellStyle name="Accent1 24" xfId="2023" xr:uid="{00000000-0005-0000-0000-0000E5070000}"/>
    <cellStyle name="Accent1 25" xfId="2024" xr:uid="{00000000-0005-0000-0000-0000E6070000}"/>
    <cellStyle name="Accent1 26" xfId="2025" xr:uid="{00000000-0005-0000-0000-0000E7070000}"/>
    <cellStyle name="Accent1 27" xfId="2026" xr:uid="{00000000-0005-0000-0000-0000E8070000}"/>
    <cellStyle name="Accent1 28" xfId="2027" xr:uid="{00000000-0005-0000-0000-0000E9070000}"/>
    <cellStyle name="Accent1 29" xfId="2028" xr:uid="{00000000-0005-0000-0000-0000EA070000}"/>
    <cellStyle name="Accent1 3" xfId="2029" xr:uid="{00000000-0005-0000-0000-0000EB070000}"/>
    <cellStyle name="Accent1 30" xfId="2030" xr:uid="{00000000-0005-0000-0000-0000EC070000}"/>
    <cellStyle name="Accent1 31" xfId="2031" xr:uid="{00000000-0005-0000-0000-0000ED070000}"/>
    <cellStyle name="Accent1 32" xfId="2032" xr:uid="{00000000-0005-0000-0000-0000EE070000}"/>
    <cellStyle name="Accent1 33" xfId="2033" xr:uid="{00000000-0005-0000-0000-0000EF070000}"/>
    <cellStyle name="Accent1 34" xfId="2034" xr:uid="{00000000-0005-0000-0000-0000F0070000}"/>
    <cellStyle name="Accent1 35" xfId="2035" xr:uid="{00000000-0005-0000-0000-0000F1070000}"/>
    <cellStyle name="Accent1 36" xfId="2036" xr:uid="{00000000-0005-0000-0000-0000F2070000}"/>
    <cellStyle name="Accent1 37" xfId="2037" xr:uid="{00000000-0005-0000-0000-0000F3070000}"/>
    <cellStyle name="Accent1 38" xfId="2038" xr:uid="{00000000-0005-0000-0000-0000F4070000}"/>
    <cellStyle name="Accent1 39" xfId="2039" xr:uid="{00000000-0005-0000-0000-0000F5070000}"/>
    <cellStyle name="Accent1 4" xfId="2040" xr:uid="{00000000-0005-0000-0000-0000F6070000}"/>
    <cellStyle name="Accent1 40" xfId="2041" xr:uid="{00000000-0005-0000-0000-0000F7070000}"/>
    <cellStyle name="Accent1 41" xfId="2042" xr:uid="{00000000-0005-0000-0000-0000F8070000}"/>
    <cellStyle name="Accent1 42" xfId="2043" xr:uid="{00000000-0005-0000-0000-0000F9070000}"/>
    <cellStyle name="Accent1 5" xfId="2044" xr:uid="{00000000-0005-0000-0000-0000FA070000}"/>
    <cellStyle name="Accent1 6" xfId="2045" xr:uid="{00000000-0005-0000-0000-0000FB070000}"/>
    <cellStyle name="Accent1 7" xfId="2046" xr:uid="{00000000-0005-0000-0000-0000FC070000}"/>
    <cellStyle name="Accent1 8" xfId="2047" xr:uid="{00000000-0005-0000-0000-0000FD070000}"/>
    <cellStyle name="Accent1 9" xfId="2048" xr:uid="{00000000-0005-0000-0000-0000FE070000}"/>
    <cellStyle name="Accent1 9 2" xfId="2049" xr:uid="{00000000-0005-0000-0000-0000FF070000}"/>
    <cellStyle name="Accent1 9 3" xfId="2050" xr:uid="{00000000-0005-0000-0000-000000080000}"/>
    <cellStyle name="Accent2 10" xfId="2051" xr:uid="{00000000-0005-0000-0000-000001080000}"/>
    <cellStyle name="Accent2 11" xfId="2052" xr:uid="{00000000-0005-0000-0000-000002080000}"/>
    <cellStyle name="Accent2 12" xfId="2053" xr:uid="{00000000-0005-0000-0000-000003080000}"/>
    <cellStyle name="Accent2 13" xfId="2054" xr:uid="{00000000-0005-0000-0000-000004080000}"/>
    <cellStyle name="Accent2 14" xfId="2055" xr:uid="{00000000-0005-0000-0000-000005080000}"/>
    <cellStyle name="Accent2 15" xfId="2056" xr:uid="{00000000-0005-0000-0000-000006080000}"/>
    <cellStyle name="Accent2 16" xfId="2057" xr:uid="{00000000-0005-0000-0000-000007080000}"/>
    <cellStyle name="Accent2 17" xfId="2058" xr:uid="{00000000-0005-0000-0000-000008080000}"/>
    <cellStyle name="Accent2 18" xfId="2059" xr:uid="{00000000-0005-0000-0000-000009080000}"/>
    <cellStyle name="Accent2 19" xfId="2060" xr:uid="{00000000-0005-0000-0000-00000A080000}"/>
    <cellStyle name="Accent2 2" xfId="2061" xr:uid="{00000000-0005-0000-0000-00000B080000}"/>
    <cellStyle name="Accent2 2 2" xfId="2062" xr:uid="{00000000-0005-0000-0000-00000C080000}"/>
    <cellStyle name="Accent2 20" xfId="2063" xr:uid="{00000000-0005-0000-0000-00000D080000}"/>
    <cellStyle name="Accent2 21" xfId="2064" xr:uid="{00000000-0005-0000-0000-00000E080000}"/>
    <cellStyle name="Accent2 22" xfId="2065" xr:uid="{00000000-0005-0000-0000-00000F080000}"/>
    <cellStyle name="Accent2 23" xfId="2066" xr:uid="{00000000-0005-0000-0000-000010080000}"/>
    <cellStyle name="Accent2 24" xfId="2067" xr:uid="{00000000-0005-0000-0000-000011080000}"/>
    <cellStyle name="Accent2 25" xfId="2068" xr:uid="{00000000-0005-0000-0000-000012080000}"/>
    <cellStyle name="Accent2 26" xfId="2069" xr:uid="{00000000-0005-0000-0000-000013080000}"/>
    <cellStyle name="Accent2 27" xfId="2070" xr:uid="{00000000-0005-0000-0000-000014080000}"/>
    <cellStyle name="Accent2 28" xfId="2071" xr:uid="{00000000-0005-0000-0000-000015080000}"/>
    <cellStyle name="Accent2 29" xfId="2072" xr:uid="{00000000-0005-0000-0000-000016080000}"/>
    <cellStyle name="Accent2 3" xfId="2073" xr:uid="{00000000-0005-0000-0000-000017080000}"/>
    <cellStyle name="Accent2 30" xfId="2074" xr:uid="{00000000-0005-0000-0000-000018080000}"/>
    <cellStyle name="Accent2 31" xfId="2075" xr:uid="{00000000-0005-0000-0000-000019080000}"/>
    <cellStyle name="Accent2 32" xfId="2076" xr:uid="{00000000-0005-0000-0000-00001A080000}"/>
    <cellStyle name="Accent2 33" xfId="2077" xr:uid="{00000000-0005-0000-0000-00001B080000}"/>
    <cellStyle name="Accent2 34" xfId="2078" xr:uid="{00000000-0005-0000-0000-00001C080000}"/>
    <cellStyle name="Accent2 35" xfId="2079" xr:uid="{00000000-0005-0000-0000-00001D080000}"/>
    <cellStyle name="Accent2 36" xfId="2080" xr:uid="{00000000-0005-0000-0000-00001E080000}"/>
    <cellStyle name="Accent2 37" xfId="2081" xr:uid="{00000000-0005-0000-0000-00001F080000}"/>
    <cellStyle name="Accent2 38" xfId="2082" xr:uid="{00000000-0005-0000-0000-000020080000}"/>
    <cellStyle name="Accent2 39" xfId="2083" xr:uid="{00000000-0005-0000-0000-000021080000}"/>
    <cellStyle name="Accent2 4" xfId="2084" xr:uid="{00000000-0005-0000-0000-000022080000}"/>
    <cellStyle name="Accent2 40" xfId="2085" xr:uid="{00000000-0005-0000-0000-000023080000}"/>
    <cellStyle name="Accent2 41" xfId="2086" xr:uid="{00000000-0005-0000-0000-000024080000}"/>
    <cellStyle name="Accent2 42" xfId="2087" xr:uid="{00000000-0005-0000-0000-000025080000}"/>
    <cellStyle name="Accent2 5" xfId="2088" xr:uid="{00000000-0005-0000-0000-000026080000}"/>
    <cellStyle name="Accent2 6" xfId="2089" xr:uid="{00000000-0005-0000-0000-000027080000}"/>
    <cellStyle name="Accent2 7" xfId="2090" xr:uid="{00000000-0005-0000-0000-000028080000}"/>
    <cellStyle name="Accent2 8" xfId="2091" xr:uid="{00000000-0005-0000-0000-000029080000}"/>
    <cellStyle name="Accent2 9" xfId="2092" xr:uid="{00000000-0005-0000-0000-00002A080000}"/>
    <cellStyle name="Accent2 9 2" xfId="2093" xr:uid="{00000000-0005-0000-0000-00002B080000}"/>
    <cellStyle name="Accent2 9 3" xfId="2094" xr:uid="{00000000-0005-0000-0000-00002C080000}"/>
    <cellStyle name="Accent3 10" xfId="2095" xr:uid="{00000000-0005-0000-0000-00002D080000}"/>
    <cellStyle name="Accent3 11" xfId="2096" xr:uid="{00000000-0005-0000-0000-00002E080000}"/>
    <cellStyle name="Accent3 12" xfId="2097" xr:uid="{00000000-0005-0000-0000-00002F080000}"/>
    <cellStyle name="Accent3 13" xfId="2098" xr:uid="{00000000-0005-0000-0000-000030080000}"/>
    <cellStyle name="Accent3 14" xfId="2099" xr:uid="{00000000-0005-0000-0000-000031080000}"/>
    <cellStyle name="Accent3 15" xfId="2100" xr:uid="{00000000-0005-0000-0000-000032080000}"/>
    <cellStyle name="Accent3 16" xfId="2101" xr:uid="{00000000-0005-0000-0000-000033080000}"/>
    <cellStyle name="Accent3 17" xfId="2102" xr:uid="{00000000-0005-0000-0000-000034080000}"/>
    <cellStyle name="Accent3 18" xfId="2103" xr:uid="{00000000-0005-0000-0000-000035080000}"/>
    <cellStyle name="Accent3 19" xfId="2104" xr:uid="{00000000-0005-0000-0000-000036080000}"/>
    <cellStyle name="Accent3 2" xfId="2105" xr:uid="{00000000-0005-0000-0000-000037080000}"/>
    <cellStyle name="Accent3 2 2" xfId="2106" xr:uid="{00000000-0005-0000-0000-000038080000}"/>
    <cellStyle name="Accent3 20" xfId="2107" xr:uid="{00000000-0005-0000-0000-000039080000}"/>
    <cellStyle name="Accent3 21" xfId="2108" xr:uid="{00000000-0005-0000-0000-00003A080000}"/>
    <cellStyle name="Accent3 22" xfId="2109" xr:uid="{00000000-0005-0000-0000-00003B080000}"/>
    <cellStyle name="Accent3 23" xfId="2110" xr:uid="{00000000-0005-0000-0000-00003C080000}"/>
    <cellStyle name="Accent3 24" xfId="2111" xr:uid="{00000000-0005-0000-0000-00003D080000}"/>
    <cellStyle name="Accent3 25" xfId="2112" xr:uid="{00000000-0005-0000-0000-00003E080000}"/>
    <cellStyle name="Accent3 26" xfId="2113" xr:uid="{00000000-0005-0000-0000-00003F080000}"/>
    <cellStyle name="Accent3 27" xfId="2114" xr:uid="{00000000-0005-0000-0000-000040080000}"/>
    <cellStyle name="Accent3 28" xfId="2115" xr:uid="{00000000-0005-0000-0000-000041080000}"/>
    <cellStyle name="Accent3 29" xfId="2116" xr:uid="{00000000-0005-0000-0000-000042080000}"/>
    <cellStyle name="Accent3 3" xfId="2117" xr:uid="{00000000-0005-0000-0000-000043080000}"/>
    <cellStyle name="Accent3 30" xfId="2118" xr:uid="{00000000-0005-0000-0000-000044080000}"/>
    <cellStyle name="Accent3 31" xfId="2119" xr:uid="{00000000-0005-0000-0000-000045080000}"/>
    <cellStyle name="Accent3 32" xfId="2120" xr:uid="{00000000-0005-0000-0000-000046080000}"/>
    <cellStyle name="Accent3 33" xfId="2121" xr:uid="{00000000-0005-0000-0000-000047080000}"/>
    <cellStyle name="Accent3 34" xfId="2122" xr:uid="{00000000-0005-0000-0000-000048080000}"/>
    <cellStyle name="Accent3 35" xfId="2123" xr:uid="{00000000-0005-0000-0000-000049080000}"/>
    <cellStyle name="Accent3 36" xfId="2124" xr:uid="{00000000-0005-0000-0000-00004A080000}"/>
    <cellStyle name="Accent3 37" xfId="2125" xr:uid="{00000000-0005-0000-0000-00004B080000}"/>
    <cellStyle name="Accent3 38" xfId="2126" xr:uid="{00000000-0005-0000-0000-00004C080000}"/>
    <cellStyle name="Accent3 39" xfId="2127" xr:uid="{00000000-0005-0000-0000-00004D080000}"/>
    <cellStyle name="Accent3 4" xfId="2128" xr:uid="{00000000-0005-0000-0000-00004E080000}"/>
    <cellStyle name="Accent3 40" xfId="2129" xr:uid="{00000000-0005-0000-0000-00004F080000}"/>
    <cellStyle name="Accent3 41" xfId="2130" xr:uid="{00000000-0005-0000-0000-000050080000}"/>
    <cellStyle name="Accent3 42" xfId="2131" xr:uid="{00000000-0005-0000-0000-000051080000}"/>
    <cellStyle name="Accent3 5" xfId="2132" xr:uid="{00000000-0005-0000-0000-000052080000}"/>
    <cellStyle name="Accent3 6" xfId="2133" xr:uid="{00000000-0005-0000-0000-000053080000}"/>
    <cellStyle name="Accent3 7" xfId="2134" xr:uid="{00000000-0005-0000-0000-000054080000}"/>
    <cellStyle name="Accent3 8" xfId="2135" xr:uid="{00000000-0005-0000-0000-000055080000}"/>
    <cellStyle name="Accent3 9" xfId="2136" xr:uid="{00000000-0005-0000-0000-000056080000}"/>
    <cellStyle name="Accent3 9 2" xfId="2137" xr:uid="{00000000-0005-0000-0000-000057080000}"/>
    <cellStyle name="Accent3 9 3" xfId="2138" xr:uid="{00000000-0005-0000-0000-000058080000}"/>
    <cellStyle name="Accent4 10" xfId="2139" xr:uid="{00000000-0005-0000-0000-000059080000}"/>
    <cellStyle name="Accent4 11" xfId="2140" xr:uid="{00000000-0005-0000-0000-00005A080000}"/>
    <cellStyle name="Accent4 12" xfId="2141" xr:uid="{00000000-0005-0000-0000-00005B080000}"/>
    <cellStyle name="Accent4 13" xfId="2142" xr:uid="{00000000-0005-0000-0000-00005C080000}"/>
    <cellStyle name="Accent4 14" xfId="2143" xr:uid="{00000000-0005-0000-0000-00005D080000}"/>
    <cellStyle name="Accent4 15" xfId="2144" xr:uid="{00000000-0005-0000-0000-00005E080000}"/>
    <cellStyle name="Accent4 16" xfId="2145" xr:uid="{00000000-0005-0000-0000-00005F080000}"/>
    <cellStyle name="Accent4 17" xfId="2146" xr:uid="{00000000-0005-0000-0000-000060080000}"/>
    <cellStyle name="Accent4 18" xfId="2147" xr:uid="{00000000-0005-0000-0000-000061080000}"/>
    <cellStyle name="Accent4 19" xfId="2148" xr:uid="{00000000-0005-0000-0000-000062080000}"/>
    <cellStyle name="Accent4 2" xfId="2149" xr:uid="{00000000-0005-0000-0000-000063080000}"/>
    <cellStyle name="Accent4 2 2" xfId="2150" xr:uid="{00000000-0005-0000-0000-000064080000}"/>
    <cellStyle name="Accent4 20" xfId="2151" xr:uid="{00000000-0005-0000-0000-000065080000}"/>
    <cellStyle name="Accent4 21" xfId="2152" xr:uid="{00000000-0005-0000-0000-000066080000}"/>
    <cellStyle name="Accent4 22" xfId="2153" xr:uid="{00000000-0005-0000-0000-000067080000}"/>
    <cellStyle name="Accent4 23" xfId="2154" xr:uid="{00000000-0005-0000-0000-000068080000}"/>
    <cellStyle name="Accent4 24" xfId="2155" xr:uid="{00000000-0005-0000-0000-000069080000}"/>
    <cellStyle name="Accent4 25" xfId="2156" xr:uid="{00000000-0005-0000-0000-00006A080000}"/>
    <cellStyle name="Accent4 26" xfId="2157" xr:uid="{00000000-0005-0000-0000-00006B080000}"/>
    <cellStyle name="Accent4 27" xfId="2158" xr:uid="{00000000-0005-0000-0000-00006C080000}"/>
    <cellStyle name="Accent4 28" xfId="2159" xr:uid="{00000000-0005-0000-0000-00006D080000}"/>
    <cellStyle name="Accent4 29" xfId="2160" xr:uid="{00000000-0005-0000-0000-00006E080000}"/>
    <cellStyle name="Accent4 3" xfId="2161" xr:uid="{00000000-0005-0000-0000-00006F080000}"/>
    <cellStyle name="Accent4 30" xfId="2162" xr:uid="{00000000-0005-0000-0000-000070080000}"/>
    <cellStyle name="Accent4 31" xfId="2163" xr:uid="{00000000-0005-0000-0000-000071080000}"/>
    <cellStyle name="Accent4 32" xfId="2164" xr:uid="{00000000-0005-0000-0000-000072080000}"/>
    <cellStyle name="Accent4 33" xfId="2165" xr:uid="{00000000-0005-0000-0000-000073080000}"/>
    <cellStyle name="Accent4 34" xfId="2166" xr:uid="{00000000-0005-0000-0000-000074080000}"/>
    <cellStyle name="Accent4 35" xfId="2167" xr:uid="{00000000-0005-0000-0000-000075080000}"/>
    <cellStyle name="Accent4 36" xfId="2168" xr:uid="{00000000-0005-0000-0000-000076080000}"/>
    <cellStyle name="Accent4 37" xfId="2169" xr:uid="{00000000-0005-0000-0000-000077080000}"/>
    <cellStyle name="Accent4 38" xfId="2170" xr:uid="{00000000-0005-0000-0000-000078080000}"/>
    <cellStyle name="Accent4 39" xfId="2171" xr:uid="{00000000-0005-0000-0000-000079080000}"/>
    <cellStyle name="Accent4 4" xfId="2172" xr:uid="{00000000-0005-0000-0000-00007A080000}"/>
    <cellStyle name="Accent4 40" xfId="2173" xr:uid="{00000000-0005-0000-0000-00007B080000}"/>
    <cellStyle name="Accent4 41" xfId="2174" xr:uid="{00000000-0005-0000-0000-00007C080000}"/>
    <cellStyle name="Accent4 42" xfId="2175" xr:uid="{00000000-0005-0000-0000-00007D080000}"/>
    <cellStyle name="Accent4 5" xfId="2176" xr:uid="{00000000-0005-0000-0000-00007E080000}"/>
    <cellStyle name="Accent4 6" xfId="2177" xr:uid="{00000000-0005-0000-0000-00007F080000}"/>
    <cellStyle name="Accent4 7" xfId="2178" xr:uid="{00000000-0005-0000-0000-000080080000}"/>
    <cellStyle name="Accent4 8" xfId="2179" xr:uid="{00000000-0005-0000-0000-000081080000}"/>
    <cellStyle name="Accent4 9" xfId="2180" xr:uid="{00000000-0005-0000-0000-000082080000}"/>
    <cellStyle name="Accent4 9 2" xfId="2181" xr:uid="{00000000-0005-0000-0000-000083080000}"/>
    <cellStyle name="Accent4 9 3" xfId="2182" xr:uid="{00000000-0005-0000-0000-000084080000}"/>
    <cellStyle name="Accent5 10" xfId="2183" xr:uid="{00000000-0005-0000-0000-000085080000}"/>
    <cellStyle name="Accent5 11" xfId="2184" xr:uid="{00000000-0005-0000-0000-000086080000}"/>
    <cellStyle name="Accent5 12" xfId="2185" xr:uid="{00000000-0005-0000-0000-000087080000}"/>
    <cellStyle name="Accent5 13" xfId="2186" xr:uid="{00000000-0005-0000-0000-000088080000}"/>
    <cellStyle name="Accent5 14" xfId="2187" xr:uid="{00000000-0005-0000-0000-000089080000}"/>
    <cellStyle name="Accent5 15" xfId="2188" xr:uid="{00000000-0005-0000-0000-00008A080000}"/>
    <cellStyle name="Accent5 16" xfId="2189" xr:uid="{00000000-0005-0000-0000-00008B080000}"/>
    <cellStyle name="Accent5 17" xfId="2190" xr:uid="{00000000-0005-0000-0000-00008C080000}"/>
    <cellStyle name="Accent5 18" xfId="2191" xr:uid="{00000000-0005-0000-0000-00008D080000}"/>
    <cellStyle name="Accent5 19" xfId="2192" xr:uid="{00000000-0005-0000-0000-00008E080000}"/>
    <cellStyle name="Accent5 2" xfId="2193" xr:uid="{00000000-0005-0000-0000-00008F080000}"/>
    <cellStyle name="Accent5 2 2" xfId="2194" xr:uid="{00000000-0005-0000-0000-000090080000}"/>
    <cellStyle name="Accent5 20" xfId="2195" xr:uid="{00000000-0005-0000-0000-000091080000}"/>
    <cellStyle name="Accent5 21" xfId="2196" xr:uid="{00000000-0005-0000-0000-000092080000}"/>
    <cellStyle name="Accent5 22" xfId="2197" xr:uid="{00000000-0005-0000-0000-000093080000}"/>
    <cellStyle name="Accent5 23" xfId="2198" xr:uid="{00000000-0005-0000-0000-000094080000}"/>
    <cellStyle name="Accent5 24" xfId="2199" xr:uid="{00000000-0005-0000-0000-000095080000}"/>
    <cellStyle name="Accent5 25" xfId="2200" xr:uid="{00000000-0005-0000-0000-000096080000}"/>
    <cellStyle name="Accent5 26" xfId="2201" xr:uid="{00000000-0005-0000-0000-000097080000}"/>
    <cellStyle name="Accent5 27" xfId="2202" xr:uid="{00000000-0005-0000-0000-000098080000}"/>
    <cellStyle name="Accent5 28" xfId="2203" xr:uid="{00000000-0005-0000-0000-000099080000}"/>
    <cellStyle name="Accent5 29" xfId="2204" xr:uid="{00000000-0005-0000-0000-00009A080000}"/>
    <cellStyle name="Accent5 3" xfId="2205" xr:uid="{00000000-0005-0000-0000-00009B080000}"/>
    <cellStyle name="Accent5 30" xfId="2206" xr:uid="{00000000-0005-0000-0000-00009C080000}"/>
    <cellStyle name="Accent5 31" xfId="2207" xr:uid="{00000000-0005-0000-0000-00009D080000}"/>
    <cellStyle name="Accent5 32" xfId="2208" xr:uid="{00000000-0005-0000-0000-00009E080000}"/>
    <cellStyle name="Accent5 33" xfId="2209" xr:uid="{00000000-0005-0000-0000-00009F080000}"/>
    <cellStyle name="Accent5 34" xfId="2210" xr:uid="{00000000-0005-0000-0000-0000A0080000}"/>
    <cellStyle name="Accent5 35" xfId="2211" xr:uid="{00000000-0005-0000-0000-0000A1080000}"/>
    <cellStyle name="Accent5 36" xfId="2212" xr:uid="{00000000-0005-0000-0000-0000A2080000}"/>
    <cellStyle name="Accent5 37" xfId="2213" xr:uid="{00000000-0005-0000-0000-0000A3080000}"/>
    <cellStyle name="Accent5 38" xfId="2214" xr:uid="{00000000-0005-0000-0000-0000A4080000}"/>
    <cellStyle name="Accent5 39" xfId="2215" xr:uid="{00000000-0005-0000-0000-0000A5080000}"/>
    <cellStyle name="Accent5 4" xfId="2216" xr:uid="{00000000-0005-0000-0000-0000A6080000}"/>
    <cellStyle name="Accent5 40" xfId="2217" xr:uid="{00000000-0005-0000-0000-0000A7080000}"/>
    <cellStyle name="Accent5 41" xfId="2218" xr:uid="{00000000-0005-0000-0000-0000A8080000}"/>
    <cellStyle name="Accent5 42" xfId="2219" xr:uid="{00000000-0005-0000-0000-0000A9080000}"/>
    <cellStyle name="Accent5 5" xfId="2220" xr:uid="{00000000-0005-0000-0000-0000AA080000}"/>
    <cellStyle name="Accent5 6" xfId="2221" xr:uid="{00000000-0005-0000-0000-0000AB080000}"/>
    <cellStyle name="Accent5 7" xfId="2222" xr:uid="{00000000-0005-0000-0000-0000AC080000}"/>
    <cellStyle name="Accent5 8" xfId="2223" xr:uid="{00000000-0005-0000-0000-0000AD080000}"/>
    <cellStyle name="Accent5 9" xfId="2224" xr:uid="{00000000-0005-0000-0000-0000AE080000}"/>
    <cellStyle name="Accent5 9 2" xfId="2225" xr:uid="{00000000-0005-0000-0000-0000AF080000}"/>
    <cellStyle name="Accent5 9 3" xfId="2226" xr:uid="{00000000-0005-0000-0000-0000B0080000}"/>
    <cellStyle name="Accent6 10" xfId="2227" xr:uid="{00000000-0005-0000-0000-0000B1080000}"/>
    <cellStyle name="Accent6 11" xfId="2228" xr:uid="{00000000-0005-0000-0000-0000B2080000}"/>
    <cellStyle name="Accent6 12" xfId="2229" xr:uid="{00000000-0005-0000-0000-0000B3080000}"/>
    <cellStyle name="Accent6 13" xfId="2230" xr:uid="{00000000-0005-0000-0000-0000B4080000}"/>
    <cellStyle name="Accent6 14" xfId="2231" xr:uid="{00000000-0005-0000-0000-0000B5080000}"/>
    <cellStyle name="Accent6 15" xfId="2232" xr:uid="{00000000-0005-0000-0000-0000B6080000}"/>
    <cellStyle name="Accent6 16" xfId="2233" xr:uid="{00000000-0005-0000-0000-0000B7080000}"/>
    <cellStyle name="Accent6 17" xfId="2234" xr:uid="{00000000-0005-0000-0000-0000B8080000}"/>
    <cellStyle name="Accent6 18" xfId="2235" xr:uid="{00000000-0005-0000-0000-0000B9080000}"/>
    <cellStyle name="Accent6 19" xfId="2236" xr:uid="{00000000-0005-0000-0000-0000BA080000}"/>
    <cellStyle name="Accent6 2" xfId="2237" xr:uid="{00000000-0005-0000-0000-0000BB080000}"/>
    <cellStyle name="Accent6 2 2" xfId="2238" xr:uid="{00000000-0005-0000-0000-0000BC080000}"/>
    <cellStyle name="Accent6 20" xfId="2239" xr:uid="{00000000-0005-0000-0000-0000BD080000}"/>
    <cellStyle name="Accent6 21" xfId="2240" xr:uid="{00000000-0005-0000-0000-0000BE080000}"/>
    <cellStyle name="Accent6 22" xfId="2241" xr:uid="{00000000-0005-0000-0000-0000BF080000}"/>
    <cellStyle name="Accent6 23" xfId="2242" xr:uid="{00000000-0005-0000-0000-0000C0080000}"/>
    <cellStyle name="Accent6 24" xfId="2243" xr:uid="{00000000-0005-0000-0000-0000C1080000}"/>
    <cellStyle name="Accent6 25" xfId="2244" xr:uid="{00000000-0005-0000-0000-0000C2080000}"/>
    <cellStyle name="Accent6 26" xfId="2245" xr:uid="{00000000-0005-0000-0000-0000C3080000}"/>
    <cellStyle name="Accent6 27" xfId="2246" xr:uid="{00000000-0005-0000-0000-0000C4080000}"/>
    <cellStyle name="Accent6 28" xfId="2247" xr:uid="{00000000-0005-0000-0000-0000C5080000}"/>
    <cellStyle name="Accent6 29" xfId="2248" xr:uid="{00000000-0005-0000-0000-0000C6080000}"/>
    <cellStyle name="Accent6 3" xfId="2249" xr:uid="{00000000-0005-0000-0000-0000C7080000}"/>
    <cellStyle name="Accent6 30" xfId="2250" xr:uid="{00000000-0005-0000-0000-0000C8080000}"/>
    <cellStyle name="Accent6 31" xfId="2251" xr:uid="{00000000-0005-0000-0000-0000C9080000}"/>
    <cellStyle name="Accent6 32" xfId="2252" xr:uid="{00000000-0005-0000-0000-0000CA080000}"/>
    <cellStyle name="Accent6 33" xfId="2253" xr:uid="{00000000-0005-0000-0000-0000CB080000}"/>
    <cellStyle name="Accent6 34" xfId="2254" xr:uid="{00000000-0005-0000-0000-0000CC080000}"/>
    <cellStyle name="Accent6 35" xfId="2255" xr:uid="{00000000-0005-0000-0000-0000CD080000}"/>
    <cellStyle name="Accent6 36" xfId="2256" xr:uid="{00000000-0005-0000-0000-0000CE080000}"/>
    <cellStyle name="Accent6 37" xfId="2257" xr:uid="{00000000-0005-0000-0000-0000CF080000}"/>
    <cellStyle name="Accent6 38" xfId="2258" xr:uid="{00000000-0005-0000-0000-0000D0080000}"/>
    <cellStyle name="Accent6 39" xfId="2259" xr:uid="{00000000-0005-0000-0000-0000D1080000}"/>
    <cellStyle name="Accent6 4" xfId="2260" xr:uid="{00000000-0005-0000-0000-0000D2080000}"/>
    <cellStyle name="Accent6 40" xfId="2261" xr:uid="{00000000-0005-0000-0000-0000D3080000}"/>
    <cellStyle name="Accent6 41" xfId="2262" xr:uid="{00000000-0005-0000-0000-0000D4080000}"/>
    <cellStyle name="Accent6 42" xfId="2263" xr:uid="{00000000-0005-0000-0000-0000D5080000}"/>
    <cellStyle name="Accent6 5" xfId="2264" xr:uid="{00000000-0005-0000-0000-0000D6080000}"/>
    <cellStyle name="Accent6 6" xfId="2265" xr:uid="{00000000-0005-0000-0000-0000D7080000}"/>
    <cellStyle name="Accent6 7" xfId="2266" xr:uid="{00000000-0005-0000-0000-0000D8080000}"/>
    <cellStyle name="Accent6 8" xfId="2267" xr:uid="{00000000-0005-0000-0000-0000D9080000}"/>
    <cellStyle name="Accent6 9" xfId="2268" xr:uid="{00000000-0005-0000-0000-0000DA080000}"/>
    <cellStyle name="Accent6 9 2" xfId="2269" xr:uid="{00000000-0005-0000-0000-0000DB080000}"/>
    <cellStyle name="Accent6 9 3" xfId="2270" xr:uid="{00000000-0005-0000-0000-0000DC080000}"/>
    <cellStyle name="Bad 10" xfId="2271" xr:uid="{00000000-0005-0000-0000-0000DD080000}"/>
    <cellStyle name="Bad 11" xfId="2272" xr:uid="{00000000-0005-0000-0000-0000DE080000}"/>
    <cellStyle name="Bad 12" xfId="2273" xr:uid="{00000000-0005-0000-0000-0000DF080000}"/>
    <cellStyle name="Bad 13" xfId="2274" xr:uid="{00000000-0005-0000-0000-0000E0080000}"/>
    <cellStyle name="Bad 14" xfId="2275" xr:uid="{00000000-0005-0000-0000-0000E1080000}"/>
    <cellStyle name="Bad 15" xfId="2276" xr:uid="{00000000-0005-0000-0000-0000E2080000}"/>
    <cellStyle name="Bad 16" xfId="2277" xr:uid="{00000000-0005-0000-0000-0000E3080000}"/>
    <cellStyle name="Bad 17" xfId="2278" xr:uid="{00000000-0005-0000-0000-0000E4080000}"/>
    <cellStyle name="Bad 18" xfId="2279" xr:uid="{00000000-0005-0000-0000-0000E5080000}"/>
    <cellStyle name="Bad 19" xfId="2280" xr:uid="{00000000-0005-0000-0000-0000E6080000}"/>
    <cellStyle name="Bad 2" xfId="2281" xr:uid="{00000000-0005-0000-0000-0000E7080000}"/>
    <cellStyle name="Bad 2 2" xfId="2282" xr:uid="{00000000-0005-0000-0000-0000E8080000}"/>
    <cellStyle name="Bad 2 3" xfId="2283" xr:uid="{00000000-0005-0000-0000-0000E9080000}"/>
    <cellStyle name="Bad 2 4" xfId="2284" xr:uid="{00000000-0005-0000-0000-0000EA080000}"/>
    <cellStyle name="Bad 20" xfId="2285" xr:uid="{00000000-0005-0000-0000-0000EB080000}"/>
    <cellStyle name="Bad 21" xfId="2286" xr:uid="{00000000-0005-0000-0000-0000EC080000}"/>
    <cellStyle name="Bad 22" xfId="2287" xr:uid="{00000000-0005-0000-0000-0000ED080000}"/>
    <cellStyle name="Bad 23" xfId="2288" xr:uid="{00000000-0005-0000-0000-0000EE080000}"/>
    <cellStyle name="Bad 24" xfId="2289" xr:uid="{00000000-0005-0000-0000-0000EF080000}"/>
    <cellStyle name="Bad 25" xfId="2290" xr:uid="{00000000-0005-0000-0000-0000F0080000}"/>
    <cellStyle name="Bad 26" xfId="2291" xr:uid="{00000000-0005-0000-0000-0000F1080000}"/>
    <cellStyle name="Bad 27" xfId="2292" xr:uid="{00000000-0005-0000-0000-0000F2080000}"/>
    <cellStyle name="Bad 28" xfId="2293" xr:uid="{00000000-0005-0000-0000-0000F3080000}"/>
    <cellStyle name="Bad 29" xfId="2294" xr:uid="{00000000-0005-0000-0000-0000F4080000}"/>
    <cellStyle name="Bad 3" xfId="2295" xr:uid="{00000000-0005-0000-0000-0000F5080000}"/>
    <cellStyle name="Bad 30" xfId="2296" xr:uid="{00000000-0005-0000-0000-0000F6080000}"/>
    <cellStyle name="Bad 31" xfId="2297" xr:uid="{00000000-0005-0000-0000-0000F7080000}"/>
    <cellStyle name="Bad 32" xfId="2298" xr:uid="{00000000-0005-0000-0000-0000F8080000}"/>
    <cellStyle name="Bad 33" xfId="2299" xr:uid="{00000000-0005-0000-0000-0000F9080000}"/>
    <cellStyle name="Bad 34" xfId="2300" xr:uid="{00000000-0005-0000-0000-0000FA080000}"/>
    <cellStyle name="Bad 35" xfId="2301" xr:uid="{00000000-0005-0000-0000-0000FB080000}"/>
    <cellStyle name="Bad 36" xfId="2302" xr:uid="{00000000-0005-0000-0000-0000FC080000}"/>
    <cellStyle name="Bad 37" xfId="2303" xr:uid="{00000000-0005-0000-0000-0000FD080000}"/>
    <cellStyle name="Bad 38" xfId="2304" xr:uid="{00000000-0005-0000-0000-0000FE080000}"/>
    <cellStyle name="Bad 39" xfId="2305" xr:uid="{00000000-0005-0000-0000-0000FF080000}"/>
    <cellStyle name="Bad 4" xfId="2306" xr:uid="{00000000-0005-0000-0000-000000090000}"/>
    <cellStyle name="Bad 40" xfId="2307" xr:uid="{00000000-0005-0000-0000-000001090000}"/>
    <cellStyle name="Bad 41" xfId="2308" xr:uid="{00000000-0005-0000-0000-000002090000}"/>
    <cellStyle name="Bad 42" xfId="2309" xr:uid="{00000000-0005-0000-0000-000003090000}"/>
    <cellStyle name="Bad 5" xfId="2310" xr:uid="{00000000-0005-0000-0000-000004090000}"/>
    <cellStyle name="Bad 6" xfId="2311" xr:uid="{00000000-0005-0000-0000-000005090000}"/>
    <cellStyle name="Bad 7" xfId="2312" xr:uid="{00000000-0005-0000-0000-000006090000}"/>
    <cellStyle name="Bad 8" xfId="2313" xr:uid="{00000000-0005-0000-0000-000007090000}"/>
    <cellStyle name="Bad 9" xfId="2314" xr:uid="{00000000-0005-0000-0000-000008090000}"/>
    <cellStyle name="Bad 9 2" xfId="2315" xr:uid="{00000000-0005-0000-0000-000009090000}"/>
    <cellStyle name="Bad 9 3" xfId="2316" xr:uid="{00000000-0005-0000-0000-00000A090000}"/>
    <cellStyle name="Calculation 10" xfId="2317" xr:uid="{00000000-0005-0000-0000-00000B090000}"/>
    <cellStyle name="Calculation 10 2" xfId="2318" xr:uid="{00000000-0005-0000-0000-00000C090000}"/>
    <cellStyle name="Calculation 10 3" xfId="2319" xr:uid="{00000000-0005-0000-0000-00000D090000}"/>
    <cellStyle name="Calculation 10 4" xfId="2320" xr:uid="{00000000-0005-0000-0000-00000E090000}"/>
    <cellStyle name="Calculation 11" xfId="2321" xr:uid="{00000000-0005-0000-0000-00000F090000}"/>
    <cellStyle name="Calculation 11 2" xfId="2322" xr:uid="{00000000-0005-0000-0000-000010090000}"/>
    <cellStyle name="Calculation 11 3" xfId="2323" xr:uid="{00000000-0005-0000-0000-000011090000}"/>
    <cellStyle name="Calculation 11 4" xfId="2324" xr:uid="{00000000-0005-0000-0000-000012090000}"/>
    <cellStyle name="Calculation 12" xfId="2325" xr:uid="{00000000-0005-0000-0000-000013090000}"/>
    <cellStyle name="Calculation 12 2" xfId="2326" xr:uid="{00000000-0005-0000-0000-000014090000}"/>
    <cellStyle name="Calculation 12 3" xfId="2327" xr:uid="{00000000-0005-0000-0000-000015090000}"/>
    <cellStyle name="Calculation 12 4" xfId="2328" xr:uid="{00000000-0005-0000-0000-000016090000}"/>
    <cellStyle name="Calculation 13" xfId="2329" xr:uid="{00000000-0005-0000-0000-000017090000}"/>
    <cellStyle name="Calculation 14" xfId="2330" xr:uid="{00000000-0005-0000-0000-000018090000}"/>
    <cellStyle name="Calculation 15" xfId="2331" xr:uid="{00000000-0005-0000-0000-000019090000}"/>
    <cellStyle name="Calculation 16" xfId="2332" xr:uid="{00000000-0005-0000-0000-00001A090000}"/>
    <cellStyle name="Calculation 17" xfId="2333" xr:uid="{00000000-0005-0000-0000-00001B090000}"/>
    <cellStyle name="Calculation 18" xfId="2334" xr:uid="{00000000-0005-0000-0000-00001C090000}"/>
    <cellStyle name="Calculation 19" xfId="2335" xr:uid="{00000000-0005-0000-0000-00001D090000}"/>
    <cellStyle name="Calculation 2" xfId="2336" xr:uid="{00000000-0005-0000-0000-00001E090000}"/>
    <cellStyle name="Calculation 2 2" xfId="2337" xr:uid="{00000000-0005-0000-0000-00001F090000}"/>
    <cellStyle name="Calculation 2 2 2" xfId="2338" xr:uid="{00000000-0005-0000-0000-000020090000}"/>
    <cellStyle name="Calculation 2 2 3" xfId="2339" xr:uid="{00000000-0005-0000-0000-000021090000}"/>
    <cellStyle name="Calculation 2 2 4" xfId="2340" xr:uid="{00000000-0005-0000-0000-000022090000}"/>
    <cellStyle name="Calculation 2 3" xfId="2341" xr:uid="{00000000-0005-0000-0000-000023090000}"/>
    <cellStyle name="Calculation 2 3 2" xfId="2342" xr:uid="{00000000-0005-0000-0000-000024090000}"/>
    <cellStyle name="Calculation 2 3 3" xfId="2343" xr:uid="{00000000-0005-0000-0000-000025090000}"/>
    <cellStyle name="Calculation 2 3 4" xfId="2344" xr:uid="{00000000-0005-0000-0000-000026090000}"/>
    <cellStyle name="Calculation 2 4" xfId="2345" xr:uid="{00000000-0005-0000-0000-000027090000}"/>
    <cellStyle name="Calculation 2 4 2" xfId="2346" xr:uid="{00000000-0005-0000-0000-000028090000}"/>
    <cellStyle name="Calculation 2 4 3" xfId="2347" xr:uid="{00000000-0005-0000-0000-000029090000}"/>
    <cellStyle name="Calculation 2 4 4" xfId="2348" xr:uid="{00000000-0005-0000-0000-00002A090000}"/>
    <cellStyle name="Calculation 2 5" xfId="2349" xr:uid="{00000000-0005-0000-0000-00002B090000}"/>
    <cellStyle name="Calculation 2 6" xfId="2350" xr:uid="{00000000-0005-0000-0000-00002C090000}"/>
    <cellStyle name="Calculation 2 7" xfId="2351" xr:uid="{00000000-0005-0000-0000-00002D090000}"/>
    <cellStyle name="Calculation 20" xfId="2352" xr:uid="{00000000-0005-0000-0000-00002E090000}"/>
    <cellStyle name="Calculation 21" xfId="2353" xr:uid="{00000000-0005-0000-0000-00002F090000}"/>
    <cellStyle name="Calculation 22" xfId="2354" xr:uid="{00000000-0005-0000-0000-000030090000}"/>
    <cellStyle name="Calculation 23" xfId="2355" xr:uid="{00000000-0005-0000-0000-000031090000}"/>
    <cellStyle name="Calculation 24" xfId="2356" xr:uid="{00000000-0005-0000-0000-000032090000}"/>
    <cellStyle name="Calculation 25" xfId="2357" xr:uid="{00000000-0005-0000-0000-000033090000}"/>
    <cellStyle name="Calculation 26" xfId="2358" xr:uid="{00000000-0005-0000-0000-000034090000}"/>
    <cellStyle name="Calculation 27" xfId="2359" xr:uid="{00000000-0005-0000-0000-000035090000}"/>
    <cellStyle name="Calculation 28" xfId="2360" xr:uid="{00000000-0005-0000-0000-000036090000}"/>
    <cellStyle name="Calculation 29" xfId="2361" xr:uid="{00000000-0005-0000-0000-000037090000}"/>
    <cellStyle name="Calculation 3" xfId="2362" xr:uid="{00000000-0005-0000-0000-000038090000}"/>
    <cellStyle name="Calculation 3 2" xfId="2363" xr:uid="{00000000-0005-0000-0000-000039090000}"/>
    <cellStyle name="Calculation 3 3" xfId="2364" xr:uid="{00000000-0005-0000-0000-00003A090000}"/>
    <cellStyle name="Calculation 3 4" xfId="2365" xr:uid="{00000000-0005-0000-0000-00003B090000}"/>
    <cellStyle name="Calculation 30" xfId="2366" xr:uid="{00000000-0005-0000-0000-00003C090000}"/>
    <cellStyle name="Calculation 31" xfId="2367" xr:uid="{00000000-0005-0000-0000-00003D090000}"/>
    <cellStyle name="Calculation 32" xfId="2368" xr:uid="{00000000-0005-0000-0000-00003E090000}"/>
    <cellStyle name="Calculation 33" xfId="2369" xr:uid="{00000000-0005-0000-0000-00003F090000}"/>
    <cellStyle name="Calculation 34" xfId="2370" xr:uid="{00000000-0005-0000-0000-000040090000}"/>
    <cellStyle name="Calculation 35" xfId="2371" xr:uid="{00000000-0005-0000-0000-000041090000}"/>
    <cellStyle name="Calculation 36" xfId="2372" xr:uid="{00000000-0005-0000-0000-000042090000}"/>
    <cellStyle name="Calculation 37" xfId="2373" xr:uid="{00000000-0005-0000-0000-000043090000}"/>
    <cellStyle name="Calculation 38" xfId="2374" xr:uid="{00000000-0005-0000-0000-000044090000}"/>
    <cellStyle name="Calculation 39" xfId="2375" xr:uid="{00000000-0005-0000-0000-000045090000}"/>
    <cellStyle name="Calculation 4" xfId="2376" xr:uid="{00000000-0005-0000-0000-000046090000}"/>
    <cellStyle name="Calculation 4 2" xfId="2377" xr:uid="{00000000-0005-0000-0000-000047090000}"/>
    <cellStyle name="Calculation 4 3" xfId="2378" xr:uid="{00000000-0005-0000-0000-000048090000}"/>
    <cellStyle name="Calculation 4 4" xfId="2379" xr:uid="{00000000-0005-0000-0000-000049090000}"/>
    <cellStyle name="Calculation 40" xfId="2380" xr:uid="{00000000-0005-0000-0000-00004A090000}"/>
    <cellStyle name="Calculation 41" xfId="2381" xr:uid="{00000000-0005-0000-0000-00004B090000}"/>
    <cellStyle name="Calculation 42" xfId="2382" xr:uid="{00000000-0005-0000-0000-00004C090000}"/>
    <cellStyle name="Calculation 43" xfId="2383" xr:uid="{00000000-0005-0000-0000-00004D090000}"/>
    <cellStyle name="Calculation 5" xfId="2384" xr:uid="{00000000-0005-0000-0000-00004E090000}"/>
    <cellStyle name="Calculation 5 2" xfId="2385" xr:uid="{00000000-0005-0000-0000-00004F090000}"/>
    <cellStyle name="Calculation 5 3" xfId="2386" xr:uid="{00000000-0005-0000-0000-000050090000}"/>
    <cellStyle name="Calculation 5 4" xfId="2387" xr:uid="{00000000-0005-0000-0000-000051090000}"/>
    <cellStyle name="Calculation 6" xfId="2388" xr:uid="{00000000-0005-0000-0000-000052090000}"/>
    <cellStyle name="Calculation 6 2" xfId="2389" xr:uid="{00000000-0005-0000-0000-000053090000}"/>
    <cellStyle name="Calculation 6 3" xfId="2390" xr:uid="{00000000-0005-0000-0000-000054090000}"/>
    <cellStyle name="Calculation 6 4" xfId="2391" xr:uid="{00000000-0005-0000-0000-000055090000}"/>
    <cellStyle name="Calculation 7" xfId="2392" xr:uid="{00000000-0005-0000-0000-000056090000}"/>
    <cellStyle name="Calculation 7 2" xfId="2393" xr:uid="{00000000-0005-0000-0000-000057090000}"/>
    <cellStyle name="Calculation 7 3" xfId="2394" xr:uid="{00000000-0005-0000-0000-000058090000}"/>
    <cellStyle name="Calculation 7 4" xfId="2395" xr:uid="{00000000-0005-0000-0000-000059090000}"/>
    <cellStyle name="Calculation 8" xfId="2396" xr:uid="{00000000-0005-0000-0000-00005A090000}"/>
    <cellStyle name="Calculation 8 2" xfId="2397" xr:uid="{00000000-0005-0000-0000-00005B090000}"/>
    <cellStyle name="Calculation 8 3" xfId="2398" xr:uid="{00000000-0005-0000-0000-00005C090000}"/>
    <cellStyle name="Calculation 8 4" xfId="2399" xr:uid="{00000000-0005-0000-0000-00005D090000}"/>
    <cellStyle name="Calculation 9" xfId="2400" xr:uid="{00000000-0005-0000-0000-00005E090000}"/>
    <cellStyle name="Calculation 9 2" xfId="2401" xr:uid="{00000000-0005-0000-0000-00005F090000}"/>
    <cellStyle name="Calculation 9 2 2" xfId="2402" xr:uid="{00000000-0005-0000-0000-000060090000}"/>
    <cellStyle name="Calculation 9 2 3" xfId="2403" xr:uid="{00000000-0005-0000-0000-000061090000}"/>
    <cellStyle name="Calculation 9 2 4" xfId="2404" xr:uid="{00000000-0005-0000-0000-000062090000}"/>
    <cellStyle name="Calculation 9 3" xfId="2405" xr:uid="{00000000-0005-0000-0000-000063090000}"/>
    <cellStyle name="Calculation 9 4" xfId="2406" xr:uid="{00000000-0005-0000-0000-000064090000}"/>
    <cellStyle name="Calculation 9 5" xfId="2407" xr:uid="{00000000-0005-0000-0000-000065090000}"/>
    <cellStyle name="Calculation 9 6" xfId="2408" xr:uid="{00000000-0005-0000-0000-000066090000}"/>
    <cellStyle name="Check Cell 10" xfId="2409" xr:uid="{00000000-0005-0000-0000-000067090000}"/>
    <cellStyle name="Check Cell 11" xfId="2410" xr:uid="{00000000-0005-0000-0000-000068090000}"/>
    <cellStyle name="Check Cell 12" xfId="2411" xr:uid="{00000000-0005-0000-0000-000069090000}"/>
    <cellStyle name="Check Cell 13" xfId="2412" xr:uid="{00000000-0005-0000-0000-00006A090000}"/>
    <cellStyle name="Check Cell 14" xfId="2413" xr:uid="{00000000-0005-0000-0000-00006B090000}"/>
    <cellStyle name="Check Cell 15" xfId="2414" xr:uid="{00000000-0005-0000-0000-00006C090000}"/>
    <cellStyle name="Check Cell 16" xfId="2415" xr:uid="{00000000-0005-0000-0000-00006D090000}"/>
    <cellStyle name="Check Cell 17" xfId="2416" xr:uid="{00000000-0005-0000-0000-00006E090000}"/>
    <cellStyle name="Check Cell 18" xfId="2417" xr:uid="{00000000-0005-0000-0000-00006F090000}"/>
    <cellStyle name="Check Cell 19" xfId="2418" xr:uid="{00000000-0005-0000-0000-000070090000}"/>
    <cellStyle name="Check Cell 2" xfId="2419" xr:uid="{00000000-0005-0000-0000-000071090000}"/>
    <cellStyle name="Check Cell 2 2" xfId="2420" xr:uid="{00000000-0005-0000-0000-000072090000}"/>
    <cellStyle name="Check Cell 2 3" xfId="2421" xr:uid="{00000000-0005-0000-0000-000073090000}"/>
    <cellStyle name="Check Cell 2 4" xfId="2422" xr:uid="{00000000-0005-0000-0000-000074090000}"/>
    <cellStyle name="Check Cell 20" xfId="2423" xr:uid="{00000000-0005-0000-0000-000075090000}"/>
    <cellStyle name="Check Cell 21" xfId="2424" xr:uid="{00000000-0005-0000-0000-000076090000}"/>
    <cellStyle name="Check Cell 22" xfId="2425" xr:uid="{00000000-0005-0000-0000-000077090000}"/>
    <cellStyle name="Check Cell 23" xfId="2426" xr:uid="{00000000-0005-0000-0000-000078090000}"/>
    <cellStyle name="Check Cell 24" xfId="2427" xr:uid="{00000000-0005-0000-0000-000079090000}"/>
    <cellStyle name="Check Cell 25" xfId="2428" xr:uid="{00000000-0005-0000-0000-00007A090000}"/>
    <cellStyle name="Check Cell 26" xfId="2429" xr:uid="{00000000-0005-0000-0000-00007B090000}"/>
    <cellStyle name="Check Cell 27" xfId="2430" xr:uid="{00000000-0005-0000-0000-00007C090000}"/>
    <cellStyle name="Check Cell 28" xfId="2431" xr:uid="{00000000-0005-0000-0000-00007D090000}"/>
    <cellStyle name="Check Cell 29" xfId="2432" xr:uid="{00000000-0005-0000-0000-00007E090000}"/>
    <cellStyle name="Check Cell 3" xfId="2433" xr:uid="{00000000-0005-0000-0000-00007F090000}"/>
    <cellStyle name="Check Cell 30" xfId="2434" xr:uid="{00000000-0005-0000-0000-000080090000}"/>
    <cellStyle name="Check Cell 31" xfId="2435" xr:uid="{00000000-0005-0000-0000-000081090000}"/>
    <cellStyle name="Check Cell 32" xfId="2436" xr:uid="{00000000-0005-0000-0000-000082090000}"/>
    <cellStyle name="Check Cell 33" xfId="2437" xr:uid="{00000000-0005-0000-0000-000083090000}"/>
    <cellStyle name="Check Cell 34" xfId="2438" xr:uid="{00000000-0005-0000-0000-000084090000}"/>
    <cellStyle name="Check Cell 35" xfId="2439" xr:uid="{00000000-0005-0000-0000-000085090000}"/>
    <cellStyle name="Check Cell 36" xfId="2440" xr:uid="{00000000-0005-0000-0000-000086090000}"/>
    <cellStyle name="Check Cell 37" xfId="2441" xr:uid="{00000000-0005-0000-0000-000087090000}"/>
    <cellStyle name="Check Cell 38" xfId="2442" xr:uid="{00000000-0005-0000-0000-000088090000}"/>
    <cellStyle name="Check Cell 39" xfId="2443" xr:uid="{00000000-0005-0000-0000-000089090000}"/>
    <cellStyle name="Check Cell 4" xfId="2444" xr:uid="{00000000-0005-0000-0000-00008A090000}"/>
    <cellStyle name="Check Cell 40" xfId="2445" xr:uid="{00000000-0005-0000-0000-00008B090000}"/>
    <cellStyle name="Check Cell 41" xfId="2446" xr:uid="{00000000-0005-0000-0000-00008C090000}"/>
    <cellStyle name="Check Cell 42" xfId="2447" xr:uid="{00000000-0005-0000-0000-00008D090000}"/>
    <cellStyle name="Check Cell 5" xfId="2448" xr:uid="{00000000-0005-0000-0000-00008E090000}"/>
    <cellStyle name="Check Cell 6" xfId="2449" xr:uid="{00000000-0005-0000-0000-00008F090000}"/>
    <cellStyle name="Check Cell 7" xfId="2450" xr:uid="{00000000-0005-0000-0000-000090090000}"/>
    <cellStyle name="Check Cell 8" xfId="2451" xr:uid="{00000000-0005-0000-0000-000091090000}"/>
    <cellStyle name="Check Cell 9" xfId="2452" xr:uid="{00000000-0005-0000-0000-000092090000}"/>
    <cellStyle name="Check Cell 9 2" xfId="2453" xr:uid="{00000000-0005-0000-0000-000093090000}"/>
    <cellStyle name="Check Cell 9 3" xfId="2454" xr:uid="{00000000-0005-0000-0000-000094090000}"/>
    <cellStyle name="Comma 10" xfId="35414" xr:uid="{00000000-0005-0000-0000-000095090000}"/>
    <cellStyle name="Comma 2" xfId="2455" xr:uid="{00000000-0005-0000-0000-000096090000}"/>
    <cellStyle name="Comma 2 2" xfId="2456" xr:uid="{00000000-0005-0000-0000-000097090000}"/>
    <cellStyle name="Comma 2 2 2" xfId="2457" xr:uid="{00000000-0005-0000-0000-000098090000}"/>
    <cellStyle name="Comma 2 2 3" xfId="2458" xr:uid="{00000000-0005-0000-0000-000099090000}"/>
    <cellStyle name="Comma 2 2 4" xfId="2459" xr:uid="{00000000-0005-0000-0000-00009A090000}"/>
    <cellStyle name="Comma 2 3" xfId="2460" xr:uid="{00000000-0005-0000-0000-00009B090000}"/>
    <cellStyle name="Comma 2 4" xfId="2461" xr:uid="{00000000-0005-0000-0000-00009C090000}"/>
    <cellStyle name="Comma 3" xfId="2462" xr:uid="{00000000-0005-0000-0000-00009D090000}"/>
    <cellStyle name="Comma 3 2" xfId="2463" xr:uid="{00000000-0005-0000-0000-00009E090000}"/>
    <cellStyle name="Comma 3 3" xfId="2464" xr:uid="{00000000-0005-0000-0000-00009F090000}"/>
    <cellStyle name="Comma 3 4" xfId="2465" xr:uid="{00000000-0005-0000-0000-0000A0090000}"/>
    <cellStyle name="Comma 4" xfId="2466" xr:uid="{00000000-0005-0000-0000-0000A1090000}"/>
    <cellStyle name="Comma 4 10" xfId="2467" xr:uid="{00000000-0005-0000-0000-0000A2090000}"/>
    <cellStyle name="Comma 4 10 2" xfId="2468" xr:uid="{00000000-0005-0000-0000-0000A3090000}"/>
    <cellStyle name="Comma 4 10 3" xfId="2469" xr:uid="{00000000-0005-0000-0000-0000A4090000}"/>
    <cellStyle name="Comma 4 10 4" xfId="2470" xr:uid="{00000000-0005-0000-0000-0000A5090000}"/>
    <cellStyle name="Comma 4 10 5" xfId="2471" xr:uid="{00000000-0005-0000-0000-0000A6090000}"/>
    <cellStyle name="Comma 4 10 6" xfId="2472" xr:uid="{00000000-0005-0000-0000-0000A7090000}"/>
    <cellStyle name="Comma 4 11" xfId="2473" xr:uid="{00000000-0005-0000-0000-0000A8090000}"/>
    <cellStyle name="Comma 4 11 2" xfId="2474" xr:uid="{00000000-0005-0000-0000-0000A9090000}"/>
    <cellStyle name="Comma 4 11 3" xfId="2475" xr:uid="{00000000-0005-0000-0000-0000AA090000}"/>
    <cellStyle name="Comma 4 11 4" xfId="2476" xr:uid="{00000000-0005-0000-0000-0000AB090000}"/>
    <cellStyle name="Comma 4 11 5" xfId="2477" xr:uid="{00000000-0005-0000-0000-0000AC090000}"/>
    <cellStyle name="Comma 4 11 6" xfId="2478" xr:uid="{00000000-0005-0000-0000-0000AD090000}"/>
    <cellStyle name="Comma 4 12" xfId="2479" xr:uid="{00000000-0005-0000-0000-0000AE090000}"/>
    <cellStyle name="Comma 4 12 2" xfId="2480" xr:uid="{00000000-0005-0000-0000-0000AF090000}"/>
    <cellStyle name="Comma 4 12 3" xfId="2481" xr:uid="{00000000-0005-0000-0000-0000B0090000}"/>
    <cellStyle name="Comma 4 12 4" xfId="2482" xr:uid="{00000000-0005-0000-0000-0000B1090000}"/>
    <cellStyle name="Comma 4 12 5" xfId="2483" xr:uid="{00000000-0005-0000-0000-0000B2090000}"/>
    <cellStyle name="Comma 4 12 6" xfId="2484" xr:uid="{00000000-0005-0000-0000-0000B3090000}"/>
    <cellStyle name="Comma 4 13" xfId="2485" xr:uid="{00000000-0005-0000-0000-0000B4090000}"/>
    <cellStyle name="Comma 4 13 2" xfId="2486" xr:uid="{00000000-0005-0000-0000-0000B5090000}"/>
    <cellStyle name="Comma 4 13 3" xfId="2487" xr:uid="{00000000-0005-0000-0000-0000B6090000}"/>
    <cellStyle name="Comma 4 13 4" xfId="2488" xr:uid="{00000000-0005-0000-0000-0000B7090000}"/>
    <cellStyle name="Comma 4 13 5" xfId="2489" xr:uid="{00000000-0005-0000-0000-0000B8090000}"/>
    <cellStyle name="Comma 4 13 6" xfId="2490" xr:uid="{00000000-0005-0000-0000-0000B9090000}"/>
    <cellStyle name="Comma 4 14" xfId="2491" xr:uid="{00000000-0005-0000-0000-0000BA090000}"/>
    <cellStyle name="Comma 4 14 2" xfId="2492" xr:uid="{00000000-0005-0000-0000-0000BB090000}"/>
    <cellStyle name="Comma 4 14 3" xfId="2493" xr:uid="{00000000-0005-0000-0000-0000BC090000}"/>
    <cellStyle name="Comma 4 14 4" xfId="2494" xr:uid="{00000000-0005-0000-0000-0000BD090000}"/>
    <cellStyle name="Comma 4 14 5" xfId="2495" xr:uid="{00000000-0005-0000-0000-0000BE090000}"/>
    <cellStyle name="Comma 4 14 6" xfId="2496" xr:uid="{00000000-0005-0000-0000-0000BF090000}"/>
    <cellStyle name="Comma 4 15" xfId="2497" xr:uid="{00000000-0005-0000-0000-0000C0090000}"/>
    <cellStyle name="Comma 4 15 2" xfId="2498" xr:uid="{00000000-0005-0000-0000-0000C1090000}"/>
    <cellStyle name="Comma 4 15 3" xfId="2499" xr:uid="{00000000-0005-0000-0000-0000C2090000}"/>
    <cellStyle name="Comma 4 15 4" xfId="2500" xr:uid="{00000000-0005-0000-0000-0000C3090000}"/>
    <cellStyle name="Comma 4 15 5" xfId="2501" xr:uid="{00000000-0005-0000-0000-0000C4090000}"/>
    <cellStyle name="Comma 4 15 6" xfId="2502" xr:uid="{00000000-0005-0000-0000-0000C5090000}"/>
    <cellStyle name="Comma 4 16" xfId="2503" xr:uid="{00000000-0005-0000-0000-0000C6090000}"/>
    <cellStyle name="Comma 4 16 2" xfId="2504" xr:uid="{00000000-0005-0000-0000-0000C7090000}"/>
    <cellStyle name="Comma 4 16 3" xfId="2505" xr:uid="{00000000-0005-0000-0000-0000C8090000}"/>
    <cellStyle name="Comma 4 16 4" xfId="2506" xr:uid="{00000000-0005-0000-0000-0000C9090000}"/>
    <cellStyle name="Comma 4 16 5" xfId="2507" xr:uid="{00000000-0005-0000-0000-0000CA090000}"/>
    <cellStyle name="Comma 4 16 6" xfId="2508" xr:uid="{00000000-0005-0000-0000-0000CB090000}"/>
    <cellStyle name="Comma 4 17" xfId="2509" xr:uid="{00000000-0005-0000-0000-0000CC090000}"/>
    <cellStyle name="Comma 4 18" xfId="2510" xr:uid="{00000000-0005-0000-0000-0000CD090000}"/>
    <cellStyle name="Comma 4 19" xfId="2511" xr:uid="{00000000-0005-0000-0000-0000CE090000}"/>
    <cellStyle name="Comma 4 2" xfId="2512" xr:uid="{00000000-0005-0000-0000-0000CF090000}"/>
    <cellStyle name="Comma 4 2 10" xfId="2513" xr:uid="{00000000-0005-0000-0000-0000D0090000}"/>
    <cellStyle name="Comma 4 2 10 2" xfId="2514" xr:uid="{00000000-0005-0000-0000-0000D1090000}"/>
    <cellStyle name="Comma 4 2 10 3" xfId="2515" xr:uid="{00000000-0005-0000-0000-0000D2090000}"/>
    <cellStyle name="Comma 4 2 10 4" xfId="2516" xr:uid="{00000000-0005-0000-0000-0000D3090000}"/>
    <cellStyle name="Comma 4 2 10 5" xfId="2517" xr:uid="{00000000-0005-0000-0000-0000D4090000}"/>
    <cellStyle name="Comma 4 2 10 6" xfId="2518" xr:uid="{00000000-0005-0000-0000-0000D5090000}"/>
    <cellStyle name="Comma 4 2 11" xfId="2519" xr:uid="{00000000-0005-0000-0000-0000D6090000}"/>
    <cellStyle name="Comma 4 2 11 2" xfId="2520" xr:uid="{00000000-0005-0000-0000-0000D7090000}"/>
    <cellStyle name="Comma 4 2 11 3" xfId="2521" xr:uid="{00000000-0005-0000-0000-0000D8090000}"/>
    <cellStyle name="Comma 4 2 11 4" xfId="2522" xr:uid="{00000000-0005-0000-0000-0000D9090000}"/>
    <cellStyle name="Comma 4 2 11 5" xfId="2523" xr:uid="{00000000-0005-0000-0000-0000DA090000}"/>
    <cellStyle name="Comma 4 2 11 6" xfId="2524" xr:uid="{00000000-0005-0000-0000-0000DB090000}"/>
    <cellStyle name="Comma 4 2 12" xfId="2525" xr:uid="{00000000-0005-0000-0000-0000DC090000}"/>
    <cellStyle name="Comma 4 2 12 2" xfId="2526" xr:uid="{00000000-0005-0000-0000-0000DD090000}"/>
    <cellStyle name="Comma 4 2 12 3" xfId="2527" xr:uid="{00000000-0005-0000-0000-0000DE090000}"/>
    <cellStyle name="Comma 4 2 12 4" xfId="2528" xr:uid="{00000000-0005-0000-0000-0000DF090000}"/>
    <cellStyle name="Comma 4 2 12 5" xfId="2529" xr:uid="{00000000-0005-0000-0000-0000E0090000}"/>
    <cellStyle name="Comma 4 2 12 6" xfId="2530" xr:uid="{00000000-0005-0000-0000-0000E1090000}"/>
    <cellStyle name="Comma 4 2 13" xfId="2531" xr:uid="{00000000-0005-0000-0000-0000E2090000}"/>
    <cellStyle name="Comma 4 2 13 2" xfId="2532" xr:uid="{00000000-0005-0000-0000-0000E3090000}"/>
    <cellStyle name="Comma 4 2 13 3" xfId="2533" xr:uid="{00000000-0005-0000-0000-0000E4090000}"/>
    <cellStyle name="Comma 4 2 13 4" xfId="2534" xr:uid="{00000000-0005-0000-0000-0000E5090000}"/>
    <cellStyle name="Comma 4 2 13 5" xfId="2535" xr:uid="{00000000-0005-0000-0000-0000E6090000}"/>
    <cellStyle name="Comma 4 2 13 6" xfId="2536" xr:uid="{00000000-0005-0000-0000-0000E7090000}"/>
    <cellStyle name="Comma 4 2 14" xfId="2537" xr:uid="{00000000-0005-0000-0000-0000E8090000}"/>
    <cellStyle name="Comma 4 2 14 2" xfId="2538" xr:uid="{00000000-0005-0000-0000-0000E9090000}"/>
    <cellStyle name="Comma 4 2 14 3" xfId="2539" xr:uid="{00000000-0005-0000-0000-0000EA090000}"/>
    <cellStyle name="Comma 4 2 14 4" xfId="2540" xr:uid="{00000000-0005-0000-0000-0000EB090000}"/>
    <cellStyle name="Comma 4 2 14 5" xfId="2541" xr:uid="{00000000-0005-0000-0000-0000EC090000}"/>
    <cellStyle name="Comma 4 2 14 6" xfId="2542" xr:uid="{00000000-0005-0000-0000-0000ED090000}"/>
    <cellStyle name="Comma 4 2 15" xfId="2543" xr:uid="{00000000-0005-0000-0000-0000EE090000}"/>
    <cellStyle name="Comma 4 2 15 2" xfId="2544" xr:uid="{00000000-0005-0000-0000-0000EF090000}"/>
    <cellStyle name="Comma 4 2 15 3" xfId="2545" xr:uid="{00000000-0005-0000-0000-0000F0090000}"/>
    <cellStyle name="Comma 4 2 15 4" xfId="2546" xr:uid="{00000000-0005-0000-0000-0000F1090000}"/>
    <cellStyle name="Comma 4 2 15 5" xfId="2547" xr:uid="{00000000-0005-0000-0000-0000F2090000}"/>
    <cellStyle name="Comma 4 2 15 6" xfId="2548" xr:uid="{00000000-0005-0000-0000-0000F3090000}"/>
    <cellStyle name="Comma 4 2 16" xfId="2549" xr:uid="{00000000-0005-0000-0000-0000F4090000}"/>
    <cellStyle name="Comma 4 2 17" xfId="2550" xr:uid="{00000000-0005-0000-0000-0000F5090000}"/>
    <cellStyle name="Comma 4 2 18" xfId="2551" xr:uid="{00000000-0005-0000-0000-0000F6090000}"/>
    <cellStyle name="Comma 4 2 19" xfId="2552" xr:uid="{00000000-0005-0000-0000-0000F7090000}"/>
    <cellStyle name="Comma 4 2 2" xfId="2553" xr:uid="{00000000-0005-0000-0000-0000F8090000}"/>
    <cellStyle name="Comma 4 2 2 10" xfId="2554" xr:uid="{00000000-0005-0000-0000-0000F9090000}"/>
    <cellStyle name="Comma 4 2 2 10 2" xfId="2555" xr:uid="{00000000-0005-0000-0000-0000FA090000}"/>
    <cellStyle name="Comma 4 2 2 10 3" xfId="2556" xr:uid="{00000000-0005-0000-0000-0000FB090000}"/>
    <cellStyle name="Comma 4 2 2 10 4" xfId="2557" xr:uid="{00000000-0005-0000-0000-0000FC090000}"/>
    <cellStyle name="Comma 4 2 2 10 5" xfId="2558" xr:uid="{00000000-0005-0000-0000-0000FD090000}"/>
    <cellStyle name="Comma 4 2 2 10 6" xfId="2559" xr:uid="{00000000-0005-0000-0000-0000FE090000}"/>
    <cellStyle name="Comma 4 2 2 11" xfId="2560" xr:uid="{00000000-0005-0000-0000-0000FF090000}"/>
    <cellStyle name="Comma 4 2 2 12" xfId="2561" xr:uid="{00000000-0005-0000-0000-0000000A0000}"/>
    <cellStyle name="Comma 4 2 2 13" xfId="2562" xr:uid="{00000000-0005-0000-0000-0000010A0000}"/>
    <cellStyle name="Comma 4 2 2 14" xfId="2563" xr:uid="{00000000-0005-0000-0000-0000020A0000}"/>
    <cellStyle name="Comma 4 2 2 15" xfId="2564" xr:uid="{00000000-0005-0000-0000-0000030A0000}"/>
    <cellStyle name="Comma 4 2 2 16" xfId="2565" xr:uid="{00000000-0005-0000-0000-0000040A0000}"/>
    <cellStyle name="Comma 4 2 2 17" xfId="2566" xr:uid="{00000000-0005-0000-0000-0000050A0000}"/>
    <cellStyle name="Comma 4 2 2 18" xfId="2567" xr:uid="{00000000-0005-0000-0000-0000060A0000}"/>
    <cellStyle name="Comma 4 2 2 19" xfId="2568" xr:uid="{00000000-0005-0000-0000-0000070A0000}"/>
    <cellStyle name="Comma 4 2 2 2" xfId="2569" xr:uid="{00000000-0005-0000-0000-0000080A0000}"/>
    <cellStyle name="Comma 4 2 2 2 10" xfId="2570" xr:uid="{00000000-0005-0000-0000-0000090A0000}"/>
    <cellStyle name="Comma 4 2 2 2 11" xfId="2571" xr:uid="{00000000-0005-0000-0000-00000A0A0000}"/>
    <cellStyle name="Comma 4 2 2 2 12" xfId="2572" xr:uid="{00000000-0005-0000-0000-00000B0A0000}"/>
    <cellStyle name="Comma 4 2 2 2 13" xfId="2573" xr:uid="{00000000-0005-0000-0000-00000C0A0000}"/>
    <cellStyle name="Comma 4 2 2 2 14" xfId="2574" xr:uid="{00000000-0005-0000-0000-00000D0A0000}"/>
    <cellStyle name="Comma 4 2 2 2 15" xfId="2575" xr:uid="{00000000-0005-0000-0000-00000E0A0000}"/>
    <cellStyle name="Comma 4 2 2 2 16" xfId="2576" xr:uid="{00000000-0005-0000-0000-00000F0A0000}"/>
    <cellStyle name="Comma 4 2 2 2 17" xfId="2577" xr:uid="{00000000-0005-0000-0000-0000100A0000}"/>
    <cellStyle name="Comma 4 2 2 2 18" xfId="2578" xr:uid="{00000000-0005-0000-0000-0000110A0000}"/>
    <cellStyle name="Comma 4 2 2 2 19" xfId="2579" xr:uid="{00000000-0005-0000-0000-0000120A0000}"/>
    <cellStyle name="Comma 4 2 2 2 2" xfId="2580" xr:uid="{00000000-0005-0000-0000-0000130A0000}"/>
    <cellStyle name="Comma 4 2 2 2 2 2" xfId="2581" xr:uid="{00000000-0005-0000-0000-0000140A0000}"/>
    <cellStyle name="Comma 4 2 2 2 2 3" xfId="2582" xr:uid="{00000000-0005-0000-0000-0000150A0000}"/>
    <cellStyle name="Comma 4 2 2 2 2 4" xfId="2583" xr:uid="{00000000-0005-0000-0000-0000160A0000}"/>
    <cellStyle name="Comma 4 2 2 2 2 5" xfId="2584" xr:uid="{00000000-0005-0000-0000-0000170A0000}"/>
    <cellStyle name="Comma 4 2 2 2 2 6" xfId="2585" xr:uid="{00000000-0005-0000-0000-0000180A0000}"/>
    <cellStyle name="Comma 4 2 2 2 20" xfId="2586" xr:uid="{00000000-0005-0000-0000-0000190A0000}"/>
    <cellStyle name="Comma 4 2 2 2 21" xfId="2587" xr:uid="{00000000-0005-0000-0000-00001A0A0000}"/>
    <cellStyle name="Comma 4 2 2 2 22" xfId="2588" xr:uid="{00000000-0005-0000-0000-00001B0A0000}"/>
    <cellStyle name="Comma 4 2 2 2 23" xfId="2589" xr:uid="{00000000-0005-0000-0000-00001C0A0000}"/>
    <cellStyle name="Comma 4 2 2 2 24" xfId="2590" xr:uid="{00000000-0005-0000-0000-00001D0A0000}"/>
    <cellStyle name="Comma 4 2 2 2 25" xfId="2591" xr:uid="{00000000-0005-0000-0000-00001E0A0000}"/>
    <cellStyle name="Comma 4 2 2 2 26" xfId="2592" xr:uid="{00000000-0005-0000-0000-00001F0A0000}"/>
    <cellStyle name="Comma 4 2 2 2 27" xfId="2593" xr:uid="{00000000-0005-0000-0000-0000200A0000}"/>
    <cellStyle name="Comma 4 2 2 2 28" xfId="2594" xr:uid="{00000000-0005-0000-0000-0000210A0000}"/>
    <cellStyle name="Comma 4 2 2 2 29" xfId="2595" xr:uid="{00000000-0005-0000-0000-0000220A0000}"/>
    <cellStyle name="Comma 4 2 2 2 3" xfId="2596" xr:uid="{00000000-0005-0000-0000-0000230A0000}"/>
    <cellStyle name="Comma 4 2 2 2 30" xfId="2597" xr:uid="{00000000-0005-0000-0000-0000240A0000}"/>
    <cellStyle name="Comma 4 2 2 2 31" xfId="2598" xr:uid="{00000000-0005-0000-0000-0000250A0000}"/>
    <cellStyle name="Comma 4 2 2 2 32" xfId="2599" xr:uid="{00000000-0005-0000-0000-0000260A0000}"/>
    <cellStyle name="Comma 4 2 2 2 33" xfId="2600" xr:uid="{00000000-0005-0000-0000-0000270A0000}"/>
    <cellStyle name="Comma 4 2 2 2 4" xfId="2601" xr:uid="{00000000-0005-0000-0000-0000280A0000}"/>
    <cellStyle name="Comma 4 2 2 2 5" xfId="2602" xr:uid="{00000000-0005-0000-0000-0000290A0000}"/>
    <cellStyle name="Comma 4 2 2 2 6" xfId="2603" xr:uid="{00000000-0005-0000-0000-00002A0A0000}"/>
    <cellStyle name="Comma 4 2 2 2 7" xfId="2604" xr:uid="{00000000-0005-0000-0000-00002B0A0000}"/>
    <cellStyle name="Comma 4 2 2 2 8" xfId="2605" xr:uid="{00000000-0005-0000-0000-00002C0A0000}"/>
    <cellStyle name="Comma 4 2 2 2 9" xfId="2606" xr:uid="{00000000-0005-0000-0000-00002D0A0000}"/>
    <cellStyle name="Comma 4 2 2 20" xfId="2607" xr:uid="{00000000-0005-0000-0000-00002E0A0000}"/>
    <cellStyle name="Comma 4 2 2 21" xfId="2608" xr:uid="{00000000-0005-0000-0000-00002F0A0000}"/>
    <cellStyle name="Comma 4 2 2 22" xfId="2609" xr:uid="{00000000-0005-0000-0000-0000300A0000}"/>
    <cellStyle name="Comma 4 2 2 23" xfId="2610" xr:uid="{00000000-0005-0000-0000-0000310A0000}"/>
    <cellStyle name="Comma 4 2 2 24" xfId="2611" xr:uid="{00000000-0005-0000-0000-0000320A0000}"/>
    <cellStyle name="Comma 4 2 2 25" xfId="2612" xr:uid="{00000000-0005-0000-0000-0000330A0000}"/>
    <cellStyle name="Comma 4 2 2 26" xfId="2613" xr:uid="{00000000-0005-0000-0000-0000340A0000}"/>
    <cellStyle name="Comma 4 2 2 27" xfId="2614" xr:uid="{00000000-0005-0000-0000-0000350A0000}"/>
    <cellStyle name="Comma 4 2 2 28" xfId="2615" xr:uid="{00000000-0005-0000-0000-0000360A0000}"/>
    <cellStyle name="Comma 4 2 2 29" xfId="2616" xr:uid="{00000000-0005-0000-0000-0000370A0000}"/>
    <cellStyle name="Comma 4 2 2 3" xfId="2617" xr:uid="{00000000-0005-0000-0000-0000380A0000}"/>
    <cellStyle name="Comma 4 2 2 30" xfId="2618" xr:uid="{00000000-0005-0000-0000-0000390A0000}"/>
    <cellStyle name="Comma 4 2 2 31" xfId="2619" xr:uid="{00000000-0005-0000-0000-00003A0A0000}"/>
    <cellStyle name="Comma 4 2 2 32" xfId="2620" xr:uid="{00000000-0005-0000-0000-00003B0A0000}"/>
    <cellStyle name="Comma 4 2 2 33" xfId="2621" xr:uid="{00000000-0005-0000-0000-00003C0A0000}"/>
    <cellStyle name="Comma 4 2 2 34" xfId="2622" xr:uid="{00000000-0005-0000-0000-00003D0A0000}"/>
    <cellStyle name="Comma 4 2 2 35" xfId="2623" xr:uid="{00000000-0005-0000-0000-00003E0A0000}"/>
    <cellStyle name="Comma 4 2 2 36" xfId="2624" xr:uid="{00000000-0005-0000-0000-00003F0A0000}"/>
    <cellStyle name="Comma 4 2 2 37" xfId="2625" xr:uid="{00000000-0005-0000-0000-0000400A0000}"/>
    <cellStyle name="Comma 4 2 2 38" xfId="2626" xr:uid="{00000000-0005-0000-0000-0000410A0000}"/>
    <cellStyle name="Comma 4 2 2 39" xfId="2627" xr:uid="{00000000-0005-0000-0000-0000420A0000}"/>
    <cellStyle name="Comma 4 2 2 4" xfId="2628" xr:uid="{00000000-0005-0000-0000-0000430A0000}"/>
    <cellStyle name="Comma 4 2 2 40" xfId="2629" xr:uid="{00000000-0005-0000-0000-0000440A0000}"/>
    <cellStyle name="Comma 4 2 2 5" xfId="2630" xr:uid="{00000000-0005-0000-0000-0000450A0000}"/>
    <cellStyle name="Comma 4 2 2 6" xfId="2631" xr:uid="{00000000-0005-0000-0000-0000460A0000}"/>
    <cellStyle name="Comma 4 2 2 7" xfId="2632" xr:uid="{00000000-0005-0000-0000-0000470A0000}"/>
    <cellStyle name="Comma 4 2 2 8" xfId="2633" xr:uid="{00000000-0005-0000-0000-0000480A0000}"/>
    <cellStyle name="Comma 4 2 2 9" xfId="2634" xr:uid="{00000000-0005-0000-0000-0000490A0000}"/>
    <cellStyle name="Comma 4 2 20" xfId="2635" xr:uid="{00000000-0005-0000-0000-00004A0A0000}"/>
    <cellStyle name="Comma 4 2 21" xfId="2636" xr:uid="{00000000-0005-0000-0000-00004B0A0000}"/>
    <cellStyle name="Comma 4 2 22" xfId="2637" xr:uid="{00000000-0005-0000-0000-00004C0A0000}"/>
    <cellStyle name="Comma 4 2 23" xfId="2638" xr:uid="{00000000-0005-0000-0000-00004D0A0000}"/>
    <cellStyle name="Comma 4 2 24" xfId="2639" xr:uid="{00000000-0005-0000-0000-00004E0A0000}"/>
    <cellStyle name="Comma 4 2 25" xfId="2640" xr:uid="{00000000-0005-0000-0000-00004F0A0000}"/>
    <cellStyle name="Comma 4 2 26" xfId="2641" xr:uid="{00000000-0005-0000-0000-0000500A0000}"/>
    <cellStyle name="Comma 4 2 27" xfId="2642" xr:uid="{00000000-0005-0000-0000-0000510A0000}"/>
    <cellStyle name="Comma 4 2 28" xfId="2643" xr:uid="{00000000-0005-0000-0000-0000520A0000}"/>
    <cellStyle name="Comma 4 2 29" xfId="2644" xr:uid="{00000000-0005-0000-0000-0000530A0000}"/>
    <cellStyle name="Comma 4 2 3" xfId="2645" xr:uid="{00000000-0005-0000-0000-0000540A0000}"/>
    <cellStyle name="Comma 4 2 30" xfId="2646" xr:uid="{00000000-0005-0000-0000-0000550A0000}"/>
    <cellStyle name="Comma 4 2 31" xfId="2647" xr:uid="{00000000-0005-0000-0000-0000560A0000}"/>
    <cellStyle name="Comma 4 2 32" xfId="2648" xr:uid="{00000000-0005-0000-0000-0000570A0000}"/>
    <cellStyle name="Comma 4 2 33" xfId="2649" xr:uid="{00000000-0005-0000-0000-0000580A0000}"/>
    <cellStyle name="Comma 4 2 34" xfId="2650" xr:uid="{00000000-0005-0000-0000-0000590A0000}"/>
    <cellStyle name="Comma 4 2 35" xfId="2651" xr:uid="{00000000-0005-0000-0000-00005A0A0000}"/>
    <cellStyle name="Comma 4 2 36" xfId="2652" xr:uid="{00000000-0005-0000-0000-00005B0A0000}"/>
    <cellStyle name="Comma 4 2 37" xfId="2653" xr:uid="{00000000-0005-0000-0000-00005C0A0000}"/>
    <cellStyle name="Comma 4 2 38" xfId="2654" xr:uid="{00000000-0005-0000-0000-00005D0A0000}"/>
    <cellStyle name="Comma 4 2 39" xfId="2655" xr:uid="{00000000-0005-0000-0000-00005E0A0000}"/>
    <cellStyle name="Comma 4 2 4" xfId="2656" xr:uid="{00000000-0005-0000-0000-00005F0A0000}"/>
    <cellStyle name="Comma 4 2 40" xfId="2657" xr:uid="{00000000-0005-0000-0000-0000600A0000}"/>
    <cellStyle name="Comma 4 2 41" xfId="2658" xr:uid="{00000000-0005-0000-0000-0000610A0000}"/>
    <cellStyle name="Comma 4 2 42" xfId="2659" xr:uid="{00000000-0005-0000-0000-0000620A0000}"/>
    <cellStyle name="Comma 4 2 43" xfId="2660" xr:uid="{00000000-0005-0000-0000-0000630A0000}"/>
    <cellStyle name="Comma 4 2 44" xfId="2661" xr:uid="{00000000-0005-0000-0000-0000640A0000}"/>
    <cellStyle name="Comma 4 2 45" xfId="2662" xr:uid="{00000000-0005-0000-0000-0000650A0000}"/>
    <cellStyle name="Comma 4 2 5" xfId="2663" xr:uid="{00000000-0005-0000-0000-0000660A0000}"/>
    <cellStyle name="Comma 4 2 6" xfId="2664" xr:uid="{00000000-0005-0000-0000-0000670A0000}"/>
    <cellStyle name="Comma 4 2 7" xfId="2665" xr:uid="{00000000-0005-0000-0000-0000680A0000}"/>
    <cellStyle name="Comma 4 2 8" xfId="2666" xr:uid="{00000000-0005-0000-0000-0000690A0000}"/>
    <cellStyle name="Comma 4 2 8 10" xfId="2667" xr:uid="{00000000-0005-0000-0000-00006A0A0000}"/>
    <cellStyle name="Comma 4 2 8 11" xfId="2668" xr:uid="{00000000-0005-0000-0000-00006B0A0000}"/>
    <cellStyle name="Comma 4 2 8 12" xfId="2669" xr:uid="{00000000-0005-0000-0000-00006C0A0000}"/>
    <cellStyle name="Comma 4 2 8 13" xfId="2670" xr:uid="{00000000-0005-0000-0000-00006D0A0000}"/>
    <cellStyle name="Comma 4 2 8 14" xfId="2671" xr:uid="{00000000-0005-0000-0000-00006E0A0000}"/>
    <cellStyle name="Comma 4 2 8 15" xfId="2672" xr:uid="{00000000-0005-0000-0000-00006F0A0000}"/>
    <cellStyle name="Comma 4 2 8 16" xfId="2673" xr:uid="{00000000-0005-0000-0000-0000700A0000}"/>
    <cellStyle name="Comma 4 2 8 17" xfId="2674" xr:uid="{00000000-0005-0000-0000-0000710A0000}"/>
    <cellStyle name="Comma 4 2 8 18" xfId="2675" xr:uid="{00000000-0005-0000-0000-0000720A0000}"/>
    <cellStyle name="Comma 4 2 8 19" xfId="2676" xr:uid="{00000000-0005-0000-0000-0000730A0000}"/>
    <cellStyle name="Comma 4 2 8 2" xfId="2677" xr:uid="{00000000-0005-0000-0000-0000740A0000}"/>
    <cellStyle name="Comma 4 2 8 2 2" xfId="2678" xr:uid="{00000000-0005-0000-0000-0000750A0000}"/>
    <cellStyle name="Comma 4 2 8 2 3" xfId="2679" xr:uid="{00000000-0005-0000-0000-0000760A0000}"/>
    <cellStyle name="Comma 4 2 8 2 4" xfId="2680" xr:uid="{00000000-0005-0000-0000-0000770A0000}"/>
    <cellStyle name="Comma 4 2 8 2 5" xfId="2681" xr:uid="{00000000-0005-0000-0000-0000780A0000}"/>
    <cellStyle name="Comma 4 2 8 2 6" xfId="2682" xr:uid="{00000000-0005-0000-0000-0000790A0000}"/>
    <cellStyle name="Comma 4 2 8 20" xfId="2683" xr:uid="{00000000-0005-0000-0000-00007A0A0000}"/>
    <cellStyle name="Comma 4 2 8 21" xfId="2684" xr:uid="{00000000-0005-0000-0000-00007B0A0000}"/>
    <cellStyle name="Comma 4 2 8 22" xfId="2685" xr:uid="{00000000-0005-0000-0000-00007C0A0000}"/>
    <cellStyle name="Comma 4 2 8 23" xfId="2686" xr:uid="{00000000-0005-0000-0000-00007D0A0000}"/>
    <cellStyle name="Comma 4 2 8 24" xfId="2687" xr:uid="{00000000-0005-0000-0000-00007E0A0000}"/>
    <cellStyle name="Comma 4 2 8 25" xfId="2688" xr:uid="{00000000-0005-0000-0000-00007F0A0000}"/>
    <cellStyle name="Comma 4 2 8 26" xfId="2689" xr:uid="{00000000-0005-0000-0000-0000800A0000}"/>
    <cellStyle name="Comma 4 2 8 27" xfId="2690" xr:uid="{00000000-0005-0000-0000-0000810A0000}"/>
    <cellStyle name="Comma 4 2 8 28" xfId="2691" xr:uid="{00000000-0005-0000-0000-0000820A0000}"/>
    <cellStyle name="Comma 4 2 8 29" xfId="2692" xr:uid="{00000000-0005-0000-0000-0000830A0000}"/>
    <cellStyle name="Comma 4 2 8 3" xfId="2693" xr:uid="{00000000-0005-0000-0000-0000840A0000}"/>
    <cellStyle name="Comma 4 2 8 30" xfId="2694" xr:uid="{00000000-0005-0000-0000-0000850A0000}"/>
    <cellStyle name="Comma 4 2 8 31" xfId="2695" xr:uid="{00000000-0005-0000-0000-0000860A0000}"/>
    <cellStyle name="Comma 4 2 8 32" xfId="2696" xr:uid="{00000000-0005-0000-0000-0000870A0000}"/>
    <cellStyle name="Comma 4 2 8 33" xfId="2697" xr:uid="{00000000-0005-0000-0000-0000880A0000}"/>
    <cellStyle name="Comma 4 2 8 4" xfId="2698" xr:uid="{00000000-0005-0000-0000-0000890A0000}"/>
    <cellStyle name="Comma 4 2 8 5" xfId="2699" xr:uid="{00000000-0005-0000-0000-00008A0A0000}"/>
    <cellStyle name="Comma 4 2 8 6" xfId="2700" xr:uid="{00000000-0005-0000-0000-00008B0A0000}"/>
    <cellStyle name="Comma 4 2 8 7" xfId="2701" xr:uid="{00000000-0005-0000-0000-00008C0A0000}"/>
    <cellStyle name="Comma 4 2 8 8" xfId="2702" xr:uid="{00000000-0005-0000-0000-00008D0A0000}"/>
    <cellStyle name="Comma 4 2 8 9" xfId="2703" xr:uid="{00000000-0005-0000-0000-00008E0A0000}"/>
    <cellStyle name="Comma 4 2 9" xfId="2704" xr:uid="{00000000-0005-0000-0000-00008F0A0000}"/>
    <cellStyle name="Comma 4 2 9 2" xfId="2705" xr:uid="{00000000-0005-0000-0000-0000900A0000}"/>
    <cellStyle name="Comma 4 2 9 3" xfId="2706" xr:uid="{00000000-0005-0000-0000-0000910A0000}"/>
    <cellStyle name="Comma 4 2 9 4" xfId="2707" xr:uid="{00000000-0005-0000-0000-0000920A0000}"/>
    <cellStyle name="Comma 4 2 9 5" xfId="2708" xr:uid="{00000000-0005-0000-0000-0000930A0000}"/>
    <cellStyle name="Comma 4 2 9 6" xfId="2709" xr:uid="{00000000-0005-0000-0000-0000940A0000}"/>
    <cellStyle name="Comma 4 20" xfId="2710" xr:uid="{00000000-0005-0000-0000-0000950A0000}"/>
    <cellStyle name="Comma 4 21" xfId="2711" xr:uid="{00000000-0005-0000-0000-0000960A0000}"/>
    <cellStyle name="Comma 4 22" xfId="2712" xr:uid="{00000000-0005-0000-0000-0000970A0000}"/>
    <cellStyle name="Comma 4 23" xfId="2713" xr:uid="{00000000-0005-0000-0000-0000980A0000}"/>
    <cellStyle name="Comma 4 24" xfId="2714" xr:uid="{00000000-0005-0000-0000-0000990A0000}"/>
    <cellStyle name="Comma 4 25" xfId="2715" xr:uid="{00000000-0005-0000-0000-00009A0A0000}"/>
    <cellStyle name="Comma 4 26" xfId="2716" xr:uid="{00000000-0005-0000-0000-00009B0A0000}"/>
    <cellStyle name="Comma 4 27" xfId="2717" xr:uid="{00000000-0005-0000-0000-00009C0A0000}"/>
    <cellStyle name="Comma 4 28" xfId="2718" xr:uid="{00000000-0005-0000-0000-00009D0A0000}"/>
    <cellStyle name="Comma 4 29" xfId="2719" xr:uid="{00000000-0005-0000-0000-00009E0A0000}"/>
    <cellStyle name="Comma 4 3" xfId="2720" xr:uid="{00000000-0005-0000-0000-00009F0A0000}"/>
    <cellStyle name="Comma 4 3 10" xfId="2721" xr:uid="{00000000-0005-0000-0000-0000A00A0000}"/>
    <cellStyle name="Comma 4 3 11" xfId="2722" xr:uid="{00000000-0005-0000-0000-0000A10A0000}"/>
    <cellStyle name="Comma 4 3 12" xfId="2723" xr:uid="{00000000-0005-0000-0000-0000A20A0000}"/>
    <cellStyle name="Comma 4 3 13" xfId="2724" xr:uid="{00000000-0005-0000-0000-0000A30A0000}"/>
    <cellStyle name="Comma 4 3 14" xfId="2725" xr:uid="{00000000-0005-0000-0000-0000A40A0000}"/>
    <cellStyle name="Comma 4 3 14 2" xfId="2726" xr:uid="{00000000-0005-0000-0000-0000A50A0000}"/>
    <cellStyle name="Comma 4 3 14 3" xfId="2727" xr:uid="{00000000-0005-0000-0000-0000A60A0000}"/>
    <cellStyle name="Comma 4 3 14 4" xfId="2728" xr:uid="{00000000-0005-0000-0000-0000A70A0000}"/>
    <cellStyle name="Comma 4 3 14 5" xfId="2729" xr:uid="{00000000-0005-0000-0000-0000A80A0000}"/>
    <cellStyle name="Comma 4 3 14 6" xfId="2730" xr:uid="{00000000-0005-0000-0000-0000A90A0000}"/>
    <cellStyle name="Comma 4 3 15" xfId="2731" xr:uid="{00000000-0005-0000-0000-0000AA0A0000}"/>
    <cellStyle name="Comma 4 3 16" xfId="2732" xr:uid="{00000000-0005-0000-0000-0000AB0A0000}"/>
    <cellStyle name="Comma 4 3 17" xfId="2733" xr:uid="{00000000-0005-0000-0000-0000AC0A0000}"/>
    <cellStyle name="Comma 4 3 18" xfId="2734" xr:uid="{00000000-0005-0000-0000-0000AD0A0000}"/>
    <cellStyle name="Comma 4 3 19" xfId="2735" xr:uid="{00000000-0005-0000-0000-0000AE0A0000}"/>
    <cellStyle name="Comma 4 3 2" xfId="2736" xr:uid="{00000000-0005-0000-0000-0000AF0A0000}"/>
    <cellStyle name="Comma 4 3 2 10" xfId="2737" xr:uid="{00000000-0005-0000-0000-0000B00A0000}"/>
    <cellStyle name="Comma 4 3 2 10 2" xfId="2738" xr:uid="{00000000-0005-0000-0000-0000B10A0000}"/>
    <cellStyle name="Comma 4 3 2 10 3" xfId="2739" xr:uid="{00000000-0005-0000-0000-0000B20A0000}"/>
    <cellStyle name="Comma 4 3 2 10 4" xfId="2740" xr:uid="{00000000-0005-0000-0000-0000B30A0000}"/>
    <cellStyle name="Comma 4 3 2 10 5" xfId="2741" xr:uid="{00000000-0005-0000-0000-0000B40A0000}"/>
    <cellStyle name="Comma 4 3 2 10 6" xfId="2742" xr:uid="{00000000-0005-0000-0000-0000B50A0000}"/>
    <cellStyle name="Comma 4 3 2 11" xfId="2743" xr:uid="{00000000-0005-0000-0000-0000B60A0000}"/>
    <cellStyle name="Comma 4 3 2 12" xfId="2744" xr:uid="{00000000-0005-0000-0000-0000B70A0000}"/>
    <cellStyle name="Comma 4 3 2 13" xfId="2745" xr:uid="{00000000-0005-0000-0000-0000B80A0000}"/>
    <cellStyle name="Comma 4 3 2 14" xfId="2746" xr:uid="{00000000-0005-0000-0000-0000B90A0000}"/>
    <cellStyle name="Comma 4 3 2 15" xfId="2747" xr:uid="{00000000-0005-0000-0000-0000BA0A0000}"/>
    <cellStyle name="Comma 4 3 2 16" xfId="2748" xr:uid="{00000000-0005-0000-0000-0000BB0A0000}"/>
    <cellStyle name="Comma 4 3 2 17" xfId="2749" xr:uid="{00000000-0005-0000-0000-0000BC0A0000}"/>
    <cellStyle name="Comma 4 3 2 18" xfId="2750" xr:uid="{00000000-0005-0000-0000-0000BD0A0000}"/>
    <cellStyle name="Comma 4 3 2 19" xfId="2751" xr:uid="{00000000-0005-0000-0000-0000BE0A0000}"/>
    <cellStyle name="Comma 4 3 2 2" xfId="2752" xr:uid="{00000000-0005-0000-0000-0000BF0A0000}"/>
    <cellStyle name="Comma 4 3 2 2 10" xfId="2753" xr:uid="{00000000-0005-0000-0000-0000C00A0000}"/>
    <cellStyle name="Comma 4 3 2 2 11" xfId="2754" xr:uid="{00000000-0005-0000-0000-0000C10A0000}"/>
    <cellStyle name="Comma 4 3 2 2 12" xfId="2755" xr:uid="{00000000-0005-0000-0000-0000C20A0000}"/>
    <cellStyle name="Comma 4 3 2 2 13" xfId="2756" xr:uid="{00000000-0005-0000-0000-0000C30A0000}"/>
    <cellStyle name="Comma 4 3 2 2 14" xfId="2757" xr:uid="{00000000-0005-0000-0000-0000C40A0000}"/>
    <cellStyle name="Comma 4 3 2 2 15" xfId="2758" xr:uid="{00000000-0005-0000-0000-0000C50A0000}"/>
    <cellStyle name="Comma 4 3 2 2 16" xfId="2759" xr:uid="{00000000-0005-0000-0000-0000C60A0000}"/>
    <cellStyle name="Comma 4 3 2 2 17" xfId="2760" xr:uid="{00000000-0005-0000-0000-0000C70A0000}"/>
    <cellStyle name="Comma 4 3 2 2 18" xfId="2761" xr:uid="{00000000-0005-0000-0000-0000C80A0000}"/>
    <cellStyle name="Comma 4 3 2 2 19" xfId="2762" xr:uid="{00000000-0005-0000-0000-0000C90A0000}"/>
    <cellStyle name="Comma 4 3 2 2 2" xfId="2763" xr:uid="{00000000-0005-0000-0000-0000CA0A0000}"/>
    <cellStyle name="Comma 4 3 2 2 2 2" xfId="2764" xr:uid="{00000000-0005-0000-0000-0000CB0A0000}"/>
    <cellStyle name="Comma 4 3 2 2 2 3" xfId="2765" xr:uid="{00000000-0005-0000-0000-0000CC0A0000}"/>
    <cellStyle name="Comma 4 3 2 2 2 4" xfId="2766" xr:uid="{00000000-0005-0000-0000-0000CD0A0000}"/>
    <cellStyle name="Comma 4 3 2 2 2 5" xfId="2767" xr:uid="{00000000-0005-0000-0000-0000CE0A0000}"/>
    <cellStyle name="Comma 4 3 2 2 2 6" xfId="2768" xr:uid="{00000000-0005-0000-0000-0000CF0A0000}"/>
    <cellStyle name="Comma 4 3 2 2 20" xfId="2769" xr:uid="{00000000-0005-0000-0000-0000D00A0000}"/>
    <cellStyle name="Comma 4 3 2 2 21" xfId="2770" xr:uid="{00000000-0005-0000-0000-0000D10A0000}"/>
    <cellStyle name="Comma 4 3 2 2 22" xfId="2771" xr:uid="{00000000-0005-0000-0000-0000D20A0000}"/>
    <cellStyle name="Comma 4 3 2 2 23" xfId="2772" xr:uid="{00000000-0005-0000-0000-0000D30A0000}"/>
    <cellStyle name="Comma 4 3 2 2 24" xfId="2773" xr:uid="{00000000-0005-0000-0000-0000D40A0000}"/>
    <cellStyle name="Comma 4 3 2 2 25" xfId="2774" xr:uid="{00000000-0005-0000-0000-0000D50A0000}"/>
    <cellStyle name="Comma 4 3 2 2 26" xfId="2775" xr:uid="{00000000-0005-0000-0000-0000D60A0000}"/>
    <cellStyle name="Comma 4 3 2 2 27" xfId="2776" xr:uid="{00000000-0005-0000-0000-0000D70A0000}"/>
    <cellStyle name="Comma 4 3 2 2 28" xfId="2777" xr:uid="{00000000-0005-0000-0000-0000D80A0000}"/>
    <cellStyle name="Comma 4 3 2 2 29" xfId="2778" xr:uid="{00000000-0005-0000-0000-0000D90A0000}"/>
    <cellStyle name="Comma 4 3 2 2 3" xfId="2779" xr:uid="{00000000-0005-0000-0000-0000DA0A0000}"/>
    <cellStyle name="Comma 4 3 2 2 30" xfId="2780" xr:uid="{00000000-0005-0000-0000-0000DB0A0000}"/>
    <cellStyle name="Comma 4 3 2 2 31" xfId="2781" xr:uid="{00000000-0005-0000-0000-0000DC0A0000}"/>
    <cellStyle name="Comma 4 3 2 2 32" xfId="2782" xr:uid="{00000000-0005-0000-0000-0000DD0A0000}"/>
    <cellStyle name="Comma 4 3 2 2 33" xfId="2783" xr:uid="{00000000-0005-0000-0000-0000DE0A0000}"/>
    <cellStyle name="Comma 4 3 2 2 4" xfId="2784" xr:uid="{00000000-0005-0000-0000-0000DF0A0000}"/>
    <cellStyle name="Comma 4 3 2 2 5" xfId="2785" xr:uid="{00000000-0005-0000-0000-0000E00A0000}"/>
    <cellStyle name="Comma 4 3 2 2 6" xfId="2786" xr:uid="{00000000-0005-0000-0000-0000E10A0000}"/>
    <cellStyle name="Comma 4 3 2 2 7" xfId="2787" xr:uid="{00000000-0005-0000-0000-0000E20A0000}"/>
    <cellStyle name="Comma 4 3 2 2 8" xfId="2788" xr:uid="{00000000-0005-0000-0000-0000E30A0000}"/>
    <cellStyle name="Comma 4 3 2 2 9" xfId="2789" xr:uid="{00000000-0005-0000-0000-0000E40A0000}"/>
    <cellStyle name="Comma 4 3 2 20" xfId="2790" xr:uid="{00000000-0005-0000-0000-0000E50A0000}"/>
    <cellStyle name="Comma 4 3 2 21" xfId="2791" xr:uid="{00000000-0005-0000-0000-0000E60A0000}"/>
    <cellStyle name="Comma 4 3 2 22" xfId="2792" xr:uid="{00000000-0005-0000-0000-0000E70A0000}"/>
    <cellStyle name="Comma 4 3 2 23" xfId="2793" xr:uid="{00000000-0005-0000-0000-0000E80A0000}"/>
    <cellStyle name="Comma 4 3 2 24" xfId="2794" xr:uid="{00000000-0005-0000-0000-0000E90A0000}"/>
    <cellStyle name="Comma 4 3 2 25" xfId="2795" xr:uid="{00000000-0005-0000-0000-0000EA0A0000}"/>
    <cellStyle name="Comma 4 3 2 26" xfId="2796" xr:uid="{00000000-0005-0000-0000-0000EB0A0000}"/>
    <cellStyle name="Comma 4 3 2 27" xfId="2797" xr:uid="{00000000-0005-0000-0000-0000EC0A0000}"/>
    <cellStyle name="Comma 4 3 2 28" xfId="2798" xr:uid="{00000000-0005-0000-0000-0000ED0A0000}"/>
    <cellStyle name="Comma 4 3 2 29" xfId="2799" xr:uid="{00000000-0005-0000-0000-0000EE0A0000}"/>
    <cellStyle name="Comma 4 3 2 3" xfId="2800" xr:uid="{00000000-0005-0000-0000-0000EF0A0000}"/>
    <cellStyle name="Comma 4 3 2 3 2" xfId="2801" xr:uid="{00000000-0005-0000-0000-0000F00A0000}"/>
    <cellStyle name="Comma 4 3 2 3 3" xfId="2802" xr:uid="{00000000-0005-0000-0000-0000F10A0000}"/>
    <cellStyle name="Comma 4 3 2 3 4" xfId="2803" xr:uid="{00000000-0005-0000-0000-0000F20A0000}"/>
    <cellStyle name="Comma 4 3 2 3 5" xfId="2804" xr:uid="{00000000-0005-0000-0000-0000F30A0000}"/>
    <cellStyle name="Comma 4 3 2 3 6" xfId="2805" xr:uid="{00000000-0005-0000-0000-0000F40A0000}"/>
    <cellStyle name="Comma 4 3 2 30" xfId="2806" xr:uid="{00000000-0005-0000-0000-0000F50A0000}"/>
    <cellStyle name="Comma 4 3 2 31" xfId="2807" xr:uid="{00000000-0005-0000-0000-0000F60A0000}"/>
    <cellStyle name="Comma 4 3 2 32" xfId="2808" xr:uid="{00000000-0005-0000-0000-0000F70A0000}"/>
    <cellStyle name="Comma 4 3 2 33" xfId="2809" xr:uid="{00000000-0005-0000-0000-0000F80A0000}"/>
    <cellStyle name="Comma 4 3 2 34" xfId="2810" xr:uid="{00000000-0005-0000-0000-0000F90A0000}"/>
    <cellStyle name="Comma 4 3 2 35" xfId="2811" xr:uid="{00000000-0005-0000-0000-0000FA0A0000}"/>
    <cellStyle name="Comma 4 3 2 36" xfId="2812" xr:uid="{00000000-0005-0000-0000-0000FB0A0000}"/>
    <cellStyle name="Comma 4 3 2 37" xfId="2813" xr:uid="{00000000-0005-0000-0000-0000FC0A0000}"/>
    <cellStyle name="Comma 4 3 2 38" xfId="2814" xr:uid="{00000000-0005-0000-0000-0000FD0A0000}"/>
    <cellStyle name="Comma 4 3 2 39" xfId="2815" xr:uid="{00000000-0005-0000-0000-0000FE0A0000}"/>
    <cellStyle name="Comma 4 3 2 4" xfId="2816" xr:uid="{00000000-0005-0000-0000-0000FF0A0000}"/>
    <cellStyle name="Comma 4 3 2 4 2" xfId="2817" xr:uid="{00000000-0005-0000-0000-0000000B0000}"/>
    <cellStyle name="Comma 4 3 2 4 3" xfId="2818" xr:uid="{00000000-0005-0000-0000-0000010B0000}"/>
    <cellStyle name="Comma 4 3 2 4 4" xfId="2819" xr:uid="{00000000-0005-0000-0000-0000020B0000}"/>
    <cellStyle name="Comma 4 3 2 4 5" xfId="2820" xr:uid="{00000000-0005-0000-0000-0000030B0000}"/>
    <cellStyle name="Comma 4 3 2 4 6" xfId="2821" xr:uid="{00000000-0005-0000-0000-0000040B0000}"/>
    <cellStyle name="Comma 4 3 2 40" xfId="2822" xr:uid="{00000000-0005-0000-0000-0000050B0000}"/>
    <cellStyle name="Comma 4 3 2 5" xfId="2823" xr:uid="{00000000-0005-0000-0000-0000060B0000}"/>
    <cellStyle name="Comma 4 3 2 5 2" xfId="2824" xr:uid="{00000000-0005-0000-0000-0000070B0000}"/>
    <cellStyle name="Comma 4 3 2 5 3" xfId="2825" xr:uid="{00000000-0005-0000-0000-0000080B0000}"/>
    <cellStyle name="Comma 4 3 2 5 4" xfId="2826" xr:uid="{00000000-0005-0000-0000-0000090B0000}"/>
    <cellStyle name="Comma 4 3 2 5 5" xfId="2827" xr:uid="{00000000-0005-0000-0000-00000A0B0000}"/>
    <cellStyle name="Comma 4 3 2 5 6" xfId="2828" xr:uid="{00000000-0005-0000-0000-00000B0B0000}"/>
    <cellStyle name="Comma 4 3 2 6" xfId="2829" xr:uid="{00000000-0005-0000-0000-00000C0B0000}"/>
    <cellStyle name="Comma 4 3 2 6 2" xfId="2830" xr:uid="{00000000-0005-0000-0000-00000D0B0000}"/>
    <cellStyle name="Comma 4 3 2 6 3" xfId="2831" xr:uid="{00000000-0005-0000-0000-00000E0B0000}"/>
    <cellStyle name="Comma 4 3 2 6 4" xfId="2832" xr:uid="{00000000-0005-0000-0000-00000F0B0000}"/>
    <cellStyle name="Comma 4 3 2 6 5" xfId="2833" xr:uid="{00000000-0005-0000-0000-0000100B0000}"/>
    <cellStyle name="Comma 4 3 2 6 6" xfId="2834" xr:uid="{00000000-0005-0000-0000-0000110B0000}"/>
    <cellStyle name="Comma 4 3 2 7" xfId="2835" xr:uid="{00000000-0005-0000-0000-0000120B0000}"/>
    <cellStyle name="Comma 4 3 2 7 2" xfId="2836" xr:uid="{00000000-0005-0000-0000-0000130B0000}"/>
    <cellStyle name="Comma 4 3 2 7 3" xfId="2837" xr:uid="{00000000-0005-0000-0000-0000140B0000}"/>
    <cellStyle name="Comma 4 3 2 7 4" xfId="2838" xr:uid="{00000000-0005-0000-0000-0000150B0000}"/>
    <cellStyle name="Comma 4 3 2 7 5" xfId="2839" xr:uid="{00000000-0005-0000-0000-0000160B0000}"/>
    <cellStyle name="Comma 4 3 2 7 6" xfId="2840" xr:uid="{00000000-0005-0000-0000-0000170B0000}"/>
    <cellStyle name="Comma 4 3 2 8" xfId="2841" xr:uid="{00000000-0005-0000-0000-0000180B0000}"/>
    <cellStyle name="Comma 4 3 2 8 2" xfId="2842" xr:uid="{00000000-0005-0000-0000-0000190B0000}"/>
    <cellStyle name="Comma 4 3 2 8 3" xfId="2843" xr:uid="{00000000-0005-0000-0000-00001A0B0000}"/>
    <cellStyle name="Comma 4 3 2 8 4" xfId="2844" xr:uid="{00000000-0005-0000-0000-00001B0B0000}"/>
    <cellStyle name="Comma 4 3 2 8 5" xfId="2845" xr:uid="{00000000-0005-0000-0000-00001C0B0000}"/>
    <cellStyle name="Comma 4 3 2 8 6" xfId="2846" xr:uid="{00000000-0005-0000-0000-00001D0B0000}"/>
    <cellStyle name="Comma 4 3 2 9" xfId="2847" xr:uid="{00000000-0005-0000-0000-00001E0B0000}"/>
    <cellStyle name="Comma 4 3 2 9 2" xfId="2848" xr:uid="{00000000-0005-0000-0000-00001F0B0000}"/>
    <cellStyle name="Comma 4 3 2 9 3" xfId="2849" xr:uid="{00000000-0005-0000-0000-0000200B0000}"/>
    <cellStyle name="Comma 4 3 2 9 4" xfId="2850" xr:uid="{00000000-0005-0000-0000-0000210B0000}"/>
    <cellStyle name="Comma 4 3 2 9 5" xfId="2851" xr:uid="{00000000-0005-0000-0000-0000220B0000}"/>
    <cellStyle name="Comma 4 3 2 9 6" xfId="2852" xr:uid="{00000000-0005-0000-0000-0000230B0000}"/>
    <cellStyle name="Comma 4 3 20" xfId="2853" xr:uid="{00000000-0005-0000-0000-0000240B0000}"/>
    <cellStyle name="Comma 4 3 21" xfId="2854" xr:uid="{00000000-0005-0000-0000-0000250B0000}"/>
    <cellStyle name="Comma 4 3 22" xfId="2855" xr:uid="{00000000-0005-0000-0000-0000260B0000}"/>
    <cellStyle name="Comma 4 3 23" xfId="2856" xr:uid="{00000000-0005-0000-0000-0000270B0000}"/>
    <cellStyle name="Comma 4 3 24" xfId="2857" xr:uid="{00000000-0005-0000-0000-0000280B0000}"/>
    <cellStyle name="Comma 4 3 25" xfId="2858" xr:uid="{00000000-0005-0000-0000-0000290B0000}"/>
    <cellStyle name="Comma 4 3 26" xfId="2859" xr:uid="{00000000-0005-0000-0000-00002A0B0000}"/>
    <cellStyle name="Comma 4 3 27" xfId="2860" xr:uid="{00000000-0005-0000-0000-00002B0B0000}"/>
    <cellStyle name="Comma 4 3 28" xfId="2861" xr:uid="{00000000-0005-0000-0000-00002C0B0000}"/>
    <cellStyle name="Comma 4 3 29" xfId="2862" xr:uid="{00000000-0005-0000-0000-00002D0B0000}"/>
    <cellStyle name="Comma 4 3 3" xfId="2863" xr:uid="{00000000-0005-0000-0000-00002E0B0000}"/>
    <cellStyle name="Comma 4 3 3 10" xfId="2864" xr:uid="{00000000-0005-0000-0000-00002F0B0000}"/>
    <cellStyle name="Comma 4 3 3 2" xfId="2865" xr:uid="{00000000-0005-0000-0000-0000300B0000}"/>
    <cellStyle name="Comma 4 3 3 2 2" xfId="2866" xr:uid="{00000000-0005-0000-0000-0000310B0000}"/>
    <cellStyle name="Comma 4 3 3 2 3" xfId="2867" xr:uid="{00000000-0005-0000-0000-0000320B0000}"/>
    <cellStyle name="Comma 4 3 3 2 4" xfId="2868" xr:uid="{00000000-0005-0000-0000-0000330B0000}"/>
    <cellStyle name="Comma 4 3 3 2 5" xfId="2869" xr:uid="{00000000-0005-0000-0000-0000340B0000}"/>
    <cellStyle name="Comma 4 3 3 2 6" xfId="2870" xr:uid="{00000000-0005-0000-0000-0000350B0000}"/>
    <cellStyle name="Comma 4 3 3 3" xfId="2871" xr:uid="{00000000-0005-0000-0000-0000360B0000}"/>
    <cellStyle name="Comma 4 3 3 3 2" xfId="2872" xr:uid="{00000000-0005-0000-0000-0000370B0000}"/>
    <cellStyle name="Comma 4 3 3 3 3" xfId="2873" xr:uid="{00000000-0005-0000-0000-0000380B0000}"/>
    <cellStyle name="Comma 4 3 3 3 4" xfId="2874" xr:uid="{00000000-0005-0000-0000-0000390B0000}"/>
    <cellStyle name="Comma 4 3 3 3 5" xfId="2875" xr:uid="{00000000-0005-0000-0000-00003A0B0000}"/>
    <cellStyle name="Comma 4 3 3 3 6" xfId="2876" xr:uid="{00000000-0005-0000-0000-00003B0B0000}"/>
    <cellStyle name="Comma 4 3 3 4" xfId="2877" xr:uid="{00000000-0005-0000-0000-00003C0B0000}"/>
    <cellStyle name="Comma 4 3 3 4 2" xfId="2878" xr:uid="{00000000-0005-0000-0000-00003D0B0000}"/>
    <cellStyle name="Comma 4 3 3 4 3" xfId="2879" xr:uid="{00000000-0005-0000-0000-00003E0B0000}"/>
    <cellStyle name="Comma 4 3 3 4 4" xfId="2880" xr:uid="{00000000-0005-0000-0000-00003F0B0000}"/>
    <cellStyle name="Comma 4 3 3 4 5" xfId="2881" xr:uid="{00000000-0005-0000-0000-0000400B0000}"/>
    <cellStyle name="Comma 4 3 3 4 6" xfId="2882" xr:uid="{00000000-0005-0000-0000-0000410B0000}"/>
    <cellStyle name="Comma 4 3 3 5" xfId="2883" xr:uid="{00000000-0005-0000-0000-0000420B0000}"/>
    <cellStyle name="Comma 4 3 3 5 2" xfId="2884" xr:uid="{00000000-0005-0000-0000-0000430B0000}"/>
    <cellStyle name="Comma 4 3 3 5 3" xfId="2885" xr:uid="{00000000-0005-0000-0000-0000440B0000}"/>
    <cellStyle name="Comma 4 3 3 5 4" xfId="2886" xr:uid="{00000000-0005-0000-0000-0000450B0000}"/>
    <cellStyle name="Comma 4 3 3 5 5" xfId="2887" xr:uid="{00000000-0005-0000-0000-0000460B0000}"/>
    <cellStyle name="Comma 4 3 3 5 6" xfId="2888" xr:uid="{00000000-0005-0000-0000-0000470B0000}"/>
    <cellStyle name="Comma 4 3 3 6" xfId="2889" xr:uid="{00000000-0005-0000-0000-0000480B0000}"/>
    <cellStyle name="Comma 4 3 3 7" xfId="2890" xr:uid="{00000000-0005-0000-0000-0000490B0000}"/>
    <cellStyle name="Comma 4 3 3 8" xfId="2891" xr:uid="{00000000-0005-0000-0000-00004A0B0000}"/>
    <cellStyle name="Comma 4 3 3 9" xfId="2892" xr:uid="{00000000-0005-0000-0000-00004B0B0000}"/>
    <cellStyle name="Comma 4 3 30" xfId="2893" xr:uid="{00000000-0005-0000-0000-00004C0B0000}"/>
    <cellStyle name="Comma 4 3 31" xfId="2894" xr:uid="{00000000-0005-0000-0000-00004D0B0000}"/>
    <cellStyle name="Comma 4 3 32" xfId="2895" xr:uid="{00000000-0005-0000-0000-00004E0B0000}"/>
    <cellStyle name="Comma 4 3 33" xfId="2896" xr:uid="{00000000-0005-0000-0000-00004F0B0000}"/>
    <cellStyle name="Comma 4 3 34" xfId="2897" xr:uid="{00000000-0005-0000-0000-0000500B0000}"/>
    <cellStyle name="Comma 4 3 35" xfId="2898" xr:uid="{00000000-0005-0000-0000-0000510B0000}"/>
    <cellStyle name="Comma 4 3 36" xfId="2899" xr:uid="{00000000-0005-0000-0000-0000520B0000}"/>
    <cellStyle name="Comma 4 3 37" xfId="2900" xr:uid="{00000000-0005-0000-0000-0000530B0000}"/>
    <cellStyle name="Comma 4 3 38" xfId="2901" xr:uid="{00000000-0005-0000-0000-0000540B0000}"/>
    <cellStyle name="Comma 4 3 39" xfId="2902" xr:uid="{00000000-0005-0000-0000-0000550B0000}"/>
    <cellStyle name="Comma 4 3 4" xfId="2903" xr:uid="{00000000-0005-0000-0000-0000560B0000}"/>
    <cellStyle name="Comma 4 3 4 10" xfId="2904" xr:uid="{00000000-0005-0000-0000-0000570B0000}"/>
    <cellStyle name="Comma 4 3 4 2" xfId="2905" xr:uid="{00000000-0005-0000-0000-0000580B0000}"/>
    <cellStyle name="Comma 4 3 4 2 2" xfId="2906" xr:uid="{00000000-0005-0000-0000-0000590B0000}"/>
    <cellStyle name="Comma 4 3 4 2 3" xfId="2907" xr:uid="{00000000-0005-0000-0000-00005A0B0000}"/>
    <cellStyle name="Comma 4 3 4 2 4" xfId="2908" xr:uid="{00000000-0005-0000-0000-00005B0B0000}"/>
    <cellStyle name="Comma 4 3 4 2 5" xfId="2909" xr:uid="{00000000-0005-0000-0000-00005C0B0000}"/>
    <cellStyle name="Comma 4 3 4 2 6" xfId="2910" xr:uid="{00000000-0005-0000-0000-00005D0B0000}"/>
    <cellStyle name="Comma 4 3 4 3" xfId="2911" xr:uid="{00000000-0005-0000-0000-00005E0B0000}"/>
    <cellStyle name="Comma 4 3 4 3 2" xfId="2912" xr:uid="{00000000-0005-0000-0000-00005F0B0000}"/>
    <cellStyle name="Comma 4 3 4 3 3" xfId="2913" xr:uid="{00000000-0005-0000-0000-0000600B0000}"/>
    <cellStyle name="Comma 4 3 4 3 4" xfId="2914" xr:uid="{00000000-0005-0000-0000-0000610B0000}"/>
    <cellStyle name="Comma 4 3 4 3 5" xfId="2915" xr:uid="{00000000-0005-0000-0000-0000620B0000}"/>
    <cellStyle name="Comma 4 3 4 3 6" xfId="2916" xr:uid="{00000000-0005-0000-0000-0000630B0000}"/>
    <cellStyle name="Comma 4 3 4 4" xfId="2917" xr:uid="{00000000-0005-0000-0000-0000640B0000}"/>
    <cellStyle name="Comma 4 3 4 4 2" xfId="2918" xr:uid="{00000000-0005-0000-0000-0000650B0000}"/>
    <cellStyle name="Comma 4 3 4 4 3" xfId="2919" xr:uid="{00000000-0005-0000-0000-0000660B0000}"/>
    <cellStyle name="Comma 4 3 4 4 4" xfId="2920" xr:uid="{00000000-0005-0000-0000-0000670B0000}"/>
    <cellStyle name="Comma 4 3 4 4 5" xfId="2921" xr:uid="{00000000-0005-0000-0000-0000680B0000}"/>
    <cellStyle name="Comma 4 3 4 4 6" xfId="2922" xr:uid="{00000000-0005-0000-0000-0000690B0000}"/>
    <cellStyle name="Comma 4 3 4 5" xfId="2923" xr:uid="{00000000-0005-0000-0000-00006A0B0000}"/>
    <cellStyle name="Comma 4 3 4 5 2" xfId="2924" xr:uid="{00000000-0005-0000-0000-00006B0B0000}"/>
    <cellStyle name="Comma 4 3 4 5 3" xfId="2925" xr:uid="{00000000-0005-0000-0000-00006C0B0000}"/>
    <cellStyle name="Comma 4 3 4 5 4" xfId="2926" xr:uid="{00000000-0005-0000-0000-00006D0B0000}"/>
    <cellStyle name="Comma 4 3 4 5 5" xfId="2927" xr:uid="{00000000-0005-0000-0000-00006E0B0000}"/>
    <cellStyle name="Comma 4 3 4 5 6" xfId="2928" xr:uid="{00000000-0005-0000-0000-00006F0B0000}"/>
    <cellStyle name="Comma 4 3 4 6" xfId="2929" xr:uid="{00000000-0005-0000-0000-0000700B0000}"/>
    <cellStyle name="Comma 4 3 4 7" xfId="2930" xr:uid="{00000000-0005-0000-0000-0000710B0000}"/>
    <cellStyle name="Comma 4 3 4 8" xfId="2931" xr:uid="{00000000-0005-0000-0000-0000720B0000}"/>
    <cellStyle name="Comma 4 3 4 9" xfId="2932" xr:uid="{00000000-0005-0000-0000-0000730B0000}"/>
    <cellStyle name="Comma 4 3 40" xfId="2933" xr:uid="{00000000-0005-0000-0000-0000740B0000}"/>
    <cellStyle name="Comma 4 3 41" xfId="2934" xr:uid="{00000000-0005-0000-0000-0000750B0000}"/>
    <cellStyle name="Comma 4 3 42" xfId="2935" xr:uid="{00000000-0005-0000-0000-0000760B0000}"/>
    <cellStyle name="Comma 4 3 43" xfId="2936" xr:uid="{00000000-0005-0000-0000-0000770B0000}"/>
    <cellStyle name="Comma 4 3 44" xfId="2937" xr:uid="{00000000-0005-0000-0000-0000780B0000}"/>
    <cellStyle name="Comma 4 3 5" xfId="2938" xr:uid="{00000000-0005-0000-0000-0000790B0000}"/>
    <cellStyle name="Comma 4 3 5 10" xfId="2939" xr:uid="{00000000-0005-0000-0000-00007A0B0000}"/>
    <cellStyle name="Comma 4 3 5 2" xfId="2940" xr:uid="{00000000-0005-0000-0000-00007B0B0000}"/>
    <cellStyle name="Comma 4 3 5 2 2" xfId="2941" xr:uid="{00000000-0005-0000-0000-00007C0B0000}"/>
    <cellStyle name="Comma 4 3 5 2 3" xfId="2942" xr:uid="{00000000-0005-0000-0000-00007D0B0000}"/>
    <cellStyle name="Comma 4 3 5 2 4" xfId="2943" xr:uid="{00000000-0005-0000-0000-00007E0B0000}"/>
    <cellStyle name="Comma 4 3 5 2 5" xfId="2944" xr:uid="{00000000-0005-0000-0000-00007F0B0000}"/>
    <cellStyle name="Comma 4 3 5 2 6" xfId="2945" xr:uid="{00000000-0005-0000-0000-0000800B0000}"/>
    <cellStyle name="Comma 4 3 5 3" xfId="2946" xr:uid="{00000000-0005-0000-0000-0000810B0000}"/>
    <cellStyle name="Comma 4 3 5 3 2" xfId="2947" xr:uid="{00000000-0005-0000-0000-0000820B0000}"/>
    <cellStyle name="Comma 4 3 5 3 3" xfId="2948" xr:uid="{00000000-0005-0000-0000-0000830B0000}"/>
    <cellStyle name="Comma 4 3 5 3 4" xfId="2949" xr:uid="{00000000-0005-0000-0000-0000840B0000}"/>
    <cellStyle name="Comma 4 3 5 3 5" xfId="2950" xr:uid="{00000000-0005-0000-0000-0000850B0000}"/>
    <cellStyle name="Comma 4 3 5 3 6" xfId="2951" xr:uid="{00000000-0005-0000-0000-0000860B0000}"/>
    <cellStyle name="Comma 4 3 5 4" xfId="2952" xr:uid="{00000000-0005-0000-0000-0000870B0000}"/>
    <cellStyle name="Comma 4 3 5 4 2" xfId="2953" xr:uid="{00000000-0005-0000-0000-0000880B0000}"/>
    <cellStyle name="Comma 4 3 5 4 3" xfId="2954" xr:uid="{00000000-0005-0000-0000-0000890B0000}"/>
    <cellStyle name="Comma 4 3 5 4 4" xfId="2955" xr:uid="{00000000-0005-0000-0000-00008A0B0000}"/>
    <cellStyle name="Comma 4 3 5 4 5" xfId="2956" xr:uid="{00000000-0005-0000-0000-00008B0B0000}"/>
    <cellStyle name="Comma 4 3 5 4 6" xfId="2957" xr:uid="{00000000-0005-0000-0000-00008C0B0000}"/>
    <cellStyle name="Comma 4 3 5 5" xfId="2958" xr:uid="{00000000-0005-0000-0000-00008D0B0000}"/>
    <cellStyle name="Comma 4 3 5 5 2" xfId="2959" xr:uid="{00000000-0005-0000-0000-00008E0B0000}"/>
    <cellStyle name="Comma 4 3 5 5 3" xfId="2960" xr:uid="{00000000-0005-0000-0000-00008F0B0000}"/>
    <cellStyle name="Comma 4 3 5 5 4" xfId="2961" xr:uid="{00000000-0005-0000-0000-0000900B0000}"/>
    <cellStyle name="Comma 4 3 5 5 5" xfId="2962" xr:uid="{00000000-0005-0000-0000-0000910B0000}"/>
    <cellStyle name="Comma 4 3 5 5 6" xfId="2963" xr:uid="{00000000-0005-0000-0000-0000920B0000}"/>
    <cellStyle name="Comma 4 3 5 6" xfId="2964" xr:uid="{00000000-0005-0000-0000-0000930B0000}"/>
    <cellStyle name="Comma 4 3 5 7" xfId="2965" xr:uid="{00000000-0005-0000-0000-0000940B0000}"/>
    <cellStyle name="Comma 4 3 5 8" xfId="2966" xr:uid="{00000000-0005-0000-0000-0000950B0000}"/>
    <cellStyle name="Comma 4 3 5 9" xfId="2967" xr:uid="{00000000-0005-0000-0000-0000960B0000}"/>
    <cellStyle name="Comma 4 3 6" xfId="2968" xr:uid="{00000000-0005-0000-0000-0000970B0000}"/>
    <cellStyle name="Comma 4 3 6 10" xfId="2969" xr:uid="{00000000-0005-0000-0000-0000980B0000}"/>
    <cellStyle name="Comma 4 3 6 2" xfId="2970" xr:uid="{00000000-0005-0000-0000-0000990B0000}"/>
    <cellStyle name="Comma 4 3 6 2 2" xfId="2971" xr:uid="{00000000-0005-0000-0000-00009A0B0000}"/>
    <cellStyle name="Comma 4 3 6 2 3" xfId="2972" xr:uid="{00000000-0005-0000-0000-00009B0B0000}"/>
    <cellStyle name="Comma 4 3 6 2 4" xfId="2973" xr:uid="{00000000-0005-0000-0000-00009C0B0000}"/>
    <cellStyle name="Comma 4 3 6 2 5" xfId="2974" xr:uid="{00000000-0005-0000-0000-00009D0B0000}"/>
    <cellStyle name="Comma 4 3 6 2 6" xfId="2975" xr:uid="{00000000-0005-0000-0000-00009E0B0000}"/>
    <cellStyle name="Comma 4 3 6 3" xfId="2976" xr:uid="{00000000-0005-0000-0000-00009F0B0000}"/>
    <cellStyle name="Comma 4 3 6 3 2" xfId="2977" xr:uid="{00000000-0005-0000-0000-0000A00B0000}"/>
    <cellStyle name="Comma 4 3 6 3 3" xfId="2978" xr:uid="{00000000-0005-0000-0000-0000A10B0000}"/>
    <cellStyle name="Comma 4 3 6 3 4" xfId="2979" xr:uid="{00000000-0005-0000-0000-0000A20B0000}"/>
    <cellStyle name="Comma 4 3 6 3 5" xfId="2980" xr:uid="{00000000-0005-0000-0000-0000A30B0000}"/>
    <cellStyle name="Comma 4 3 6 3 6" xfId="2981" xr:uid="{00000000-0005-0000-0000-0000A40B0000}"/>
    <cellStyle name="Comma 4 3 6 4" xfId="2982" xr:uid="{00000000-0005-0000-0000-0000A50B0000}"/>
    <cellStyle name="Comma 4 3 6 4 2" xfId="2983" xr:uid="{00000000-0005-0000-0000-0000A60B0000}"/>
    <cellStyle name="Comma 4 3 6 4 3" xfId="2984" xr:uid="{00000000-0005-0000-0000-0000A70B0000}"/>
    <cellStyle name="Comma 4 3 6 4 4" xfId="2985" xr:uid="{00000000-0005-0000-0000-0000A80B0000}"/>
    <cellStyle name="Comma 4 3 6 4 5" xfId="2986" xr:uid="{00000000-0005-0000-0000-0000A90B0000}"/>
    <cellStyle name="Comma 4 3 6 4 6" xfId="2987" xr:uid="{00000000-0005-0000-0000-0000AA0B0000}"/>
    <cellStyle name="Comma 4 3 6 5" xfId="2988" xr:uid="{00000000-0005-0000-0000-0000AB0B0000}"/>
    <cellStyle name="Comma 4 3 6 5 2" xfId="2989" xr:uid="{00000000-0005-0000-0000-0000AC0B0000}"/>
    <cellStyle name="Comma 4 3 6 5 3" xfId="2990" xr:uid="{00000000-0005-0000-0000-0000AD0B0000}"/>
    <cellStyle name="Comma 4 3 6 5 4" xfId="2991" xr:uid="{00000000-0005-0000-0000-0000AE0B0000}"/>
    <cellStyle name="Comma 4 3 6 5 5" xfId="2992" xr:uid="{00000000-0005-0000-0000-0000AF0B0000}"/>
    <cellStyle name="Comma 4 3 6 5 6" xfId="2993" xr:uid="{00000000-0005-0000-0000-0000B00B0000}"/>
    <cellStyle name="Comma 4 3 6 6" xfId="2994" xr:uid="{00000000-0005-0000-0000-0000B10B0000}"/>
    <cellStyle name="Comma 4 3 6 7" xfId="2995" xr:uid="{00000000-0005-0000-0000-0000B20B0000}"/>
    <cellStyle name="Comma 4 3 6 8" xfId="2996" xr:uid="{00000000-0005-0000-0000-0000B30B0000}"/>
    <cellStyle name="Comma 4 3 6 9" xfId="2997" xr:uid="{00000000-0005-0000-0000-0000B40B0000}"/>
    <cellStyle name="Comma 4 3 7" xfId="2998" xr:uid="{00000000-0005-0000-0000-0000B50B0000}"/>
    <cellStyle name="Comma 4 3 7 10" xfId="2999" xr:uid="{00000000-0005-0000-0000-0000B60B0000}"/>
    <cellStyle name="Comma 4 3 7 11" xfId="3000" xr:uid="{00000000-0005-0000-0000-0000B70B0000}"/>
    <cellStyle name="Comma 4 3 7 12" xfId="3001" xr:uid="{00000000-0005-0000-0000-0000B80B0000}"/>
    <cellStyle name="Comma 4 3 7 13" xfId="3002" xr:uid="{00000000-0005-0000-0000-0000B90B0000}"/>
    <cellStyle name="Comma 4 3 7 14" xfId="3003" xr:uid="{00000000-0005-0000-0000-0000BA0B0000}"/>
    <cellStyle name="Comma 4 3 7 15" xfId="3004" xr:uid="{00000000-0005-0000-0000-0000BB0B0000}"/>
    <cellStyle name="Comma 4 3 7 16" xfId="3005" xr:uid="{00000000-0005-0000-0000-0000BC0B0000}"/>
    <cellStyle name="Comma 4 3 7 17" xfId="3006" xr:uid="{00000000-0005-0000-0000-0000BD0B0000}"/>
    <cellStyle name="Comma 4 3 7 18" xfId="3007" xr:uid="{00000000-0005-0000-0000-0000BE0B0000}"/>
    <cellStyle name="Comma 4 3 7 19" xfId="3008" xr:uid="{00000000-0005-0000-0000-0000BF0B0000}"/>
    <cellStyle name="Comma 4 3 7 2" xfId="3009" xr:uid="{00000000-0005-0000-0000-0000C00B0000}"/>
    <cellStyle name="Comma 4 3 7 2 2" xfId="3010" xr:uid="{00000000-0005-0000-0000-0000C10B0000}"/>
    <cellStyle name="Comma 4 3 7 2 3" xfId="3011" xr:uid="{00000000-0005-0000-0000-0000C20B0000}"/>
    <cellStyle name="Comma 4 3 7 2 4" xfId="3012" xr:uid="{00000000-0005-0000-0000-0000C30B0000}"/>
    <cellStyle name="Comma 4 3 7 2 5" xfId="3013" xr:uid="{00000000-0005-0000-0000-0000C40B0000}"/>
    <cellStyle name="Comma 4 3 7 2 6" xfId="3014" xr:uid="{00000000-0005-0000-0000-0000C50B0000}"/>
    <cellStyle name="Comma 4 3 7 20" xfId="3015" xr:uid="{00000000-0005-0000-0000-0000C60B0000}"/>
    <cellStyle name="Comma 4 3 7 21" xfId="3016" xr:uid="{00000000-0005-0000-0000-0000C70B0000}"/>
    <cellStyle name="Comma 4 3 7 22" xfId="3017" xr:uid="{00000000-0005-0000-0000-0000C80B0000}"/>
    <cellStyle name="Comma 4 3 7 23" xfId="3018" xr:uid="{00000000-0005-0000-0000-0000C90B0000}"/>
    <cellStyle name="Comma 4 3 7 24" xfId="3019" xr:uid="{00000000-0005-0000-0000-0000CA0B0000}"/>
    <cellStyle name="Comma 4 3 7 25" xfId="3020" xr:uid="{00000000-0005-0000-0000-0000CB0B0000}"/>
    <cellStyle name="Comma 4 3 7 26" xfId="3021" xr:uid="{00000000-0005-0000-0000-0000CC0B0000}"/>
    <cellStyle name="Comma 4 3 7 27" xfId="3022" xr:uid="{00000000-0005-0000-0000-0000CD0B0000}"/>
    <cellStyle name="Comma 4 3 7 28" xfId="3023" xr:uid="{00000000-0005-0000-0000-0000CE0B0000}"/>
    <cellStyle name="Comma 4 3 7 29" xfId="3024" xr:uid="{00000000-0005-0000-0000-0000CF0B0000}"/>
    <cellStyle name="Comma 4 3 7 3" xfId="3025" xr:uid="{00000000-0005-0000-0000-0000D00B0000}"/>
    <cellStyle name="Comma 4 3 7 30" xfId="3026" xr:uid="{00000000-0005-0000-0000-0000D10B0000}"/>
    <cellStyle name="Comma 4 3 7 31" xfId="3027" xr:uid="{00000000-0005-0000-0000-0000D20B0000}"/>
    <cellStyle name="Comma 4 3 7 32" xfId="3028" xr:uid="{00000000-0005-0000-0000-0000D30B0000}"/>
    <cellStyle name="Comma 4 3 7 33" xfId="3029" xr:uid="{00000000-0005-0000-0000-0000D40B0000}"/>
    <cellStyle name="Comma 4 3 7 4" xfId="3030" xr:uid="{00000000-0005-0000-0000-0000D50B0000}"/>
    <cellStyle name="Comma 4 3 7 5" xfId="3031" xr:uid="{00000000-0005-0000-0000-0000D60B0000}"/>
    <cellStyle name="Comma 4 3 7 6" xfId="3032" xr:uid="{00000000-0005-0000-0000-0000D70B0000}"/>
    <cellStyle name="Comma 4 3 7 7" xfId="3033" xr:uid="{00000000-0005-0000-0000-0000D80B0000}"/>
    <cellStyle name="Comma 4 3 7 8" xfId="3034" xr:uid="{00000000-0005-0000-0000-0000D90B0000}"/>
    <cellStyle name="Comma 4 3 7 9" xfId="3035" xr:uid="{00000000-0005-0000-0000-0000DA0B0000}"/>
    <cellStyle name="Comma 4 3 8" xfId="3036" xr:uid="{00000000-0005-0000-0000-0000DB0B0000}"/>
    <cellStyle name="Comma 4 3 9" xfId="3037" xr:uid="{00000000-0005-0000-0000-0000DC0B0000}"/>
    <cellStyle name="Comma 4 30" xfId="3038" xr:uid="{00000000-0005-0000-0000-0000DD0B0000}"/>
    <cellStyle name="Comma 4 31" xfId="3039" xr:uid="{00000000-0005-0000-0000-0000DE0B0000}"/>
    <cellStyle name="Comma 4 32" xfId="3040" xr:uid="{00000000-0005-0000-0000-0000DF0B0000}"/>
    <cellStyle name="Comma 4 33" xfId="3041" xr:uid="{00000000-0005-0000-0000-0000E00B0000}"/>
    <cellStyle name="Comma 4 34" xfId="3042" xr:uid="{00000000-0005-0000-0000-0000E10B0000}"/>
    <cellStyle name="Comma 4 35" xfId="3043" xr:uid="{00000000-0005-0000-0000-0000E20B0000}"/>
    <cellStyle name="Comma 4 36" xfId="3044" xr:uid="{00000000-0005-0000-0000-0000E30B0000}"/>
    <cellStyle name="Comma 4 37" xfId="3045" xr:uid="{00000000-0005-0000-0000-0000E40B0000}"/>
    <cellStyle name="Comma 4 38" xfId="3046" xr:uid="{00000000-0005-0000-0000-0000E50B0000}"/>
    <cellStyle name="Comma 4 39" xfId="3047" xr:uid="{00000000-0005-0000-0000-0000E60B0000}"/>
    <cellStyle name="Comma 4 4" xfId="3048" xr:uid="{00000000-0005-0000-0000-0000E70B0000}"/>
    <cellStyle name="Comma 4 4 10" xfId="3049" xr:uid="{00000000-0005-0000-0000-0000E80B0000}"/>
    <cellStyle name="Comma 4 4 10 2" xfId="3050" xr:uid="{00000000-0005-0000-0000-0000E90B0000}"/>
    <cellStyle name="Comma 4 4 10 3" xfId="3051" xr:uid="{00000000-0005-0000-0000-0000EA0B0000}"/>
    <cellStyle name="Comma 4 4 10 4" xfId="3052" xr:uid="{00000000-0005-0000-0000-0000EB0B0000}"/>
    <cellStyle name="Comma 4 4 10 5" xfId="3053" xr:uid="{00000000-0005-0000-0000-0000EC0B0000}"/>
    <cellStyle name="Comma 4 4 10 6" xfId="3054" xr:uid="{00000000-0005-0000-0000-0000ED0B0000}"/>
    <cellStyle name="Comma 4 4 11" xfId="3055" xr:uid="{00000000-0005-0000-0000-0000EE0B0000}"/>
    <cellStyle name="Comma 4 4 12" xfId="3056" xr:uid="{00000000-0005-0000-0000-0000EF0B0000}"/>
    <cellStyle name="Comma 4 4 13" xfId="3057" xr:uid="{00000000-0005-0000-0000-0000F00B0000}"/>
    <cellStyle name="Comma 4 4 14" xfId="3058" xr:uid="{00000000-0005-0000-0000-0000F10B0000}"/>
    <cellStyle name="Comma 4 4 15" xfId="3059" xr:uid="{00000000-0005-0000-0000-0000F20B0000}"/>
    <cellStyle name="Comma 4 4 16" xfId="3060" xr:uid="{00000000-0005-0000-0000-0000F30B0000}"/>
    <cellStyle name="Comma 4 4 17" xfId="3061" xr:uid="{00000000-0005-0000-0000-0000F40B0000}"/>
    <cellStyle name="Comma 4 4 18" xfId="3062" xr:uid="{00000000-0005-0000-0000-0000F50B0000}"/>
    <cellStyle name="Comma 4 4 19" xfId="3063" xr:uid="{00000000-0005-0000-0000-0000F60B0000}"/>
    <cellStyle name="Comma 4 4 2" xfId="3064" xr:uid="{00000000-0005-0000-0000-0000F70B0000}"/>
    <cellStyle name="Comma 4 4 2 10" xfId="3065" xr:uid="{00000000-0005-0000-0000-0000F80B0000}"/>
    <cellStyle name="Comma 4 4 2 11" xfId="3066" xr:uid="{00000000-0005-0000-0000-0000F90B0000}"/>
    <cellStyle name="Comma 4 4 2 12" xfId="3067" xr:uid="{00000000-0005-0000-0000-0000FA0B0000}"/>
    <cellStyle name="Comma 4 4 2 13" xfId="3068" xr:uid="{00000000-0005-0000-0000-0000FB0B0000}"/>
    <cellStyle name="Comma 4 4 2 14" xfId="3069" xr:uid="{00000000-0005-0000-0000-0000FC0B0000}"/>
    <cellStyle name="Comma 4 4 2 15" xfId="3070" xr:uid="{00000000-0005-0000-0000-0000FD0B0000}"/>
    <cellStyle name="Comma 4 4 2 16" xfId="3071" xr:uid="{00000000-0005-0000-0000-0000FE0B0000}"/>
    <cellStyle name="Comma 4 4 2 17" xfId="3072" xr:uid="{00000000-0005-0000-0000-0000FF0B0000}"/>
    <cellStyle name="Comma 4 4 2 18" xfId="3073" xr:uid="{00000000-0005-0000-0000-0000000C0000}"/>
    <cellStyle name="Comma 4 4 2 19" xfId="3074" xr:uid="{00000000-0005-0000-0000-0000010C0000}"/>
    <cellStyle name="Comma 4 4 2 2" xfId="3075" xr:uid="{00000000-0005-0000-0000-0000020C0000}"/>
    <cellStyle name="Comma 4 4 2 2 2" xfId="3076" xr:uid="{00000000-0005-0000-0000-0000030C0000}"/>
    <cellStyle name="Comma 4 4 2 2 3" xfId="3077" xr:uid="{00000000-0005-0000-0000-0000040C0000}"/>
    <cellStyle name="Comma 4 4 2 2 4" xfId="3078" xr:uid="{00000000-0005-0000-0000-0000050C0000}"/>
    <cellStyle name="Comma 4 4 2 2 5" xfId="3079" xr:uid="{00000000-0005-0000-0000-0000060C0000}"/>
    <cellStyle name="Comma 4 4 2 2 6" xfId="3080" xr:uid="{00000000-0005-0000-0000-0000070C0000}"/>
    <cellStyle name="Comma 4 4 2 20" xfId="3081" xr:uid="{00000000-0005-0000-0000-0000080C0000}"/>
    <cellStyle name="Comma 4 4 2 21" xfId="3082" xr:uid="{00000000-0005-0000-0000-0000090C0000}"/>
    <cellStyle name="Comma 4 4 2 22" xfId="3083" xr:uid="{00000000-0005-0000-0000-00000A0C0000}"/>
    <cellStyle name="Comma 4 4 2 23" xfId="3084" xr:uid="{00000000-0005-0000-0000-00000B0C0000}"/>
    <cellStyle name="Comma 4 4 2 24" xfId="3085" xr:uid="{00000000-0005-0000-0000-00000C0C0000}"/>
    <cellStyle name="Comma 4 4 2 25" xfId="3086" xr:uid="{00000000-0005-0000-0000-00000D0C0000}"/>
    <cellStyle name="Comma 4 4 2 26" xfId="3087" xr:uid="{00000000-0005-0000-0000-00000E0C0000}"/>
    <cellStyle name="Comma 4 4 2 27" xfId="3088" xr:uid="{00000000-0005-0000-0000-00000F0C0000}"/>
    <cellStyle name="Comma 4 4 2 28" xfId="3089" xr:uid="{00000000-0005-0000-0000-0000100C0000}"/>
    <cellStyle name="Comma 4 4 2 29" xfId="3090" xr:uid="{00000000-0005-0000-0000-0000110C0000}"/>
    <cellStyle name="Comma 4 4 2 3" xfId="3091" xr:uid="{00000000-0005-0000-0000-0000120C0000}"/>
    <cellStyle name="Comma 4 4 2 30" xfId="3092" xr:uid="{00000000-0005-0000-0000-0000130C0000}"/>
    <cellStyle name="Comma 4 4 2 31" xfId="3093" xr:uid="{00000000-0005-0000-0000-0000140C0000}"/>
    <cellStyle name="Comma 4 4 2 32" xfId="3094" xr:uid="{00000000-0005-0000-0000-0000150C0000}"/>
    <cellStyle name="Comma 4 4 2 33" xfId="3095" xr:uid="{00000000-0005-0000-0000-0000160C0000}"/>
    <cellStyle name="Comma 4 4 2 4" xfId="3096" xr:uid="{00000000-0005-0000-0000-0000170C0000}"/>
    <cellStyle name="Comma 4 4 2 5" xfId="3097" xr:uid="{00000000-0005-0000-0000-0000180C0000}"/>
    <cellStyle name="Comma 4 4 2 6" xfId="3098" xr:uid="{00000000-0005-0000-0000-0000190C0000}"/>
    <cellStyle name="Comma 4 4 2 7" xfId="3099" xr:uid="{00000000-0005-0000-0000-00001A0C0000}"/>
    <cellStyle name="Comma 4 4 2 8" xfId="3100" xr:uid="{00000000-0005-0000-0000-00001B0C0000}"/>
    <cellStyle name="Comma 4 4 2 9" xfId="3101" xr:uid="{00000000-0005-0000-0000-00001C0C0000}"/>
    <cellStyle name="Comma 4 4 20" xfId="3102" xr:uid="{00000000-0005-0000-0000-00001D0C0000}"/>
    <cellStyle name="Comma 4 4 21" xfId="3103" xr:uid="{00000000-0005-0000-0000-00001E0C0000}"/>
    <cellStyle name="Comma 4 4 22" xfId="3104" xr:uid="{00000000-0005-0000-0000-00001F0C0000}"/>
    <cellStyle name="Comma 4 4 23" xfId="3105" xr:uid="{00000000-0005-0000-0000-0000200C0000}"/>
    <cellStyle name="Comma 4 4 24" xfId="3106" xr:uid="{00000000-0005-0000-0000-0000210C0000}"/>
    <cellStyle name="Comma 4 4 25" xfId="3107" xr:uid="{00000000-0005-0000-0000-0000220C0000}"/>
    <cellStyle name="Comma 4 4 26" xfId="3108" xr:uid="{00000000-0005-0000-0000-0000230C0000}"/>
    <cellStyle name="Comma 4 4 27" xfId="3109" xr:uid="{00000000-0005-0000-0000-0000240C0000}"/>
    <cellStyle name="Comma 4 4 28" xfId="3110" xr:uid="{00000000-0005-0000-0000-0000250C0000}"/>
    <cellStyle name="Comma 4 4 29" xfId="3111" xr:uid="{00000000-0005-0000-0000-0000260C0000}"/>
    <cellStyle name="Comma 4 4 3" xfId="3112" xr:uid="{00000000-0005-0000-0000-0000270C0000}"/>
    <cellStyle name="Comma 4 4 30" xfId="3113" xr:uid="{00000000-0005-0000-0000-0000280C0000}"/>
    <cellStyle name="Comma 4 4 31" xfId="3114" xr:uid="{00000000-0005-0000-0000-0000290C0000}"/>
    <cellStyle name="Comma 4 4 32" xfId="3115" xr:uid="{00000000-0005-0000-0000-00002A0C0000}"/>
    <cellStyle name="Comma 4 4 33" xfId="3116" xr:uid="{00000000-0005-0000-0000-00002B0C0000}"/>
    <cellStyle name="Comma 4 4 34" xfId="3117" xr:uid="{00000000-0005-0000-0000-00002C0C0000}"/>
    <cellStyle name="Comma 4 4 35" xfId="3118" xr:uid="{00000000-0005-0000-0000-00002D0C0000}"/>
    <cellStyle name="Comma 4 4 36" xfId="3119" xr:uid="{00000000-0005-0000-0000-00002E0C0000}"/>
    <cellStyle name="Comma 4 4 37" xfId="3120" xr:uid="{00000000-0005-0000-0000-00002F0C0000}"/>
    <cellStyle name="Comma 4 4 38" xfId="3121" xr:uid="{00000000-0005-0000-0000-0000300C0000}"/>
    <cellStyle name="Comma 4 4 39" xfId="3122" xr:uid="{00000000-0005-0000-0000-0000310C0000}"/>
    <cellStyle name="Comma 4 4 4" xfId="3123" xr:uid="{00000000-0005-0000-0000-0000320C0000}"/>
    <cellStyle name="Comma 4 4 40" xfId="3124" xr:uid="{00000000-0005-0000-0000-0000330C0000}"/>
    <cellStyle name="Comma 4 4 5" xfId="3125" xr:uid="{00000000-0005-0000-0000-0000340C0000}"/>
    <cellStyle name="Comma 4 4 6" xfId="3126" xr:uid="{00000000-0005-0000-0000-0000350C0000}"/>
    <cellStyle name="Comma 4 4 7" xfId="3127" xr:uid="{00000000-0005-0000-0000-0000360C0000}"/>
    <cellStyle name="Comma 4 4 8" xfId="3128" xr:uid="{00000000-0005-0000-0000-0000370C0000}"/>
    <cellStyle name="Comma 4 4 9" xfId="3129" xr:uid="{00000000-0005-0000-0000-0000380C0000}"/>
    <cellStyle name="Comma 4 40" xfId="3130" xr:uid="{00000000-0005-0000-0000-0000390C0000}"/>
    <cellStyle name="Comma 4 41" xfId="3131" xr:uid="{00000000-0005-0000-0000-00003A0C0000}"/>
    <cellStyle name="Comma 4 42" xfId="3132" xr:uid="{00000000-0005-0000-0000-00003B0C0000}"/>
    <cellStyle name="Comma 4 43" xfId="3133" xr:uid="{00000000-0005-0000-0000-00003C0C0000}"/>
    <cellStyle name="Comma 4 44" xfId="3134" xr:uid="{00000000-0005-0000-0000-00003D0C0000}"/>
    <cellStyle name="Comma 4 45" xfId="3135" xr:uid="{00000000-0005-0000-0000-00003E0C0000}"/>
    <cellStyle name="Comma 4 46" xfId="3136" xr:uid="{00000000-0005-0000-0000-00003F0C0000}"/>
    <cellStyle name="Comma 4 47" xfId="3137" xr:uid="{00000000-0005-0000-0000-0000400C0000}"/>
    <cellStyle name="Comma 4 48" xfId="3138" xr:uid="{00000000-0005-0000-0000-0000410C0000}"/>
    <cellStyle name="Comma 4 49" xfId="3139" xr:uid="{00000000-0005-0000-0000-0000420C0000}"/>
    <cellStyle name="Comma 4 5" xfId="3140" xr:uid="{00000000-0005-0000-0000-0000430C0000}"/>
    <cellStyle name="Comma 4 50" xfId="3141" xr:uid="{00000000-0005-0000-0000-0000440C0000}"/>
    <cellStyle name="Comma 4 51" xfId="3142" xr:uid="{00000000-0005-0000-0000-0000450C0000}"/>
    <cellStyle name="Comma 4 6" xfId="3143" xr:uid="{00000000-0005-0000-0000-0000460C0000}"/>
    <cellStyle name="Comma 4 7" xfId="3144" xr:uid="{00000000-0005-0000-0000-0000470C0000}"/>
    <cellStyle name="Comma 4 8" xfId="3145" xr:uid="{00000000-0005-0000-0000-0000480C0000}"/>
    <cellStyle name="Comma 4 9" xfId="3146" xr:uid="{00000000-0005-0000-0000-0000490C0000}"/>
    <cellStyle name="Comma 4 9 10" xfId="3147" xr:uid="{00000000-0005-0000-0000-00004A0C0000}"/>
    <cellStyle name="Comma 4 9 11" xfId="3148" xr:uid="{00000000-0005-0000-0000-00004B0C0000}"/>
    <cellStyle name="Comma 4 9 12" xfId="3149" xr:uid="{00000000-0005-0000-0000-00004C0C0000}"/>
    <cellStyle name="Comma 4 9 13" xfId="3150" xr:uid="{00000000-0005-0000-0000-00004D0C0000}"/>
    <cellStyle name="Comma 4 9 14" xfId="3151" xr:uid="{00000000-0005-0000-0000-00004E0C0000}"/>
    <cellStyle name="Comma 4 9 15" xfId="3152" xr:uid="{00000000-0005-0000-0000-00004F0C0000}"/>
    <cellStyle name="Comma 4 9 16" xfId="3153" xr:uid="{00000000-0005-0000-0000-0000500C0000}"/>
    <cellStyle name="Comma 4 9 17" xfId="3154" xr:uid="{00000000-0005-0000-0000-0000510C0000}"/>
    <cellStyle name="Comma 4 9 18" xfId="3155" xr:uid="{00000000-0005-0000-0000-0000520C0000}"/>
    <cellStyle name="Comma 4 9 19" xfId="3156" xr:uid="{00000000-0005-0000-0000-0000530C0000}"/>
    <cellStyle name="Comma 4 9 2" xfId="3157" xr:uid="{00000000-0005-0000-0000-0000540C0000}"/>
    <cellStyle name="Comma 4 9 2 2" xfId="3158" xr:uid="{00000000-0005-0000-0000-0000550C0000}"/>
    <cellStyle name="Comma 4 9 2 3" xfId="3159" xr:uid="{00000000-0005-0000-0000-0000560C0000}"/>
    <cellStyle name="Comma 4 9 2 4" xfId="3160" xr:uid="{00000000-0005-0000-0000-0000570C0000}"/>
    <cellStyle name="Comma 4 9 2 5" xfId="3161" xr:uid="{00000000-0005-0000-0000-0000580C0000}"/>
    <cellStyle name="Comma 4 9 2 6" xfId="3162" xr:uid="{00000000-0005-0000-0000-0000590C0000}"/>
    <cellStyle name="Comma 4 9 20" xfId="3163" xr:uid="{00000000-0005-0000-0000-00005A0C0000}"/>
    <cellStyle name="Comma 4 9 21" xfId="3164" xr:uid="{00000000-0005-0000-0000-00005B0C0000}"/>
    <cellStyle name="Comma 4 9 22" xfId="3165" xr:uid="{00000000-0005-0000-0000-00005C0C0000}"/>
    <cellStyle name="Comma 4 9 23" xfId="3166" xr:uid="{00000000-0005-0000-0000-00005D0C0000}"/>
    <cellStyle name="Comma 4 9 24" xfId="3167" xr:uid="{00000000-0005-0000-0000-00005E0C0000}"/>
    <cellStyle name="Comma 4 9 25" xfId="3168" xr:uid="{00000000-0005-0000-0000-00005F0C0000}"/>
    <cellStyle name="Comma 4 9 26" xfId="3169" xr:uid="{00000000-0005-0000-0000-0000600C0000}"/>
    <cellStyle name="Comma 4 9 27" xfId="3170" xr:uid="{00000000-0005-0000-0000-0000610C0000}"/>
    <cellStyle name="Comma 4 9 28" xfId="3171" xr:uid="{00000000-0005-0000-0000-0000620C0000}"/>
    <cellStyle name="Comma 4 9 29" xfId="3172" xr:uid="{00000000-0005-0000-0000-0000630C0000}"/>
    <cellStyle name="Comma 4 9 3" xfId="3173" xr:uid="{00000000-0005-0000-0000-0000640C0000}"/>
    <cellStyle name="Comma 4 9 30" xfId="3174" xr:uid="{00000000-0005-0000-0000-0000650C0000}"/>
    <cellStyle name="Comma 4 9 31" xfId="3175" xr:uid="{00000000-0005-0000-0000-0000660C0000}"/>
    <cellStyle name="Comma 4 9 32" xfId="3176" xr:uid="{00000000-0005-0000-0000-0000670C0000}"/>
    <cellStyle name="Comma 4 9 33" xfId="3177" xr:uid="{00000000-0005-0000-0000-0000680C0000}"/>
    <cellStyle name="Comma 4 9 4" xfId="3178" xr:uid="{00000000-0005-0000-0000-0000690C0000}"/>
    <cellStyle name="Comma 4 9 5" xfId="3179" xr:uid="{00000000-0005-0000-0000-00006A0C0000}"/>
    <cellStyle name="Comma 4 9 6" xfId="3180" xr:uid="{00000000-0005-0000-0000-00006B0C0000}"/>
    <cellStyle name="Comma 4 9 7" xfId="3181" xr:uid="{00000000-0005-0000-0000-00006C0C0000}"/>
    <cellStyle name="Comma 4 9 8" xfId="3182" xr:uid="{00000000-0005-0000-0000-00006D0C0000}"/>
    <cellStyle name="Comma 4 9 9" xfId="3183" xr:uid="{00000000-0005-0000-0000-00006E0C0000}"/>
    <cellStyle name="Comma 5" xfId="3184" xr:uid="{00000000-0005-0000-0000-00006F0C0000}"/>
    <cellStyle name="Comma 5 10" xfId="3185" xr:uid="{00000000-0005-0000-0000-0000700C0000}"/>
    <cellStyle name="Comma 5 10 2" xfId="3186" xr:uid="{00000000-0005-0000-0000-0000710C0000}"/>
    <cellStyle name="Comma 5 10 3" xfId="3187" xr:uid="{00000000-0005-0000-0000-0000720C0000}"/>
    <cellStyle name="Comma 5 10 4" xfId="3188" xr:uid="{00000000-0005-0000-0000-0000730C0000}"/>
    <cellStyle name="Comma 5 10 5" xfId="3189" xr:uid="{00000000-0005-0000-0000-0000740C0000}"/>
    <cellStyle name="Comma 5 10 6" xfId="3190" xr:uid="{00000000-0005-0000-0000-0000750C0000}"/>
    <cellStyle name="Comma 5 11" xfId="3191" xr:uid="{00000000-0005-0000-0000-0000760C0000}"/>
    <cellStyle name="Comma 5 11 2" xfId="3192" xr:uid="{00000000-0005-0000-0000-0000770C0000}"/>
    <cellStyle name="Comma 5 11 3" xfId="3193" xr:uid="{00000000-0005-0000-0000-0000780C0000}"/>
    <cellStyle name="Comma 5 11 4" xfId="3194" xr:uid="{00000000-0005-0000-0000-0000790C0000}"/>
    <cellStyle name="Comma 5 11 5" xfId="3195" xr:uid="{00000000-0005-0000-0000-00007A0C0000}"/>
    <cellStyle name="Comma 5 11 6" xfId="3196" xr:uid="{00000000-0005-0000-0000-00007B0C0000}"/>
    <cellStyle name="Comma 5 12" xfId="3197" xr:uid="{00000000-0005-0000-0000-00007C0C0000}"/>
    <cellStyle name="Comma 5 12 2" xfId="3198" xr:uid="{00000000-0005-0000-0000-00007D0C0000}"/>
    <cellStyle name="Comma 5 12 3" xfId="3199" xr:uid="{00000000-0005-0000-0000-00007E0C0000}"/>
    <cellStyle name="Comma 5 12 4" xfId="3200" xr:uid="{00000000-0005-0000-0000-00007F0C0000}"/>
    <cellStyle name="Comma 5 12 5" xfId="3201" xr:uid="{00000000-0005-0000-0000-0000800C0000}"/>
    <cellStyle name="Comma 5 12 6" xfId="3202" xr:uid="{00000000-0005-0000-0000-0000810C0000}"/>
    <cellStyle name="Comma 5 13" xfId="3203" xr:uid="{00000000-0005-0000-0000-0000820C0000}"/>
    <cellStyle name="Comma 5 13 2" xfId="3204" xr:uid="{00000000-0005-0000-0000-0000830C0000}"/>
    <cellStyle name="Comma 5 13 3" xfId="3205" xr:uid="{00000000-0005-0000-0000-0000840C0000}"/>
    <cellStyle name="Comma 5 13 4" xfId="3206" xr:uid="{00000000-0005-0000-0000-0000850C0000}"/>
    <cellStyle name="Comma 5 13 5" xfId="3207" xr:uid="{00000000-0005-0000-0000-0000860C0000}"/>
    <cellStyle name="Comma 5 13 6" xfId="3208" xr:uid="{00000000-0005-0000-0000-0000870C0000}"/>
    <cellStyle name="Comma 5 14" xfId="3209" xr:uid="{00000000-0005-0000-0000-0000880C0000}"/>
    <cellStyle name="Comma 5 14 2" xfId="3210" xr:uid="{00000000-0005-0000-0000-0000890C0000}"/>
    <cellStyle name="Comma 5 14 3" xfId="3211" xr:uid="{00000000-0005-0000-0000-00008A0C0000}"/>
    <cellStyle name="Comma 5 14 4" xfId="3212" xr:uid="{00000000-0005-0000-0000-00008B0C0000}"/>
    <cellStyle name="Comma 5 14 5" xfId="3213" xr:uid="{00000000-0005-0000-0000-00008C0C0000}"/>
    <cellStyle name="Comma 5 14 6" xfId="3214" xr:uid="{00000000-0005-0000-0000-00008D0C0000}"/>
    <cellStyle name="Comma 5 15" xfId="3215" xr:uid="{00000000-0005-0000-0000-00008E0C0000}"/>
    <cellStyle name="Comma 5 15 2" xfId="3216" xr:uid="{00000000-0005-0000-0000-00008F0C0000}"/>
    <cellStyle name="Comma 5 15 3" xfId="3217" xr:uid="{00000000-0005-0000-0000-0000900C0000}"/>
    <cellStyle name="Comma 5 15 4" xfId="3218" xr:uid="{00000000-0005-0000-0000-0000910C0000}"/>
    <cellStyle name="Comma 5 15 5" xfId="3219" xr:uid="{00000000-0005-0000-0000-0000920C0000}"/>
    <cellStyle name="Comma 5 15 6" xfId="3220" xr:uid="{00000000-0005-0000-0000-0000930C0000}"/>
    <cellStyle name="Comma 5 16" xfId="3221" xr:uid="{00000000-0005-0000-0000-0000940C0000}"/>
    <cellStyle name="Comma 5 16 2" xfId="3222" xr:uid="{00000000-0005-0000-0000-0000950C0000}"/>
    <cellStyle name="Comma 5 16 3" xfId="3223" xr:uid="{00000000-0005-0000-0000-0000960C0000}"/>
    <cellStyle name="Comma 5 16 4" xfId="3224" xr:uid="{00000000-0005-0000-0000-0000970C0000}"/>
    <cellStyle name="Comma 5 16 5" xfId="3225" xr:uid="{00000000-0005-0000-0000-0000980C0000}"/>
    <cellStyle name="Comma 5 16 6" xfId="3226" xr:uid="{00000000-0005-0000-0000-0000990C0000}"/>
    <cellStyle name="Comma 5 17" xfId="3227" xr:uid="{00000000-0005-0000-0000-00009A0C0000}"/>
    <cellStyle name="Comma 5 18" xfId="3228" xr:uid="{00000000-0005-0000-0000-00009B0C0000}"/>
    <cellStyle name="Comma 5 19" xfId="3229" xr:uid="{00000000-0005-0000-0000-00009C0C0000}"/>
    <cellStyle name="Comma 5 2" xfId="3230" xr:uid="{00000000-0005-0000-0000-00009D0C0000}"/>
    <cellStyle name="Comma 5 2 10" xfId="3231" xr:uid="{00000000-0005-0000-0000-00009E0C0000}"/>
    <cellStyle name="Comma 5 2 10 2" xfId="3232" xr:uid="{00000000-0005-0000-0000-00009F0C0000}"/>
    <cellStyle name="Comma 5 2 10 3" xfId="3233" xr:uid="{00000000-0005-0000-0000-0000A00C0000}"/>
    <cellStyle name="Comma 5 2 10 4" xfId="3234" xr:uid="{00000000-0005-0000-0000-0000A10C0000}"/>
    <cellStyle name="Comma 5 2 10 5" xfId="3235" xr:uid="{00000000-0005-0000-0000-0000A20C0000}"/>
    <cellStyle name="Comma 5 2 10 6" xfId="3236" xr:uid="{00000000-0005-0000-0000-0000A30C0000}"/>
    <cellStyle name="Comma 5 2 11" xfId="3237" xr:uid="{00000000-0005-0000-0000-0000A40C0000}"/>
    <cellStyle name="Comma 5 2 11 2" xfId="3238" xr:uid="{00000000-0005-0000-0000-0000A50C0000}"/>
    <cellStyle name="Comma 5 2 11 3" xfId="3239" xr:uid="{00000000-0005-0000-0000-0000A60C0000}"/>
    <cellStyle name="Comma 5 2 11 4" xfId="3240" xr:uid="{00000000-0005-0000-0000-0000A70C0000}"/>
    <cellStyle name="Comma 5 2 11 5" xfId="3241" xr:uid="{00000000-0005-0000-0000-0000A80C0000}"/>
    <cellStyle name="Comma 5 2 11 6" xfId="3242" xr:uid="{00000000-0005-0000-0000-0000A90C0000}"/>
    <cellStyle name="Comma 5 2 12" xfId="3243" xr:uid="{00000000-0005-0000-0000-0000AA0C0000}"/>
    <cellStyle name="Comma 5 2 12 2" xfId="3244" xr:uid="{00000000-0005-0000-0000-0000AB0C0000}"/>
    <cellStyle name="Comma 5 2 12 3" xfId="3245" xr:uid="{00000000-0005-0000-0000-0000AC0C0000}"/>
    <cellStyle name="Comma 5 2 12 4" xfId="3246" xr:uid="{00000000-0005-0000-0000-0000AD0C0000}"/>
    <cellStyle name="Comma 5 2 12 5" xfId="3247" xr:uid="{00000000-0005-0000-0000-0000AE0C0000}"/>
    <cellStyle name="Comma 5 2 12 6" xfId="3248" xr:uid="{00000000-0005-0000-0000-0000AF0C0000}"/>
    <cellStyle name="Comma 5 2 13" xfId="3249" xr:uid="{00000000-0005-0000-0000-0000B00C0000}"/>
    <cellStyle name="Comma 5 2 13 2" xfId="3250" xr:uid="{00000000-0005-0000-0000-0000B10C0000}"/>
    <cellStyle name="Comma 5 2 13 3" xfId="3251" xr:uid="{00000000-0005-0000-0000-0000B20C0000}"/>
    <cellStyle name="Comma 5 2 13 4" xfId="3252" xr:uid="{00000000-0005-0000-0000-0000B30C0000}"/>
    <cellStyle name="Comma 5 2 13 5" xfId="3253" xr:uid="{00000000-0005-0000-0000-0000B40C0000}"/>
    <cellStyle name="Comma 5 2 13 6" xfId="3254" xr:uid="{00000000-0005-0000-0000-0000B50C0000}"/>
    <cellStyle name="Comma 5 2 14" xfId="3255" xr:uid="{00000000-0005-0000-0000-0000B60C0000}"/>
    <cellStyle name="Comma 5 2 14 2" xfId="3256" xr:uid="{00000000-0005-0000-0000-0000B70C0000}"/>
    <cellStyle name="Comma 5 2 14 3" xfId="3257" xr:uid="{00000000-0005-0000-0000-0000B80C0000}"/>
    <cellStyle name="Comma 5 2 14 4" xfId="3258" xr:uid="{00000000-0005-0000-0000-0000B90C0000}"/>
    <cellStyle name="Comma 5 2 14 5" xfId="3259" xr:uid="{00000000-0005-0000-0000-0000BA0C0000}"/>
    <cellStyle name="Comma 5 2 14 6" xfId="3260" xr:uid="{00000000-0005-0000-0000-0000BB0C0000}"/>
    <cellStyle name="Comma 5 2 15" xfId="3261" xr:uid="{00000000-0005-0000-0000-0000BC0C0000}"/>
    <cellStyle name="Comma 5 2 15 2" xfId="3262" xr:uid="{00000000-0005-0000-0000-0000BD0C0000}"/>
    <cellStyle name="Comma 5 2 15 3" xfId="3263" xr:uid="{00000000-0005-0000-0000-0000BE0C0000}"/>
    <cellStyle name="Comma 5 2 15 4" xfId="3264" xr:uid="{00000000-0005-0000-0000-0000BF0C0000}"/>
    <cellStyle name="Comma 5 2 15 5" xfId="3265" xr:uid="{00000000-0005-0000-0000-0000C00C0000}"/>
    <cellStyle name="Comma 5 2 15 6" xfId="3266" xr:uid="{00000000-0005-0000-0000-0000C10C0000}"/>
    <cellStyle name="Comma 5 2 16" xfId="3267" xr:uid="{00000000-0005-0000-0000-0000C20C0000}"/>
    <cellStyle name="Comma 5 2 17" xfId="3268" xr:uid="{00000000-0005-0000-0000-0000C30C0000}"/>
    <cellStyle name="Comma 5 2 18" xfId="3269" xr:uid="{00000000-0005-0000-0000-0000C40C0000}"/>
    <cellStyle name="Comma 5 2 19" xfId="3270" xr:uid="{00000000-0005-0000-0000-0000C50C0000}"/>
    <cellStyle name="Comma 5 2 2" xfId="3271" xr:uid="{00000000-0005-0000-0000-0000C60C0000}"/>
    <cellStyle name="Comma 5 2 2 10" xfId="3272" xr:uid="{00000000-0005-0000-0000-0000C70C0000}"/>
    <cellStyle name="Comma 5 2 2 10 2" xfId="3273" xr:uid="{00000000-0005-0000-0000-0000C80C0000}"/>
    <cellStyle name="Comma 5 2 2 10 3" xfId="3274" xr:uid="{00000000-0005-0000-0000-0000C90C0000}"/>
    <cellStyle name="Comma 5 2 2 10 4" xfId="3275" xr:uid="{00000000-0005-0000-0000-0000CA0C0000}"/>
    <cellStyle name="Comma 5 2 2 10 5" xfId="3276" xr:uid="{00000000-0005-0000-0000-0000CB0C0000}"/>
    <cellStyle name="Comma 5 2 2 10 6" xfId="3277" xr:uid="{00000000-0005-0000-0000-0000CC0C0000}"/>
    <cellStyle name="Comma 5 2 2 11" xfId="3278" xr:uid="{00000000-0005-0000-0000-0000CD0C0000}"/>
    <cellStyle name="Comma 5 2 2 12" xfId="3279" xr:uid="{00000000-0005-0000-0000-0000CE0C0000}"/>
    <cellStyle name="Comma 5 2 2 13" xfId="3280" xr:uid="{00000000-0005-0000-0000-0000CF0C0000}"/>
    <cellStyle name="Comma 5 2 2 14" xfId="3281" xr:uid="{00000000-0005-0000-0000-0000D00C0000}"/>
    <cellStyle name="Comma 5 2 2 15" xfId="3282" xr:uid="{00000000-0005-0000-0000-0000D10C0000}"/>
    <cellStyle name="Comma 5 2 2 16" xfId="3283" xr:uid="{00000000-0005-0000-0000-0000D20C0000}"/>
    <cellStyle name="Comma 5 2 2 17" xfId="3284" xr:uid="{00000000-0005-0000-0000-0000D30C0000}"/>
    <cellStyle name="Comma 5 2 2 18" xfId="3285" xr:uid="{00000000-0005-0000-0000-0000D40C0000}"/>
    <cellStyle name="Comma 5 2 2 19" xfId="3286" xr:uid="{00000000-0005-0000-0000-0000D50C0000}"/>
    <cellStyle name="Comma 5 2 2 2" xfId="3287" xr:uid="{00000000-0005-0000-0000-0000D60C0000}"/>
    <cellStyle name="Comma 5 2 2 2 10" xfId="3288" xr:uid="{00000000-0005-0000-0000-0000D70C0000}"/>
    <cellStyle name="Comma 5 2 2 2 11" xfId="3289" xr:uid="{00000000-0005-0000-0000-0000D80C0000}"/>
    <cellStyle name="Comma 5 2 2 2 12" xfId="3290" xr:uid="{00000000-0005-0000-0000-0000D90C0000}"/>
    <cellStyle name="Comma 5 2 2 2 13" xfId="3291" xr:uid="{00000000-0005-0000-0000-0000DA0C0000}"/>
    <cellStyle name="Comma 5 2 2 2 14" xfId="3292" xr:uid="{00000000-0005-0000-0000-0000DB0C0000}"/>
    <cellStyle name="Comma 5 2 2 2 15" xfId="3293" xr:uid="{00000000-0005-0000-0000-0000DC0C0000}"/>
    <cellStyle name="Comma 5 2 2 2 16" xfId="3294" xr:uid="{00000000-0005-0000-0000-0000DD0C0000}"/>
    <cellStyle name="Comma 5 2 2 2 17" xfId="3295" xr:uid="{00000000-0005-0000-0000-0000DE0C0000}"/>
    <cellStyle name="Comma 5 2 2 2 18" xfId="3296" xr:uid="{00000000-0005-0000-0000-0000DF0C0000}"/>
    <cellStyle name="Comma 5 2 2 2 19" xfId="3297" xr:uid="{00000000-0005-0000-0000-0000E00C0000}"/>
    <cellStyle name="Comma 5 2 2 2 2" xfId="3298" xr:uid="{00000000-0005-0000-0000-0000E10C0000}"/>
    <cellStyle name="Comma 5 2 2 2 2 2" xfId="3299" xr:uid="{00000000-0005-0000-0000-0000E20C0000}"/>
    <cellStyle name="Comma 5 2 2 2 2 3" xfId="3300" xr:uid="{00000000-0005-0000-0000-0000E30C0000}"/>
    <cellStyle name="Comma 5 2 2 2 2 4" xfId="3301" xr:uid="{00000000-0005-0000-0000-0000E40C0000}"/>
    <cellStyle name="Comma 5 2 2 2 2 5" xfId="3302" xr:uid="{00000000-0005-0000-0000-0000E50C0000}"/>
    <cellStyle name="Comma 5 2 2 2 2 6" xfId="3303" xr:uid="{00000000-0005-0000-0000-0000E60C0000}"/>
    <cellStyle name="Comma 5 2 2 2 20" xfId="3304" xr:uid="{00000000-0005-0000-0000-0000E70C0000}"/>
    <cellStyle name="Comma 5 2 2 2 21" xfId="3305" xr:uid="{00000000-0005-0000-0000-0000E80C0000}"/>
    <cellStyle name="Comma 5 2 2 2 22" xfId="3306" xr:uid="{00000000-0005-0000-0000-0000E90C0000}"/>
    <cellStyle name="Comma 5 2 2 2 23" xfId="3307" xr:uid="{00000000-0005-0000-0000-0000EA0C0000}"/>
    <cellStyle name="Comma 5 2 2 2 24" xfId="3308" xr:uid="{00000000-0005-0000-0000-0000EB0C0000}"/>
    <cellStyle name="Comma 5 2 2 2 25" xfId="3309" xr:uid="{00000000-0005-0000-0000-0000EC0C0000}"/>
    <cellStyle name="Comma 5 2 2 2 26" xfId="3310" xr:uid="{00000000-0005-0000-0000-0000ED0C0000}"/>
    <cellStyle name="Comma 5 2 2 2 27" xfId="3311" xr:uid="{00000000-0005-0000-0000-0000EE0C0000}"/>
    <cellStyle name="Comma 5 2 2 2 28" xfId="3312" xr:uid="{00000000-0005-0000-0000-0000EF0C0000}"/>
    <cellStyle name="Comma 5 2 2 2 29" xfId="3313" xr:uid="{00000000-0005-0000-0000-0000F00C0000}"/>
    <cellStyle name="Comma 5 2 2 2 3" xfId="3314" xr:uid="{00000000-0005-0000-0000-0000F10C0000}"/>
    <cellStyle name="Comma 5 2 2 2 30" xfId="3315" xr:uid="{00000000-0005-0000-0000-0000F20C0000}"/>
    <cellStyle name="Comma 5 2 2 2 31" xfId="3316" xr:uid="{00000000-0005-0000-0000-0000F30C0000}"/>
    <cellStyle name="Comma 5 2 2 2 32" xfId="3317" xr:uid="{00000000-0005-0000-0000-0000F40C0000}"/>
    <cellStyle name="Comma 5 2 2 2 33" xfId="3318" xr:uid="{00000000-0005-0000-0000-0000F50C0000}"/>
    <cellStyle name="Comma 5 2 2 2 4" xfId="3319" xr:uid="{00000000-0005-0000-0000-0000F60C0000}"/>
    <cellStyle name="Comma 5 2 2 2 5" xfId="3320" xr:uid="{00000000-0005-0000-0000-0000F70C0000}"/>
    <cellStyle name="Comma 5 2 2 2 6" xfId="3321" xr:uid="{00000000-0005-0000-0000-0000F80C0000}"/>
    <cellStyle name="Comma 5 2 2 2 7" xfId="3322" xr:uid="{00000000-0005-0000-0000-0000F90C0000}"/>
    <cellStyle name="Comma 5 2 2 2 8" xfId="3323" xr:uid="{00000000-0005-0000-0000-0000FA0C0000}"/>
    <cellStyle name="Comma 5 2 2 2 9" xfId="3324" xr:uid="{00000000-0005-0000-0000-0000FB0C0000}"/>
    <cellStyle name="Comma 5 2 2 20" xfId="3325" xr:uid="{00000000-0005-0000-0000-0000FC0C0000}"/>
    <cellStyle name="Comma 5 2 2 21" xfId="3326" xr:uid="{00000000-0005-0000-0000-0000FD0C0000}"/>
    <cellStyle name="Comma 5 2 2 22" xfId="3327" xr:uid="{00000000-0005-0000-0000-0000FE0C0000}"/>
    <cellStyle name="Comma 5 2 2 23" xfId="3328" xr:uid="{00000000-0005-0000-0000-0000FF0C0000}"/>
    <cellStyle name="Comma 5 2 2 24" xfId="3329" xr:uid="{00000000-0005-0000-0000-0000000D0000}"/>
    <cellStyle name="Comma 5 2 2 25" xfId="3330" xr:uid="{00000000-0005-0000-0000-0000010D0000}"/>
    <cellStyle name="Comma 5 2 2 26" xfId="3331" xr:uid="{00000000-0005-0000-0000-0000020D0000}"/>
    <cellStyle name="Comma 5 2 2 27" xfId="3332" xr:uid="{00000000-0005-0000-0000-0000030D0000}"/>
    <cellStyle name="Comma 5 2 2 28" xfId="3333" xr:uid="{00000000-0005-0000-0000-0000040D0000}"/>
    <cellStyle name="Comma 5 2 2 29" xfId="3334" xr:uid="{00000000-0005-0000-0000-0000050D0000}"/>
    <cellStyle name="Comma 5 2 2 3" xfId="3335" xr:uid="{00000000-0005-0000-0000-0000060D0000}"/>
    <cellStyle name="Comma 5 2 2 30" xfId="3336" xr:uid="{00000000-0005-0000-0000-0000070D0000}"/>
    <cellStyle name="Comma 5 2 2 31" xfId="3337" xr:uid="{00000000-0005-0000-0000-0000080D0000}"/>
    <cellStyle name="Comma 5 2 2 32" xfId="3338" xr:uid="{00000000-0005-0000-0000-0000090D0000}"/>
    <cellStyle name="Comma 5 2 2 33" xfId="3339" xr:uid="{00000000-0005-0000-0000-00000A0D0000}"/>
    <cellStyle name="Comma 5 2 2 34" xfId="3340" xr:uid="{00000000-0005-0000-0000-00000B0D0000}"/>
    <cellStyle name="Comma 5 2 2 35" xfId="3341" xr:uid="{00000000-0005-0000-0000-00000C0D0000}"/>
    <cellStyle name="Comma 5 2 2 36" xfId="3342" xr:uid="{00000000-0005-0000-0000-00000D0D0000}"/>
    <cellStyle name="Comma 5 2 2 37" xfId="3343" xr:uid="{00000000-0005-0000-0000-00000E0D0000}"/>
    <cellStyle name="Comma 5 2 2 38" xfId="3344" xr:uid="{00000000-0005-0000-0000-00000F0D0000}"/>
    <cellStyle name="Comma 5 2 2 39" xfId="3345" xr:uid="{00000000-0005-0000-0000-0000100D0000}"/>
    <cellStyle name="Comma 5 2 2 4" xfId="3346" xr:uid="{00000000-0005-0000-0000-0000110D0000}"/>
    <cellStyle name="Comma 5 2 2 40" xfId="3347" xr:uid="{00000000-0005-0000-0000-0000120D0000}"/>
    <cellStyle name="Comma 5 2 2 5" xfId="3348" xr:uid="{00000000-0005-0000-0000-0000130D0000}"/>
    <cellStyle name="Comma 5 2 2 6" xfId="3349" xr:uid="{00000000-0005-0000-0000-0000140D0000}"/>
    <cellStyle name="Comma 5 2 2 7" xfId="3350" xr:uid="{00000000-0005-0000-0000-0000150D0000}"/>
    <cellStyle name="Comma 5 2 2 8" xfId="3351" xr:uid="{00000000-0005-0000-0000-0000160D0000}"/>
    <cellStyle name="Comma 5 2 2 9" xfId="3352" xr:uid="{00000000-0005-0000-0000-0000170D0000}"/>
    <cellStyle name="Comma 5 2 20" xfId="3353" xr:uid="{00000000-0005-0000-0000-0000180D0000}"/>
    <cellStyle name="Comma 5 2 21" xfId="3354" xr:uid="{00000000-0005-0000-0000-0000190D0000}"/>
    <cellStyle name="Comma 5 2 22" xfId="3355" xr:uid="{00000000-0005-0000-0000-00001A0D0000}"/>
    <cellStyle name="Comma 5 2 23" xfId="3356" xr:uid="{00000000-0005-0000-0000-00001B0D0000}"/>
    <cellStyle name="Comma 5 2 24" xfId="3357" xr:uid="{00000000-0005-0000-0000-00001C0D0000}"/>
    <cellStyle name="Comma 5 2 25" xfId="3358" xr:uid="{00000000-0005-0000-0000-00001D0D0000}"/>
    <cellStyle name="Comma 5 2 26" xfId="3359" xr:uid="{00000000-0005-0000-0000-00001E0D0000}"/>
    <cellStyle name="Comma 5 2 27" xfId="3360" xr:uid="{00000000-0005-0000-0000-00001F0D0000}"/>
    <cellStyle name="Comma 5 2 28" xfId="3361" xr:uid="{00000000-0005-0000-0000-0000200D0000}"/>
    <cellStyle name="Comma 5 2 29" xfId="3362" xr:uid="{00000000-0005-0000-0000-0000210D0000}"/>
    <cellStyle name="Comma 5 2 3" xfId="3363" xr:uid="{00000000-0005-0000-0000-0000220D0000}"/>
    <cellStyle name="Comma 5 2 30" xfId="3364" xr:uid="{00000000-0005-0000-0000-0000230D0000}"/>
    <cellStyle name="Comma 5 2 31" xfId="3365" xr:uid="{00000000-0005-0000-0000-0000240D0000}"/>
    <cellStyle name="Comma 5 2 32" xfId="3366" xr:uid="{00000000-0005-0000-0000-0000250D0000}"/>
    <cellStyle name="Comma 5 2 33" xfId="3367" xr:uid="{00000000-0005-0000-0000-0000260D0000}"/>
    <cellStyle name="Comma 5 2 34" xfId="3368" xr:uid="{00000000-0005-0000-0000-0000270D0000}"/>
    <cellStyle name="Comma 5 2 35" xfId="3369" xr:uid="{00000000-0005-0000-0000-0000280D0000}"/>
    <cellStyle name="Comma 5 2 36" xfId="3370" xr:uid="{00000000-0005-0000-0000-0000290D0000}"/>
    <cellStyle name="Comma 5 2 37" xfId="3371" xr:uid="{00000000-0005-0000-0000-00002A0D0000}"/>
    <cellStyle name="Comma 5 2 38" xfId="3372" xr:uid="{00000000-0005-0000-0000-00002B0D0000}"/>
    <cellStyle name="Comma 5 2 39" xfId="3373" xr:uid="{00000000-0005-0000-0000-00002C0D0000}"/>
    <cellStyle name="Comma 5 2 4" xfId="3374" xr:uid="{00000000-0005-0000-0000-00002D0D0000}"/>
    <cellStyle name="Comma 5 2 40" xfId="3375" xr:uid="{00000000-0005-0000-0000-00002E0D0000}"/>
    <cellStyle name="Comma 5 2 41" xfId="3376" xr:uid="{00000000-0005-0000-0000-00002F0D0000}"/>
    <cellStyle name="Comma 5 2 42" xfId="3377" xr:uid="{00000000-0005-0000-0000-0000300D0000}"/>
    <cellStyle name="Comma 5 2 43" xfId="3378" xr:uid="{00000000-0005-0000-0000-0000310D0000}"/>
    <cellStyle name="Comma 5 2 44" xfId="3379" xr:uid="{00000000-0005-0000-0000-0000320D0000}"/>
    <cellStyle name="Comma 5 2 45" xfId="3380" xr:uid="{00000000-0005-0000-0000-0000330D0000}"/>
    <cellStyle name="Comma 5 2 5" xfId="3381" xr:uid="{00000000-0005-0000-0000-0000340D0000}"/>
    <cellStyle name="Comma 5 2 6" xfId="3382" xr:uid="{00000000-0005-0000-0000-0000350D0000}"/>
    <cellStyle name="Comma 5 2 7" xfId="3383" xr:uid="{00000000-0005-0000-0000-0000360D0000}"/>
    <cellStyle name="Comma 5 2 8" xfId="3384" xr:uid="{00000000-0005-0000-0000-0000370D0000}"/>
    <cellStyle name="Comma 5 2 8 10" xfId="3385" xr:uid="{00000000-0005-0000-0000-0000380D0000}"/>
    <cellStyle name="Comma 5 2 8 11" xfId="3386" xr:uid="{00000000-0005-0000-0000-0000390D0000}"/>
    <cellStyle name="Comma 5 2 8 12" xfId="3387" xr:uid="{00000000-0005-0000-0000-00003A0D0000}"/>
    <cellStyle name="Comma 5 2 8 13" xfId="3388" xr:uid="{00000000-0005-0000-0000-00003B0D0000}"/>
    <cellStyle name="Comma 5 2 8 14" xfId="3389" xr:uid="{00000000-0005-0000-0000-00003C0D0000}"/>
    <cellStyle name="Comma 5 2 8 15" xfId="3390" xr:uid="{00000000-0005-0000-0000-00003D0D0000}"/>
    <cellStyle name="Comma 5 2 8 16" xfId="3391" xr:uid="{00000000-0005-0000-0000-00003E0D0000}"/>
    <cellStyle name="Comma 5 2 8 17" xfId="3392" xr:uid="{00000000-0005-0000-0000-00003F0D0000}"/>
    <cellStyle name="Comma 5 2 8 18" xfId="3393" xr:uid="{00000000-0005-0000-0000-0000400D0000}"/>
    <cellStyle name="Comma 5 2 8 19" xfId="3394" xr:uid="{00000000-0005-0000-0000-0000410D0000}"/>
    <cellStyle name="Comma 5 2 8 2" xfId="3395" xr:uid="{00000000-0005-0000-0000-0000420D0000}"/>
    <cellStyle name="Comma 5 2 8 2 2" xfId="3396" xr:uid="{00000000-0005-0000-0000-0000430D0000}"/>
    <cellStyle name="Comma 5 2 8 2 3" xfId="3397" xr:uid="{00000000-0005-0000-0000-0000440D0000}"/>
    <cellStyle name="Comma 5 2 8 2 4" xfId="3398" xr:uid="{00000000-0005-0000-0000-0000450D0000}"/>
    <cellStyle name="Comma 5 2 8 2 5" xfId="3399" xr:uid="{00000000-0005-0000-0000-0000460D0000}"/>
    <cellStyle name="Comma 5 2 8 2 6" xfId="3400" xr:uid="{00000000-0005-0000-0000-0000470D0000}"/>
    <cellStyle name="Comma 5 2 8 20" xfId="3401" xr:uid="{00000000-0005-0000-0000-0000480D0000}"/>
    <cellStyle name="Comma 5 2 8 21" xfId="3402" xr:uid="{00000000-0005-0000-0000-0000490D0000}"/>
    <cellStyle name="Comma 5 2 8 22" xfId="3403" xr:uid="{00000000-0005-0000-0000-00004A0D0000}"/>
    <cellStyle name="Comma 5 2 8 23" xfId="3404" xr:uid="{00000000-0005-0000-0000-00004B0D0000}"/>
    <cellStyle name="Comma 5 2 8 24" xfId="3405" xr:uid="{00000000-0005-0000-0000-00004C0D0000}"/>
    <cellStyle name="Comma 5 2 8 25" xfId="3406" xr:uid="{00000000-0005-0000-0000-00004D0D0000}"/>
    <cellStyle name="Comma 5 2 8 26" xfId="3407" xr:uid="{00000000-0005-0000-0000-00004E0D0000}"/>
    <cellStyle name="Comma 5 2 8 27" xfId="3408" xr:uid="{00000000-0005-0000-0000-00004F0D0000}"/>
    <cellStyle name="Comma 5 2 8 28" xfId="3409" xr:uid="{00000000-0005-0000-0000-0000500D0000}"/>
    <cellStyle name="Comma 5 2 8 29" xfId="3410" xr:uid="{00000000-0005-0000-0000-0000510D0000}"/>
    <cellStyle name="Comma 5 2 8 3" xfId="3411" xr:uid="{00000000-0005-0000-0000-0000520D0000}"/>
    <cellStyle name="Comma 5 2 8 30" xfId="3412" xr:uid="{00000000-0005-0000-0000-0000530D0000}"/>
    <cellStyle name="Comma 5 2 8 31" xfId="3413" xr:uid="{00000000-0005-0000-0000-0000540D0000}"/>
    <cellStyle name="Comma 5 2 8 32" xfId="3414" xr:uid="{00000000-0005-0000-0000-0000550D0000}"/>
    <cellStyle name="Comma 5 2 8 33" xfId="3415" xr:uid="{00000000-0005-0000-0000-0000560D0000}"/>
    <cellStyle name="Comma 5 2 8 4" xfId="3416" xr:uid="{00000000-0005-0000-0000-0000570D0000}"/>
    <cellStyle name="Comma 5 2 8 5" xfId="3417" xr:uid="{00000000-0005-0000-0000-0000580D0000}"/>
    <cellStyle name="Comma 5 2 8 6" xfId="3418" xr:uid="{00000000-0005-0000-0000-0000590D0000}"/>
    <cellStyle name="Comma 5 2 8 7" xfId="3419" xr:uid="{00000000-0005-0000-0000-00005A0D0000}"/>
    <cellStyle name="Comma 5 2 8 8" xfId="3420" xr:uid="{00000000-0005-0000-0000-00005B0D0000}"/>
    <cellStyle name="Comma 5 2 8 9" xfId="3421" xr:uid="{00000000-0005-0000-0000-00005C0D0000}"/>
    <cellStyle name="Comma 5 2 9" xfId="3422" xr:uid="{00000000-0005-0000-0000-00005D0D0000}"/>
    <cellStyle name="Comma 5 2 9 2" xfId="3423" xr:uid="{00000000-0005-0000-0000-00005E0D0000}"/>
    <cellStyle name="Comma 5 2 9 3" xfId="3424" xr:uid="{00000000-0005-0000-0000-00005F0D0000}"/>
    <cellStyle name="Comma 5 2 9 4" xfId="3425" xr:uid="{00000000-0005-0000-0000-0000600D0000}"/>
    <cellStyle name="Comma 5 2 9 5" xfId="3426" xr:uid="{00000000-0005-0000-0000-0000610D0000}"/>
    <cellStyle name="Comma 5 2 9 6" xfId="3427" xr:uid="{00000000-0005-0000-0000-0000620D0000}"/>
    <cellStyle name="Comma 5 20" xfId="3428" xr:uid="{00000000-0005-0000-0000-0000630D0000}"/>
    <cellStyle name="Comma 5 21" xfId="3429" xr:uid="{00000000-0005-0000-0000-0000640D0000}"/>
    <cellStyle name="Comma 5 22" xfId="3430" xr:uid="{00000000-0005-0000-0000-0000650D0000}"/>
    <cellStyle name="Comma 5 23" xfId="3431" xr:uid="{00000000-0005-0000-0000-0000660D0000}"/>
    <cellStyle name="Comma 5 24" xfId="3432" xr:uid="{00000000-0005-0000-0000-0000670D0000}"/>
    <cellStyle name="Comma 5 25" xfId="3433" xr:uid="{00000000-0005-0000-0000-0000680D0000}"/>
    <cellStyle name="Comma 5 26" xfId="3434" xr:uid="{00000000-0005-0000-0000-0000690D0000}"/>
    <cellStyle name="Comma 5 27" xfId="3435" xr:uid="{00000000-0005-0000-0000-00006A0D0000}"/>
    <cellStyle name="Comma 5 28" xfId="3436" xr:uid="{00000000-0005-0000-0000-00006B0D0000}"/>
    <cellStyle name="Comma 5 29" xfId="3437" xr:uid="{00000000-0005-0000-0000-00006C0D0000}"/>
    <cellStyle name="Comma 5 3" xfId="3438" xr:uid="{00000000-0005-0000-0000-00006D0D0000}"/>
    <cellStyle name="Comma 5 3 10" xfId="3439" xr:uid="{00000000-0005-0000-0000-00006E0D0000}"/>
    <cellStyle name="Comma 5 3 11" xfId="3440" xr:uid="{00000000-0005-0000-0000-00006F0D0000}"/>
    <cellStyle name="Comma 5 3 12" xfId="3441" xr:uid="{00000000-0005-0000-0000-0000700D0000}"/>
    <cellStyle name="Comma 5 3 13" xfId="3442" xr:uid="{00000000-0005-0000-0000-0000710D0000}"/>
    <cellStyle name="Comma 5 3 14" xfId="3443" xr:uid="{00000000-0005-0000-0000-0000720D0000}"/>
    <cellStyle name="Comma 5 3 14 2" xfId="3444" xr:uid="{00000000-0005-0000-0000-0000730D0000}"/>
    <cellStyle name="Comma 5 3 14 3" xfId="3445" xr:uid="{00000000-0005-0000-0000-0000740D0000}"/>
    <cellStyle name="Comma 5 3 14 4" xfId="3446" xr:uid="{00000000-0005-0000-0000-0000750D0000}"/>
    <cellStyle name="Comma 5 3 14 5" xfId="3447" xr:uid="{00000000-0005-0000-0000-0000760D0000}"/>
    <cellStyle name="Comma 5 3 14 6" xfId="3448" xr:uid="{00000000-0005-0000-0000-0000770D0000}"/>
    <cellStyle name="Comma 5 3 15" xfId="3449" xr:uid="{00000000-0005-0000-0000-0000780D0000}"/>
    <cellStyle name="Comma 5 3 16" xfId="3450" xr:uid="{00000000-0005-0000-0000-0000790D0000}"/>
    <cellStyle name="Comma 5 3 17" xfId="3451" xr:uid="{00000000-0005-0000-0000-00007A0D0000}"/>
    <cellStyle name="Comma 5 3 18" xfId="3452" xr:uid="{00000000-0005-0000-0000-00007B0D0000}"/>
    <cellStyle name="Comma 5 3 19" xfId="3453" xr:uid="{00000000-0005-0000-0000-00007C0D0000}"/>
    <cellStyle name="Comma 5 3 2" xfId="3454" xr:uid="{00000000-0005-0000-0000-00007D0D0000}"/>
    <cellStyle name="Comma 5 3 2 10" xfId="3455" xr:uid="{00000000-0005-0000-0000-00007E0D0000}"/>
    <cellStyle name="Comma 5 3 2 10 2" xfId="3456" xr:uid="{00000000-0005-0000-0000-00007F0D0000}"/>
    <cellStyle name="Comma 5 3 2 10 3" xfId="3457" xr:uid="{00000000-0005-0000-0000-0000800D0000}"/>
    <cellStyle name="Comma 5 3 2 10 4" xfId="3458" xr:uid="{00000000-0005-0000-0000-0000810D0000}"/>
    <cellStyle name="Comma 5 3 2 10 5" xfId="3459" xr:uid="{00000000-0005-0000-0000-0000820D0000}"/>
    <cellStyle name="Comma 5 3 2 10 6" xfId="3460" xr:uid="{00000000-0005-0000-0000-0000830D0000}"/>
    <cellStyle name="Comma 5 3 2 11" xfId="3461" xr:uid="{00000000-0005-0000-0000-0000840D0000}"/>
    <cellStyle name="Comma 5 3 2 12" xfId="3462" xr:uid="{00000000-0005-0000-0000-0000850D0000}"/>
    <cellStyle name="Comma 5 3 2 13" xfId="3463" xr:uid="{00000000-0005-0000-0000-0000860D0000}"/>
    <cellStyle name="Comma 5 3 2 14" xfId="3464" xr:uid="{00000000-0005-0000-0000-0000870D0000}"/>
    <cellStyle name="Comma 5 3 2 15" xfId="3465" xr:uid="{00000000-0005-0000-0000-0000880D0000}"/>
    <cellStyle name="Comma 5 3 2 16" xfId="3466" xr:uid="{00000000-0005-0000-0000-0000890D0000}"/>
    <cellStyle name="Comma 5 3 2 17" xfId="3467" xr:uid="{00000000-0005-0000-0000-00008A0D0000}"/>
    <cellStyle name="Comma 5 3 2 18" xfId="3468" xr:uid="{00000000-0005-0000-0000-00008B0D0000}"/>
    <cellStyle name="Comma 5 3 2 19" xfId="3469" xr:uid="{00000000-0005-0000-0000-00008C0D0000}"/>
    <cellStyle name="Comma 5 3 2 2" xfId="3470" xr:uid="{00000000-0005-0000-0000-00008D0D0000}"/>
    <cellStyle name="Comma 5 3 2 2 10" xfId="3471" xr:uid="{00000000-0005-0000-0000-00008E0D0000}"/>
    <cellStyle name="Comma 5 3 2 2 11" xfId="3472" xr:uid="{00000000-0005-0000-0000-00008F0D0000}"/>
    <cellStyle name="Comma 5 3 2 2 12" xfId="3473" xr:uid="{00000000-0005-0000-0000-0000900D0000}"/>
    <cellStyle name="Comma 5 3 2 2 13" xfId="3474" xr:uid="{00000000-0005-0000-0000-0000910D0000}"/>
    <cellStyle name="Comma 5 3 2 2 14" xfId="3475" xr:uid="{00000000-0005-0000-0000-0000920D0000}"/>
    <cellStyle name="Comma 5 3 2 2 15" xfId="3476" xr:uid="{00000000-0005-0000-0000-0000930D0000}"/>
    <cellStyle name="Comma 5 3 2 2 16" xfId="3477" xr:uid="{00000000-0005-0000-0000-0000940D0000}"/>
    <cellStyle name="Comma 5 3 2 2 17" xfId="3478" xr:uid="{00000000-0005-0000-0000-0000950D0000}"/>
    <cellStyle name="Comma 5 3 2 2 18" xfId="3479" xr:uid="{00000000-0005-0000-0000-0000960D0000}"/>
    <cellStyle name="Comma 5 3 2 2 19" xfId="3480" xr:uid="{00000000-0005-0000-0000-0000970D0000}"/>
    <cellStyle name="Comma 5 3 2 2 2" xfId="3481" xr:uid="{00000000-0005-0000-0000-0000980D0000}"/>
    <cellStyle name="Comma 5 3 2 2 2 2" xfId="3482" xr:uid="{00000000-0005-0000-0000-0000990D0000}"/>
    <cellStyle name="Comma 5 3 2 2 2 3" xfId="3483" xr:uid="{00000000-0005-0000-0000-00009A0D0000}"/>
    <cellStyle name="Comma 5 3 2 2 2 4" xfId="3484" xr:uid="{00000000-0005-0000-0000-00009B0D0000}"/>
    <cellStyle name="Comma 5 3 2 2 2 5" xfId="3485" xr:uid="{00000000-0005-0000-0000-00009C0D0000}"/>
    <cellStyle name="Comma 5 3 2 2 2 6" xfId="3486" xr:uid="{00000000-0005-0000-0000-00009D0D0000}"/>
    <cellStyle name="Comma 5 3 2 2 20" xfId="3487" xr:uid="{00000000-0005-0000-0000-00009E0D0000}"/>
    <cellStyle name="Comma 5 3 2 2 21" xfId="3488" xr:uid="{00000000-0005-0000-0000-00009F0D0000}"/>
    <cellStyle name="Comma 5 3 2 2 22" xfId="3489" xr:uid="{00000000-0005-0000-0000-0000A00D0000}"/>
    <cellStyle name="Comma 5 3 2 2 23" xfId="3490" xr:uid="{00000000-0005-0000-0000-0000A10D0000}"/>
    <cellStyle name="Comma 5 3 2 2 24" xfId="3491" xr:uid="{00000000-0005-0000-0000-0000A20D0000}"/>
    <cellStyle name="Comma 5 3 2 2 25" xfId="3492" xr:uid="{00000000-0005-0000-0000-0000A30D0000}"/>
    <cellStyle name="Comma 5 3 2 2 26" xfId="3493" xr:uid="{00000000-0005-0000-0000-0000A40D0000}"/>
    <cellStyle name="Comma 5 3 2 2 27" xfId="3494" xr:uid="{00000000-0005-0000-0000-0000A50D0000}"/>
    <cellStyle name="Comma 5 3 2 2 28" xfId="3495" xr:uid="{00000000-0005-0000-0000-0000A60D0000}"/>
    <cellStyle name="Comma 5 3 2 2 29" xfId="3496" xr:uid="{00000000-0005-0000-0000-0000A70D0000}"/>
    <cellStyle name="Comma 5 3 2 2 3" xfId="3497" xr:uid="{00000000-0005-0000-0000-0000A80D0000}"/>
    <cellStyle name="Comma 5 3 2 2 30" xfId="3498" xr:uid="{00000000-0005-0000-0000-0000A90D0000}"/>
    <cellStyle name="Comma 5 3 2 2 31" xfId="3499" xr:uid="{00000000-0005-0000-0000-0000AA0D0000}"/>
    <cellStyle name="Comma 5 3 2 2 32" xfId="3500" xr:uid="{00000000-0005-0000-0000-0000AB0D0000}"/>
    <cellStyle name="Comma 5 3 2 2 33" xfId="3501" xr:uid="{00000000-0005-0000-0000-0000AC0D0000}"/>
    <cellStyle name="Comma 5 3 2 2 4" xfId="3502" xr:uid="{00000000-0005-0000-0000-0000AD0D0000}"/>
    <cellStyle name="Comma 5 3 2 2 5" xfId="3503" xr:uid="{00000000-0005-0000-0000-0000AE0D0000}"/>
    <cellStyle name="Comma 5 3 2 2 6" xfId="3504" xr:uid="{00000000-0005-0000-0000-0000AF0D0000}"/>
    <cellStyle name="Comma 5 3 2 2 7" xfId="3505" xr:uid="{00000000-0005-0000-0000-0000B00D0000}"/>
    <cellStyle name="Comma 5 3 2 2 8" xfId="3506" xr:uid="{00000000-0005-0000-0000-0000B10D0000}"/>
    <cellStyle name="Comma 5 3 2 2 9" xfId="3507" xr:uid="{00000000-0005-0000-0000-0000B20D0000}"/>
    <cellStyle name="Comma 5 3 2 20" xfId="3508" xr:uid="{00000000-0005-0000-0000-0000B30D0000}"/>
    <cellStyle name="Comma 5 3 2 21" xfId="3509" xr:uid="{00000000-0005-0000-0000-0000B40D0000}"/>
    <cellStyle name="Comma 5 3 2 22" xfId="3510" xr:uid="{00000000-0005-0000-0000-0000B50D0000}"/>
    <cellStyle name="Comma 5 3 2 23" xfId="3511" xr:uid="{00000000-0005-0000-0000-0000B60D0000}"/>
    <cellStyle name="Comma 5 3 2 24" xfId="3512" xr:uid="{00000000-0005-0000-0000-0000B70D0000}"/>
    <cellStyle name="Comma 5 3 2 25" xfId="3513" xr:uid="{00000000-0005-0000-0000-0000B80D0000}"/>
    <cellStyle name="Comma 5 3 2 26" xfId="3514" xr:uid="{00000000-0005-0000-0000-0000B90D0000}"/>
    <cellStyle name="Comma 5 3 2 27" xfId="3515" xr:uid="{00000000-0005-0000-0000-0000BA0D0000}"/>
    <cellStyle name="Comma 5 3 2 28" xfId="3516" xr:uid="{00000000-0005-0000-0000-0000BB0D0000}"/>
    <cellStyle name="Comma 5 3 2 29" xfId="3517" xr:uid="{00000000-0005-0000-0000-0000BC0D0000}"/>
    <cellStyle name="Comma 5 3 2 3" xfId="3518" xr:uid="{00000000-0005-0000-0000-0000BD0D0000}"/>
    <cellStyle name="Comma 5 3 2 3 2" xfId="3519" xr:uid="{00000000-0005-0000-0000-0000BE0D0000}"/>
    <cellStyle name="Comma 5 3 2 3 3" xfId="3520" xr:uid="{00000000-0005-0000-0000-0000BF0D0000}"/>
    <cellStyle name="Comma 5 3 2 3 4" xfId="3521" xr:uid="{00000000-0005-0000-0000-0000C00D0000}"/>
    <cellStyle name="Comma 5 3 2 3 5" xfId="3522" xr:uid="{00000000-0005-0000-0000-0000C10D0000}"/>
    <cellStyle name="Comma 5 3 2 3 6" xfId="3523" xr:uid="{00000000-0005-0000-0000-0000C20D0000}"/>
    <cellStyle name="Comma 5 3 2 30" xfId="3524" xr:uid="{00000000-0005-0000-0000-0000C30D0000}"/>
    <cellStyle name="Comma 5 3 2 31" xfId="3525" xr:uid="{00000000-0005-0000-0000-0000C40D0000}"/>
    <cellStyle name="Comma 5 3 2 32" xfId="3526" xr:uid="{00000000-0005-0000-0000-0000C50D0000}"/>
    <cellStyle name="Comma 5 3 2 33" xfId="3527" xr:uid="{00000000-0005-0000-0000-0000C60D0000}"/>
    <cellStyle name="Comma 5 3 2 34" xfId="3528" xr:uid="{00000000-0005-0000-0000-0000C70D0000}"/>
    <cellStyle name="Comma 5 3 2 35" xfId="3529" xr:uid="{00000000-0005-0000-0000-0000C80D0000}"/>
    <cellStyle name="Comma 5 3 2 36" xfId="3530" xr:uid="{00000000-0005-0000-0000-0000C90D0000}"/>
    <cellStyle name="Comma 5 3 2 37" xfId="3531" xr:uid="{00000000-0005-0000-0000-0000CA0D0000}"/>
    <cellStyle name="Comma 5 3 2 38" xfId="3532" xr:uid="{00000000-0005-0000-0000-0000CB0D0000}"/>
    <cellStyle name="Comma 5 3 2 39" xfId="3533" xr:uid="{00000000-0005-0000-0000-0000CC0D0000}"/>
    <cellStyle name="Comma 5 3 2 4" xfId="3534" xr:uid="{00000000-0005-0000-0000-0000CD0D0000}"/>
    <cellStyle name="Comma 5 3 2 4 2" xfId="3535" xr:uid="{00000000-0005-0000-0000-0000CE0D0000}"/>
    <cellStyle name="Comma 5 3 2 4 3" xfId="3536" xr:uid="{00000000-0005-0000-0000-0000CF0D0000}"/>
    <cellStyle name="Comma 5 3 2 4 4" xfId="3537" xr:uid="{00000000-0005-0000-0000-0000D00D0000}"/>
    <cellStyle name="Comma 5 3 2 4 5" xfId="3538" xr:uid="{00000000-0005-0000-0000-0000D10D0000}"/>
    <cellStyle name="Comma 5 3 2 4 6" xfId="3539" xr:uid="{00000000-0005-0000-0000-0000D20D0000}"/>
    <cellStyle name="Comma 5 3 2 40" xfId="3540" xr:uid="{00000000-0005-0000-0000-0000D30D0000}"/>
    <cellStyle name="Comma 5 3 2 5" xfId="3541" xr:uid="{00000000-0005-0000-0000-0000D40D0000}"/>
    <cellStyle name="Comma 5 3 2 5 2" xfId="3542" xr:uid="{00000000-0005-0000-0000-0000D50D0000}"/>
    <cellStyle name="Comma 5 3 2 5 3" xfId="3543" xr:uid="{00000000-0005-0000-0000-0000D60D0000}"/>
    <cellStyle name="Comma 5 3 2 5 4" xfId="3544" xr:uid="{00000000-0005-0000-0000-0000D70D0000}"/>
    <cellStyle name="Comma 5 3 2 5 5" xfId="3545" xr:uid="{00000000-0005-0000-0000-0000D80D0000}"/>
    <cellStyle name="Comma 5 3 2 5 6" xfId="3546" xr:uid="{00000000-0005-0000-0000-0000D90D0000}"/>
    <cellStyle name="Comma 5 3 2 6" xfId="3547" xr:uid="{00000000-0005-0000-0000-0000DA0D0000}"/>
    <cellStyle name="Comma 5 3 2 6 2" xfId="3548" xr:uid="{00000000-0005-0000-0000-0000DB0D0000}"/>
    <cellStyle name="Comma 5 3 2 6 3" xfId="3549" xr:uid="{00000000-0005-0000-0000-0000DC0D0000}"/>
    <cellStyle name="Comma 5 3 2 6 4" xfId="3550" xr:uid="{00000000-0005-0000-0000-0000DD0D0000}"/>
    <cellStyle name="Comma 5 3 2 6 5" xfId="3551" xr:uid="{00000000-0005-0000-0000-0000DE0D0000}"/>
    <cellStyle name="Comma 5 3 2 6 6" xfId="3552" xr:uid="{00000000-0005-0000-0000-0000DF0D0000}"/>
    <cellStyle name="Comma 5 3 2 7" xfId="3553" xr:uid="{00000000-0005-0000-0000-0000E00D0000}"/>
    <cellStyle name="Comma 5 3 2 7 2" xfId="3554" xr:uid="{00000000-0005-0000-0000-0000E10D0000}"/>
    <cellStyle name="Comma 5 3 2 7 3" xfId="3555" xr:uid="{00000000-0005-0000-0000-0000E20D0000}"/>
    <cellStyle name="Comma 5 3 2 7 4" xfId="3556" xr:uid="{00000000-0005-0000-0000-0000E30D0000}"/>
    <cellStyle name="Comma 5 3 2 7 5" xfId="3557" xr:uid="{00000000-0005-0000-0000-0000E40D0000}"/>
    <cellStyle name="Comma 5 3 2 7 6" xfId="3558" xr:uid="{00000000-0005-0000-0000-0000E50D0000}"/>
    <cellStyle name="Comma 5 3 2 8" xfId="3559" xr:uid="{00000000-0005-0000-0000-0000E60D0000}"/>
    <cellStyle name="Comma 5 3 2 8 2" xfId="3560" xr:uid="{00000000-0005-0000-0000-0000E70D0000}"/>
    <cellStyle name="Comma 5 3 2 8 3" xfId="3561" xr:uid="{00000000-0005-0000-0000-0000E80D0000}"/>
    <cellStyle name="Comma 5 3 2 8 4" xfId="3562" xr:uid="{00000000-0005-0000-0000-0000E90D0000}"/>
    <cellStyle name="Comma 5 3 2 8 5" xfId="3563" xr:uid="{00000000-0005-0000-0000-0000EA0D0000}"/>
    <cellStyle name="Comma 5 3 2 8 6" xfId="3564" xr:uid="{00000000-0005-0000-0000-0000EB0D0000}"/>
    <cellStyle name="Comma 5 3 2 9" xfId="3565" xr:uid="{00000000-0005-0000-0000-0000EC0D0000}"/>
    <cellStyle name="Comma 5 3 2 9 2" xfId="3566" xr:uid="{00000000-0005-0000-0000-0000ED0D0000}"/>
    <cellStyle name="Comma 5 3 2 9 3" xfId="3567" xr:uid="{00000000-0005-0000-0000-0000EE0D0000}"/>
    <cellStyle name="Comma 5 3 2 9 4" xfId="3568" xr:uid="{00000000-0005-0000-0000-0000EF0D0000}"/>
    <cellStyle name="Comma 5 3 2 9 5" xfId="3569" xr:uid="{00000000-0005-0000-0000-0000F00D0000}"/>
    <cellStyle name="Comma 5 3 2 9 6" xfId="3570" xr:uid="{00000000-0005-0000-0000-0000F10D0000}"/>
    <cellStyle name="Comma 5 3 20" xfId="3571" xr:uid="{00000000-0005-0000-0000-0000F20D0000}"/>
    <cellStyle name="Comma 5 3 21" xfId="3572" xr:uid="{00000000-0005-0000-0000-0000F30D0000}"/>
    <cellStyle name="Comma 5 3 22" xfId="3573" xr:uid="{00000000-0005-0000-0000-0000F40D0000}"/>
    <cellStyle name="Comma 5 3 23" xfId="3574" xr:uid="{00000000-0005-0000-0000-0000F50D0000}"/>
    <cellStyle name="Comma 5 3 24" xfId="3575" xr:uid="{00000000-0005-0000-0000-0000F60D0000}"/>
    <cellStyle name="Comma 5 3 25" xfId="3576" xr:uid="{00000000-0005-0000-0000-0000F70D0000}"/>
    <cellStyle name="Comma 5 3 26" xfId="3577" xr:uid="{00000000-0005-0000-0000-0000F80D0000}"/>
    <cellStyle name="Comma 5 3 27" xfId="3578" xr:uid="{00000000-0005-0000-0000-0000F90D0000}"/>
    <cellStyle name="Comma 5 3 28" xfId="3579" xr:uid="{00000000-0005-0000-0000-0000FA0D0000}"/>
    <cellStyle name="Comma 5 3 29" xfId="3580" xr:uid="{00000000-0005-0000-0000-0000FB0D0000}"/>
    <cellStyle name="Comma 5 3 3" xfId="3581" xr:uid="{00000000-0005-0000-0000-0000FC0D0000}"/>
    <cellStyle name="Comma 5 3 3 10" xfId="3582" xr:uid="{00000000-0005-0000-0000-0000FD0D0000}"/>
    <cellStyle name="Comma 5 3 3 2" xfId="3583" xr:uid="{00000000-0005-0000-0000-0000FE0D0000}"/>
    <cellStyle name="Comma 5 3 3 2 2" xfId="3584" xr:uid="{00000000-0005-0000-0000-0000FF0D0000}"/>
    <cellStyle name="Comma 5 3 3 2 3" xfId="3585" xr:uid="{00000000-0005-0000-0000-0000000E0000}"/>
    <cellStyle name="Comma 5 3 3 2 4" xfId="3586" xr:uid="{00000000-0005-0000-0000-0000010E0000}"/>
    <cellStyle name="Comma 5 3 3 2 5" xfId="3587" xr:uid="{00000000-0005-0000-0000-0000020E0000}"/>
    <cellStyle name="Comma 5 3 3 2 6" xfId="3588" xr:uid="{00000000-0005-0000-0000-0000030E0000}"/>
    <cellStyle name="Comma 5 3 3 3" xfId="3589" xr:uid="{00000000-0005-0000-0000-0000040E0000}"/>
    <cellStyle name="Comma 5 3 3 3 2" xfId="3590" xr:uid="{00000000-0005-0000-0000-0000050E0000}"/>
    <cellStyle name="Comma 5 3 3 3 3" xfId="3591" xr:uid="{00000000-0005-0000-0000-0000060E0000}"/>
    <cellStyle name="Comma 5 3 3 3 4" xfId="3592" xr:uid="{00000000-0005-0000-0000-0000070E0000}"/>
    <cellStyle name="Comma 5 3 3 3 5" xfId="3593" xr:uid="{00000000-0005-0000-0000-0000080E0000}"/>
    <cellStyle name="Comma 5 3 3 3 6" xfId="3594" xr:uid="{00000000-0005-0000-0000-0000090E0000}"/>
    <cellStyle name="Comma 5 3 3 4" xfId="3595" xr:uid="{00000000-0005-0000-0000-00000A0E0000}"/>
    <cellStyle name="Comma 5 3 3 4 2" xfId="3596" xr:uid="{00000000-0005-0000-0000-00000B0E0000}"/>
    <cellStyle name="Comma 5 3 3 4 3" xfId="3597" xr:uid="{00000000-0005-0000-0000-00000C0E0000}"/>
    <cellStyle name="Comma 5 3 3 4 4" xfId="3598" xr:uid="{00000000-0005-0000-0000-00000D0E0000}"/>
    <cellStyle name="Comma 5 3 3 4 5" xfId="3599" xr:uid="{00000000-0005-0000-0000-00000E0E0000}"/>
    <cellStyle name="Comma 5 3 3 4 6" xfId="3600" xr:uid="{00000000-0005-0000-0000-00000F0E0000}"/>
    <cellStyle name="Comma 5 3 3 5" xfId="3601" xr:uid="{00000000-0005-0000-0000-0000100E0000}"/>
    <cellStyle name="Comma 5 3 3 5 2" xfId="3602" xr:uid="{00000000-0005-0000-0000-0000110E0000}"/>
    <cellStyle name="Comma 5 3 3 5 3" xfId="3603" xr:uid="{00000000-0005-0000-0000-0000120E0000}"/>
    <cellStyle name="Comma 5 3 3 5 4" xfId="3604" xr:uid="{00000000-0005-0000-0000-0000130E0000}"/>
    <cellStyle name="Comma 5 3 3 5 5" xfId="3605" xr:uid="{00000000-0005-0000-0000-0000140E0000}"/>
    <cellStyle name="Comma 5 3 3 5 6" xfId="3606" xr:uid="{00000000-0005-0000-0000-0000150E0000}"/>
    <cellStyle name="Comma 5 3 3 6" xfId="3607" xr:uid="{00000000-0005-0000-0000-0000160E0000}"/>
    <cellStyle name="Comma 5 3 3 7" xfId="3608" xr:uid="{00000000-0005-0000-0000-0000170E0000}"/>
    <cellStyle name="Comma 5 3 3 8" xfId="3609" xr:uid="{00000000-0005-0000-0000-0000180E0000}"/>
    <cellStyle name="Comma 5 3 3 9" xfId="3610" xr:uid="{00000000-0005-0000-0000-0000190E0000}"/>
    <cellStyle name="Comma 5 3 30" xfId="3611" xr:uid="{00000000-0005-0000-0000-00001A0E0000}"/>
    <cellStyle name="Comma 5 3 31" xfId="3612" xr:uid="{00000000-0005-0000-0000-00001B0E0000}"/>
    <cellStyle name="Comma 5 3 32" xfId="3613" xr:uid="{00000000-0005-0000-0000-00001C0E0000}"/>
    <cellStyle name="Comma 5 3 33" xfId="3614" xr:uid="{00000000-0005-0000-0000-00001D0E0000}"/>
    <cellStyle name="Comma 5 3 34" xfId="3615" xr:uid="{00000000-0005-0000-0000-00001E0E0000}"/>
    <cellStyle name="Comma 5 3 35" xfId="3616" xr:uid="{00000000-0005-0000-0000-00001F0E0000}"/>
    <cellStyle name="Comma 5 3 36" xfId="3617" xr:uid="{00000000-0005-0000-0000-0000200E0000}"/>
    <cellStyle name="Comma 5 3 37" xfId="3618" xr:uid="{00000000-0005-0000-0000-0000210E0000}"/>
    <cellStyle name="Comma 5 3 38" xfId="3619" xr:uid="{00000000-0005-0000-0000-0000220E0000}"/>
    <cellStyle name="Comma 5 3 39" xfId="3620" xr:uid="{00000000-0005-0000-0000-0000230E0000}"/>
    <cellStyle name="Comma 5 3 4" xfId="3621" xr:uid="{00000000-0005-0000-0000-0000240E0000}"/>
    <cellStyle name="Comma 5 3 4 10" xfId="3622" xr:uid="{00000000-0005-0000-0000-0000250E0000}"/>
    <cellStyle name="Comma 5 3 4 2" xfId="3623" xr:uid="{00000000-0005-0000-0000-0000260E0000}"/>
    <cellStyle name="Comma 5 3 4 2 2" xfId="3624" xr:uid="{00000000-0005-0000-0000-0000270E0000}"/>
    <cellStyle name="Comma 5 3 4 2 3" xfId="3625" xr:uid="{00000000-0005-0000-0000-0000280E0000}"/>
    <cellStyle name="Comma 5 3 4 2 4" xfId="3626" xr:uid="{00000000-0005-0000-0000-0000290E0000}"/>
    <cellStyle name="Comma 5 3 4 2 5" xfId="3627" xr:uid="{00000000-0005-0000-0000-00002A0E0000}"/>
    <cellStyle name="Comma 5 3 4 2 6" xfId="3628" xr:uid="{00000000-0005-0000-0000-00002B0E0000}"/>
    <cellStyle name="Comma 5 3 4 3" xfId="3629" xr:uid="{00000000-0005-0000-0000-00002C0E0000}"/>
    <cellStyle name="Comma 5 3 4 3 2" xfId="3630" xr:uid="{00000000-0005-0000-0000-00002D0E0000}"/>
    <cellStyle name="Comma 5 3 4 3 3" xfId="3631" xr:uid="{00000000-0005-0000-0000-00002E0E0000}"/>
    <cellStyle name="Comma 5 3 4 3 4" xfId="3632" xr:uid="{00000000-0005-0000-0000-00002F0E0000}"/>
    <cellStyle name="Comma 5 3 4 3 5" xfId="3633" xr:uid="{00000000-0005-0000-0000-0000300E0000}"/>
    <cellStyle name="Comma 5 3 4 3 6" xfId="3634" xr:uid="{00000000-0005-0000-0000-0000310E0000}"/>
    <cellStyle name="Comma 5 3 4 4" xfId="3635" xr:uid="{00000000-0005-0000-0000-0000320E0000}"/>
    <cellStyle name="Comma 5 3 4 4 2" xfId="3636" xr:uid="{00000000-0005-0000-0000-0000330E0000}"/>
    <cellStyle name="Comma 5 3 4 4 3" xfId="3637" xr:uid="{00000000-0005-0000-0000-0000340E0000}"/>
    <cellStyle name="Comma 5 3 4 4 4" xfId="3638" xr:uid="{00000000-0005-0000-0000-0000350E0000}"/>
    <cellStyle name="Comma 5 3 4 4 5" xfId="3639" xr:uid="{00000000-0005-0000-0000-0000360E0000}"/>
    <cellStyle name="Comma 5 3 4 4 6" xfId="3640" xr:uid="{00000000-0005-0000-0000-0000370E0000}"/>
    <cellStyle name="Comma 5 3 4 5" xfId="3641" xr:uid="{00000000-0005-0000-0000-0000380E0000}"/>
    <cellStyle name="Comma 5 3 4 5 2" xfId="3642" xr:uid="{00000000-0005-0000-0000-0000390E0000}"/>
    <cellStyle name="Comma 5 3 4 5 3" xfId="3643" xr:uid="{00000000-0005-0000-0000-00003A0E0000}"/>
    <cellStyle name="Comma 5 3 4 5 4" xfId="3644" xr:uid="{00000000-0005-0000-0000-00003B0E0000}"/>
    <cellStyle name="Comma 5 3 4 5 5" xfId="3645" xr:uid="{00000000-0005-0000-0000-00003C0E0000}"/>
    <cellStyle name="Comma 5 3 4 5 6" xfId="3646" xr:uid="{00000000-0005-0000-0000-00003D0E0000}"/>
    <cellStyle name="Comma 5 3 4 6" xfId="3647" xr:uid="{00000000-0005-0000-0000-00003E0E0000}"/>
    <cellStyle name="Comma 5 3 4 7" xfId="3648" xr:uid="{00000000-0005-0000-0000-00003F0E0000}"/>
    <cellStyle name="Comma 5 3 4 8" xfId="3649" xr:uid="{00000000-0005-0000-0000-0000400E0000}"/>
    <cellStyle name="Comma 5 3 4 9" xfId="3650" xr:uid="{00000000-0005-0000-0000-0000410E0000}"/>
    <cellStyle name="Comma 5 3 40" xfId="3651" xr:uid="{00000000-0005-0000-0000-0000420E0000}"/>
    <cellStyle name="Comma 5 3 41" xfId="3652" xr:uid="{00000000-0005-0000-0000-0000430E0000}"/>
    <cellStyle name="Comma 5 3 42" xfId="3653" xr:uid="{00000000-0005-0000-0000-0000440E0000}"/>
    <cellStyle name="Comma 5 3 43" xfId="3654" xr:uid="{00000000-0005-0000-0000-0000450E0000}"/>
    <cellStyle name="Comma 5 3 44" xfId="3655" xr:uid="{00000000-0005-0000-0000-0000460E0000}"/>
    <cellStyle name="Comma 5 3 5" xfId="3656" xr:uid="{00000000-0005-0000-0000-0000470E0000}"/>
    <cellStyle name="Comma 5 3 5 10" xfId="3657" xr:uid="{00000000-0005-0000-0000-0000480E0000}"/>
    <cellStyle name="Comma 5 3 5 2" xfId="3658" xr:uid="{00000000-0005-0000-0000-0000490E0000}"/>
    <cellStyle name="Comma 5 3 5 2 2" xfId="3659" xr:uid="{00000000-0005-0000-0000-00004A0E0000}"/>
    <cellStyle name="Comma 5 3 5 2 3" xfId="3660" xr:uid="{00000000-0005-0000-0000-00004B0E0000}"/>
    <cellStyle name="Comma 5 3 5 2 4" xfId="3661" xr:uid="{00000000-0005-0000-0000-00004C0E0000}"/>
    <cellStyle name="Comma 5 3 5 2 5" xfId="3662" xr:uid="{00000000-0005-0000-0000-00004D0E0000}"/>
    <cellStyle name="Comma 5 3 5 2 6" xfId="3663" xr:uid="{00000000-0005-0000-0000-00004E0E0000}"/>
    <cellStyle name="Comma 5 3 5 3" xfId="3664" xr:uid="{00000000-0005-0000-0000-00004F0E0000}"/>
    <cellStyle name="Comma 5 3 5 3 2" xfId="3665" xr:uid="{00000000-0005-0000-0000-0000500E0000}"/>
    <cellStyle name="Comma 5 3 5 3 3" xfId="3666" xr:uid="{00000000-0005-0000-0000-0000510E0000}"/>
    <cellStyle name="Comma 5 3 5 3 4" xfId="3667" xr:uid="{00000000-0005-0000-0000-0000520E0000}"/>
    <cellStyle name="Comma 5 3 5 3 5" xfId="3668" xr:uid="{00000000-0005-0000-0000-0000530E0000}"/>
    <cellStyle name="Comma 5 3 5 3 6" xfId="3669" xr:uid="{00000000-0005-0000-0000-0000540E0000}"/>
    <cellStyle name="Comma 5 3 5 4" xfId="3670" xr:uid="{00000000-0005-0000-0000-0000550E0000}"/>
    <cellStyle name="Comma 5 3 5 4 2" xfId="3671" xr:uid="{00000000-0005-0000-0000-0000560E0000}"/>
    <cellStyle name="Comma 5 3 5 4 3" xfId="3672" xr:uid="{00000000-0005-0000-0000-0000570E0000}"/>
    <cellStyle name="Comma 5 3 5 4 4" xfId="3673" xr:uid="{00000000-0005-0000-0000-0000580E0000}"/>
    <cellStyle name="Comma 5 3 5 4 5" xfId="3674" xr:uid="{00000000-0005-0000-0000-0000590E0000}"/>
    <cellStyle name="Comma 5 3 5 4 6" xfId="3675" xr:uid="{00000000-0005-0000-0000-00005A0E0000}"/>
    <cellStyle name="Comma 5 3 5 5" xfId="3676" xr:uid="{00000000-0005-0000-0000-00005B0E0000}"/>
    <cellStyle name="Comma 5 3 5 5 2" xfId="3677" xr:uid="{00000000-0005-0000-0000-00005C0E0000}"/>
    <cellStyle name="Comma 5 3 5 5 3" xfId="3678" xr:uid="{00000000-0005-0000-0000-00005D0E0000}"/>
    <cellStyle name="Comma 5 3 5 5 4" xfId="3679" xr:uid="{00000000-0005-0000-0000-00005E0E0000}"/>
    <cellStyle name="Comma 5 3 5 5 5" xfId="3680" xr:uid="{00000000-0005-0000-0000-00005F0E0000}"/>
    <cellStyle name="Comma 5 3 5 5 6" xfId="3681" xr:uid="{00000000-0005-0000-0000-0000600E0000}"/>
    <cellStyle name="Comma 5 3 5 6" xfId="3682" xr:uid="{00000000-0005-0000-0000-0000610E0000}"/>
    <cellStyle name="Comma 5 3 5 7" xfId="3683" xr:uid="{00000000-0005-0000-0000-0000620E0000}"/>
    <cellStyle name="Comma 5 3 5 8" xfId="3684" xr:uid="{00000000-0005-0000-0000-0000630E0000}"/>
    <cellStyle name="Comma 5 3 5 9" xfId="3685" xr:uid="{00000000-0005-0000-0000-0000640E0000}"/>
    <cellStyle name="Comma 5 3 6" xfId="3686" xr:uid="{00000000-0005-0000-0000-0000650E0000}"/>
    <cellStyle name="Comma 5 3 6 10" xfId="3687" xr:uid="{00000000-0005-0000-0000-0000660E0000}"/>
    <cellStyle name="Comma 5 3 6 2" xfId="3688" xr:uid="{00000000-0005-0000-0000-0000670E0000}"/>
    <cellStyle name="Comma 5 3 6 2 2" xfId="3689" xr:uid="{00000000-0005-0000-0000-0000680E0000}"/>
    <cellStyle name="Comma 5 3 6 2 3" xfId="3690" xr:uid="{00000000-0005-0000-0000-0000690E0000}"/>
    <cellStyle name="Comma 5 3 6 2 4" xfId="3691" xr:uid="{00000000-0005-0000-0000-00006A0E0000}"/>
    <cellStyle name="Comma 5 3 6 2 5" xfId="3692" xr:uid="{00000000-0005-0000-0000-00006B0E0000}"/>
    <cellStyle name="Comma 5 3 6 2 6" xfId="3693" xr:uid="{00000000-0005-0000-0000-00006C0E0000}"/>
    <cellStyle name="Comma 5 3 6 3" xfId="3694" xr:uid="{00000000-0005-0000-0000-00006D0E0000}"/>
    <cellStyle name="Comma 5 3 6 3 2" xfId="3695" xr:uid="{00000000-0005-0000-0000-00006E0E0000}"/>
    <cellStyle name="Comma 5 3 6 3 3" xfId="3696" xr:uid="{00000000-0005-0000-0000-00006F0E0000}"/>
    <cellStyle name="Comma 5 3 6 3 4" xfId="3697" xr:uid="{00000000-0005-0000-0000-0000700E0000}"/>
    <cellStyle name="Comma 5 3 6 3 5" xfId="3698" xr:uid="{00000000-0005-0000-0000-0000710E0000}"/>
    <cellStyle name="Comma 5 3 6 3 6" xfId="3699" xr:uid="{00000000-0005-0000-0000-0000720E0000}"/>
    <cellStyle name="Comma 5 3 6 4" xfId="3700" xr:uid="{00000000-0005-0000-0000-0000730E0000}"/>
    <cellStyle name="Comma 5 3 6 4 2" xfId="3701" xr:uid="{00000000-0005-0000-0000-0000740E0000}"/>
    <cellStyle name="Comma 5 3 6 4 3" xfId="3702" xr:uid="{00000000-0005-0000-0000-0000750E0000}"/>
    <cellStyle name="Comma 5 3 6 4 4" xfId="3703" xr:uid="{00000000-0005-0000-0000-0000760E0000}"/>
    <cellStyle name="Comma 5 3 6 4 5" xfId="3704" xr:uid="{00000000-0005-0000-0000-0000770E0000}"/>
    <cellStyle name="Comma 5 3 6 4 6" xfId="3705" xr:uid="{00000000-0005-0000-0000-0000780E0000}"/>
    <cellStyle name="Comma 5 3 6 5" xfId="3706" xr:uid="{00000000-0005-0000-0000-0000790E0000}"/>
    <cellStyle name="Comma 5 3 6 5 2" xfId="3707" xr:uid="{00000000-0005-0000-0000-00007A0E0000}"/>
    <cellStyle name="Comma 5 3 6 5 3" xfId="3708" xr:uid="{00000000-0005-0000-0000-00007B0E0000}"/>
    <cellStyle name="Comma 5 3 6 5 4" xfId="3709" xr:uid="{00000000-0005-0000-0000-00007C0E0000}"/>
    <cellStyle name="Comma 5 3 6 5 5" xfId="3710" xr:uid="{00000000-0005-0000-0000-00007D0E0000}"/>
    <cellStyle name="Comma 5 3 6 5 6" xfId="3711" xr:uid="{00000000-0005-0000-0000-00007E0E0000}"/>
    <cellStyle name="Comma 5 3 6 6" xfId="3712" xr:uid="{00000000-0005-0000-0000-00007F0E0000}"/>
    <cellStyle name="Comma 5 3 6 7" xfId="3713" xr:uid="{00000000-0005-0000-0000-0000800E0000}"/>
    <cellStyle name="Comma 5 3 6 8" xfId="3714" xr:uid="{00000000-0005-0000-0000-0000810E0000}"/>
    <cellStyle name="Comma 5 3 6 9" xfId="3715" xr:uid="{00000000-0005-0000-0000-0000820E0000}"/>
    <cellStyle name="Comma 5 3 7" xfId="3716" xr:uid="{00000000-0005-0000-0000-0000830E0000}"/>
    <cellStyle name="Comma 5 3 7 10" xfId="3717" xr:uid="{00000000-0005-0000-0000-0000840E0000}"/>
    <cellStyle name="Comma 5 3 7 11" xfId="3718" xr:uid="{00000000-0005-0000-0000-0000850E0000}"/>
    <cellStyle name="Comma 5 3 7 12" xfId="3719" xr:uid="{00000000-0005-0000-0000-0000860E0000}"/>
    <cellStyle name="Comma 5 3 7 13" xfId="3720" xr:uid="{00000000-0005-0000-0000-0000870E0000}"/>
    <cellStyle name="Comma 5 3 7 14" xfId="3721" xr:uid="{00000000-0005-0000-0000-0000880E0000}"/>
    <cellStyle name="Comma 5 3 7 15" xfId="3722" xr:uid="{00000000-0005-0000-0000-0000890E0000}"/>
    <cellStyle name="Comma 5 3 7 16" xfId="3723" xr:uid="{00000000-0005-0000-0000-00008A0E0000}"/>
    <cellStyle name="Comma 5 3 7 17" xfId="3724" xr:uid="{00000000-0005-0000-0000-00008B0E0000}"/>
    <cellStyle name="Comma 5 3 7 18" xfId="3725" xr:uid="{00000000-0005-0000-0000-00008C0E0000}"/>
    <cellStyle name="Comma 5 3 7 19" xfId="3726" xr:uid="{00000000-0005-0000-0000-00008D0E0000}"/>
    <cellStyle name="Comma 5 3 7 2" xfId="3727" xr:uid="{00000000-0005-0000-0000-00008E0E0000}"/>
    <cellStyle name="Comma 5 3 7 2 2" xfId="3728" xr:uid="{00000000-0005-0000-0000-00008F0E0000}"/>
    <cellStyle name="Comma 5 3 7 2 3" xfId="3729" xr:uid="{00000000-0005-0000-0000-0000900E0000}"/>
    <cellStyle name="Comma 5 3 7 2 4" xfId="3730" xr:uid="{00000000-0005-0000-0000-0000910E0000}"/>
    <cellStyle name="Comma 5 3 7 2 5" xfId="3731" xr:uid="{00000000-0005-0000-0000-0000920E0000}"/>
    <cellStyle name="Comma 5 3 7 2 6" xfId="3732" xr:uid="{00000000-0005-0000-0000-0000930E0000}"/>
    <cellStyle name="Comma 5 3 7 20" xfId="3733" xr:uid="{00000000-0005-0000-0000-0000940E0000}"/>
    <cellStyle name="Comma 5 3 7 21" xfId="3734" xr:uid="{00000000-0005-0000-0000-0000950E0000}"/>
    <cellStyle name="Comma 5 3 7 22" xfId="3735" xr:uid="{00000000-0005-0000-0000-0000960E0000}"/>
    <cellStyle name="Comma 5 3 7 23" xfId="3736" xr:uid="{00000000-0005-0000-0000-0000970E0000}"/>
    <cellStyle name="Comma 5 3 7 24" xfId="3737" xr:uid="{00000000-0005-0000-0000-0000980E0000}"/>
    <cellStyle name="Comma 5 3 7 25" xfId="3738" xr:uid="{00000000-0005-0000-0000-0000990E0000}"/>
    <cellStyle name="Comma 5 3 7 26" xfId="3739" xr:uid="{00000000-0005-0000-0000-00009A0E0000}"/>
    <cellStyle name="Comma 5 3 7 27" xfId="3740" xr:uid="{00000000-0005-0000-0000-00009B0E0000}"/>
    <cellStyle name="Comma 5 3 7 28" xfId="3741" xr:uid="{00000000-0005-0000-0000-00009C0E0000}"/>
    <cellStyle name="Comma 5 3 7 29" xfId="3742" xr:uid="{00000000-0005-0000-0000-00009D0E0000}"/>
    <cellStyle name="Comma 5 3 7 3" xfId="3743" xr:uid="{00000000-0005-0000-0000-00009E0E0000}"/>
    <cellStyle name="Comma 5 3 7 30" xfId="3744" xr:uid="{00000000-0005-0000-0000-00009F0E0000}"/>
    <cellStyle name="Comma 5 3 7 31" xfId="3745" xr:uid="{00000000-0005-0000-0000-0000A00E0000}"/>
    <cellStyle name="Comma 5 3 7 32" xfId="3746" xr:uid="{00000000-0005-0000-0000-0000A10E0000}"/>
    <cellStyle name="Comma 5 3 7 33" xfId="3747" xr:uid="{00000000-0005-0000-0000-0000A20E0000}"/>
    <cellStyle name="Comma 5 3 7 4" xfId="3748" xr:uid="{00000000-0005-0000-0000-0000A30E0000}"/>
    <cellStyle name="Comma 5 3 7 5" xfId="3749" xr:uid="{00000000-0005-0000-0000-0000A40E0000}"/>
    <cellStyle name="Comma 5 3 7 6" xfId="3750" xr:uid="{00000000-0005-0000-0000-0000A50E0000}"/>
    <cellStyle name="Comma 5 3 7 7" xfId="3751" xr:uid="{00000000-0005-0000-0000-0000A60E0000}"/>
    <cellStyle name="Comma 5 3 7 8" xfId="3752" xr:uid="{00000000-0005-0000-0000-0000A70E0000}"/>
    <cellStyle name="Comma 5 3 7 9" xfId="3753" xr:uid="{00000000-0005-0000-0000-0000A80E0000}"/>
    <cellStyle name="Comma 5 3 8" xfId="3754" xr:uid="{00000000-0005-0000-0000-0000A90E0000}"/>
    <cellStyle name="Comma 5 3 9" xfId="3755" xr:uid="{00000000-0005-0000-0000-0000AA0E0000}"/>
    <cellStyle name="Comma 5 30" xfId="3756" xr:uid="{00000000-0005-0000-0000-0000AB0E0000}"/>
    <cellStyle name="Comma 5 31" xfId="3757" xr:uid="{00000000-0005-0000-0000-0000AC0E0000}"/>
    <cellStyle name="Comma 5 32" xfId="3758" xr:uid="{00000000-0005-0000-0000-0000AD0E0000}"/>
    <cellStyle name="Comma 5 33" xfId="3759" xr:uid="{00000000-0005-0000-0000-0000AE0E0000}"/>
    <cellStyle name="Comma 5 34" xfId="3760" xr:uid="{00000000-0005-0000-0000-0000AF0E0000}"/>
    <cellStyle name="Comma 5 35" xfId="3761" xr:uid="{00000000-0005-0000-0000-0000B00E0000}"/>
    <cellStyle name="Comma 5 36" xfId="3762" xr:uid="{00000000-0005-0000-0000-0000B10E0000}"/>
    <cellStyle name="Comma 5 37" xfId="3763" xr:uid="{00000000-0005-0000-0000-0000B20E0000}"/>
    <cellStyle name="Comma 5 38" xfId="3764" xr:uid="{00000000-0005-0000-0000-0000B30E0000}"/>
    <cellStyle name="Comma 5 39" xfId="3765" xr:uid="{00000000-0005-0000-0000-0000B40E0000}"/>
    <cellStyle name="Comma 5 4" xfId="3766" xr:uid="{00000000-0005-0000-0000-0000B50E0000}"/>
    <cellStyle name="Comma 5 4 10" xfId="3767" xr:uid="{00000000-0005-0000-0000-0000B60E0000}"/>
    <cellStyle name="Comma 5 4 10 2" xfId="3768" xr:uid="{00000000-0005-0000-0000-0000B70E0000}"/>
    <cellStyle name="Comma 5 4 10 3" xfId="3769" xr:uid="{00000000-0005-0000-0000-0000B80E0000}"/>
    <cellStyle name="Comma 5 4 10 4" xfId="3770" xr:uid="{00000000-0005-0000-0000-0000B90E0000}"/>
    <cellStyle name="Comma 5 4 10 5" xfId="3771" xr:uid="{00000000-0005-0000-0000-0000BA0E0000}"/>
    <cellStyle name="Comma 5 4 10 6" xfId="3772" xr:uid="{00000000-0005-0000-0000-0000BB0E0000}"/>
    <cellStyle name="Comma 5 4 11" xfId="3773" xr:uid="{00000000-0005-0000-0000-0000BC0E0000}"/>
    <cellStyle name="Comma 5 4 12" xfId="3774" xr:uid="{00000000-0005-0000-0000-0000BD0E0000}"/>
    <cellStyle name="Comma 5 4 13" xfId="3775" xr:uid="{00000000-0005-0000-0000-0000BE0E0000}"/>
    <cellStyle name="Comma 5 4 14" xfId="3776" xr:uid="{00000000-0005-0000-0000-0000BF0E0000}"/>
    <cellStyle name="Comma 5 4 15" xfId="3777" xr:uid="{00000000-0005-0000-0000-0000C00E0000}"/>
    <cellStyle name="Comma 5 4 16" xfId="3778" xr:uid="{00000000-0005-0000-0000-0000C10E0000}"/>
    <cellStyle name="Comma 5 4 17" xfId="3779" xr:uid="{00000000-0005-0000-0000-0000C20E0000}"/>
    <cellStyle name="Comma 5 4 18" xfId="3780" xr:uid="{00000000-0005-0000-0000-0000C30E0000}"/>
    <cellStyle name="Comma 5 4 19" xfId="3781" xr:uid="{00000000-0005-0000-0000-0000C40E0000}"/>
    <cellStyle name="Comma 5 4 2" xfId="3782" xr:uid="{00000000-0005-0000-0000-0000C50E0000}"/>
    <cellStyle name="Comma 5 4 2 10" xfId="3783" xr:uid="{00000000-0005-0000-0000-0000C60E0000}"/>
    <cellStyle name="Comma 5 4 2 11" xfId="3784" xr:uid="{00000000-0005-0000-0000-0000C70E0000}"/>
    <cellStyle name="Comma 5 4 2 12" xfId="3785" xr:uid="{00000000-0005-0000-0000-0000C80E0000}"/>
    <cellStyle name="Comma 5 4 2 13" xfId="3786" xr:uid="{00000000-0005-0000-0000-0000C90E0000}"/>
    <cellStyle name="Comma 5 4 2 14" xfId="3787" xr:uid="{00000000-0005-0000-0000-0000CA0E0000}"/>
    <cellStyle name="Comma 5 4 2 15" xfId="3788" xr:uid="{00000000-0005-0000-0000-0000CB0E0000}"/>
    <cellStyle name="Comma 5 4 2 16" xfId="3789" xr:uid="{00000000-0005-0000-0000-0000CC0E0000}"/>
    <cellStyle name="Comma 5 4 2 17" xfId="3790" xr:uid="{00000000-0005-0000-0000-0000CD0E0000}"/>
    <cellStyle name="Comma 5 4 2 18" xfId="3791" xr:uid="{00000000-0005-0000-0000-0000CE0E0000}"/>
    <cellStyle name="Comma 5 4 2 19" xfId="3792" xr:uid="{00000000-0005-0000-0000-0000CF0E0000}"/>
    <cellStyle name="Comma 5 4 2 2" xfId="3793" xr:uid="{00000000-0005-0000-0000-0000D00E0000}"/>
    <cellStyle name="Comma 5 4 2 2 2" xfId="3794" xr:uid="{00000000-0005-0000-0000-0000D10E0000}"/>
    <cellStyle name="Comma 5 4 2 2 3" xfId="3795" xr:uid="{00000000-0005-0000-0000-0000D20E0000}"/>
    <cellStyle name="Comma 5 4 2 2 4" xfId="3796" xr:uid="{00000000-0005-0000-0000-0000D30E0000}"/>
    <cellStyle name="Comma 5 4 2 2 5" xfId="3797" xr:uid="{00000000-0005-0000-0000-0000D40E0000}"/>
    <cellStyle name="Comma 5 4 2 2 6" xfId="3798" xr:uid="{00000000-0005-0000-0000-0000D50E0000}"/>
    <cellStyle name="Comma 5 4 2 20" xfId="3799" xr:uid="{00000000-0005-0000-0000-0000D60E0000}"/>
    <cellStyle name="Comma 5 4 2 21" xfId="3800" xr:uid="{00000000-0005-0000-0000-0000D70E0000}"/>
    <cellStyle name="Comma 5 4 2 22" xfId="3801" xr:uid="{00000000-0005-0000-0000-0000D80E0000}"/>
    <cellStyle name="Comma 5 4 2 23" xfId="3802" xr:uid="{00000000-0005-0000-0000-0000D90E0000}"/>
    <cellStyle name="Comma 5 4 2 24" xfId="3803" xr:uid="{00000000-0005-0000-0000-0000DA0E0000}"/>
    <cellStyle name="Comma 5 4 2 25" xfId="3804" xr:uid="{00000000-0005-0000-0000-0000DB0E0000}"/>
    <cellStyle name="Comma 5 4 2 26" xfId="3805" xr:uid="{00000000-0005-0000-0000-0000DC0E0000}"/>
    <cellStyle name="Comma 5 4 2 27" xfId="3806" xr:uid="{00000000-0005-0000-0000-0000DD0E0000}"/>
    <cellStyle name="Comma 5 4 2 28" xfId="3807" xr:uid="{00000000-0005-0000-0000-0000DE0E0000}"/>
    <cellStyle name="Comma 5 4 2 29" xfId="3808" xr:uid="{00000000-0005-0000-0000-0000DF0E0000}"/>
    <cellStyle name="Comma 5 4 2 3" xfId="3809" xr:uid="{00000000-0005-0000-0000-0000E00E0000}"/>
    <cellStyle name="Comma 5 4 2 30" xfId="3810" xr:uid="{00000000-0005-0000-0000-0000E10E0000}"/>
    <cellStyle name="Comma 5 4 2 31" xfId="3811" xr:uid="{00000000-0005-0000-0000-0000E20E0000}"/>
    <cellStyle name="Comma 5 4 2 32" xfId="3812" xr:uid="{00000000-0005-0000-0000-0000E30E0000}"/>
    <cellStyle name="Comma 5 4 2 33" xfId="3813" xr:uid="{00000000-0005-0000-0000-0000E40E0000}"/>
    <cellStyle name="Comma 5 4 2 4" xfId="3814" xr:uid="{00000000-0005-0000-0000-0000E50E0000}"/>
    <cellStyle name="Comma 5 4 2 5" xfId="3815" xr:uid="{00000000-0005-0000-0000-0000E60E0000}"/>
    <cellStyle name="Comma 5 4 2 6" xfId="3816" xr:uid="{00000000-0005-0000-0000-0000E70E0000}"/>
    <cellStyle name="Comma 5 4 2 7" xfId="3817" xr:uid="{00000000-0005-0000-0000-0000E80E0000}"/>
    <cellStyle name="Comma 5 4 2 8" xfId="3818" xr:uid="{00000000-0005-0000-0000-0000E90E0000}"/>
    <cellStyle name="Comma 5 4 2 9" xfId="3819" xr:uid="{00000000-0005-0000-0000-0000EA0E0000}"/>
    <cellStyle name="Comma 5 4 20" xfId="3820" xr:uid="{00000000-0005-0000-0000-0000EB0E0000}"/>
    <cellStyle name="Comma 5 4 21" xfId="3821" xr:uid="{00000000-0005-0000-0000-0000EC0E0000}"/>
    <cellStyle name="Comma 5 4 22" xfId="3822" xr:uid="{00000000-0005-0000-0000-0000ED0E0000}"/>
    <cellStyle name="Comma 5 4 23" xfId="3823" xr:uid="{00000000-0005-0000-0000-0000EE0E0000}"/>
    <cellStyle name="Comma 5 4 24" xfId="3824" xr:uid="{00000000-0005-0000-0000-0000EF0E0000}"/>
    <cellStyle name="Comma 5 4 25" xfId="3825" xr:uid="{00000000-0005-0000-0000-0000F00E0000}"/>
    <cellStyle name="Comma 5 4 26" xfId="3826" xr:uid="{00000000-0005-0000-0000-0000F10E0000}"/>
    <cellStyle name="Comma 5 4 27" xfId="3827" xr:uid="{00000000-0005-0000-0000-0000F20E0000}"/>
    <cellStyle name="Comma 5 4 28" xfId="3828" xr:uid="{00000000-0005-0000-0000-0000F30E0000}"/>
    <cellStyle name="Comma 5 4 29" xfId="3829" xr:uid="{00000000-0005-0000-0000-0000F40E0000}"/>
    <cellStyle name="Comma 5 4 3" xfId="3830" xr:uid="{00000000-0005-0000-0000-0000F50E0000}"/>
    <cellStyle name="Comma 5 4 30" xfId="3831" xr:uid="{00000000-0005-0000-0000-0000F60E0000}"/>
    <cellStyle name="Comma 5 4 31" xfId="3832" xr:uid="{00000000-0005-0000-0000-0000F70E0000}"/>
    <cellStyle name="Comma 5 4 32" xfId="3833" xr:uid="{00000000-0005-0000-0000-0000F80E0000}"/>
    <cellStyle name="Comma 5 4 33" xfId="3834" xr:uid="{00000000-0005-0000-0000-0000F90E0000}"/>
    <cellStyle name="Comma 5 4 34" xfId="3835" xr:uid="{00000000-0005-0000-0000-0000FA0E0000}"/>
    <cellStyle name="Comma 5 4 35" xfId="3836" xr:uid="{00000000-0005-0000-0000-0000FB0E0000}"/>
    <cellStyle name="Comma 5 4 36" xfId="3837" xr:uid="{00000000-0005-0000-0000-0000FC0E0000}"/>
    <cellStyle name="Comma 5 4 37" xfId="3838" xr:uid="{00000000-0005-0000-0000-0000FD0E0000}"/>
    <cellStyle name="Comma 5 4 38" xfId="3839" xr:uid="{00000000-0005-0000-0000-0000FE0E0000}"/>
    <cellStyle name="Comma 5 4 39" xfId="3840" xr:uid="{00000000-0005-0000-0000-0000FF0E0000}"/>
    <cellStyle name="Comma 5 4 4" xfId="3841" xr:uid="{00000000-0005-0000-0000-0000000F0000}"/>
    <cellStyle name="Comma 5 4 40" xfId="3842" xr:uid="{00000000-0005-0000-0000-0000010F0000}"/>
    <cellStyle name="Comma 5 4 5" xfId="3843" xr:uid="{00000000-0005-0000-0000-0000020F0000}"/>
    <cellStyle name="Comma 5 4 6" xfId="3844" xr:uid="{00000000-0005-0000-0000-0000030F0000}"/>
    <cellStyle name="Comma 5 4 7" xfId="3845" xr:uid="{00000000-0005-0000-0000-0000040F0000}"/>
    <cellStyle name="Comma 5 4 8" xfId="3846" xr:uid="{00000000-0005-0000-0000-0000050F0000}"/>
    <cellStyle name="Comma 5 4 9" xfId="3847" xr:uid="{00000000-0005-0000-0000-0000060F0000}"/>
    <cellStyle name="Comma 5 40" xfId="3848" xr:uid="{00000000-0005-0000-0000-0000070F0000}"/>
    <cellStyle name="Comma 5 41" xfId="3849" xr:uid="{00000000-0005-0000-0000-0000080F0000}"/>
    <cellStyle name="Comma 5 42" xfId="3850" xr:uid="{00000000-0005-0000-0000-0000090F0000}"/>
    <cellStyle name="Comma 5 43" xfId="3851" xr:uid="{00000000-0005-0000-0000-00000A0F0000}"/>
    <cellStyle name="Comma 5 44" xfId="3852" xr:uid="{00000000-0005-0000-0000-00000B0F0000}"/>
    <cellStyle name="Comma 5 45" xfId="3853" xr:uid="{00000000-0005-0000-0000-00000C0F0000}"/>
    <cellStyle name="Comma 5 46" xfId="3854" xr:uid="{00000000-0005-0000-0000-00000D0F0000}"/>
    <cellStyle name="Comma 5 5" xfId="3855" xr:uid="{00000000-0005-0000-0000-00000E0F0000}"/>
    <cellStyle name="Comma 5 6" xfId="3856" xr:uid="{00000000-0005-0000-0000-00000F0F0000}"/>
    <cellStyle name="Comma 5 7" xfId="3857" xr:uid="{00000000-0005-0000-0000-0000100F0000}"/>
    <cellStyle name="Comma 5 8" xfId="3858" xr:uid="{00000000-0005-0000-0000-0000110F0000}"/>
    <cellStyle name="Comma 5 9" xfId="3859" xr:uid="{00000000-0005-0000-0000-0000120F0000}"/>
    <cellStyle name="Comma 5 9 10" xfId="3860" xr:uid="{00000000-0005-0000-0000-0000130F0000}"/>
    <cellStyle name="Comma 5 9 11" xfId="3861" xr:uid="{00000000-0005-0000-0000-0000140F0000}"/>
    <cellStyle name="Comma 5 9 12" xfId="3862" xr:uid="{00000000-0005-0000-0000-0000150F0000}"/>
    <cellStyle name="Comma 5 9 13" xfId="3863" xr:uid="{00000000-0005-0000-0000-0000160F0000}"/>
    <cellStyle name="Comma 5 9 14" xfId="3864" xr:uid="{00000000-0005-0000-0000-0000170F0000}"/>
    <cellStyle name="Comma 5 9 15" xfId="3865" xr:uid="{00000000-0005-0000-0000-0000180F0000}"/>
    <cellStyle name="Comma 5 9 16" xfId="3866" xr:uid="{00000000-0005-0000-0000-0000190F0000}"/>
    <cellStyle name="Comma 5 9 17" xfId="3867" xr:uid="{00000000-0005-0000-0000-00001A0F0000}"/>
    <cellStyle name="Comma 5 9 18" xfId="3868" xr:uid="{00000000-0005-0000-0000-00001B0F0000}"/>
    <cellStyle name="Comma 5 9 19" xfId="3869" xr:uid="{00000000-0005-0000-0000-00001C0F0000}"/>
    <cellStyle name="Comma 5 9 2" xfId="3870" xr:uid="{00000000-0005-0000-0000-00001D0F0000}"/>
    <cellStyle name="Comma 5 9 2 2" xfId="3871" xr:uid="{00000000-0005-0000-0000-00001E0F0000}"/>
    <cellStyle name="Comma 5 9 2 3" xfId="3872" xr:uid="{00000000-0005-0000-0000-00001F0F0000}"/>
    <cellStyle name="Comma 5 9 2 4" xfId="3873" xr:uid="{00000000-0005-0000-0000-0000200F0000}"/>
    <cellStyle name="Comma 5 9 2 5" xfId="3874" xr:uid="{00000000-0005-0000-0000-0000210F0000}"/>
    <cellStyle name="Comma 5 9 2 6" xfId="3875" xr:uid="{00000000-0005-0000-0000-0000220F0000}"/>
    <cellStyle name="Comma 5 9 20" xfId="3876" xr:uid="{00000000-0005-0000-0000-0000230F0000}"/>
    <cellStyle name="Comma 5 9 21" xfId="3877" xr:uid="{00000000-0005-0000-0000-0000240F0000}"/>
    <cellStyle name="Comma 5 9 22" xfId="3878" xr:uid="{00000000-0005-0000-0000-0000250F0000}"/>
    <cellStyle name="Comma 5 9 23" xfId="3879" xr:uid="{00000000-0005-0000-0000-0000260F0000}"/>
    <cellStyle name="Comma 5 9 24" xfId="3880" xr:uid="{00000000-0005-0000-0000-0000270F0000}"/>
    <cellStyle name="Comma 5 9 25" xfId="3881" xr:uid="{00000000-0005-0000-0000-0000280F0000}"/>
    <cellStyle name="Comma 5 9 26" xfId="3882" xr:uid="{00000000-0005-0000-0000-0000290F0000}"/>
    <cellStyle name="Comma 5 9 27" xfId="3883" xr:uid="{00000000-0005-0000-0000-00002A0F0000}"/>
    <cellStyle name="Comma 5 9 28" xfId="3884" xr:uid="{00000000-0005-0000-0000-00002B0F0000}"/>
    <cellStyle name="Comma 5 9 29" xfId="3885" xr:uid="{00000000-0005-0000-0000-00002C0F0000}"/>
    <cellStyle name="Comma 5 9 3" xfId="3886" xr:uid="{00000000-0005-0000-0000-00002D0F0000}"/>
    <cellStyle name="Comma 5 9 30" xfId="3887" xr:uid="{00000000-0005-0000-0000-00002E0F0000}"/>
    <cellStyle name="Comma 5 9 31" xfId="3888" xr:uid="{00000000-0005-0000-0000-00002F0F0000}"/>
    <cellStyle name="Comma 5 9 32" xfId="3889" xr:uid="{00000000-0005-0000-0000-0000300F0000}"/>
    <cellStyle name="Comma 5 9 33" xfId="3890" xr:uid="{00000000-0005-0000-0000-0000310F0000}"/>
    <cellStyle name="Comma 5 9 4" xfId="3891" xr:uid="{00000000-0005-0000-0000-0000320F0000}"/>
    <cellStyle name="Comma 5 9 5" xfId="3892" xr:uid="{00000000-0005-0000-0000-0000330F0000}"/>
    <cellStyle name="Comma 5 9 6" xfId="3893" xr:uid="{00000000-0005-0000-0000-0000340F0000}"/>
    <cellStyle name="Comma 5 9 7" xfId="3894" xr:uid="{00000000-0005-0000-0000-0000350F0000}"/>
    <cellStyle name="Comma 5 9 8" xfId="3895" xr:uid="{00000000-0005-0000-0000-0000360F0000}"/>
    <cellStyle name="Comma 5 9 9" xfId="3896" xr:uid="{00000000-0005-0000-0000-0000370F0000}"/>
    <cellStyle name="Comma 6" xfId="3897" xr:uid="{00000000-0005-0000-0000-0000380F0000}"/>
    <cellStyle name="Comma 6 2" xfId="3898" xr:uid="{00000000-0005-0000-0000-0000390F0000}"/>
    <cellStyle name="Comma 7" xfId="3899" xr:uid="{00000000-0005-0000-0000-00003A0F0000}"/>
    <cellStyle name="Comma 8" xfId="3900" xr:uid="{00000000-0005-0000-0000-00003B0F0000}"/>
    <cellStyle name="Comma 9" xfId="3901" xr:uid="{00000000-0005-0000-0000-00003C0F0000}"/>
    <cellStyle name="Comma 9 10" xfId="3902" xr:uid="{00000000-0005-0000-0000-00003D0F0000}"/>
    <cellStyle name="Comma 9 11" xfId="3903" xr:uid="{00000000-0005-0000-0000-00003E0F0000}"/>
    <cellStyle name="Comma 9 12" xfId="3904" xr:uid="{00000000-0005-0000-0000-00003F0F0000}"/>
    <cellStyle name="Comma 9 13" xfId="3905" xr:uid="{00000000-0005-0000-0000-0000400F0000}"/>
    <cellStyle name="Comma 9 14" xfId="3906" xr:uid="{00000000-0005-0000-0000-0000410F0000}"/>
    <cellStyle name="Comma 9 15" xfId="3907" xr:uid="{00000000-0005-0000-0000-0000420F0000}"/>
    <cellStyle name="Comma 9 16" xfId="3908" xr:uid="{00000000-0005-0000-0000-0000430F0000}"/>
    <cellStyle name="Comma 9 17" xfId="3909" xr:uid="{00000000-0005-0000-0000-0000440F0000}"/>
    <cellStyle name="Comma 9 18" xfId="3910" xr:uid="{00000000-0005-0000-0000-0000450F0000}"/>
    <cellStyle name="Comma 9 19" xfId="3911" xr:uid="{00000000-0005-0000-0000-0000460F0000}"/>
    <cellStyle name="Comma 9 2" xfId="3912" xr:uid="{00000000-0005-0000-0000-0000470F0000}"/>
    <cellStyle name="Comma 9 20" xfId="3913" xr:uid="{00000000-0005-0000-0000-0000480F0000}"/>
    <cellStyle name="Comma 9 21" xfId="3914" xr:uid="{00000000-0005-0000-0000-0000490F0000}"/>
    <cellStyle name="Comma 9 3" xfId="3915" xr:uid="{00000000-0005-0000-0000-00004A0F0000}"/>
    <cellStyle name="Comma 9 4" xfId="3916" xr:uid="{00000000-0005-0000-0000-00004B0F0000}"/>
    <cellStyle name="Comma 9 5" xfId="3917" xr:uid="{00000000-0005-0000-0000-00004C0F0000}"/>
    <cellStyle name="Comma 9 6" xfId="3918" xr:uid="{00000000-0005-0000-0000-00004D0F0000}"/>
    <cellStyle name="Comma 9 7" xfId="3919" xr:uid="{00000000-0005-0000-0000-00004E0F0000}"/>
    <cellStyle name="Comma 9 8" xfId="3920" xr:uid="{00000000-0005-0000-0000-00004F0F0000}"/>
    <cellStyle name="Comma 9 9" xfId="3921" xr:uid="{00000000-0005-0000-0000-0000500F0000}"/>
    <cellStyle name="Currency 10" xfId="3922" xr:uid="{00000000-0005-0000-0000-0000510F0000}"/>
    <cellStyle name="Currency 10 2" xfId="3923" xr:uid="{00000000-0005-0000-0000-0000520F0000}"/>
    <cellStyle name="Currency 10 3" xfId="3924" xr:uid="{00000000-0005-0000-0000-0000530F0000}"/>
    <cellStyle name="Currency 10 4" xfId="3925" xr:uid="{00000000-0005-0000-0000-0000540F0000}"/>
    <cellStyle name="Currency 10 5" xfId="3926" xr:uid="{00000000-0005-0000-0000-0000550F0000}"/>
    <cellStyle name="Currency 10 6" xfId="3927" xr:uid="{00000000-0005-0000-0000-0000560F0000}"/>
    <cellStyle name="Currency 11" xfId="3928" xr:uid="{00000000-0005-0000-0000-0000570F0000}"/>
    <cellStyle name="Currency 11 2" xfId="3929" xr:uid="{00000000-0005-0000-0000-0000580F0000}"/>
    <cellStyle name="Currency 11 3" xfId="3930" xr:uid="{00000000-0005-0000-0000-0000590F0000}"/>
    <cellStyle name="Currency 11 4" xfId="3931" xr:uid="{00000000-0005-0000-0000-00005A0F0000}"/>
    <cellStyle name="Currency 11 5" xfId="3932" xr:uid="{00000000-0005-0000-0000-00005B0F0000}"/>
    <cellStyle name="Currency 11 6" xfId="3933" xr:uid="{00000000-0005-0000-0000-00005C0F0000}"/>
    <cellStyle name="Currency 12" xfId="3934" xr:uid="{00000000-0005-0000-0000-00005D0F0000}"/>
    <cellStyle name="Currency 12 2" xfId="3935" xr:uid="{00000000-0005-0000-0000-00005E0F0000}"/>
    <cellStyle name="Currency 12 3" xfId="3936" xr:uid="{00000000-0005-0000-0000-00005F0F0000}"/>
    <cellStyle name="Currency 12 4" xfId="3937" xr:uid="{00000000-0005-0000-0000-0000600F0000}"/>
    <cellStyle name="Currency 12 5" xfId="3938" xr:uid="{00000000-0005-0000-0000-0000610F0000}"/>
    <cellStyle name="Currency 12 6" xfId="3939" xr:uid="{00000000-0005-0000-0000-0000620F0000}"/>
    <cellStyle name="Currency 13" xfId="3940" xr:uid="{00000000-0005-0000-0000-0000630F0000}"/>
    <cellStyle name="Currency 13 2" xfId="3941" xr:uid="{00000000-0005-0000-0000-0000640F0000}"/>
    <cellStyle name="Currency 13 3" xfId="3942" xr:uid="{00000000-0005-0000-0000-0000650F0000}"/>
    <cellStyle name="Currency 13 4" xfId="3943" xr:uid="{00000000-0005-0000-0000-0000660F0000}"/>
    <cellStyle name="Currency 13 5" xfId="3944" xr:uid="{00000000-0005-0000-0000-0000670F0000}"/>
    <cellStyle name="Currency 13 6" xfId="3945" xr:uid="{00000000-0005-0000-0000-0000680F0000}"/>
    <cellStyle name="Currency 14" xfId="3946" xr:uid="{00000000-0005-0000-0000-0000690F0000}"/>
    <cellStyle name="Currency 14 2" xfId="3947" xr:uid="{00000000-0005-0000-0000-00006A0F0000}"/>
    <cellStyle name="Currency 14 3" xfId="3948" xr:uid="{00000000-0005-0000-0000-00006B0F0000}"/>
    <cellStyle name="Currency 14 4" xfId="3949" xr:uid="{00000000-0005-0000-0000-00006C0F0000}"/>
    <cellStyle name="Currency 14 5" xfId="3950" xr:uid="{00000000-0005-0000-0000-00006D0F0000}"/>
    <cellStyle name="Currency 14 6" xfId="3951" xr:uid="{00000000-0005-0000-0000-00006E0F0000}"/>
    <cellStyle name="Currency 15" xfId="3952" xr:uid="{00000000-0005-0000-0000-00006F0F0000}"/>
    <cellStyle name="Currency 15 2" xfId="3953" xr:uid="{00000000-0005-0000-0000-0000700F0000}"/>
    <cellStyle name="Currency 15 3" xfId="3954" xr:uid="{00000000-0005-0000-0000-0000710F0000}"/>
    <cellStyle name="Currency 15 4" xfId="3955" xr:uid="{00000000-0005-0000-0000-0000720F0000}"/>
    <cellStyle name="Currency 15 5" xfId="3956" xr:uid="{00000000-0005-0000-0000-0000730F0000}"/>
    <cellStyle name="Currency 15 6" xfId="3957" xr:uid="{00000000-0005-0000-0000-0000740F0000}"/>
    <cellStyle name="Currency 16" xfId="3958" xr:uid="{00000000-0005-0000-0000-0000750F0000}"/>
    <cellStyle name="Currency 16 2" xfId="3959" xr:uid="{00000000-0005-0000-0000-0000760F0000}"/>
    <cellStyle name="Currency 16 3" xfId="3960" xr:uid="{00000000-0005-0000-0000-0000770F0000}"/>
    <cellStyle name="Currency 16 4" xfId="3961" xr:uid="{00000000-0005-0000-0000-0000780F0000}"/>
    <cellStyle name="Currency 16 5" xfId="3962" xr:uid="{00000000-0005-0000-0000-0000790F0000}"/>
    <cellStyle name="Currency 16 6" xfId="3963" xr:uid="{00000000-0005-0000-0000-00007A0F0000}"/>
    <cellStyle name="Currency 17" xfId="3964" xr:uid="{00000000-0005-0000-0000-00007B0F0000}"/>
    <cellStyle name="Currency 17 2" xfId="3965" xr:uid="{00000000-0005-0000-0000-00007C0F0000}"/>
    <cellStyle name="Currency 17 3" xfId="3966" xr:uid="{00000000-0005-0000-0000-00007D0F0000}"/>
    <cellStyle name="Currency 17 4" xfId="3967" xr:uid="{00000000-0005-0000-0000-00007E0F0000}"/>
    <cellStyle name="Currency 17 5" xfId="3968" xr:uid="{00000000-0005-0000-0000-00007F0F0000}"/>
    <cellStyle name="Currency 17 6" xfId="3969" xr:uid="{00000000-0005-0000-0000-0000800F0000}"/>
    <cellStyle name="Currency 18" xfId="3970" xr:uid="{00000000-0005-0000-0000-0000810F0000}"/>
    <cellStyle name="Currency 18 2" xfId="3971" xr:uid="{00000000-0005-0000-0000-0000820F0000}"/>
    <cellStyle name="Currency 18 3" xfId="3972" xr:uid="{00000000-0005-0000-0000-0000830F0000}"/>
    <cellStyle name="Currency 18 4" xfId="3973" xr:uid="{00000000-0005-0000-0000-0000840F0000}"/>
    <cellStyle name="Currency 18 5" xfId="3974" xr:uid="{00000000-0005-0000-0000-0000850F0000}"/>
    <cellStyle name="Currency 18 6" xfId="3975" xr:uid="{00000000-0005-0000-0000-0000860F0000}"/>
    <cellStyle name="Currency 19" xfId="3976" xr:uid="{00000000-0005-0000-0000-0000870F0000}"/>
    <cellStyle name="Currency 19 2" xfId="3977" xr:uid="{00000000-0005-0000-0000-0000880F0000}"/>
    <cellStyle name="Currency 19 3" xfId="3978" xr:uid="{00000000-0005-0000-0000-0000890F0000}"/>
    <cellStyle name="Currency 19 4" xfId="3979" xr:uid="{00000000-0005-0000-0000-00008A0F0000}"/>
    <cellStyle name="Currency 19 5" xfId="3980" xr:uid="{00000000-0005-0000-0000-00008B0F0000}"/>
    <cellStyle name="Currency 19 6" xfId="3981" xr:uid="{00000000-0005-0000-0000-00008C0F0000}"/>
    <cellStyle name="Currency 2" xfId="3982" xr:uid="{00000000-0005-0000-0000-00008D0F0000}"/>
    <cellStyle name="Currency 2 10" xfId="3983" xr:uid="{00000000-0005-0000-0000-00008E0F0000}"/>
    <cellStyle name="Currency 2 11" xfId="3984" xr:uid="{00000000-0005-0000-0000-00008F0F0000}"/>
    <cellStyle name="Currency 2 12" xfId="3985" xr:uid="{00000000-0005-0000-0000-0000900F0000}"/>
    <cellStyle name="Currency 2 13" xfId="3986" xr:uid="{00000000-0005-0000-0000-0000910F0000}"/>
    <cellStyle name="Currency 2 14" xfId="3987" xr:uid="{00000000-0005-0000-0000-0000920F0000}"/>
    <cellStyle name="Currency 2 15" xfId="3988" xr:uid="{00000000-0005-0000-0000-0000930F0000}"/>
    <cellStyle name="Currency 2 16" xfId="3989" xr:uid="{00000000-0005-0000-0000-0000940F0000}"/>
    <cellStyle name="Currency 2 17" xfId="3990" xr:uid="{00000000-0005-0000-0000-0000950F0000}"/>
    <cellStyle name="Currency 2 18" xfId="3991" xr:uid="{00000000-0005-0000-0000-0000960F0000}"/>
    <cellStyle name="Currency 2 19" xfId="3992" xr:uid="{00000000-0005-0000-0000-0000970F0000}"/>
    <cellStyle name="Currency 2 2" xfId="3993" xr:uid="{00000000-0005-0000-0000-0000980F0000}"/>
    <cellStyle name="Currency 2 2 10" xfId="3994" xr:uid="{00000000-0005-0000-0000-0000990F0000}"/>
    <cellStyle name="Currency 2 2 11" xfId="3995" xr:uid="{00000000-0005-0000-0000-00009A0F0000}"/>
    <cellStyle name="Currency 2 2 12" xfId="3996" xr:uid="{00000000-0005-0000-0000-00009B0F0000}"/>
    <cellStyle name="Currency 2 2 13" xfId="3997" xr:uid="{00000000-0005-0000-0000-00009C0F0000}"/>
    <cellStyle name="Currency 2 2 14" xfId="3998" xr:uid="{00000000-0005-0000-0000-00009D0F0000}"/>
    <cellStyle name="Currency 2 2 15" xfId="3999" xr:uid="{00000000-0005-0000-0000-00009E0F0000}"/>
    <cellStyle name="Currency 2 2 16" xfId="4000" xr:uid="{00000000-0005-0000-0000-00009F0F0000}"/>
    <cellStyle name="Currency 2 2 16 2" xfId="4001" xr:uid="{00000000-0005-0000-0000-0000A00F0000}"/>
    <cellStyle name="Currency 2 2 16 3" xfId="4002" xr:uid="{00000000-0005-0000-0000-0000A10F0000}"/>
    <cellStyle name="Currency 2 2 16 4" xfId="4003" xr:uid="{00000000-0005-0000-0000-0000A20F0000}"/>
    <cellStyle name="Currency 2 2 16 5" xfId="4004" xr:uid="{00000000-0005-0000-0000-0000A30F0000}"/>
    <cellStyle name="Currency 2 2 16 6" xfId="4005" xr:uid="{00000000-0005-0000-0000-0000A40F0000}"/>
    <cellStyle name="Currency 2 2 17" xfId="4006" xr:uid="{00000000-0005-0000-0000-0000A50F0000}"/>
    <cellStyle name="Currency 2 2 18" xfId="4007" xr:uid="{00000000-0005-0000-0000-0000A60F0000}"/>
    <cellStyle name="Currency 2 2 19" xfId="4008" xr:uid="{00000000-0005-0000-0000-0000A70F0000}"/>
    <cellStyle name="Currency 2 2 2" xfId="4009" xr:uid="{00000000-0005-0000-0000-0000A80F0000}"/>
    <cellStyle name="Currency 2 2 2 10" xfId="4010" xr:uid="{00000000-0005-0000-0000-0000A90F0000}"/>
    <cellStyle name="Currency 2 2 2 10 2" xfId="4011" xr:uid="{00000000-0005-0000-0000-0000AA0F0000}"/>
    <cellStyle name="Currency 2 2 2 10 3" xfId="4012" xr:uid="{00000000-0005-0000-0000-0000AB0F0000}"/>
    <cellStyle name="Currency 2 2 2 10 4" xfId="4013" xr:uid="{00000000-0005-0000-0000-0000AC0F0000}"/>
    <cellStyle name="Currency 2 2 2 10 5" xfId="4014" xr:uid="{00000000-0005-0000-0000-0000AD0F0000}"/>
    <cellStyle name="Currency 2 2 2 10 6" xfId="4015" xr:uid="{00000000-0005-0000-0000-0000AE0F0000}"/>
    <cellStyle name="Currency 2 2 2 11" xfId="4016" xr:uid="{00000000-0005-0000-0000-0000AF0F0000}"/>
    <cellStyle name="Currency 2 2 2 11 2" xfId="4017" xr:uid="{00000000-0005-0000-0000-0000B00F0000}"/>
    <cellStyle name="Currency 2 2 2 11 3" xfId="4018" xr:uid="{00000000-0005-0000-0000-0000B10F0000}"/>
    <cellStyle name="Currency 2 2 2 11 4" xfId="4019" xr:uid="{00000000-0005-0000-0000-0000B20F0000}"/>
    <cellStyle name="Currency 2 2 2 11 5" xfId="4020" xr:uid="{00000000-0005-0000-0000-0000B30F0000}"/>
    <cellStyle name="Currency 2 2 2 11 6" xfId="4021" xr:uid="{00000000-0005-0000-0000-0000B40F0000}"/>
    <cellStyle name="Currency 2 2 2 12" xfId="4022" xr:uid="{00000000-0005-0000-0000-0000B50F0000}"/>
    <cellStyle name="Currency 2 2 2 12 2" xfId="4023" xr:uid="{00000000-0005-0000-0000-0000B60F0000}"/>
    <cellStyle name="Currency 2 2 2 12 3" xfId="4024" xr:uid="{00000000-0005-0000-0000-0000B70F0000}"/>
    <cellStyle name="Currency 2 2 2 12 4" xfId="4025" xr:uid="{00000000-0005-0000-0000-0000B80F0000}"/>
    <cellStyle name="Currency 2 2 2 12 5" xfId="4026" xr:uid="{00000000-0005-0000-0000-0000B90F0000}"/>
    <cellStyle name="Currency 2 2 2 12 6" xfId="4027" xr:uid="{00000000-0005-0000-0000-0000BA0F0000}"/>
    <cellStyle name="Currency 2 2 2 13" xfId="4028" xr:uid="{00000000-0005-0000-0000-0000BB0F0000}"/>
    <cellStyle name="Currency 2 2 2 13 2" xfId="4029" xr:uid="{00000000-0005-0000-0000-0000BC0F0000}"/>
    <cellStyle name="Currency 2 2 2 13 3" xfId="4030" xr:uid="{00000000-0005-0000-0000-0000BD0F0000}"/>
    <cellStyle name="Currency 2 2 2 13 4" xfId="4031" xr:uid="{00000000-0005-0000-0000-0000BE0F0000}"/>
    <cellStyle name="Currency 2 2 2 13 5" xfId="4032" xr:uid="{00000000-0005-0000-0000-0000BF0F0000}"/>
    <cellStyle name="Currency 2 2 2 13 6" xfId="4033" xr:uid="{00000000-0005-0000-0000-0000C00F0000}"/>
    <cellStyle name="Currency 2 2 2 14" xfId="4034" xr:uid="{00000000-0005-0000-0000-0000C10F0000}"/>
    <cellStyle name="Currency 2 2 2 14 2" xfId="4035" xr:uid="{00000000-0005-0000-0000-0000C20F0000}"/>
    <cellStyle name="Currency 2 2 2 14 3" xfId="4036" xr:uid="{00000000-0005-0000-0000-0000C30F0000}"/>
    <cellStyle name="Currency 2 2 2 14 4" xfId="4037" xr:uid="{00000000-0005-0000-0000-0000C40F0000}"/>
    <cellStyle name="Currency 2 2 2 14 5" xfId="4038" xr:uid="{00000000-0005-0000-0000-0000C50F0000}"/>
    <cellStyle name="Currency 2 2 2 14 6" xfId="4039" xr:uid="{00000000-0005-0000-0000-0000C60F0000}"/>
    <cellStyle name="Currency 2 2 2 15" xfId="4040" xr:uid="{00000000-0005-0000-0000-0000C70F0000}"/>
    <cellStyle name="Currency 2 2 2 15 2" xfId="4041" xr:uid="{00000000-0005-0000-0000-0000C80F0000}"/>
    <cellStyle name="Currency 2 2 2 15 3" xfId="4042" xr:uid="{00000000-0005-0000-0000-0000C90F0000}"/>
    <cellStyle name="Currency 2 2 2 15 4" xfId="4043" xr:uid="{00000000-0005-0000-0000-0000CA0F0000}"/>
    <cellStyle name="Currency 2 2 2 15 5" xfId="4044" xr:uid="{00000000-0005-0000-0000-0000CB0F0000}"/>
    <cellStyle name="Currency 2 2 2 15 6" xfId="4045" xr:uid="{00000000-0005-0000-0000-0000CC0F0000}"/>
    <cellStyle name="Currency 2 2 2 16" xfId="4046" xr:uid="{00000000-0005-0000-0000-0000CD0F0000}"/>
    <cellStyle name="Currency 2 2 2 17" xfId="4047" xr:uid="{00000000-0005-0000-0000-0000CE0F0000}"/>
    <cellStyle name="Currency 2 2 2 18" xfId="4048" xr:uid="{00000000-0005-0000-0000-0000CF0F0000}"/>
    <cellStyle name="Currency 2 2 2 19" xfId="4049" xr:uid="{00000000-0005-0000-0000-0000D00F0000}"/>
    <cellStyle name="Currency 2 2 2 2" xfId="4050" xr:uid="{00000000-0005-0000-0000-0000D10F0000}"/>
    <cellStyle name="Currency 2 2 2 2 10" xfId="4051" xr:uid="{00000000-0005-0000-0000-0000D20F0000}"/>
    <cellStyle name="Currency 2 2 2 2 10 2" xfId="4052" xr:uid="{00000000-0005-0000-0000-0000D30F0000}"/>
    <cellStyle name="Currency 2 2 2 2 10 3" xfId="4053" xr:uid="{00000000-0005-0000-0000-0000D40F0000}"/>
    <cellStyle name="Currency 2 2 2 2 10 4" xfId="4054" xr:uid="{00000000-0005-0000-0000-0000D50F0000}"/>
    <cellStyle name="Currency 2 2 2 2 10 5" xfId="4055" xr:uid="{00000000-0005-0000-0000-0000D60F0000}"/>
    <cellStyle name="Currency 2 2 2 2 10 6" xfId="4056" xr:uid="{00000000-0005-0000-0000-0000D70F0000}"/>
    <cellStyle name="Currency 2 2 2 2 11" xfId="4057" xr:uid="{00000000-0005-0000-0000-0000D80F0000}"/>
    <cellStyle name="Currency 2 2 2 2 12" xfId="4058" xr:uid="{00000000-0005-0000-0000-0000D90F0000}"/>
    <cellStyle name="Currency 2 2 2 2 13" xfId="4059" xr:uid="{00000000-0005-0000-0000-0000DA0F0000}"/>
    <cellStyle name="Currency 2 2 2 2 14" xfId="4060" xr:uid="{00000000-0005-0000-0000-0000DB0F0000}"/>
    <cellStyle name="Currency 2 2 2 2 15" xfId="4061" xr:uid="{00000000-0005-0000-0000-0000DC0F0000}"/>
    <cellStyle name="Currency 2 2 2 2 16" xfId="4062" xr:uid="{00000000-0005-0000-0000-0000DD0F0000}"/>
    <cellStyle name="Currency 2 2 2 2 17" xfId="4063" xr:uid="{00000000-0005-0000-0000-0000DE0F0000}"/>
    <cellStyle name="Currency 2 2 2 2 18" xfId="4064" xr:uid="{00000000-0005-0000-0000-0000DF0F0000}"/>
    <cellStyle name="Currency 2 2 2 2 19" xfId="4065" xr:uid="{00000000-0005-0000-0000-0000E00F0000}"/>
    <cellStyle name="Currency 2 2 2 2 2" xfId="4066" xr:uid="{00000000-0005-0000-0000-0000E10F0000}"/>
    <cellStyle name="Currency 2 2 2 2 2 10" xfId="4067" xr:uid="{00000000-0005-0000-0000-0000E20F0000}"/>
    <cellStyle name="Currency 2 2 2 2 2 11" xfId="4068" xr:uid="{00000000-0005-0000-0000-0000E30F0000}"/>
    <cellStyle name="Currency 2 2 2 2 2 12" xfId="4069" xr:uid="{00000000-0005-0000-0000-0000E40F0000}"/>
    <cellStyle name="Currency 2 2 2 2 2 13" xfId="4070" xr:uid="{00000000-0005-0000-0000-0000E50F0000}"/>
    <cellStyle name="Currency 2 2 2 2 2 14" xfId="4071" xr:uid="{00000000-0005-0000-0000-0000E60F0000}"/>
    <cellStyle name="Currency 2 2 2 2 2 15" xfId="4072" xr:uid="{00000000-0005-0000-0000-0000E70F0000}"/>
    <cellStyle name="Currency 2 2 2 2 2 16" xfId="4073" xr:uid="{00000000-0005-0000-0000-0000E80F0000}"/>
    <cellStyle name="Currency 2 2 2 2 2 17" xfId="4074" xr:uid="{00000000-0005-0000-0000-0000E90F0000}"/>
    <cellStyle name="Currency 2 2 2 2 2 18" xfId="4075" xr:uid="{00000000-0005-0000-0000-0000EA0F0000}"/>
    <cellStyle name="Currency 2 2 2 2 2 19" xfId="4076" xr:uid="{00000000-0005-0000-0000-0000EB0F0000}"/>
    <cellStyle name="Currency 2 2 2 2 2 2" xfId="4077" xr:uid="{00000000-0005-0000-0000-0000EC0F0000}"/>
    <cellStyle name="Currency 2 2 2 2 2 2 2" xfId="4078" xr:uid="{00000000-0005-0000-0000-0000ED0F0000}"/>
    <cellStyle name="Currency 2 2 2 2 2 2 3" xfId="4079" xr:uid="{00000000-0005-0000-0000-0000EE0F0000}"/>
    <cellStyle name="Currency 2 2 2 2 2 2 4" xfId="4080" xr:uid="{00000000-0005-0000-0000-0000EF0F0000}"/>
    <cellStyle name="Currency 2 2 2 2 2 2 5" xfId="4081" xr:uid="{00000000-0005-0000-0000-0000F00F0000}"/>
    <cellStyle name="Currency 2 2 2 2 2 2 6" xfId="4082" xr:uid="{00000000-0005-0000-0000-0000F10F0000}"/>
    <cellStyle name="Currency 2 2 2 2 2 20" xfId="4083" xr:uid="{00000000-0005-0000-0000-0000F20F0000}"/>
    <cellStyle name="Currency 2 2 2 2 2 21" xfId="4084" xr:uid="{00000000-0005-0000-0000-0000F30F0000}"/>
    <cellStyle name="Currency 2 2 2 2 2 22" xfId="4085" xr:uid="{00000000-0005-0000-0000-0000F40F0000}"/>
    <cellStyle name="Currency 2 2 2 2 2 23" xfId="4086" xr:uid="{00000000-0005-0000-0000-0000F50F0000}"/>
    <cellStyle name="Currency 2 2 2 2 2 24" xfId="4087" xr:uid="{00000000-0005-0000-0000-0000F60F0000}"/>
    <cellStyle name="Currency 2 2 2 2 2 25" xfId="4088" xr:uid="{00000000-0005-0000-0000-0000F70F0000}"/>
    <cellStyle name="Currency 2 2 2 2 2 26" xfId="4089" xr:uid="{00000000-0005-0000-0000-0000F80F0000}"/>
    <cellStyle name="Currency 2 2 2 2 2 27" xfId="4090" xr:uid="{00000000-0005-0000-0000-0000F90F0000}"/>
    <cellStyle name="Currency 2 2 2 2 2 28" xfId="4091" xr:uid="{00000000-0005-0000-0000-0000FA0F0000}"/>
    <cellStyle name="Currency 2 2 2 2 2 29" xfId="4092" xr:uid="{00000000-0005-0000-0000-0000FB0F0000}"/>
    <cellStyle name="Currency 2 2 2 2 2 3" xfId="4093" xr:uid="{00000000-0005-0000-0000-0000FC0F0000}"/>
    <cellStyle name="Currency 2 2 2 2 2 30" xfId="4094" xr:uid="{00000000-0005-0000-0000-0000FD0F0000}"/>
    <cellStyle name="Currency 2 2 2 2 2 31" xfId="4095" xr:uid="{00000000-0005-0000-0000-0000FE0F0000}"/>
    <cellStyle name="Currency 2 2 2 2 2 32" xfId="4096" xr:uid="{00000000-0005-0000-0000-0000FF0F0000}"/>
    <cellStyle name="Currency 2 2 2 2 2 33" xfId="4097" xr:uid="{00000000-0005-0000-0000-000000100000}"/>
    <cellStyle name="Currency 2 2 2 2 2 4" xfId="4098" xr:uid="{00000000-0005-0000-0000-000001100000}"/>
    <cellStyle name="Currency 2 2 2 2 2 5" xfId="4099" xr:uid="{00000000-0005-0000-0000-000002100000}"/>
    <cellStyle name="Currency 2 2 2 2 2 6" xfId="4100" xr:uid="{00000000-0005-0000-0000-000003100000}"/>
    <cellStyle name="Currency 2 2 2 2 2 7" xfId="4101" xr:uid="{00000000-0005-0000-0000-000004100000}"/>
    <cellStyle name="Currency 2 2 2 2 2 8" xfId="4102" xr:uid="{00000000-0005-0000-0000-000005100000}"/>
    <cellStyle name="Currency 2 2 2 2 2 9" xfId="4103" xr:uid="{00000000-0005-0000-0000-000006100000}"/>
    <cellStyle name="Currency 2 2 2 2 20" xfId="4104" xr:uid="{00000000-0005-0000-0000-000007100000}"/>
    <cellStyle name="Currency 2 2 2 2 21" xfId="4105" xr:uid="{00000000-0005-0000-0000-000008100000}"/>
    <cellStyle name="Currency 2 2 2 2 22" xfId="4106" xr:uid="{00000000-0005-0000-0000-000009100000}"/>
    <cellStyle name="Currency 2 2 2 2 23" xfId="4107" xr:uid="{00000000-0005-0000-0000-00000A100000}"/>
    <cellStyle name="Currency 2 2 2 2 24" xfId="4108" xr:uid="{00000000-0005-0000-0000-00000B100000}"/>
    <cellStyle name="Currency 2 2 2 2 25" xfId="4109" xr:uid="{00000000-0005-0000-0000-00000C100000}"/>
    <cellStyle name="Currency 2 2 2 2 26" xfId="4110" xr:uid="{00000000-0005-0000-0000-00000D100000}"/>
    <cellStyle name="Currency 2 2 2 2 27" xfId="4111" xr:uid="{00000000-0005-0000-0000-00000E100000}"/>
    <cellStyle name="Currency 2 2 2 2 28" xfId="4112" xr:uid="{00000000-0005-0000-0000-00000F100000}"/>
    <cellStyle name="Currency 2 2 2 2 29" xfId="4113" xr:uid="{00000000-0005-0000-0000-000010100000}"/>
    <cellStyle name="Currency 2 2 2 2 3" xfId="4114" xr:uid="{00000000-0005-0000-0000-000011100000}"/>
    <cellStyle name="Currency 2 2 2 2 30" xfId="4115" xr:uid="{00000000-0005-0000-0000-000012100000}"/>
    <cellStyle name="Currency 2 2 2 2 31" xfId="4116" xr:uid="{00000000-0005-0000-0000-000013100000}"/>
    <cellStyle name="Currency 2 2 2 2 32" xfId="4117" xr:uid="{00000000-0005-0000-0000-000014100000}"/>
    <cellStyle name="Currency 2 2 2 2 33" xfId="4118" xr:uid="{00000000-0005-0000-0000-000015100000}"/>
    <cellStyle name="Currency 2 2 2 2 34" xfId="4119" xr:uid="{00000000-0005-0000-0000-000016100000}"/>
    <cellStyle name="Currency 2 2 2 2 35" xfId="4120" xr:uid="{00000000-0005-0000-0000-000017100000}"/>
    <cellStyle name="Currency 2 2 2 2 36" xfId="4121" xr:uid="{00000000-0005-0000-0000-000018100000}"/>
    <cellStyle name="Currency 2 2 2 2 37" xfId="4122" xr:uid="{00000000-0005-0000-0000-000019100000}"/>
    <cellStyle name="Currency 2 2 2 2 38" xfId="4123" xr:uid="{00000000-0005-0000-0000-00001A100000}"/>
    <cellStyle name="Currency 2 2 2 2 39" xfId="4124" xr:uid="{00000000-0005-0000-0000-00001B100000}"/>
    <cellStyle name="Currency 2 2 2 2 4" xfId="4125" xr:uid="{00000000-0005-0000-0000-00001C100000}"/>
    <cellStyle name="Currency 2 2 2 2 40" xfId="4126" xr:uid="{00000000-0005-0000-0000-00001D100000}"/>
    <cellStyle name="Currency 2 2 2 2 5" xfId="4127" xr:uid="{00000000-0005-0000-0000-00001E100000}"/>
    <cellStyle name="Currency 2 2 2 2 6" xfId="4128" xr:uid="{00000000-0005-0000-0000-00001F100000}"/>
    <cellStyle name="Currency 2 2 2 2 7" xfId="4129" xr:uid="{00000000-0005-0000-0000-000020100000}"/>
    <cellStyle name="Currency 2 2 2 2 8" xfId="4130" xr:uid="{00000000-0005-0000-0000-000021100000}"/>
    <cellStyle name="Currency 2 2 2 2 9" xfId="4131" xr:uid="{00000000-0005-0000-0000-000022100000}"/>
    <cellStyle name="Currency 2 2 2 20" xfId="4132" xr:uid="{00000000-0005-0000-0000-000023100000}"/>
    <cellStyle name="Currency 2 2 2 21" xfId="4133" xr:uid="{00000000-0005-0000-0000-000024100000}"/>
    <cellStyle name="Currency 2 2 2 22" xfId="4134" xr:uid="{00000000-0005-0000-0000-000025100000}"/>
    <cellStyle name="Currency 2 2 2 23" xfId="4135" xr:uid="{00000000-0005-0000-0000-000026100000}"/>
    <cellStyle name="Currency 2 2 2 24" xfId="4136" xr:uid="{00000000-0005-0000-0000-000027100000}"/>
    <cellStyle name="Currency 2 2 2 25" xfId="4137" xr:uid="{00000000-0005-0000-0000-000028100000}"/>
    <cellStyle name="Currency 2 2 2 26" xfId="4138" xr:uid="{00000000-0005-0000-0000-000029100000}"/>
    <cellStyle name="Currency 2 2 2 27" xfId="4139" xr:uid="{00000000-0005-0000-0000-00002A100000}"/>
    <cellStyle name="Currency 2 2 2 28" xfId="4140" xr:uid="{00000000-0005-0000-0000-00002B100000}"/>
    <cellStyle name="Currency 2 2 2 29" xfId="4141" xr:uid="{00000000-0005-0000-0000-00002C100000}"/>
    <cellStyle name="Currency 2 2 2 3" xfId="4142" xr:uid="{00000000-0005-0000-0000-00002D100000}"/>
    <cellStyle name="Currency 2 2 2 30" xfId="4143" xr:uid="{00000000-0005-0000-0000-00002E100000}"/>
    <cellStyle name="Currency 2 2 2 31" xfId="4144" xr:uid="{00000000-0005-0000-0000-00002F100000}"/>
    <cellStyle name="Currency 2 2 2 32" xfId="4145" xr:uid="{00000000-0005-0000-0000-000030100000}"/>
    <cellStyle name="Currency 2 2 2 33" xfId="4146" xr:uid="{00000000-0005-0000-0000-000031100000}"/>
    <cellStyle name="Currency 2 2 2 34" xfId="4147" xr:uid="{00000000-0005-0000-0000-000032100000}"/>
    <cellStyle name="Currency 2 2 2 35" xfId="4148" xr:uid="{00000000-0005-0000-0000-000033100000}"/>
    <cellStyle name="Currency 2 2 2 36" xfId="4149" xr:uid="{00000000-0005-0000-0000-000034100000}"/>
    <cellStyle name="Currency 2 2 2 37" xfId="4150" xr:uid="{00000000-0005-0000-0000-000035100000}"/>
    <cellStyle name="Currency 2 2 2 38" xfId="4151" xr:uid="{00000000-0005-0000-0000-000036100000}"/>
    <cellStyle name="Currency 2 2 2 39" xfId="4152" xr:uid="{00000000-0005-0000-0000-000037100000}"/>
    <cellStyle name="Currency 2 2 2 4" xfId="4153" xr:uid="{00000000-0005-0000-0000-000038100000}"/>
    <cellStyle name="Currency 2 2 2 40" xfId="4154" xr:uid="{00000000-0005-0000-0000-000039100000}"/>
    <cellStyle name="Currency 2 2 2 41" xfId="4155" xr:uid="{00000000-0005-0000-0000-00003A100000}"/>
    <cellStyle name="Currency 2 2 2 42" xfId="4156" xr:uid="{00000000-0005-0000-0000-00003B100000}"/>
    <cellStyle name="Currency 2 2 2 43" xfId="4157" xr:uid="{00000000-0005-0000-0000-00003C100000}"/>
    <cellStyle name="Currency 2 2 2 44" xfId="4158" xr:uid="{00000000-0005-0000-0000-00003D100000}"/>
    <cellStyle name="Currency 2 2 2 45" xfId="4159" xr:uid="{00000000-0005-0000-0000-00003E100000}"/>
    <cellStyle name="Currency 2 2 2 5" xfId="4160" xr:uid="{00000000-0005-0000-0000-00003F100000}"/>
    <cellStyle name="Currency 2 2 2 6" xfId="4161" xr:uid="{00000000-0005-0000-0000-000040100000}"/>
    <cellStyle name="Currency 2 2 2 7" xfId="4162" xr:uid="{00000000-0005-0000-0000-000041100000}"/>
    <cellStyle name="Currency 2 2 2 8" xfId="4163" xr:uid="{00000000-0005-0000-0000-000042100000}"/>
    <cellStyle name="Currency 2 2 2 8 10" xfId="4164" xr:uid="{00000000-0005-0000-0000-000043100000}"/>
    <cellStyle name="Currency 2 2 2 8 11" xfId="4165" xr:uid="{00000000-0005-0000-0000-000044100000}"/>
    <cellStyle name="Currency 2 2 2 8 12" xfId="4166" xr:uid="{00000000-0005-0000-0000-000045100000}"/>
    <cellStyle name="Currency 2 2 2 8 13" xfId="4167" xr:uid="{00000000-0005-0000-0000-000046100000}"/>
    <cellStyle name="Currency 2 2 2 8 14" xfId="4168" xr:uid="{00000000-0005-0000-0000-000047100000}"/>
    <cellStyle name="Currency 2 2 2 8 15" xfId="4169" xr:uid="{00000000-0005-0000-0000-000048100000}"/>
    <cellStyle name="Currency 2 2 2 8 16" xfId="4170" xr:uid="{00000000-0005-0000-0000-000049100000}"/>
    <cellStyle name="Currency 2 2 2 8 17" xfId="4171" xr:uid="{00000000-0005-0000-0000-00004A100000}"/>
    <cellStyle name="Currency 2 2 2 8 18" xfId="4172" xr:uid="{00000000-0005-0000-0000-00004B100000}"/>
    <cellStyle name="Currency 2 2 2 8 19" xfId="4173" xr:uid="{00000000-0005-0000-0000-00004C100000}"/>
    <cellStyle name="Currency 2 2 2 8 2" xfId="4174" xr:uid="{00000000-0005-0000-0000-00004D100000}"/>
    <cellStyle name="Currency 2 2 2 8 2 2" xfId="4175" xr:uid="{00000000-0005-0000-0000-00004E100000}"/>
    <cellStyle name="Currency 2 2 2 8 2 3" xfId="4176" xr:uid="{00000000-0005-0000-0000-00004F100000}"/>
    <cellStyle name="Currency 2 2 2 8 2 4" xfId="4177" xr:uid="{00000000-0005-0000-0000-000050100000}"/>
    <cellStyle name="Currency 2 2 2 8 2 5" xfId="4178" xr:uid="{00000000-0005-0000-0000-000051100000}"/>
    <cellStyle name="Currency 2 2 2 8 2 6" xfId="4179" xr:uid="{00000000-0005-0000-0000-000052100000}"/>
    <cellStyle name="Currency 2 2 2 8 20" xfId="4180" xr:uid="{00000000-0005-0000-0000-000053100000}"/>
    <cellStyle name="Currency 2 2 2 8 21" xfId="4181" xr:uid="{00000000-0005-0000-0000-000054100000}"/>
    <cellStyle name="Currency 2 2 2 8 22" xfId="4182" xr:uid="{00000000-0005-0000-0000-000055100000}"/>
    <cellStyle name="Currency 2 2 2 8 23" xfId="4183" xr:uid="{00000000-0005-0000-0000-000056100000}"/>
    <cellStyle name="Currency 2 2 2 8 24" xfId="4184" xr:uid="{00000000-0005-0000-0000-000057100000}"/>
    <cellStyle name="Currency 2 2 2 8 25" xfId="4185" xr:uid="{00000000-0005-0000-0000-000058100000}"/>
    <cellStyle name="Currency 2 2 2 8 26" xfId="4186" xr:uid="{00000000-0005-0000-0000-000059100000}"/>
    <cellStyle name="Currency 2 2 2 8 27" xfId="4187" xr:uid="{00000000-0005-0000-0000-00005A100000}"/>
    <cellStyle name="Currency 2 2 2 8 28" xfId="4188" xr:uid="{00000000-0005-0000-0000-00005B100000}"/>
    <cellStyle name="Currency 2 2 2 8 29" xfId="4189" xr:uid="{00000000-0005-0000-0000-00005C100000}"/>
    <cellStyle name="Currency 2 2 2 8 3" xfId="4190" xr:uid="{00000000-0005-0000-0000-00005D100000}"/>
    <cellStyle name="Currency 2 2 2 8 30" xfId="4191" xr:uid="{00000000-0005-0000-0000-00005E100000}"/>
    <cellStyle name="Currency 2 2 2 8 31" xfId="4192" xr:uid="{00000000-0005-0000-0000-00005F100000}"/>
    <cellStyle name="Currency 2 2 2 8 32" xfId="4193" xr:uid="{00000000-0005-0000-0000-000060100000}"/>
    <cellStyle name="Currency 2 2 2 8 33" xfId="4194" xr:uid="{00000000-0005-0000-0000-000061100000}"/>
    <cellStyle name="Currency 2 2 2 8 4" xfId="4195" xr:uid="{00000000-0005-0000-0000-000062100000}"/>
    <cellStyle name="Currency 2 2 2 8 5" xfId="4196" xr:uid="{00000000-0005-0000-0000-000063100000}"/>
    <cellStyle name="Currency 2 2 2 8 6" xfId="4197" xr:uid="{00000000-0005-0000-0000-000064100000}"/>
    <cellStyle name="Currency 2 2 2 8 7" xfId="4198" xr:uid="{00000000-0005-0000-0000-000065100000}"/>
    <cellStyle name="Currency 2 2 2 8 8" xfId="4199" xr:uid="{00000000-0005-0000-0000-000066100000}"/>
    <cellStyle name="Currency 2 2 2 8 9" xfId="4200" xr:uid="{00000000-0005-0000-0000-000067100000}"/>
    <cellStyle name="Currency 2 2 2 9" xfId="4201" xr:uid="{00000000-0005-0000-0000-000068100000}"/>
    <cellStyle name="Currency 2 2 2 9 2" xfId="4202" xr:uid="{00000000-0005-0000-0000-000069100000}"/>
    <cellStyle name="Currency 2 2 2 9 3" xfId="4203" xr:uid="{00000000-0005-0000-0000-00006A100000}"/>
    <cellStyle name="Currency 2 2 2 9 4" xfId="4204" xr:uid="{00000000-0005-0000-0000-00006B100000}"/>
    <cellStyle name="Currency 2 2 2 9 5" xfId="4205" xr:uid="{00000000-0005-0000-0000-00006C100000}"/>
    <cellStyle name="Currency 2 2 2 9 6" xfId="4206" xr:uid="{00000000-0005-0000-0000-00006D100000}"/>
    <cellStyle name="Currency 2 2 20" xfId="4207" xr:uid="{00000000-0005-0000-0000-00006E100000}"/>
    <cellStyle name="Currency 2 2 21" xfId="4208" xr:uid="{00000000-0005-0000-0000-00006F100000}"/>
    <cellStyle name="Currency 2 2 22" xfId="4209" xr:uid="{00000000-0005-0000-0000-000070100000}"/>
    <cellStyle name="Currency 2 2 23" xfId="4210" xr:uid="{00000000-0005-0000-0000-000071100000}"/>
    <cellStyle name="Currency 2 2 24" xfId="4211" xr:uid="{00000000-0005-0000-0000-000072100000}"/>
    <cellStyle name="Currency 2 2 25" xfId="4212" xr:uid="{00000000-0005-0000-0000-000073100000}"/>
    <cellStyle name="Currency 2 2 26" xfId="4213" xr:uid="{00000000-0005-0000-0000-000074100000}"/>
    <cellStyle name="Currency 2 2 27" xfId="4214" xr:uid="{00000000-0005-0000-0000-000075100000}"/>
    <cellStyle name="Currency 2 2 28" xfId="4215" xr:uid="{00000000-0005-0000-0000-000076100000}"/>
    <cellStyle name="Currency 2 2 29" xfId="4216" xr:uid="{00000000-0005-0000-0000-000077100000}"/>
    <cellStyle name="Currency 2 2 3" xfId="4217" xr:uid="{00000000-0005-0000-0000-000078100000}"/>
    <cellStyle name="Currency 2 2 3 10" xfId="4218" xr:uid="{00000000-0005-0000-0000-000079100000}"/>
    <cellStyle name="Currency 2 2 3 11" xfId="4219" xr:uid="{00000000-0005-0000-0000-00007A100000}"/>
    <cellStyle name="Currency 2 2 3 12" xfId="4220" xr:uid="{00000000-0005-0000-0000-00007B100000}"/>
    <cellStyle name="Currency 2 2 3 13" xfId="4221" xr:uid="{00000000-0005-0000-0000-00007C100000}"/>
    <cellStyle name="Currency 2 2 3 14" xfId="4222" xr:uid="{00000000-0005-0000-0000-00007D100000}"/>
    <cellStyle name="Currency 2 2 3 14 2" xfId="4223" xr:uid="{00000000-0005-0000-0000-00007E100000}"/>
    <cellStyle name="Currency 2 2 3 14 3" xfId="4224" xr:uid="{00000000-0005-0000-0000-00007F100000}"/>
    <cellStyle name="Currency 2 2 3 14 4" xfId="4225" xr:uid="{00000000-0005-0000-0000-000080100000}"/>
    <cellStyle name="Currency 2 2 3 14 5" xfId="4226" xr:uid="{00000000-0005-0000-0000-000081100000}"/>
    <cellStyle name="Currency 2 2 3 14 6" xfId="4227" xr:uid="{00000000-0005-0000-0000-000082100000}"/>
    <cellStyle name="Currency 2 2 3 15" xfId="4228" xr:uid="{00000000-0005-0000-0000-000083100000}"/>
    <cellStyle name="Currency 2 2 3 16" xfId="4229" xr:uid="{00000000-0005-0000-0000-000084100000}"/>
    <cellStyle name="Currency 2 2 3 17" xfId="4230" xr:uid="{00000000-0005-0000-0000-000085100000}"/>
    <cellStyle name="Currency 2 2 3 18" xfId="4231" xr:uid="{00000000-0005-0000-0000-000086100000}"/>
    <cellStyle name="Currency 2 2 3 19" xfId="4232" xr:uid="{00000000-0005-0000-0000-000087100000}"/>
    <cellStyle name="Currency 2 2 3 2" xfId="4233" xr:uid="{00000000-0005-0000-0000-000088100000}"/>
    <cellStyle name="Currency 2 2 3 2 10" xfId="4234" xr:uid="{00000000-0005-0000-0000-000089100000}"/>
    <cellStyle name="Currency 2 2 3 2 10 2" xfId="4235" xr:uid="{00000000-0005-0000-0000-00008A100000}"/>
    <cellStyle name="Currency 2 2 3 2 10 3" xfId="4236" xr:uid="{00000000-0005-0000-0000-00008B100000}"/>
    <cellStyle name="Currency 2 2 3 2 10 4" xfId="4237" xr:uid="{00000000-0005-0000-0000-00008C100000}"/>
    <cellStyle name="Currency 2 2 3 2 10 5" xfId="4238" xr:uid="{00000000-0005-0000-0000-00008D100000}"/>
    <cellStyle name="Currency 2 2 3 2 10 6" xfId="4239" xr:uid="{00000000-0005-0000-0000-00008E100000}"/>
    <cellStyle name="Currency 2 2 3 2 11" xfId="4240" xr:uid="{00000000-0005-0000-0000-00008F100000}"/>
    <cellStyle name="Currency 2 2 3 2 12" xfId="4241" xr:uid="{00000000-0005-0000-0000-000090100000}"/>
    <cellStyle name="Currency 2 2 3 2 13" xfId="4242" xr:uid="{00000000-0005-0000-0000-000091100000}"/>
    <cellStyle name="Currency 2 2 3 2 14" xfId="4243" xr:uid="{00000000-0005-0000-0000-000092100000}"/>
    <cellStyle name="Currency 2 2 3 2 15" xfId="4244" xr:uid="{00000000-0005-0000-0000-000093100000}"/>
    <cellStyle name="Currency 2 2 3 2 16" xfId="4245" xr:uid="{00000000-0005-0000-0000-000094100000}"/>
    <cellStyle name="Currency 2 2 3 2 17" xfId="4246" xr:uid="{00000000-0005-0000-0000-000095100000}"/>
    <cellStyle name="Currency 2 2 3 2 18" xfId="4247" xr:uid="{00000000-0005-0000-0000-000096100000}"/>
    <cellStyle name="Currency 2 2 3 2 19" xfId="4248" xr:uid="{00000000-0005-0000-0000-000097100000}"/>
    <cellStyle name="Currency 2 2 3 2 2" xfId="4249" xr:uid="{00000000-0005-0000-0000-000098100000}"/>
    <cellStyle name="Currency 2 2 3 2 2 10" xfId="4250" xr:uid="{00000000-0005-0000-0000-000099100000}"/>
    <cellStyle name="Currency 2 2 3 2 2 11" xfId="4251" xr:uid="{00000000-0005-0000-0000-00009A100000}"/>
    <cellStyle name="Currency 2 2 3 2 2 12" xfId="4252" xr:uid="{00000000-0005-0000-0000-00009B100000}"/>
    <cellStyle name="Currency 2 2 3 2 2 13" xfId="4253" xr:uid="{00000000-0005-0000-0000-00009C100000}"/>
    <cellStyle name="Currency 2 2 3 2 2 14" xfId="4254" xr:uid="{00000000-0005-0000-0000-00009D100000}"/>
    <cellStyle name="Currency 2 2 3 2 2 15" xfId="4255" xr:uid="{00000000-0005-0000-0000-00009E100000}"/>
    <cellStyle name="Currency 2 2 3 2 2 16" xfId="4256" xr:uid="{00000000-0005-0000-0000-00009F100000}"/>
    <cellStyle name="Currency 2 2 3 2 2 17" xfId="4257" xr:uid="{00000000-0005-0000-0000-0000A0100000}"/>
    <cellStyle name="Currency 2 2 3 2 2 18" xfId="4258" xr:uid="{00000000-0005-0000-0000-0000A1100000}"/>
    <cellStyle name="Currency 2 2 3 2 2 19" xfId="4259" xr:uid="{00000000-0005-0000-0000-0000A2100000}"/>
    <cellStyle name="Currency 2 2 3 2 2 2" xfId="4260" xr:uid="{00000000-0005-0000-0000-0000A3100000}"/>
    <cellStyle name="Currency 2 2 3 2 2 2 2" xfId="4261" xr:uid="{00000000-0005-0000-0000-0000A4100000}"/>
    <cellStyle name="Currency 2 2 3 2 2 2 3" xfId="4262" xr:uid="{00000000-0005-0000-0000-0000A5100000}"/>
    <cellStyle name="Currency 2 2 3 2 2 2 4" xfId="4263" xr:uid="{00000000-0005-0000-0000-0000A6100000}"/>
    <cellStyle name="Currency 2 2 3 2 2 2 5" xfId="4264" xr:uid="{00000000-0005-0000-0000-0000A7100000}"/>
    <cellStyle name="Currency 2 2 3 2 2 2 6" xfId="4265" xr:uid="{00000000-0005-0000-0000-0000A8100000}"/>
    <cellStyle name="Currency 2 2 3 2 2 20" xfId="4266" xr:uid="{00000000-0005-0000-0000-0000A9100000}"/>
    <cellStyle name="Currency 2 2 3 2 2 21" xfId="4267" xr:uid="{00000000-0005-0000-0000-0000AA100000}"/>
    <cellStyle name="Currency 2 2 3 2 2 22" xfId="4268" xr:uid="{00000000-0005-0000-0000-0000AB100000}"/>
    <cellStyle name="Currency 2 2 3 2 2 23" xfId="4269" xr:uid="{00000000-0005-0000-0000-0000AC100000}"/>
    <cellStyle name="Currency 2 2 3 2 2 24" xfId="4270" xr:uid="{00000000-0005-0000-0000-0000AD100000}"/>
    <cellStyle name="Currency 2 2 3 2 2 25" xfId="4271" xr:uid="{00000000-0005-0000-0000-0000AE100000}"/>
    <cellStyle name="Currency 2 2 3 2 2 26" xfId="4272" xr:uid="{00000000-0005-0000-0000-0000AF100000}"/>
    <cellStyle name="Currency 2 2 3 2 2 27" xfId="4273" xr:uid="{00000000-0005-0000-0000-0000B0100000}"/>
    <cellStyle name="Currency 2 2 3 2 2 28" xfId="4274" xr:uid="{00000000-0005-0000-0000-0000B1100000}"/>
    <cellStyle name="Currency 2 2 3 2 2 29" xfId="4275" xr:uid="{00000000-0005-0000-0000-0000B2100000}"/>
    <cellStyle name="Currency 2 2 3 2 2 3" xfId="4276" xr:uid="{00000000-0005-0000-0000-0000B3100000}"/>
    <cellStyle name="Currency 2 2 3 2 2 30" xfId="4277" xr:uid="{00000000-0005-0000-0000-0000B4100000}"/>
    <cellStyle name="Currency 2 2 3 2 2 31" xfId="4278" xr:uid="{00000000-0005-0000-0000-0000B5100000}"/>
    <cellStyle name="Currency 2 2 3 2 2 32" xfId="4279" xr:uid="{00000000-0005-0000-0000-0000B6100000}"/>
    <cellStyle name="Currency 2 2 3 2 2 33" xfId="4280" xr:uid="{00000000-0005-0000-0000-0000B7100000}"/>
    <cellStyle name="Currency 2 2 3 2 2 4" xfId="4281" xr:uid="{00000000-0005-0000-0000-0000B8100000}"/>
    <cellStyle name="Currency 2 2 3 2 2 5" xfId="4282" xr:uid="{00000000-0005-0000-0000-0000B9100000}"/>
    <cellStyle name="Currency 2 2 3 2 2 6" xfId="4283" xr:uid="{00000000-0005-0000-0000-0000BA100000}"/>
    <cellStyle name="Currency 2 2 3 2 2 7" xfId="4284" xr:uid="{00000000-0005-0000-0000-0000BB100000}"/>
    <cellStyle name="Currency 2 2 3 2 2 8" xfId="4285" xr:uid="{00000000-0005-0000-0000-0000BC100000}"/>
    <cellStyle name="Currency 2 2 3 2 2 9" xfId="4286" xr:uid="{00000000-0005-0000-0000-0000BD100000}"/>
    <cellStyle name="Currency 2 2 3 2 20" xfId="4287" xr:uid="{00000000-0005-0000-0000-0000BE100000}"/>
    <cellStyle name="Currency 2 2 3 2 21" xfId="4288" xr:uid="{00000000-0005-0000-0000-0000BF100000}"/>
    <cellStyle name="Currency 2 2 3 2 22" xfId="4289" xr:uid="{00000000-0005-0000-0000-0000C0100000}"/>
    <cellStyle name="Currency 2 2 3 2 23" xfId="4290" xr:uid="{00000000-0005-0000-0000-0000C1100000}"/>
    <cellStyle name="Currency 2 2 3 2 24" xfId="4291" xr:uid="{00000000-0005-0000-0000-0000C2100000}"/>
    <cellStyle name="Currency 2 2 3 2 25" xfId="4292" xr:uid="{00000000-0005-0000-0000-0000C3100000}"/>
    <cellStyle name="Currency 2 2 3 2 26" xfId="4293" xr:uid="{00000000-0005-0000-0000-0000C4100000}"/>
    <cellStyle name="Currency 2 2 3 2 27" xfId="4294" xr:uid="{00000000-0005-0000-0000-0000C5100000}"/>
    <cellStyle name="Currency 2 2 3 2 28" xfId="4295" xr:uid="{00000000-0005-0000-0000-0000C6100000}"/>
    <cellStyle name="Currency 2 2 3 2 29" xfId="4296" xr:uid="{00000000-0005-0000-0000-0000C7100000}"/>
    <cellStyle name="Currency 2 2 3 2 3" xfId="4297" xr:uid="{00000000-0005-0000-0000-0000C8100000}"/>
    <cellStyle name="Currency 2 2 3 2 3 2" xfId="4298" xr:uid="{00000000-0005-0000-0000-0000C9100000}"/>
    <cellStyle name="Currency 2 2 3 2 3 3" xfId="4299" xr:uid="{00000000-0005-0000-0000-0000CA100000}"/>
    <cellStyle name="Currency 2 2 3 2 3 4" xfId="4300" xr:uid="{00000000-0005-0000-0000-0000CB100000}"/>
    <cellStyle name="Currency 2 2 3 2 3 5" xfId="4301" xr:uid="{00000000-0005-0000-0000-0000CC100000}"/>
    <cellStyle name="Currency 2 2 3 2 3 6" xfId="4302" xr:uid="{00000000-0005-0000-0000-0000CD100000}"/>
    <cellStyle name="Currency 2 2 3 2 30" xfId="4303" xr:uid="{00000000-0005-0000-0000-0000CE100000}"/>
    <cellStyle name="Currency 2 2 3 2 31" xfId="4304" xr:uid="{00000000-0005-0000-0000-0000CF100000}"/>
    <cellStyle name="Currency 2 2 3 2 32" xfId="4305" xr:uid="{00000000-0005-0000-0000-0000D0100000}"/>
    <cellStyle name="Currency 2 2 3 2 33" xfId="4306" xr:uid="{00000000-0005-0000-0000-0000D1100000}"/>
    <cellStyle name="Currency 2 2 3 2 34" xfId="4307" xr:uid="{00000000-0005-0000-0000-0000D2100000}"/>
    <cellStyle name="Currency 2 2 3 2 35" xfId="4308" xr:uid="{00000000-0005-0000-0000-0000D3100000}"/>
    <cellStyle name="Currency 2 2 3 2 36" xfId="4309" xr:uid="{00000000-0005-0000-0000-0000D4100000}"/>
    <cellStyle name="Currency 2 2 3 2 37" xfId="4310" xr:uid="{00000000-0005-0000-0000-0000D5100000}"/>
    <cellStyle name="Currency 2 2 3 2 38" xfId="4311" xr:uid="{00000000-0005-0000-0000-0000D6100000}"/>
    <cellStyle name="Currency 2 2 3 2 39" xfId="4312" xr:uid="{00000000-0005-0000-0000-0000D7100000}"/>
    <cellStyle name="Currency 2 2 3 2 4" xfId="4313" xr:uid="{00000000-0005-0000-0000-0000D8100000}"/>
    <cellStyle name="Currency 2 2 3 2 4 2" xfId="4314" xr:uid="{00000000-0005-0000-0000-0000D9100000}"/>
    <cellStyle name="Currency 2 2 3 2 4 3" xfId="4315" xr:uid="{00000000-0005-0000-0000-0000DA100000}"/>
    <cellStyle name="Currency 2 2 3 2 4 4" xfId="4316" xr:uid="{00000000-0005-0000-0000-0000DB100000}"/>
    <cellStyle name="Currency 2 2 3 2 4 5" xfId="4317" xr:uid="{00000000-0005-0000-0000-0000DC100000}"/>
    <cellStyle name="Currency 2 2 3 2 4 6" xfId="4318" xr:uid="{00000000-0005-0000-0000-0000DD100000}"/>
    <cellStyle name="Currency 2 2 3 2 40" xfId="4319" xr:uid="{00000000-0005-0000-0000-0000DE100000}"/>
    <cellStyle name="Currency 2 2 3 2 5" xfId="4320" xr:uid="{00000000-0005-0000-0000-0000DF100000}"/>
    <cellStyle name="Currency 2 2 3 2 5 2" xfId="4321" xr:uid="{00000000-0005-0000-0000-0000E0100000}"/>
    <cellStyle name="Currency 2 2 3 2 5 3" xfId="4322" xr:uid="{00000000-0005-0000-0000-0000E1100000}"/>
    <cellStyle name="Currency 2 2 3 2 5 4" xfId="4323" xr:uid="{00000000-0005-0000-0000-0000E2100000}"/>
    <cellStyle name="Currency 2 2 3 2 5 5" xfId="4324" xr:uid="{00000000-0005-0000-0000-0000E3100000}"/>
    <cellStyle name="Currency 2 2 3 2 5 6" xfId="4325" xr:uid="{00000000-0005-0000-0000-0000E4100000}"/>
    <cellStyle name="Currency 2 2 3 2 6" xfId="4326" xr:uid="{00000000-0005-0000-0000-0000E5100000}"/>
    <cellStyle name="Currency 2 2 3 2 6 2" xfId="4327" xr:uid="{00000000-0005-0000-0000-0000E6100000}"/>
    <cellStyle name="Currency 2 2 3 2 6 3" xfId="4328" xr:uid="{00000000-0005-0000-0000-0000E7100000}"/>
    <cellStyle name="Currency 2 2 3 2 6 4" xfId="4329" xr:uid="{00000000-0005-0000-0000-0000E8100000}"/>
    <cellStyle name="Currency 2 2 3 2 6 5" xfId="4330" xr:uid="{00000000-0005-0000-0000-0000E9100000}"/>
    <cellStyle name="Currency 2 2 3 2 6 6" xfId="4331" xr:uid="{00000000-0005-0000-0000-0000EA100000}"/>
    <cellStyle name="Currency 2 2 3 2 7" xfId="4332" xr:uid="{00000000-0005-0000-0000-0000EB100000}"/>
    <cellStyle name="Currency 2 2 3 2 7 2" xfId="4333" xr:uid="{00000000-0005-0000-0000-0000EC100000}"/>
    <cellStyle name="Currency 2 2 3 2 7 3" xfId="4334" xr:uid="{00000000-0005-0000-0000-0000ED100000}"/>
    <cellStyle name="Currency 2 2 3 2 7 4" xfId="4335" xr:uid="{00000000-0005-0000-0000-0000EE100000}"/>
    <cellStyle name="Currency 2 2 3 2 7 5" xfId="4336" xr:uid="{00000000-0005-0000-0000-0000EF100000}"/>
    <cellStyle name="Currency 2 2 3 2 7 6" xfId="4337" xr:uid="{00000000-0005-0000-0000-0000F0100000}"/>
    <cellStyle name="Currency 2 2 3 2 8" xfId="4338" xr:uid="{00000000-0005-0000-0000-0000F1100000}"/>
    <cellStyle name="Currency 2 2 3 2 8 2" xfId="4339" xr:uid="{00000000-0005-0000-0000-0000F2100000}"/>
    <cellStyle name="Currency 2 2 3 2 8 3" xfId="4340" xr:uid="{00000000-0005-0000-0000-0000F3100000}"/>
    <cellStyle name="Currency 2 2 3 2 8 4" xfId="4341" xr:uid="{00000000-0005-0000-0000-0000F4100000}"/>
    <cellStyle name="Currency 2 2 3 2 8 5" xfId="4342" xr:uid="{00000000-0005-0000-0000-0000F5100000}"/>
    <cellStyle name="Currency 2 2 3 2 8 6" xfId="4343" xr:uid="{00000000-0005-0000-0000-0000F6100000}"/>
    <cellStyle name="Currency 2 2 3 2 9" xfId="4344" xr:uid="{00000000-0005-0000-0000-0000F7100000}"/>
    <cellStyle name="Currency 2 2 3 2 9 2" xfId="4345" xr:uid="{00000000-0005-0000-0000-0000F8100000}"/>
    <cellStyle name="Currency 2 2 3 2 9 3" xfId="4346" xr:uid="{00000000-0005-0000-0000-0000F9100000}"/>
    <cellStyle name="Currency 2 2 3 2 9 4" xfId="4347" xr:uid="{00000000-0005-0000-0000-0000FA100000}"/>
    <cellStyle name="Currency 2 2 3 2 9 5" xfId="4348" xr:uid="{00000000-0005-0000-0000-0000FB100000}"/>
    <cellStyle name="Currency 2 2 3 2 9 6" xfId="4349" xr:uid="{00000000-0005-0000-0000-0000FC100000}"/>
    <cellStyle name="Currency 2 2 3 20" xfId="4350" xr:uid="{00000000-0005-0000-0000-0000FD100000}"/>
    <cellStyle name="Currency 2 2 3 21" xfId="4351" xr:uid="{00000000-0005-0000-0000-0000FE100000}"/>
    <cellStyle name="Currency 2 2 3 22" xfId="4352" xr:uid="{00000000-0005-0000-0000-0000FF100000}"/>
    <cellStyle name="Currency 2 2 3 23" xfId="4353" xr:uid="{00000000-0005-0000-0000-000000110000}"/>
    <cellStyle name="Currency 2 2 3 24" xfId="4354" xr:uid="{00000000-0005-0000-0000-000001110000}"/>
    <cellStyle name="Currency 2 2 3 25" xfId="4355" xr:uid="{00000000-0005-0000-0000-000002110000}"/>
    <cellStyle name="Currency 2 2 3 26" xfId="4356" xr:uid="{00000000-0005-0000-0000-000003110000}"/>
    <cellStyle name="Currency 2 2 3 27" xfId="4357" xr:uid="{00000000-0005-0000-0000-000004110000}"/>
    <cellStyle name="Currency 2 2 3 28" xfId="4358" xr:uid="{00000000-0005-0000-0000-000005110000}"/>
    <cellStyle name="Currency 2 2 3 29" xfId="4359" xr:uid="{00000000-0005-0000-0000-000006110000}"/>
    <cellStyle name="Currency 2 2 3 3" xfId="4360" xr:uid="{00000000-0005-0000-0000-000007110000}"/>
    <cellStyle name="Currency 2 2 3 3 10" xfId="4361" xr:uid="{00000000-0005-0000-0000-000008110000}"/>
    <cellStyle name="Currency 2 2 3 3 2" xfId="4362" xr:uid="{00000000-0005-0000-0000-000009110000}"/>
    <cellStyle name="Currency 2 2 3 3 2 2" xfId="4363" xr:uid="{00000000-0005-0000-0000-00000A110000}"/>
    <cellStyle name="Currency 2 2 3 3 2 3" xfId="4364" xr:uid="{00000000-0005-0000-0000-00000B110000}"/>
    <cellStyle name="Currency 2 2 3 3 2 4" xfId="4365" xr:uid="{00000000-0005-0000-0000-00000C110000}"/>
    <cellStyle name="Currency 2 2 3 3 2 5" xfId="4366" xr:uid="{00000000-0005-0000-0000-00000D110000}"/>
    <cellStyle name="Currency 2 2 3 3 2 6" xfId="4367" xr:uid="{00000000-0005-0000-0000-00000E110000}"/>
    <cellStyle name="Currency 2 2 3 3 3" xfId="4368" xr:uid="{00000000-0005-0000-0000-00000F110000}"/>
    <cellStyle name="Currency 2 2 3 3 3 2" xfId="4369" xr:uid="{00000000-0005-0000-0000-000010110000}"/>
    <cellStyle name="Currency 2 2 3 3 3 3" xfId="4370" xr:uid="{00000000-0005-0000-0000-000011110000}"/>
    <cellStyle name="Currency 2 2 3 3 3 4" xfId="4371" xr:uid="{00000000-0005-0000-0000-000012110000}"/>
    <cellStyle name="Currency 2 2 3 3 3 5" xfId="4372" xr:uid="{00000000-0005-0000-0000-000013110000}"/>
    <cellStyle name="Currency 2 2 3 3 3 6" xfId="4373" xr:uid="{00000000-0005-0000-0000-000014110000}"/>
    <cellStyle name="Currency 2 2 3 3 4" xfId="4374" xr:uid="{00000000-0005-0000-0000-000015110000}"/>
    <cellStyle name="Currency 2 2 3 3 4 2" xfId="4375" xr:uid="{00000000-0005-0000-0000-000016110000}"/>
    <cellStyle name="Currency 2 2 3 3 4 3" xfId="4376" xr:uid="{00000000-0005-0000-0000-000017110000}"/>
    <cellStyle name="Currency 2 2 3 3 4 4" xfId="4377" xr:uid="{00000000-0005-0000-0000-000018110000}"/>
    <cellStyle name="Currency 2 2 3 3 4 5" xfId="4378" xr:uid="{00000000-0005-0000-0000-000019110000}"/>
    <cellStyle name="Currency 2 2 3 3 4 6" xfId="4379" xr:uid="{00000000-0005-0000-0000-00001A110000}"/>
    <cellStyle name="Currency 2 2 3 3 5" xfId="4380" xr:uid="{00000000-0005-0000-0000-00001B110000}"/>
    <cellStyle name="Currency 2 2 3 3 5 2" xfId="4381" xr:uid="{00000000-0005-0000-0000-00001C110000}"/>
    <cellStyle name="Currency 2 2 3 3 5 3" xfId="4382" xr:uid="{00000000-0005-0000-0000-00001D110000}"/>
    <cellStyle name="Currency 2 2 3 3 5 4" xfId="4383" xr:uid="{00000000-0005-0000-0000-00001E110000}"/>
    <cellStyle name="Currency 2 2 3 3 5 5" xfId="4384" xr:uid="{00000000-0005-0000-0000-00001F110000}"/>
    <cellStyle name="Currency 2 2 3 3 5 6" xfId="4385" xr:uid="{00000000-0005-0000-0000-000020110000}"/>
    <cellStyle name="Currency 2 2 3 3 6" xfId="4386" xr:uid="{00000000-0005-0000-0000-000021110000}"/>
    <cellStyle name="Currency 2 2 3 3 7" xfId="4387" xr:uid="{00000000-0005-0000-0000-000022110000}"/>
    <cellStyle name="Currency 2 2 3 3 8" xfId="4388" xr:uid="{00000000-0005-0000-0000-000023110000}"/>
    <cellStyle name="Currency 2 2 3 3 9" xfId="4389" xr:uid="{00000000-0005-0000-0000-000024110000}"/>
    <cellStyle name="Currency 2 2 3 30" xfId="4390" xr:uid="{00000000-0005-0000-0000-000025110000}"/>
    <cellStyle name="Currency 2 2 3 31" xfId="4391" xr:uid="{00000000-0005-0000-0000-000026110000}"/>
    <cellStyle name="Currency 2 2 3 32" xfId="4392" xr:uid="{00000000-0005-0000-0000-000027110000}"/>
    <cellStyle name="Currency 2 2 3 33" xfId="4393" xr:uid="{00000000-0005-0000-0000-000028110000}"/>
    <cellStyle name="Currency 2 2 3 34" xfId="4394" xr:uid="{00000000-0005-0000-0000-000029110000}"/>
    <cellStyle name="Currency 2 2 3 35" xfId="4395" xr:uid="{00000000-0005-0000-0000-00002A110000}"/>
    <cellStyle name="Currency 2 2 3 36" xfId="4396" xr:uid="{00000000-0005-0000-0000-00002B110000}"/>
    <cellStyle name="Currency 2 2 3 37" xfId="4397" xr:uid="{00000000-0005-0000-0000-00002C110000}"/>
    <cellStyle name="Currency 2 2 3 38" xfId="4398" xr:uid="{00000000-0005-0000-0000-00002D110000}"/>
    <cellStyle name="Currency 2 2 3 39" xfId="4399" xr:uid="{00000000-0005-0000-0000-00002E110000}"/>
    <cellStyle name="Currency 2 2 3 4" xfId="4400" xr:uid="{00000000-0005-0000-0000-00002F110000}"/>
    <cellStyle name="Currency 2 2 3 4 10" xfId="4401" xr:uid="{00000000-0005-0000-0000-000030110000}"/>
    <cellStyle name="Currency 2 2 3 4 2" xfId="4402" xr:uid="{00000000-0005-0000-0000-000031110000}"/>
    <cellStyle name="Currency 2 2 3 4 2 2" xfId="4403" xr:uid="{00000000-0005-0000-0000-000032110000}"/>
    <cellStyle name="Currency 2 2 3 4 2 3" xfId="4404" xr:uid="{00000000-0005-0000-0000-000033110000}"/>
    <cellStyle name="Currency 2 2 3 4 2 4" xfId="4405" xr:uid="{00000000-0005-0000-0000-000034110000}"/>
    <cellStyle name="Currency 2 2 3 4 2 5" xfId="4406" xr:uid="{00000000-0005-0000-0000-000035110000}"/>
    <cellStyle name="Currency 2 2 3 4 2 6" xfId="4407" xr:uid="{00000000-0005-0000-0000-000036110000}"/>
    <cellStyle name="Currency 2 2 3 4 3" xfId="4408" xr:uid="{00000000-0005-0000-0000-000037110000}"/>
    <cellStyle name="Currency 2 2 3 4 3 2" xfId="4409" xr:uid="{00000000-0005-0000-0000-000038110000}"/>
    <cellStyle name="Currency 2 2 3 4 3 3" xfId="4410" xr:uid="{00000000-0005-0000-0000-000039110000}"/>
    <cellStyle name="Currency 2 2 3 4 3 4" xfId="4411" xr:uid="{00000000-0005-0000-0000-00003A110000}"/>
    <cellStyle name="Currency 2 2 3 4 3 5" xfId="4412" xr:uid="{00000000-0005-0000-0000-00003B110000}"/>
    <cellStyle name="Currency 2 2 3 4 3 6" xfId="4413" xr:uid="{00000000-0005-0000-0000-00003C110000}"/>
    <cellStyle name="Currency 2 2 3 4 4" xfId="4414" xr:uid="{00000000-0005-0000-0000-00003D110000}"/>
    <cellStyle name="Currency 2 2 3 4 4 2" xfId="4415" xr:uid="{00000000-0005-0000-0000-00003E110000}"/>
    <cellStyle name="Currency 2 2 3 4 4 3" xfId="4416" xr:uid="{00000000-0005-0000-0000-00003F110000}"/>
    <cellStyle name="Currency 2 2 3 4 4 4" xfId="4417" xr:uid="{00000000-0005-0000-0000-000040110000}"/>
    <cellStyle name="Currency 2 2 3 4 4 5" xfId="4418" xr:uid="{00000000-0005-0000-0000-000041110000}"/>
    <cellStyle name="Currency 2 2 3 4 4 6" xfId="4419" xr:uid="{00000000-0005-0000-0000-000042110000}"/>
    <cellStyle name="Currency 2 2 3 4 5" xfId="4420" xr:uid="{00000000-0005-0000-0000-000043110000}"/>
    <cellStyle name="Currency 2 2 3 4 5 2" xfId="4421" xr:uid="{00000000-0005-0000-0000-000044110000}"/>
    <cellStyle name="Currency 2 2 3 4 5 3" xfId="4422" xr:uid="{00000000-0005-0000-0000-000045110000}"/>
    <cellStyle name="Currency 2 2 3 4 5 4" xfId="4423" xr:uid="{00000000-0005-0000-0000-000046110000}"/>
    <cellStyle name="Currency 2 2 3 4 5 5" xfId="4424" xr:uid="{00000000-0005-0000-0000-000047110000}"/>
    <cellStyle name="Currency 2 2 3 4 5 6" xfId="4425" xr:uid="{00000000-0005-0000-0000-000048110000}"/>
    <cellStyle name="Currency 2 2 3 4 6" xfId="4426" xr:uid="{00000000-0005-0000-0000-000049110000}"/>
    <cellStyle name="Currency 2 2 3 4 7" xfId="4427" xr:uid="{00000000-0005-0000-0000-00004A110000}"/>
    <cellStyle name="Currency 2 2 3 4 8" xfId="4428" xr:uid="{00000000-0005-0000-0000-00004B110000}"/>
    <cellStyle name="Currency 2 2 3 4 9" xfId="4429" xr:uid="{00000000-0005-0000-0000-00004C110000}"/>
    <cellStyle name="Currency 2 2 3 40" xfId="4430" xr:uid="{00000000-0005-0000-0000-00004D110000}"/>
    <cellStyle name="Currency 2 2 3 41" xfId="4431" xr:uid="{00000000-0005-0000-0000-00004E110000}"/>
    <cellStyle name="Currency 2 2 3 42" xfId="4432" xr:uid="{00000000-0005-0000-0000-00004F110000}"/>
    <cellStyle name="Currency 2 2 3 43" xfId="4433" xr:uid="{00000000-0005-0000-0000-000050110000}"/>
    <cellStyle name="Currency 2 2 3 44" xfId="4434" xr:uid="{00000000-0005-0000-0000-000051110000}"/>
    <cellStyle name="Currency 2 2 3 5" xfId="4435" xr:uid="{00000000-0005-0000-0000-000052110000}"/>
    <cellStyle name="Currency 2 2 3 5 10" xfId="4436" xr:uid="{00000000-0005-0000-0000-000053110000}"/>
    <cellStyle name="Currency 2 2 3 5 2" xfId="4437" xr:uid="{00000000-0005-0000-0000-000054110000}"/>
    <cellStyle name="Currency 2 2 3 5 2 2" xfId="4438" xr:uid="{00000000-0005-0000-0000-000055110000}"/>
    <cellStyle name="Currency 2 2 3 5 2 3" xfId="4439" xr:uid="{00000000-0005-0000-0000-000056110000}"/>
    <cellStyle name="Currency 2 2 3 5 2 4" xfId="4440" xr:uid="{00000000-0005-0000-0000-000057110000}"/>
    <cellStyle name="Currency 2 2 3 5 2 5" xfId="4441" xr:uid="{00000000-0005-0000-0000-000058110000}"/>
    <cellStyle name="Currency 2 2 3 5 2 6" xfId="4442" xr:uid="{00000000-0005-0000-0000-000059110000}"/>
    <cellStyle name="Currency 2 2 3 5 3" xfId="4443" xr:uid="{00000000-0005-0000-0000-00005A110000}"/>
    <cellStyle name="Currency 2 2 3 5 3 2" xfId="4444" xr:uid="{00000000-0005-0000-0000-00005B110000}"/>
    <cellStyle name="Currency 2 2 3 5 3 3" xfId="4445" xr:uid="{00000000-0005-0000-0000-00005C110000}"/>
    <cellStyle name="Currency 2 2 3 5 3 4" xfId="4446" xr:uid="{00000000-0005-0000-0000-00005D110000}"/>
    <cellStyle name="Currency 2 2 3 5 3 5" xfId="4447" xr:uid="{00000000-0005-0000-0000-00005E110000}"/>
    <cellStyle name="Currency 2 2 3 5 3 6" xfId="4448" xr:uid="{00000000-0005-0000-0000-00005F110000}"/>
    <cellStyle name="Currency 2 2 3 5 4" xfId="4449" xr:uid="{00000000-0005-0000-0000-000060110000}"/>
    <cellStyle name="Currency 2 2 3 5 4 2" xfId="4450" xr:uid="{00000000-0005-0000-0000-000061110000}"/>
    <cellStyle name="Currency 2 2 3 5 4 3" xfId="4451" xr:uid="{00000000-0005-0000-0000-000062110000}"/>
    <cellStyle name="Currency 2 2 3 5 4 4" xfId="4452" xr:uid="{00000000-0005-0000-0000-000063110000}"/>
    <cellStyle name="Currency 2 2 3 5 4 5" xfId="4453" xr:uid="{00000000-0005-0000-0000-000064110000}"/>
    <cellStyle name="Currency 2 2 3 5 4 6" xfId="4454" xr:uid="{00000000-0005-0000-0000-000065110000}"/>
    <cellStyle name="Currency 2 2 3 5 5" xfId="4455" xr:uid="{00000000-0005-0000-0000-000066110000}"/>
    <cellStyle name="Currency 2 2 3 5 5 2" xfId="4456" xr:uid="{00000000-0005-0000-0000-000067110000}"/>
    <cellStyle name="Currency 2 2 3 5 5 3" xfId="4457" xr:uid="{00000000-0005-0000-0000-000068110000}"/>
    <cellStyle name="Currency 2 2 3 5 5 4" xfId="4458" xr:uid="{00000000-0005-0000-0000-000069110000}"/>
    <cellStyle name="Currency 2 2 3 5 5 5" xfId="4459" xr:uid="{00000000-0005-0000-0000-00006A110000}"/>
    <cellStyle name="Currency 2 2 3 5 5 6" xfId="4460" xr:uid="{00000000-0005-0000-0000-00006B110000}"/>
    <cellStyle name="Currency 2 2 3 5 6" xfId="4461" xr:uid="{00000000-0005-0000-0000-00006C110000}"/>
    <cellStyle name="Currency 2 2 3 5 7" xfId="4462" xr:uid="{00000000-0005-0000-0000-00006D110000}"/>
    <cellStyle name="Currency 2 2 3 5 8" xfId="4463" xr:uid="{00000000-0005-0000-0000-00006E110000}"/>
    <cellStyle name="Currency 2 2 3 5 9" xfId="4464" xr:uid="{00000000-0005-0000-0000-00006F110000}"/>
    <cellStyle name="Currency 2 2 3 6" xfId="4465" xr:uid="{00000000-0005-0000-0000-000070110000}"/>
    <cellStyle name="Currency 2 2 3 6 10" xfId="4466" xr:uid="{00000000-0005-0000-0000-000071110000}"/>
    <cellStyle name="Currency 2 2 3 6 2" xfId="4467" xr:uid="{00000000-0005-0000-0000-000072110000}"/>
    <cellStyle name="Currency 2 2 3 6 2 2" xfId="4468" xr:uid="{00000000-0005-0000-0000-000073110000}"/>
    <cellStyle name="Currency 2 2 3 6 2 3" xfId="4469" xr:uid="{00000000-0005-0000-0000-000074110000}"/>
    <cellStyle name="Currency 2 2 3 6 2 4" xfId="4470" xr:uid="{00000000-0005-0000-0000-000075110000}"/>
    <cellStyle name="Currency 2 2 3 6 2 5" xfId="4471" xr:uid="{00000000-0005-0000-0000-000076110000}"/>
    <cellStyle name="Currency 2 2 3 6 2 6" xfId="4472" xr:uid="{00000000-0005-0000-0000-000077110000}"/>
    <cellStyle name="Currency 2 2 3 6 3" xfId="4473" xr:uid="{00000000-0005-0000-0000-000078110000}"/>
    <cellStyle name="Currency 2 2 3 6 3 2" xfId="4474" xr:uid="{00000000-0005-0000-0000-000079110000}"/>
    <cellStyle name="Currency 2 2 3 6 3 3" xfId="4475" xr:uid="{00000000-0005-0000-0000-00007A110000}"/>
    <cellStyle name="Currency 2 2 3 6 3 4" xfId="4476" xr:uid="{00000000-0005-0000-0000-00007B110000}"/>
    <cellStyle name="Currency 2 2 3 6 3 5" xfId="4477" xr:uid="{00000000-0005-0000-0000-00007C110000}"/>
    <cellStyle name="Currency 2 2 3 6 3 6" xfId="4478" xr:uid="{00000000-0005-0000-0000-00007D110000}"/>
    <cellStyle name="Currency 2 2 3 6 4" xfId="4479" xr:uid="{00000000-0005-0000-0000-00007E110000}"/>
    <cellStyle name="Currency 2 2 3 6 4 2" xfId="4480" xr:uid="{00000000-0005-0000-0000-00007F110000}"/>
    <cellStyle name="Currency 2 2 3 6 4 3" xfId="4481" xr:uid="{00000000-0005-0000-0000-000080110000}"/>
    <cellStyle name="Currency 2 2 3 6 4 4" xfId="4482" xr:uid="{00000000-0005-0000-0000-000081110000}"/>
    <cellStyle name="Currency 2 2 3 6 4 5" xfId="4483" xr:uid="{00000000-0005-0000-0000-000082110000}"/>
    <cellStyle name="Currency 2 2 3 6 4 6" xfId="4484" xr:uid="{00000000-0005-0000-0000-000083110000}"/>
    <cellStyle name="Currency 2 2 3 6 5" xfId="4485" xr:uid="{00000000-0005-0000-0000-000084110000}"/>
    <cellStyle name="Currency 2 2 3 6 5 2" xfId="4486" xr:uid="{00000000-0005-0000-0000-000085110000}"/>
    <cellStyle name="Currency 2 2 3 6 5 3" xfId="4487" xr:uid="{00000000-0005-0000-0000-000086110000}"/>
    <cellStyle name="Currency 2 2 3 6 5 4" xfId="4488" xr:uid="{00000000-0005-0000-0000-000087110000}"/>
    <cellStyle name="Currency 2 2 3 6 5 5" xfId="4489" xr:uid="{00000000-0005-0000-0000-000088110000}"/>
    <cellStyle name="Currency 2 2 3 6 5 6" xfId="4490" xr:uid="{00000000-0005-0000-0000-000089110000}"/>
    <cellStyle name="Currency 2 2 3 6 6" xfId="4491" xr:uid="{00000000-0005-0000-0000-00008A110000}"/>
    <cellStyle name="Currency 2 2 3 6 7" xfId="4492" xr:uid="{00000000-0005-0000-0000-00008B110000}"/>
    <cellStyle name="Currency 2 2 3 6 8" xfId="4493" xr:uid="{00000000-0005-0000-0000-00008C110000}"/>
    <cellStyle name="Currency 2 2 3 6 9" xfId="4494" xr:uid="{00000000-0005-0000-0000-00008D110000}"/>
    <cellStyle name="Currency 2 2 3 7" xfId="4495" xr:uid="{00000000-0005-0000-0000-00008E110000}"/>
    <cellStyle name="Currency 2 2 3 7 10" xfId="4496" xr:uid="{00000000-0005-0000-0000-00008F110000}"/>
    <cellStyle name="Currency 2 2 3 7 11" xfId="4497" xr:uid="{00000000-0005-0000-0000-000090110000}"/>
    <cellStyle name="Currency 2 2 3 7 12" xfId="4498" xr:uid="{00000000-0005-0000-0000-000091110000}"/>
    <cellStyle name="Currency 2 2 3 7 13" xfId="4499" xr:uid="{00000000-0005-0000-0000-000092110000}"/>
    <cellStyle name="Currency 2 2 3 7 14" xfId="4500" xr:uid="{00000000-0005-0000-0000-000093110000}"/>
    <cellStyle name="Currency 2 2 3 7 15" xfId="4501" xr:uid="{00000000-0005-0000-0000-000094110000}"/>
    <cellStyle name="Currency 2 2 3 7 16" xfId="4502" xr:uid="{00000000-0005-0000-0000-000095110000}"/>
    <cellStyle name="Currency 2 2 3 7 17" xfId="4503" xr:uid="{00000000-0005-0000-0000-000096110000}"/>
    <cellStyle name="Currency 2 2 3 7 18" xfId="4504" xr:uid="{00000000-0005-0000-0000-000097110000}"/>
    <cellStyle name="Currency 2 2 3 7 19" xfId="4505" xr:uid="{00000000-0005-0000-0000-000098110000}"/>
    <cellStyle name="Currency 2 2 3 7 2" xfId="4506" xr:uid="{00000000-0005-0000-0000-000099110000}"/>
    <cellStyle name="Currency 2 2 3 7 2 2" xfId="4507" xr:uid="{00000000-0005-0000-0000-00009A110000}"/>
    <cellStyle name="Currency 2 2 3 7 2 3" xfId="4508" xr:uid="{00000000-0005-0000-0000-00009B110000}"/>
    <cellStyle name="Currency 2 2 3 7 2 4" xfId="4509" xr:uid="{00000000-0005-0000-0000-00009C110000}"/>
    <cellStyle name="Currency 2 2 3 7 2 5" xfId="4510" xr:uid="{00000000-0005-0000-0000-00009D110000}"/>
    <cellStyle name="Currency 2 2 3 7 2 6" xfId="4511" xr:uid="{00000000-0005-0000-0000-00009E110000}"/>
    <cellStyle name="Currency 2 2 3 7 20" xfId="4512" xr:uid="{00000000-0005-0000-0000-00009F110000}"/>
    <cellStyle name="Currency 2 2 3 7 21" xfId="4513" xr:uid="{00000000-0005-0000-0000-0000A0110000}"/>
    <cellStyle name="Currency 2 2 3 7 22" xfId="4514" xr:uid="{00000000-0005-0000-0000-0000A1110000}"/>
    <cellStyle name="Currency 2 2 3 7 23" xfId="4515" xr:uid="{00000000-0005-0000-0000-0000A2110000}"/>
    <cellStyle name="Currency 2 2 3 7 24" xfId="4516" xr:uid="{00000000-0005-0000-0000-0000A3110000}"/>
    <cellStyle name="Currency 2 2 3 7 25" xfId="4517" xr:uid="{00000000-0005-0000-0000-0000A4110000}"/>
    <cellStyle name="Currency 2 2 3 7 26" xfId="4518" xr:uid="{00000000-0005-0000-0000-0000A5110000}"/>
    <cellStyle name="Currency 2 2 3 7 27" xfId="4519" xr:uid="{00000000-0005-0000-0000-0000A6110000}"/>
    <cellStyle name="Currency 2 2 3 7 28" xfId="4520" xr:uid="{00000000-0005-0000-0000-0000A7110000}"/>
    <cellStyle name="Currency 2 2 3 7 29" xfId="4521" xr:uid="{00000000-0005-0000-0000-0000A8110000}"/>
    <cellStyle name="Currency 2 2 3 7 3" xfId="4522" xr:uid="{00000000-0005-0000-0000-0000A9110000}"/>
    <cellStyle name="Currency 2 2 3 7 30" xfId="4523" xr:uid="{00000000-0005-0000-0000-0000AA110000}"/>
    <cellStyle name="Currency 2 2 3 7 31" xfId="4524" xr:uid="{00000000-0005-0000-0000-0000AB110000}"/>
    <cellStyle name="Currency 2 2 3 7 32" xfId="4525" xr:uid="{00000000-0005-0000-0000-0000AC110000}"/>
    <cellStyle name="Currency 2 2 3 7 33" xfId="4526" xr:uid="{00000000-0005-0000-0000-0000AD110000}"/>
    <cellStyle name="Currency 2 2 3 7 4" xfId="4527" xr:uid="{00000000-0005-0000-0000-0000AE110000}"/>
    <cellStyle name="Currency 2 2 3 7 5" xfId="4528" xr:uid="{00000000-0005-0000-0000-0000AF110000}"/>
    <cellStyle name="Currency 2 2 3 7 6" xfId="4529" xr:uid="{00000000-0005-0000-0000-0000B0110000}"/>
    <cellStyle name="Currency 2 2 3 7 7" xfId="4530" xr:uid="{00000000-0005-0000-0000-0000B1110000}"/>
    <cellStyle name="Currency 2 2 3 7 8" xfId="4531" xr:uid="{00000000-0005-0000-0000-0000B2110000}"/>
    <cellStyle name="Currency 2 2 3 7 9" xfId="4532" xr:uid="{00000000-0005-0000-0000-0000B3110000}"/>
    <cellStyle name="Currency 2 2 3 8" xfId="4533" xr:uid="{00000000-0005-0000-0000-0000B4110000}"/>
    <cellStyle name="Currency 2 2 3 9" xfId="4534" xr:uid="{00000000-0005-0000-0000-0000B5110000}"/>
    <cellStyle name="Currency 2 2 30" xfId="4535" xr:uid="{00000000-0005-0000-0000-0000B6110000}"/>
    <cellStyle name="Currency 2 2 31" xfId="4536" xr:uid="{00000000-0005-0000-0000-0000B7110000}"/>
    <cellStyle name="Currency 2 2 32" xfId="4537" xr:uid="{00000000-0005-0000-0000-0000B8110000}"/>
    <cellStyle name="Currency 2 2 33" xfId="4538" xr:uid="{00000000-0005-0000-0000-0000B9110000}"/>
    <cellStyle name="Currency 2 2 34" xfId="4539" xr:uid="{00000000-0005-0000-0000-0000BA110000}"/>
    <cellStyle name="Currency 2 2 35" xfId="4540" xr:uid="{00000000-0005-0000-0000-0000BB110000}"/>
    <cellStyle name="Currency 2 2 36" xfId="4541" xr:uid="{00000000-0005-0000-0000-0000BC110000}"/>
    <cellStyle name="Currency 2 2 37" xfId="4542" xr:uid="{00000000-0005-0000-0000-0000BD110000}"/>
    <cellStyle name="Currency 2 2 38" xfId="4543" xr:uid="{00000000-0005-0000-0000-0000BE110000}"/>
    <cellStyle name="Currency 2 2 39" xfId="4544" xr:uid="{00000000-0005-0000-0000-0000BF110000}"/>
    <cellStyle name="Currency 2 2 4" xfId="4545" xr:uid="{00000000-0005-0000-0000-0000C0110000}"/>
    <cellStyle name="Currency 2 2 4 10" xfId="4546" xr:uid="{00000000-0005-0000-0000-0000C1110000}"/>
    <cellStyle name="Currency 2 2 4 10 2" xfId="4547" xr:uid="{00000000-0005-0000-0000-0000C2110000}"/>
    <cellStyle name="Currency 2 2 4 10 3" xfId="4548" xr:uid="{00000000-0005-0000-0000-0000C3110000}"/>
    <cellStyle name="Currency 2 2 4 10 4" xfId="4549" xr:uid="{00000000-0005-0000-0000-0000C4110000}"/>
    <cellStyle name="Currency 2 2 4 10 5" xfId="4550" xr:uid="{00000000-0005-0000-0000-0000C5110000}"/>
    <cellStyle name="Currency 2 2 4 10 6" xfId="4551" xr:uid="{00000000-0005-0000-0000-0000C6110000}"/>
    <cellStyle name="Currency 2 2 4 11" xfId="4552" xr:uid="{00000000-0005-0000-0000-0000C7110000}"/>
    <cellStyle name="Currency 2 2 4 12" xfId="4553" xr:uid="{00000000-0005-0000-0000-0000C8110000}"/>
    <cellStyle name="Currency 2 2 4 13" xfId="4554" xr:uid="{00000000-0005-0000-0000-0000C9110000}"/>
    <cellStyle name="Currency 2 2 4 14" xfId="4555" xr:uid="{00000000-0005-0000-0000-0000CA110000}"/>
    <cellStyle name="Currency 2 2 4 15" xfId="4556" xr:uid="{00000000-0005-0000-0000-0000CB110000}"/>
    <cellStyle name="Currency 2 2 4 16" xfId="4557" xr:uid="{00000000-0005-0000-0000-0000CC110000}"/>
    <cellStyle name="Currency 2 2 4 17" xfId="4558" xr:uid="{00000000-0005-0000-0000-0000CD110000}"/>
    <cellStyle name="Currency 2 2 4 18" xfId="4559" xr:uid="{00000000-0005-0000-0000-0000CE110000}"/>
    <cellStyle name="Currency 2 2 4 19" xfId="4560" xr:uid="{00000000-0005-0000-0000-0000CF110000}"/>
    <cellStyle name="Currency 2 2 4 2" xfId="4561" xr:uid="{00000000-0005-0000-0000-0000D0110000}"/>
    <cellStyle name="Currency 2 2 4 2 10" xfId="4562" xr:uid="{00000000-0005-0000-0000-0000D1110000}"/>
    <cellStyle name="Currency 2 2 4 2 11" xfId="4563" xr:uid="{00000000-0005-0000-0000-0000D2110000}"/>
    <cellStyle name="Currency 2 2 4 2 12" xfId="4564" xr:uid="{00000000-0005-0000-0000-0000D3110000}"/>
    <cellStyle name="Currency 2 2 4 2 13" xfId="4565" xr:uid="{00000000-0005-0000-0000-0000D4110000}"/>
    <cellStyle name="Currency 2 2 4 2 14" xfId="4566" xr:uid="{00000000-0005-0000-0000-0000D5110000}"/>
    <cellStyle name="Currency 2 2 4 2 15" xfId="4567" xr:uid="{00000000-0005-0000-0000-0000D6110000}"/>
    <cellStyle name="Currency 2 2 4 2 16" xfId="4568" xr:uid="{00000000-0005-0000-0000-0000D7110000}"/>
    <cellStyle name="Currency 2 2 4 2 17" xfId="4569" xr:uid="{00000000-0005-0000-0000-0000D8110000}"/>
    <cellStyle name="Currency 2 2 4 2 18" xfId="4570" xr:uid="{00000000-0005-0000-0000-0000D9110000}"/>
    <cellStyle name="Currency 2 2 4 2 19" xfId="4571" xr:uid="{00000000-0005-0000-0000-0000DA110000}"/>
    <cellStyle name="Currency 2 2 4 2 2" xfId="4572" xr:uid="{00000000-0005-0000-0000-0000DB110000}"/>
    <cellStyle name="Currency 2 2 4 2 2 2" xfId="4573" xr:uid="{00000000-0005-0000-0000-0000DC110000}"/>
    <cellStyle name="Currency 2 2 4 2 2 3" xfId="4574" xr:uid="{00000000-0005-0000-0000-0000DD110000}"/>
    <cellStyle name="Currency 2 2 4 2 2 4" xfId="4575" xr:uid="{00000000-0005-0000-0000-0000DE110000}"/>
    <cellStyle name="Currency 2 2 4 2 2 5" xfId="4576" xr:uid="{00000000-0005-0000-0000-0000DF110000}"/>
    <cellStyle name="Currency 2 2 4 2 2 6" xfId="4577" xr:uid="{00000000-0005-0000-0000-0000E0110000}"/>
    <cellStyle name="Currency 2 2 4 2 20" xfId="4578" xr:uid="{00000000-0005-0000-0000-0000E1110000}"/>
    <cellStyle name="Currency 2 2 4 2 21" xfId="4579" xr:uid="{00000000-0005-0000-0000-0000E2110000}"/>
    <cellStyle name="Currency 2 2 4 2 22" xfId="4580" xr:uid="{00000000-0005-0000-0000-0000E3110000}"/>
    <cellStyle name="Currency 2 2 4 2 23" xfId="4581" xr:uid="{00000000-0005-0000-0000-0000E4110000}"/>
    <cellStyle name="Currency 2 2 4 2 24" xfId="4582" xr:uid="{00000000-0005-0000-0000-0000E5110000}"/>
    <cellStyle name="Currency 2 2 4 2 25" xfId="4583" xr:uid="{00000000-0005-0000-0000-0000E6110000}"/>
    <cellStyle name="Currency 2 2 4 2 26" xfId="4584" xr:uid="{00000000-0005-0000-0000-0000E7110000}"/>
    <cellStyle name="Currency 2 2 4 2 27" xfId="4585" xr:uid="{00000000-0005-0000-0000-0000E8110000}"/>
    <cellStyle name="Currency 2 2 4 2 28" xfId="4586" xr:uid="{00000000-0005-0000-0000-0000E9110000}"/>
    <cellStyle name="Currency 2 2 4 2 29" xfId="4587" xr:uid="{00000000-0005-0000-0000-0000EA110000}"/>
    <cellStyle name="Currency 2 2 4 2 3" xfId="4588" xr:uid="{00000000-0005-0000-0000-0000EB110000}"/>
    <cellStyle name="Currency 2 2 4 2 30" xfId="4589" xr:uid="{00000000-0005-0000-0000-0000EC110000}"/>
    <cellStyle name="Currency 2 2 4 2 31" xfId="4590" xr:uid="{00000000-0005-0000-0000-0000ED110000}"/>
    <cellStyle name="Currency 2 2 4 2 32" xfId="4591" xr:uid="{00000000-0005-0000-0000-0000EE110000}"/>
    <cellStyle name="Currency 2 2 4 2 33" xfId="4592" xr:uid="{00000000-0005-0000-0000-0000EF110000}"/>
    <cellStyle name="Currency 2 2 4 2 4" xfId="4593" xr:uid="{00000000-0005-0000-0000-0000F0110000}"/>
    <cellStyle name="Currency 2 2 4 2 5" xfId="4594" xr:uid="{00000000-0005-0000-0000-0000F1110000}"/>
    <cellStyle name="Currency 2 2 4 2 6" xfId="4595" xr:uid="{00000000-0005-0000-0000-0000F2110000}"/>
    <cellStyle name="Currency 2 2 4 2 7" xfId="4596" xr:uid="{00000000-0005-0000-0000-0000F3110000}"/>
    <cellStyle name="Currency 2 2 4 2 8" xfId="4597" xr:uid="{00000000-0005-0000-0000-0000F4110000}"/>
    <cellStyle name="Currency 2 2 4 2 9" xfId="4598" xr:uid="{00000000-0005-0000-0000-0000F5110000}"/>
    <cellStyle name="Currency 2 2 4 20" xfId="4599" xr:uid="{00000000-0005-0000-0000-0000F6110000}"/>
    <cellStyle name="Currency 2 2 4 21" xfId="4600" xr:uid="{00000000-0005-0000-0000-0000F7110000}"/>
    <cellStyle name="Currency 2 2 4 22" xfId="4601" xr:uid="{00000000-0005-0000-0000-0000F8110000}"/>
    <cellStyle name="Currency 2 2 4 23" xfId="4602" xr:uid="{00000000-0005-0000-0000-0000F9110000}"/>
    <cellStyle name="Currency 2 2 4 24" xfId="4603" xr:uid="{00000000-0005-0000-0000-0000FA110000}"/>
    <cellStyle name="Currency 2 2 4 25" xfId="4604" xr:uid="{00000000-0005-0000-0000-0000FB110000}"/>
    <cellStyle name="Currency 2 2 4 26" xfId="4605" xr:uid="{00000000-0005-0000-0000-0000FC110000}"/>
    <cellStyle name="Currency 2 2 4 27" xfId="4606" xr:uid="{00000000-0005-0000-0000-0000FD110000}"/>
    <cellStyle name="Currency 2 2 4 28" xfId="4607" xr:uid="{00000000-0005-0000-0000-0000FE110000}"/>
    <cellStyle name="Currency 2 2 4 29" xfId="4608" xr:uid="{00000000-0005-0000-0000-0000FF110000}"/>
    <cellStyle name="Currency 2 2 4 3" xfId="4609" xr:uid="{00000000-0005-0000-0000-000000120000}"/>
    <cellStyle name="Currency 2 2 4 30" xfId="4610" xr:uid="{00000000-0005-0000-0000-000001120000}"/>
    <cellStyle name="Currency 2 2 4 31" xfId="4611" xr:uid="{00000000-0005-0000-0000-000002120000}"/>
    <cellStyle name="Currency 2 2 4 32" xfId="4612" xr:uid="{00000000-0005-0000-0000-000003120000}"/>
    <cellStyle name="Currency 2 2 4 33" xfId="4613" xr:uid="{00000000-0005-0000-0000-000004120000}"/>
    <cellStyle name="Currency 2 2 4 34" xfId="4614" xr:uid="{00000000-0005-0000-0000-000005120000}"/>
    <cellStyle name="Currency 2 2 4 35" xfId="4615" xr:uid="{00000000-0005-0000-0000-000006120000}"/>
    <cellStyle name="Currency 2 2 4 36" xfId="4616" xr:uid="{00000000-0005-0000-0000-000007120000}"/>
    <cellStyle name="Currency 2 2 4 37" xfId="4617" xr:uid="{00000000-0005-0000-0000-000008120000}"/>
    <cellStyle name="Currency 2 2 4 38" xfId="4618" xr:uid="{00000000-0005-0000-0000-000009120000}"/>
    <cellStyle name="Currency 2 2 4 39" xfId="4619" xr:uid="{00000000-0005-0000-0000-00000A120000}"/>
    <cellStyle name="Currency 2 2 4 4" xfId="4620" xr:uid="{00000000-0005-0000-0000-00000B120000}"/>
    <cellStyle name="Currency 2 2 4 40" xfId="4621" xr:uid="{00000000-0005-0000-0000-00000C120000}"/>
    <cellStyle name="Currency 2 2 4 5" xfId="4622" xr:uid="{00000000-0005-0000-0000-00000D120000}"/>
    <cellStyle name="Currency 2 2 4 6" xfId="4623" xr:uid="{00000000-0005-0000-0000-00000E120000}"/>
    <cellStyle name="Currency 2 2 4 7" xfId="4624" xr:uid="{00000000-0005-0000-0000-00000F120000}"/>
    <cellStyle name="Currency 2 2 4 8" xfId="4625" xr:uid="{00000000-0005-0000-0000-000010120000}"/>
    <cellStyle name="Currency 2 2 4 9" xfId="4626" xr:uid="{00000000-0005-0000-0000-000011120000}"/>
    <cellStyle name="Currency 2 2 40" xfId="4627" xr:uid="{00000000-0005-0000-0000-000012120000}"/>
    <cellStyle name="Currency 2 2 41" xfId="4628" xr:uid="{00000000-0005-0000-0000-000013120000}"/>
    <cellStyle name="Currency 2 2 42" xfId="4629" xr:uid="{00000000-0005-0000-0000-000014120000}"/>
    <cellStyle name="Currency 2 2 43" xfId="4630" xr:uid="{00000000-0005-0000-0000-000015120000}"/>
    <cellStyle name="Currency 2 2 44" xfId="4631" xr:uid="{00000000-0005-0000-0000-000016120000}"/>
    <cellStyle name="Currency 2 2 45" xfId="4632" xr:uid="{00000000-0005-0000-0000-000017120000}"/>
    <cellStyle name="Currency 2 2 46" xfId="4633" xr:uid="{00000000-0005-0000-0000-000018120000}"/>
    <cellStyle name="Currency 2 2 5" xfId="4634" xr:uid="{00000000-0005-0000-0000-000019120000}"/>
    <cellStyle name="Currency 2 2 6" xfId="4635" xr:uid="{00000000-0005-0000-0000-00001A120000}"/>
    <cellStyle name="Currency 2 2 7" xfId="4636" xr:uid="{00000000-0005-0000-0000-00001B120000}"/>
    <cellStyle name="Currency 2 2 8" xfId="4637" xr:uid="{00000000-0005-0000-0000-00001C120000}"/>
    <cellStyle name="Currency 2 2 9" xfId="4638" xr:uid="{00000000-0005-0000-0000-00001D120000}"/>
    <cellStyle name="Currency 2 2 9 10" xfId="4639" xr:uid="{00000000-0005-0000-0000-00001E120000}"/>
    <cellStyle name="Currency 2 2 9 11" xfId="4640" xr:uid="{00000000-0005-0000-0000-00001F120000}"/>
    <cellStyle name="Currency 2 2 9 12" xfId="4641" xr:uid="{00000000-0005-0000-0000-000020120000}"/>
    <cellStyle name="Currency 2 2 9 13" xfId="4642" xr:uid="{00000000-0005-0000-0000-000021120000}"/>
    <cellStyle name="Currency 2 2 9 14" xfId="4643" xr:uid="{00000000-0005-0000-0000-000022120000}"/>
    <cellStyle name="Currency 2 2 9 15" xfId="4644" xr:uid="{00000000-0005-0000-0000-000023120000}"/>
    <cellStyle name="Currency 2 2 9 16" xfId="4645" xr:uid="{00000000-0005-0000-0000-000024120000}"/>
    <cellStyle name="Currency 2 2 9 17" xfId="4646" xr:uid="{00000000-0005-0000-0000-000025120000}"/>
    <cellStyle name="Currency 2 2 9 18" xfId="4647" xr:uid="{00000000-0005-0000-0000-000026120000}"/>
    <cellStyle name="Currency 2 2 9 19" xfId="4648" xr:uid="{00000000-0005-0000-0000-000027120000}"/>
    <cellStyle name="Currency 2 2 9 2" xfId="4649" xr:uid="{00000000-0005-0000-0000-000028120000}"/>
    <cellStyle name="Currency 2 2 9 2 2" xfId="4650" xr:uid="{00000000-0005-0000-0000-000029120000}"/>
    <cellStyle name="Currency 2 2 9 2 3" xfId="4651" xr:uid="{00000000-0005-0000-0000-00002A120000}"/>
    <cellStyle name="Currency 2 2 9 2 4" xfId="4652" xr:uid="{00000000-0005-0000-0000-00002B120000}"/>
    <cellStyle name="Currency 2 2 9 2 5" xfId="4653" xr:uid="{00000000-0005-0000-0000-00002C120000}"/>
    <cellStyle name="Currency 2 2 9 2 6" xfId="4654" xr:uid="{00000000-0005-0000-0000-00002D120000}"/>
    <cellStyle name="Currency 2 2 9 20" xfId="4655" xr:uid="{00000000-0005-0000-0000-00002E120000}"/>
    <cellStyle name="Currency 2 2 9 21" xfId="4656" xr:uid="{00000000-0005-0000-0000-00002F120000}"/>
    <cellStyle name="Currency 2 2 9 22" xfId="4657" xr:uid="{00000000-0005-0000-0000-000030120000}"/>
    <cellStyle name="Currency 2 2 9 23" xfId="4658" xr:uid="{00000000-0005-0000-0000-000031120000}"/>
    <cellStyle name="Currency 2 2 9 24" xfId="4659" xr:uid="{00000000-0005-0000-0000-000032120000}"/>
    <cellStyle name="Currency 2 2 9 25" xfId="4660" xr:uid="{00000000-0005-0000-0000-000033120000}"/>
    <cellStyle name="Currency 2 2 9 26" xfId="4661" xr:uid="{00000000-0005-0000-0000-000034120000}"/>
    <cellStyle name="Currency 2 2 9 27" xfId="4662" xr:uid="{00000000-0005-0000-0000-000035120000}"/>
    <cellStyle name="Currency 2 2 9 28" xfId="4663" xr:uid="{00000000-0005-0000-0000-000036120000}"/>
    <cellStyle name="Currency 2 2 9 29" xfId="4664" xr:uid="{00000000-0005-0000-0000-000037120000}"/>
    <cellStyle name="Currency 2 2 9 3" xfId="4665" xr:uid="{00000000-0005-0000-0000-000038120000}"/>
    <cellStyle name="Currency 2 2 9 30" xfId="4666" xr:uid="{00000000-0005-0000-0000-000039120000}"/>
    <cellStyle name="Currency 2 2 9 31" xfId="4667" xr:uid="{00000000-0005-0000-0000-00003A120000}"/>
    <cellStyle name="Currency 2 2 9 32" xfId="4668" xr:uid="{00000000-0005-0000-0000-00003B120000}"/>
    <cellStyle name="Currency 2 2 9 33" xfId="4669" xr:uid="{00000000-0005-0000-0000-00003C120000}"/>
    <cellStyle name="Currency 2 2 9 4" xfId="4670" xr:uid="{00000000-0005-0000-0000-00003D120000}"/>
    <cellStyle name="Currency 2 2 9 5" xfId="4671" xr:uid="{00000000-0005-0000-0000-00003E120000}"/>
    <cellStyle name="Currency 2 2 9 6" xfId="4672" xr:uid="{00000000-0005-0000-0000-00003F120000}"/>
    <cellStyle name="Currency 2 2 9 7" xfId="4673" xr:uid="{00000000-0005-0000-0000-000040120000}"/>
    <cellStyle name="Currency 2 2 9 8" xfId="4674" xr:uid="{00000000-0005-0000-0000-000041120000}"/>
    <cellStyle name="Currency 2 2 9 9" xfId="4675" xr:uid="{00000000-0005-0000-0000-000042120000}"/>
    <cellStyle name="Currency 2 20" xfId="4676" xr:uid="{00000000-0005-0000-0000-000043120000}"/>
    <cellStyle name="Currency 2 21" xfId="4677" xr:uid="{00000000-0005-0000-0000-000044120000}"/>
    <cellStyle name="Currency 2 22" xfId="4678" xr:uid="{00000000-0005-0000-0000-000045120000}"/>
    <cellStyle name="Currency 2 23" xfId="4679" xr:uid="{00000000-0005-0000-0000-000046120000}"/>
    <cellStyle name="Currency 2 24" xfId="4680" xr:uid="{00000000-0005-0000-0000-000047120000}"/>
    <cellStyle name="Currency 2 25" xfId="4681" xr:uid="{00000000-0005-0000-0000-000048120000}"/>
    <cellStyle name="Currency 2 26" xfId="4682" xr:uid="{00000000-0005-0000-0000-000049120000}"/>
    <cellStyle name="Currency 2 27" xfId="4683" xr:uid="{00000000-0005-0000-0000-00004A120000}"/>
    <cellStyle name="Currency 2 28" xfId="4684" xr:uid="{00000000-0005-0000-0000-00004B120000}"/>
    <cellStyle name="Currency 2 29" xfId="4685" xr:uid="{00000000-0005-0000-0000-00004C120000}"/>
    <cellStyle name="Currency 2 3" xfId="4686" xr:uid="{00000000-0005-0000-0000-00004D120000}"/>
    <cellStyle name="Currency 2 3 10" xfId="4687" xr:uid="{00000000-0005-0000-0000-00004E120000}"/>
    <cellStyle name="Currency 2 3 11" xfId="4688" xr:uid="{00000000-0005-0000-0000-00004F120000}"/>
    <cellStyle name="Currency 2 3 11 2" xfId="4689" xr:uid="{00000000-0005-0000-0000-000050120000}"/>
    <cellStyle name="Currency 2 3 11 3" xfId="4690" xr:uid="{00000000-0005-0000-0000-000051120000}"/>
    <cellStyle name="Currency 2 3 11 4" xfId="4691" xr:uid="{00000000-0005-0000-0000-000052120000}"/>
    <cellStyle name="Currency 2 3 11 5" xfId="4692" xr:uid="{00000000-0005-0000-0000-000053120000}"/>
    <cellStyle name="Currency 2 3 11 6" xfId="4693" xr:uid="{00000000-0005-0000-0000-000054120000}"/>
    <cellStyle name="Currency 2 3 12" xfId="4694" xr:uid="{00000000-0005-0000-0000-000055120000}"/>
    <cellStyle name="Currency 2 3 13" xfId="4695" xr:uid="{00000000-0005-0000-0000-000056120000}"/>
    <cellStyle name="Currency 2 3 14" xfId="4696" xr:uid="{00000000-0005-0000-0000-000057120000}"/>
    <cellStyle name="Currency 2 3 15" xfId="4697" xr:uid="{00000000-0005-0000-0000-000058120000}"/>
    <cellStyle name="Currency 2 3 16" xfId="4698" xr:uid="{00000000-0005-0000-0000-000059120000}"/>
    <cellStyle name="Currency 2 3 17" xfId="4699" xr:uid="{00000000-0005-0000-0000-00005A120000}"/>
    <cellStyle name="Currency 2 3 18" xfId="4700" xr:uid="{00000000-0005-0000-0000-00005B120000}"/>
    <cellStyle name="Currency 2 3 19" xfId="4701" xr:uid="{00000000-0005-0000-0000-00005C120000}"/>
    <cellStyle name="Currency 2 3 2" xfId="4702" xr:uid="{00000000-0005-0000-0000-00005D120000}"/>
    <cellStyle name="Currency 2 3 2 10" xfId="4703" xr:uid="{00000000-0005-0000-0000-00005E120000}"/>
    <cellStyle name="Currency 2 3 2 10 2" xfId="4704" xr:uid="{00000000-0005-0000-0000-00005F120000}"/>
    <cellStyle name="Currency 2 3 2 10 3" xfId="4705" xr:uid="{00000000-0005-0000-0000-000060120000}"/>
    <cellStyle name="Currency 2 3 2 10 4" xfId="4706" xr:uid="{00000000-0005-0000-0000-000061120000}"/>
    <cellStyle name="Currency 2 3 2 10 5" xfId="4707" xr:uid="{00000000-0005-0000-0000-000062120000}"/>
    <cellStyle name="Currency 2 3 2 10 6" xfId="4708" xr:uid="{00000000-0005-0000-0000-000063120000}"/>
    <cellStyle name="Currency 2 3 2 11" xfId="4709" xr:uid="{00000000-0005-0000-0000-000064120000}"/>
    <cellStyle name="Currency 2 3 2 12" xfId="4710" xr:uid="{00000000-0005-0000-0000-000065120000}"/>
    <cellStyle name="Currency 2 3 2 13" xfId="4711" xr:uid="{00000000-0005-0000-0000-000066120000}"/>
    <cellStyle name="Currency 2 3 2 14" xfId="4712" xr:uid="{00000000-0005-0000-0000-000067120000}"/>
    <cellStyle name="Currency 2 3 2 15" xfId="4713" xr:uid="{00000000-0005-0000-0000-000068120000}"/>
    <cellStyle name="Currency 2 3 2 16" xfId="4714" xr:uid="{00000000-0005-0000-0000-000069120000}"/>
    <cellStyle name="Currency 2 3 2 17" xfId="4715" xr:uid="{00000000-0005-0000-0000-00006A120000}"/>
    <cellStyle name="Currency 2 3 2 18" xfId="4716" xr:uid="{00000000-0005-0000-0000-00006B120000}"/>
    <cellStyle name="Currency 2 3 2 19" xfId="4717" xr:uid="{00000000-0005-0000-0000-00006C120000}"/>
    <cellStyle name="Currency 2 3 2 2" xfId="4718" xr:uid="{00000000-0005-0000-0000-00006D120000}"/>
    <cellStyle name="Currency 2 3 2 2 10" xfId="4719" xr:uid="{00000000-0005-0000-0000-00006E120000}"/>
    <cellStyle name="Currency 2 3 2 2 11" xfId="4720" xr:uid="{00000000-0005-0000-0000-00006F120000}"/>
    <cellStyle name="Currency 2 3 2 2 12" xfId="4721" xr:uid="{00000000-0005-0000-0000-000070120000}"/>
    <cellStyle name="Currency 2 3 2 2 13" xfId="4722" xr:uid="{00000000-0005-0000-0000-000071120000}"/>
    <cellStyle name="Currency 2 3 2 2 14" xfId="4723" xr:uid="{00000000-0005-0000-0000-000072120000}"/>
    <cellStyle name="Currency 2 3 2 2 15" xfId="4724" xr:uid="{00000000-0005-0000-0000-000073120000}"/>
    <cellStyle name="Currency 2 3 2 2 16" xfId="4725" xr:uid="{00000000-0005-0000-0000-000074120000}"/>
    <cellStyle name="Currency 2 3 2 2 17" xfId="4726" xr:uid="{00000000-0005-0000-0000-000075120000}"/>
    <cellStyle name="Currency 2 3 2 2 18" xfId="4727" xr:uid="{00000000-0005-0000-0000-000076120000}"/>
    <cellStyle name="Currency 2 3 2 2 19" xfId="4728" xr:uid="{00000000-0005-0000-0000-000077120000}"/>
    <cellStyle name="Currency 2 3 2 2 2" xfId="4729" xr:uid="{00000000-0005-0000-0000-000078120000}"/>
    <cellStyle name="Currency 2 3 2 2 2 2" xfId="4730" xr:uid="{00000000-0005-0000-0000-000079120000}"/>
    <cellStyle name="Currency 2 3 2 2 2 3" xfId="4731" xr:uid="{00000000-0005-0000-0000-00007A120000}"/>
    <cellStyle name="Currency 2 3 2 2 2 4" xfId="4732" xr:uid="{00000000-0005-0000-0000-00007B120000}"/>
    <cellStyle name="Currency 2 3 2 2 2 5" xfId="4733" xr:uid="{00000000-0005-0000-0000-00007C120000}"/>
    <cellStyle name="Currency 2 3 2 2 2 6" xfId="4734" xr:uid="{00000000-0005-0000-0000-00007D120000}"/>
    <cellStyle name="Currency 2 3 2 2 20" xfId="4735" xr:uid="{00000000-0005-0000-0000-00007E120000}"/>
    <cellStyle name="Currency 2 3 2 2 21" xfId="4736" xr:uid="{00000000-0005-0000-0000-00007F120000}"/>
    <cellStyle name="Currency 2 3 2 2 22" xfId="4737" xr:uid="{00000000-0005-0000-0000-000080120000}"/>
    <cellStyle name="Currency 2 3 2 2 23" xfId="4738" xr:uid="{00000000-0005-0000-0000-000081120000}"/>
    <cellStyle name="Currency 2 3 2 2 24" xfId="4739" xr:uid="{00000000-0005-0000-0000-000082120000}"/>
    <cellStyle name="Currency 2 3 2 2 25" xfId="4740" xr:uid="{00000000-0005-0000-0000-000083120000}"/>
    <cellStyle name="Currency 2 3 2 2 26" xfId="4741" xr:uid="{00000000-0005-0000-0000-000084120000}"/>
    <cellStyle name="Currency 2 3 2 2 27" xfId="4742" xr:uid="{00000000-0005-0000-0000-000085120000}"/>
    <cellStyle name="Currency 2 3 2 2 28" xfId="4743" xr:uid="{00000000-0005-0000-0000-000086120000}"/>
    <cellStyle name="Currency 2 3 2 2 29" xfId="4744" xr:uid="{00000000-0005-0000-0000-000087120000}"/>
    <cellStyle name="Currency 2 3 2 2 3" xfId="4745" xr:uid="{00000000-0005-0000-0000-000088120000}"/>
    <cellStyle name="Currency 2 3 2 2 30" xfId="4746" xr:uid="{00000000-0005-0000-0000-000089120000}"/>
    <cellStyle name="Currency 2 3 2 2 31" xfId="4747" xr:uid="{00000000-0005-0000-0000-00008A120000}"/>
    <cellStyle name="Currency 2 3 2 2 32" xfId="4748" xr:uid="{00000000-0005-0000-0000-00008B120000}"/>
    <cellStyle name="Currency 2 3 2 2 33" xfId="4749" xr:uid="{00000000-0005-0000-0000-00008C120000}"/>
    <cellStyle name="Currency 2 3 2 2 4" xfId="4750" xr:uid="{00000000-0005-0000-0000-00008D120000}"/>
    <cellStyle name="Currency 2 3 2 2 5" xfId="4751" xr:uid="{00000000-0005-0000-0000-00008E120000}"/>
    <cellStyle name="Currency 2 3 2 2 6" xfId="4752" xr:uid="{00000000-0005-0000-0000-00008F120000}"/>
    <cellStyle name="Currency 2 3 2 2 7" xfId="4753" xr:uid="{00000000-0005-0000-0000-000090120000}"/>
    <cellStyle name="Currency 2 3 2 2 8" xfId="4754" xr:uid="{00000000-0005-0000-0000-000091120000}"/>
    <cellStyle name="Currency 2 3 2 2 9" xfId="4755" xr:uid="{00000000-0005-0000-0000-000092120000}"/>
    <cellStyle name="Currency 2 3 2 20" xfId="4756" xr:uid="{00000000-0005-0000-0000-000093120000}"/>
    <cellStyle name="Currency 2 3 2 21" xfId="4757" xr:uid="{00000000-0005-0000-0000-000094120000}"/>
    <cellStyle name="Currency 2 3 2 22" xfId="4758" xr:uid="{00000000-0005-0000-0000-000095120000}"/>
    <cellStyle name="Currency 2 3 2 23" xfId="4759" xr:uid="{00000000-0005-0000-0000-000096120000}"/>
    <cellStyle name="Currency 2 3 2 24" xfId="4760" xr:uid="{00000000-0005-0000-0000-000097120000}"/>
    <cellStyle name="Currency 2 3 2 25" xfId="4761" xr:uid="{00000000-0005-0000-0000-000098120000}"/>
    <cellStyle name="Currency 2 3 2 26" xfId="4762" xr:uid="{00000000-0005-0000-0000-000099120000}"/>
    <cellStyle name="Currency 2 3 2 27" xfId="4763" xr:uid="{00000000-0005-0000-0000-00009A120000}"/>
    <cellStyle name="Currency 2 3 2 28" xfId="4764" xr:uid="{00000000-0005-0000-0000-00009B120000}"/>
    <cellStyle name="Currency 2 3 2 29" xfId="4765" xr:uid="{00000000-0005-0000-0000-00009C120000}"/>
    <cellStyle name="Currency 2 3 2 3" xfId="4766" xr:uid="{00000000-0005-0000-0000-00009D120000}"/>
    <cellStyle name="Currency 2 3 2 30" xfId="4767" xr:uid="{00000000-0005-0000-0000-00009E120000}"/>
    <cellStyle name="Currency 2 3 2 31" xfId="4768" xr:uid="{00000000-0005-0000-0000-00009F120000}"/>
    <cellStyle name="Currency 2 3 2 32" xfId="4769" xr:uid="{00000000-0005-0000-0000-0000A0120000}"/>
    <cellStyle name="Currency 2 3 2 33" xfId="4770" xr:uid="{00000000-0005-0000-0000-0000A1120000}"/>
    <cellStyle name="Currency 2 3 2 34" xfId="4771" xr:uid="{00000000-0005-0000-0000-0000A2120000}"/>
    <cellStyle name="Currency 2 3 2 35" xfId="4772" xr:uid="{00000000-0005-0000-0000-0000A3120000}"/>
    <cellStyle name="Currency 2 3 2 36" xfId="4773" xr:uid="{00000000-0005-0000-0000-0000A4120000}"/>
    <cellStyle name="Currency 2 3 2 37" xfId="4774" xr:uid="{00000000-0005-0000-0000-0000A5120000}"/>
    <cellStyle name="Currency 2 3 2 38" xfId="4775" xr:uid="{00000000-0005-0000-0000-0000A6120000}"/>
    <cellStyle name="Currency 2 3 2 39" xfId="4776" xr:uid="{00000000-0005-0000-0000-0000A7120000}"/>
    <cellStyle name="Currency 2 3 2 4" xfId="4777" xr:uid="{00000000-0005-0000-0000-0000A8120000}"/>
    <cellStyle name="Currency 2 3 2 40" xfId="4778" xr:uid="{00000000-0005-0000-0000-0000A9120000}"/>
    <cellStyle name="Currency 2 3 2 5" xfId="4779" xr:uid="{00000000-0005-0000-0000-0000AA120000}"/>
    <cellStyle name="Currency 2 3 2 6" xfId="4780" xr:uid="{00000000-0005-0000-0000-0000AB120000}"/>
    <cellStyle name="Currency 2 3 2 7" xfId="4781" xr:uid="{00000000-0005-0000-0000-0000AC120000}"/>
    <cellStyle name="Currency 2 3 2 8" xfId="4782" xr:uid="{00000000-0005-0000-0000-0000AD120000}"/>
    <cellStyle name="Currency 2 3 2 9" xfId="4783" xr:uid="{00000000-0005-0000-0000-0000AE120000}"/>
    <cellStyle name="Currency 2 3 20" xfId="4784" xr:uid="{00000000-0005-0000-0000-0000AF120000}"/>
    <cellStyle name="Currency 2 3 21" xfId="4785" xr:uid="{00000000-0005-0000-0000-0000B0120000}"/>
    <cellStyle name="Currency 2 3 22" xfId="4786" xr:uid="{00000000-0005-0000-0000-0000B1120000}"/>
    <cellStyle name="Currency 2 3 23" xfId="4787" xr:uid="{00000000-0005-0000-0000-0000B2120000}"/>
    <cellStyle name="Currency 2 3 24" xfId="4788" xr:uid="{00000000-0005-0000-0000-0000B3120000}"/>
    <cellStyle name="Currency 2 3 25" xfId="4789" xr:uid="{00000000-0005-0000-0000-0000B4120000}"/>
    <cellStyle name="Currency 2 3 26" xfId="4790" xr:uid="{00000000-0005-0000-0000-0000B5120000}"/>
    <cellStyle name="Currency 2 3 27" xfId="4791" xr:uid="{00000000-0005-0000-0000-0000B6120000}"/>
    <cellStyle name="Currency 2 3 28" xfId="4792" xr:uid="{00000000-0005-0000-0000-0000B7120000}"/>
    <cellStyle name="Currency 2 3 29" xfId="4793" xr:uid="{00000000-0005-0000-0000-0000B8120000}"/>
    <cellStyle name="Currency 2 3 3" xfId="4794" xr:uid="{00000000-0005-0000-0000-0000B9120000}"/>
    <cellStyle name="Currency 2 3 30" xfId="4795" xr:uid="{00000000-0005-0000-0000-0000BA120000}"/>
    <cellStyle name="Currency 2 3 31" xfId="4796" xr:uid="{00000000-0005-0000-0000-0000BB120000}"/>
    <cellStyle name="Currency 2 3 32" xfId="4797" xr:uid="{00000000-0005-0000-0000-0000BC120000}"/>
    <cellStyle name="Currency 2 3 33" xfId="4798" xr:uid="{00000000-0005-0000-0000-0000BD120000}"/>
    <cellStyle name="Currency 2 3 34" xfId="4799" xr:uid="{00000000-0005-0000-0000-0000BE120000}"/>
    <cellStyle name="Currency 2 3 35" xfId="4800" xr:uid="{00000000-0005-0000-0000-0000BF120000}"/>
    <cellStyle name="Currency 2 3 36" xfId="4801" xr:uid="{00000000-0005-0000-0000-0000C0120000}"/>
    <cellStyle name="Currency 2 3 37" xfId="4802" xr:uid="{00000000-0005-0000-0000-0000C1120000}"/>
    <cellStyle name="Currency 2 3 38" xfId="4803" xr:uid="{00000000-0005-0000-0000-0000C2120000}"/>
    <cellStyle name="Currency 2 3 39" xfId="4804" xr:uid="{00000000-0005-0000-0000-0000C3120000}"/>
    <cellStyle name="Currency 2 3 4" xfId="4805" xr:uid="{00000000-0005-0000-0000-0000C4120000}"/>
    <cellStyle name="Currency 2 3 4 10" xfId="4806" xr:uid="{00000000-0005-0000-0000-0000C5120000}"/>
    <cellStyle name="Currency 2 3 4 11" xfId="4807" xr:uid="{00000000-0005-0000-0000-0000C6120000}"/>
    <cellStyle name="Currency 2 3 4 12" xfId="4808" xr:uid="{00000000-0005-0000-0000-0000C7120000}"/>
    <cellStyle name="Currency 2 3 4 13" xfId="4809" xr:uid="{00000000-0005-0000-0000-0000C8120000}"/>
    <cellStyle name="Currency 2 3 4 14" xfId="4810" xr:uid="{00000000-0005-0000-0000-0000C9120000}"/>
    <cellStyle name="Currency 2 3 4 15" xfId="4811" xr:uid="{00000000-0005-0000-0000-0000CA120000}"/>
    <cellStyle name="Currency 2 3 4 16" xfId="4812" xr:uid="{00000000-0005-0000-0000-0000CB120000}"/>
    <cellStyle name="Currency 2 3 4 17" xfId="4813" xr:uid="{00000000-0005-0000-0000-0000CC120000}"/>
    <cellStyle name="Currency 2 3 4 18" xfId="4814" xr:uid="{00000000-0005-0000-0000-0000CD120000}"/>
    <cellStyle name="Currency 2 3 4 19" xfId="4815" xr:uid="{00000000-0005-0000-0000-0000CE120000}"/>
    <cellStyle name="Currency 2 3 4 2" xfId="4816" xr:uid="{00000000-0005-0000-0000-0000CF120000}"/>
    <cellStyle name="Currency 2 3 4 2 2" xfId="4817" xr:uid="{00000000-0005-0000-0000-0000D0120000}"/>
    <cellStyle name="Currency 2 3 4 2 3" xfId="4818" xr:uid="{00000000-0005-0000-0000-0000D1120000}"/>
    <cellStyle name="Currency 2 3 4 2 4" xfId="4819" xr:uid="{00000000-0005-0000-0000-0000D2120000}"/>
    <cellStyle name="Currency 2 3 4 2 5" xfId="4820" xr:uid="{00000000-0005-0000-0000-0000D3120000}"/>
    <cellStyle name="Currency 2 3 4 2 6" xfId="4821" xr:uid="{00000000-0005-0000-0000-0000D4120000}"/>
    <cellStyle name="Currency 2 3 4 20" xfId="4822" xr:uid="{00000000-0005-0000-0000-0000D5120000}"/>
    <cellStyle name="Currency 2 3 4 21" xfId="4823" xr:uid="{00000000-0005-0000-0000-0000D6120000}"/>
    <cellStyle name="Currency 2 3 4 22" xfId="4824" xr:uid="{00000000-0005-0000-0000-0000D7120000}"/>
    <cellStyle name="Currency 2 3 4 23" xfId="4825" xr:uid="{00000000-0005-0000-0000-0000D8120000}"/>
    <cellStyle name="Currency 2 3 4 24" xfId="4826" xr:uid="{00000000-0005-0000-0000-0000D9120000}"/>
    <cellStyle name="Currency 2 3 4 25" xfId="4827" xr:uid="{00000000-0005-0000-0000-0000DA120000}"/>
    <cellStyle name="Currency 2 3 4 26" xfId="4828" xr:uid="{00000000-0005-0000-0000-0000DB120000}"/>
    <cellStyle name="Currency 2 3 4 27" xfId="4829" xr:uid="{00000000-0005-0000-0000-0000DC120000}"/>
    <cellStyle name="Currency 2 3 4 28" xfId="4830" xr:uid="{00000000-0005-0000-0000-0000DD120000}"/>
    <cellStyle name="Currency 2 3 4 29" xfId="4831" xr:uid="{00000000-0005-0000-0000-0000DE120000}"/>
    <cellStyle name="Currency 2 3 4 3" xfId="4832" xr:uid="{00000000-0005-0000-0000-0000DF120000}"/>
    <cellStyle name="Currency 2 3 4 30" xfId="4833" xr:uid="{00000000-0005-0000-0000-0000E0120000}"/>
    <cellStyle name="Currency 2 3 4 31" xfId="4834" xr:uid="{00000000-0005-0000-0000-0000E1120000}"/>
    <cellStyle name="Currency 2 3 4 32" xfId="4835" xr:uid="{00000000-0005-0000-0000-0000E2120000}"/>
    <cellStyle name="Currency 2 3 4 33" xfId="4836" xr:uid="{00000000-0005-0000-0000-0000E3120000}"/>
    <cellStyle name="Currency 2 3 4 4" xfId="4837" xr:uid="{00000000-0005-0000-0000-0000E4120000}"/>
    <cellStyle name="Currency 2 3 4 5" xfId="4838" xr:uid="{00000000-0005-0000-0000-0000E5120000}"/>
    <cellStyle name="Currency 2 3 4 6" xfId="4839" xr:uid="{00000000-0005-0000-0000-0000E6120000}"/>
    <cellStyle name="Currency 2 3 4 7" xfId="4840" xr:uid="{00000000-0005-0000-0000-0000E7120000}"/>
    <cellStyle name="Currency 2 3 4 8" xfId="4841" xr:uid="{00000000-0005-0000-0000-0000E8120000}"/>
    <cellStyle name="Currency 2 3 4 9" xfId="4842" xr:uid="{00000000-0005-0000-0000-0000E9120000}"/>
    <cellStyle name="Currency 2 3 40" xfId="4843" xr:uid="{00000000-0005-0000-0000-0000EA120000}"/>
    <cellStyle name="Currency 2 3 41" xfId="4844" xr:uid="{00000000-0005-0000-0000-0000EB120000}"/>
    <cellStyle name="Currency 2 3 5" xfId="4845" xr:uid="{00000000-0005-0000-0000-0000EC120000}"/>
    <cellStyle name="Currency 2 3 6" xfId="4846" xr:uid="{00000000-0005-0000-0000-0000ED120000}"/>
    <cellStyle name="Currency 2 3 7" xfId="4847" xr:uid="{00000000-0005-0000-0000-0000EE120000}"/>
    <cellStyle name="Currency 2 3 8" xfId="4848" xr:uid="{00000000-0005-0000-0000-0000EF120000}"/>
    <cellStyle name="Currency 2 3 9" xfId="4849" xr:uid="{00000000-0005-0000-0000-0000F0120000}"/>
    <cellStyle name="Currency 2 30" xfId="4850" xr:uid="{00000000-0005-0000-0000-0000F1120000}"/>
    <cellStyle name="Currency 2 31" xfId="4851" xr:uid="{00000000-0005-0000-0000-0000F2120000}"/>
    <cellStyle name="Currency 2 32" xfId="4852" xr:uid="{00000000-0005-0000-0000-0000F3120000}"/>
    <cellStyle name="Currency 2 33" xfId="4853" xr:uid="{00000000-0005-0000-0000-0000F4120000}"/>
    <cellStyle name="Currency 2 34" xfId="4854" xr:uid="{00000000-0005-0000-0000-0000F5120000}"/>
    <cellStyle name="Currency 2 35" xfId="4855" xr:uid="{00000000-0005-0000-0000-0000F6120000}"/>
    <cellStyle name="Currency 2 36" xfId="4856" xr:uid="{00000000-0005-0000-0000-0000F7120000}"/>
    <cellStyle name="Currency 2 4" xfId="4857" xr:uid="{00000000-0005-0000-0000-0000F8120000}"/>
    <cellStyle name="Currency 2 5" xfId="4858" xr:uid="{00000000-0005-0000-0000-0000F9120000}"/>
    <cellStyle name="Currency 2 6" xfId="4859" xr:uid="{00000000-0005-0000-0000-0000FA120000}"/>
    <cellStyle name="Currency 2 7" xfId="4860" xr:uid="{00000000-0005-0000-0000-0000FB120000}"/>
    <cellStyle name="Currency 2 8" xfId="4861" xr:uid="{00000000-0005-0000-0000-0000FC120000}"/>
    <cellStyle name="Currency 2 9" xfId="4862" xr:uid="{00000000-0005-0000-0000-0000FD120000}"/>
    <cellStyle name="Currency 20" xfId="4863" xr:uid="{00000000-0005-0000-0000-0000FE120000}"/>
    <cellStyle name="Currency 3" xfId="4864" xr:uid="{00000000-0005-0000-0000-0000FF120000}"/>
    <cellStyle name="Currency 3 2" xfId="4865" xr:uid="{00000000-0005-0000-0000-000000130000}"/>
    <cellStyle name="Currency 4" xfId="4866" xr:uid="{00000000-0005-0000-0000-000001130000}"/>
    <cellStyle name="Currency 4 10" xfId="4867" xr:uid="{00000000-0005-0000-0000-000002130000}"/>
    <cellStyle name="Currency 4 11" xfId="4868" xr:uid="{00000000-0005-0000-0000-000003130000}"/>
    <cellStyle name="Currency 4 12" xfId="4869" xr:uid="{00000000-0005-0000-0000-000004130000}"/>
    <cellStyle name="Currency 4 13" xfId="4870" xr:uid="{00000000-0005-0000-0000-000005130000}"/>
    <cellStyle name="Currency 4 14" xfId="4871" xr:uid="{00000000-0005-0000-0000-000006130000}"/>
    <cellStyle name="Currency 4 2" xfId="4872" xr:uid="{00000000-0005-0000-0000-000007130000}"/>
    <cellStyle name="Currency 4 2 2" xfId="4873" xr:uid="{00000000-0005-0000-0000-000008130000}"/>
    <cellStyle name="Currency 4 2 3" xfId="4874" xr:uid="{00000000-0005-0000-0000-000009130000}"/>
    <cellStyle name="Currency 4 2 4" xfId="4875" xr:uid="{00000000-0005-0000-0000-00000A130000}"/>
    <cellStyle name="Currency 4 2 5" xfId="4876" xr:uid="{00000000-0005-0000-0000-00000B130000}"/>
    <cellStyle name="Currency 4 2 6" xfId="4877" xr:uid="{00000000-0005-0000-0000-00000C130000}"/>
    <cellStyle name="Currency 4 3" xfId="4878" xr:uid="{00000000-0005-0000-0000-00000D130000}"/>
    <cellStyle name="Currency 4 3 2" xfId="4879" xr:uid="{00000000-0005-0000-0000-00000E130000}"/>
    <cellStyle name="Currency 4 3 3" xfId="4880" xr:uid="{00000000-0005-0000-0000-00000F130000}"/>
    <cellStyle name="Currency 4 3 4" xfId="4881" xr:uid="{00000000-0005-0000-0000-000010130000}"/>
    <cellStyle name="Currency 4 3 5" xfId="4882" xr:uid="{00000000-0005-0000-0000-000011130000}"/>
    <cellStyle name="Currency 4 3 6" xfId="4883" xr:uid="{00000000-0005-0000-0000-000012130000}"/>
    <cellStyle name="Currency 4 4" xfId="4884" xr:uid="{00000000-0005-0000-0000-000013130000}"/>
    <cellStyle name="Currency 4 4 2" xfId="4885" xr:uid="{00000000-0005-0000-0000-000014130000}"/>
    <cellStyle name="Currency 4 4 3" xfId="4886" xr:uid="{00000000-0005-0000-0000-000015130000}"/>
    <cellStyle name="Currency 4 4 4" xfId="4887" xr:uid="{00000000-0005-0000-0000-000016130000}"/>
    <cellStyle name="Currency 4 4 5" xfId="4888" xr:uid="{00000000-0005-0000-0000-000017130000}"/>
    <cellStyle name="Currency 4 4 6" xfId="4889" xr:uid="{00000000-0005-0000-0000-000018130000}"/>
    <cellStyle name="Currency 4 5" xfId="4890" xr:uid="{00000000-0005-0000-0000-000019130000}"/>
    <cellStyle name="Currency 4 5 2" xfId="4891" xr:uid="{00000000-0005-0000-0000-00001A130000}"/>
    <cellStyle name="Currency 4 5 3" xfId="4892" xr:uid="{00000000-0005-0000-0000-00001B130000}"/>
    <cellStyle name="Currency 4 5 4" xfId="4893" xr:uid="{00000000-0005-0000-0000-00001C130000}"/>
    <cellStyle name="Currency 4 5 5" xfId="4894" xr:uid="{00000000-0005-0000-0000-00001D130000}"/>
    <cellStyle name="Currency 4 5 6" xfId="4895" xr:uid="{00000000-0005-0000-0000-00001E130000}"/>
    <cellStyle name="Currency 4 6" xfId="4896" xr:uid="{00000000-0005-0000-0000-00001F130000}"/>
    <cellStyle name="Currency 4 6 2" xfId="4897" xr:uid="{00000000-0005-0000-0000-000020130000}"/>
    <cellStyle name="Currency 4 6 3" xfId="4898" xr:uid="{00000000-0005-0000-0000-000021130000}"/>
    <cellStyle name="Currency 4 6 4" xfId="4899" xr:uid="{00000000-0005-0000-0000-000022130000}"/>
    <cellStyle name="Currency 4 6 5" xfId="4900" xr:uid="{00000000-0005-0000-0000-000023130000}"/>
    <cellStyle name="Currency 4 6 6" xfId="4901" xr:uid="{00000000-0005-0000-0000-000024130000}"/>
    <cellStyle name="Currency 4 7" xfId="4902" xr:uid="{00000000-0005-0000-0000-000025130000}"/>
    <cellStyle name="Currency 4 7 2" xfId="4903" xr:uid="{00000000-0005-0000-0000-000026130000}"/>
    <cellStyle name="Currency 4 7 3" xfId="4904" xr:uid="{00000000-0005-0000-0000-000027130000}"/>
    <cellStyle name="Currency 4 7 4" xfId="4905" xr:uid="{00000000-0005-0000-0000-000028130000}"/>
    <cellStyle name="Currency 4 7 5" xfId="4906" xr:uid="{00000000-0005-0000-0000-000029130000}"/>
    <cellStyle name="Currency 4 7 6" xfId="4907" xr:uid="{00000000-0005-0000-0000-00002A130000}"/>
    <cellStyle name="Currency 4 8" xfId="4908" xr:uid="{00000000-0005-0000-0000-00002B130000}"/>
    <cellStyle name="Currency 4 8 2" xfId="4909" xr:uid="{00000000-0005-0000-0000-00002C130000}"/>
    <cellStyle name="Currency 4 8 3" xfId="4910" xr:uid="{00000000-0005-0000-0000-00002D130000}"/>
    <cellStyle name="Currency 4 8 4" xfId="4911" xr:uid="{00000000-0005-0000-0000-00002E130000}"/>
    <cellStyle name="Currency 4 8 5" xfId="4912" xr:uid="{00000000-0005-0000-0000-00002F130000}"/>
    <cellStyle name="Currency 4 8 6" xfId="4913" xr:uid="{00000000-0005-0000-0000-000030130000}"/>
    <cellStyle name="Currency 4 9" xfId="4914" xr:uid="{00000000-0005-0000-0000-000031130000}"/>
    <cellStyle name="Currency 4 9 2" xfId="4915" xr:uid="{00000000-0005-0000-0000-000032130000}"/>
    <cellStyle name="Currency 4 9 3" xfId="4916" xr:uid="{00000000-0005-0000-0000-000033130000}"/>
    <cellStyle name="Currency 4 9 4" xfId="4917" xr:uid="{00000000-0005-0000-0000-000034130000}"/>
    <cellStyle name="Currency 4 9 5" xfId="4918" xr:uid="{00000000-0005-0000-0000-000035130000}"/>
    <cellStyle name="Currency 4 9 6" xfId="4919" xr:uid="{00000000-0005-0000-0000-000036130000}"/>
    <cellStyle name="Currency 5" xfId="4920" xr:uid="{00000000-0005-0000-0000-000037130000}"/>
    <cellStyle name="Currency 5 10" xfId="4921" xr:uid="{00000000-0005-0000-0000-000038130000}"/>
    <cellStyle name="Currency 5 11" xfId="4922" xr:uid="{00000000-0005-0000-0000-000039130000}"/>
    <cellStyle name="Currency 5 12" xfId="4923" xr:uid="{00000000-0005-0000-0000-00003A130000}"/>
    <cellStyle name="Currency 5 13" xfId="4924" xr:uid="{00000000-0005-0000-0000-00003B130000}"/>
    <cellStyle name="Currency 5 14" xfId="4925" xr:uid="{00000000-0005-0000-0000-00003C130000}"/>
    <cellStyle name="Currency 5 2" xfId="4926" xr:uid="{00000000-0005-0000-0000-00003D130000}"/>
    <cellStyle name="Currency 5 2 2" xfId="4927" xr:uid="{00000000-0005-0000-0000-00003E130000}"/>
    <cellStyle name="Currency 5 2 3" xfId="4928" xr:uid="{00000000-0005-0000-0000-00003F130000}"/>
    <cellStyle name="Currency 5 2 4" xfId="4929" xr:uid="{00000000-0005-0000-0000-000040130000}"/>
    <cellStyle name="Currency 5 2 5" xfId="4930" xr:uid="{00000000-0005-0000-0000-000041130000}"/>
    <cellStyle name="Currency 5 2 6" xfId="4931" xr:uid="{00000000-0005-0000-0000-000042130000}"/>
    <cellStyle name="Currency 5 3" xfId="4932" xr:uid="{00000000-0005-0000-0000-000043130000}"/>
    <cellStyle name="Currency 5 3 2" xfId="4933" xr:uid="{00000000-0005-0000-0000-000044130000}"/>
    <cellStyle name="Currency 5 3 3" xfId="4934" xr:uid="{00000000-0005-0000-0000-000045130000}"/>
    <cellStyle name="Currency 5 3 4" xfId="4935" xr:uid="{00000000-0005-0000-0000-000046130000}"/>
    <cellStyle name="Currency 5 3 5" xfId="4936" xr:uid="{00000000-0005-0000-0000-000047130000}"/>
    <cellStyle name="Currency 5 3 6" xfId="4937" xr:uid="{00000000-0005-0000-0000-000048130000}"/>
    <cellStyle name="Currency 5 4" xfId="4938" xr:uid="{00000000-0005-0000-0000-000049130000}"/>
    <cellStyle name="Currency 5 4 2" xfId="4939" xr:uid="{00000000-0005-0000-0000-00004A130000}"/>
    <cellStyle name="Currency 5 4 3" xfId="4940" xr:uid="{00000000-0005-0000-0000-00004B130000}"/>
    <cellStyle name="Currency 5 4 4" xfId="4941" xr:uid="{00000000-0005-0000-0000-00004C130000}"/>
    <cellStyle name="Currency 5 4 5" xfId="4942" xr:uid="{00000000-0005-0000-0000-00004D130000}"/>
    <cellStyle name="Currency 5 4 6" xfId="4943" xr:uid="{00000000-0005-0000-0000-00004E130000}"/>
    <cellStyle name="Currency 5 5" xfId="4944" xr:uid="{00000000-0005-0000-0000-00004F130000}"/>
    <cellStyle name="Currency 5 5 2" xfId="4945" xr:uid="{00000000-0005-0000-0000-000050130000}"/>
    <cellStyle name="Currency 5 5 3" xfId="4946" xr:uid="{00000000-0005-0000-0000-000051130000}"/>
    <cellStyle name="Currency 5 5 4" xfId="4947" xr:uid="{00000000-0005-0000-0000-000052130000}"/>
    <cellStyle name="Currency 5 5 5" xfId="4948" xr:uid="{00000000-0005-0000-0000-000053130000}"/>
    <cellStyle name="Currency 5 5 6" xfId="4949" xr:uid="{00000000-0005-0000-0000-000054130000}"/>
    <cellStyle name="Currency 5 6" xfId="4950" xr:uid="{00000000-0005-0000-0000-000055130000}"/>
    <cellStyle name="Currency 5 6 2" xfId="4951" xr:uid="{00000000-0005-0000-0000-000056130000}"/>
    <cellStyle name="Currency 5 6 3" xfId="4952" xr:uid="{00000000-0005-0000-0000-000057130000}"/>
    <cellStyle name="Currency 5 6 4" xfId="4953" xr:uid="{00000000-0005-0000-0000-000058130000}"/>
    <cellStyle name="Currency 5 6 5" xfId="4954" xr:uid="{00000000-0005-0000-0000-000059130000}"/>
    <cellStyle name="Currency 5 6 6" xfId="4955" xr:uid="{00000000-0005-0000-0000-00005A130000}"/>
    <cellStyle name="Currency 5 7" xfId="4956" xr:uid="{00000000-0005-0000-0000-00005B130000}"/>
    <cellStyle name="Currency 5 7 2" xfId="4957" xr:uid="{00000000-0005-0000-0000-00005C130000}"/>
    <cellStyle name="Currency 5 7 3" xfId="4958" xr:uid="{00000000-0005-0000-0000-00005D130000}"/>
    <cellStyle name="Currency 5 7 4" xfId="4959" xr:uid="{00000000-0005-0000-0000-00005E130000}"/>
    <cellStyle name="Currency 5 7 5" xfId="4960" xr:uid="{00000000-0005-0000-0000-00005F130000}"/>
    <cellStyle name="Currency 5 7 6" xfId="4961" xr:uid="{00000000-0005-0000-0000-000060130000}"/>
    <cellStyle name="Currency 5 8" xfId="4962" xr:uid="{00000000-0005-0000-0000-000061130000}"/>
    <cellStyle name="Currency 5 8 2" xfId="4963" xr:uid="{00000000-0005-0000-0000-000062130000}"/>
    <cellStyle name="Currency 5 8 3" xfId="4964" xr:uid="{00000000-0005-0000-0000-000063130000}"/>
    <cellStyle name="Currency 5 8 4" xfId="4965" xr:uid="{00000000-0005-0000-0000-000064130000}"/>
    <cellStyle name="Currency 5 8 5" xfId="4966" xr:uid="{00000000-0005-0000-0000-000065130000}"/>
    <cellStyle name="Currency 5 8 6" xfId="4967" xr:uid="{00000000-0005-0000-0000-000066130000}"/>
    <cellStyle name="Currency 5 9" xfId="4968" xr:uid="{00000000-0005-0000-0000-000067130000}"/>
    <cellStyle name="Currency 5 9 2" xfId="4969" xr:uid="{00000000-0005-0000-0000-000068130000}"/>
    <cellStyle name="Currency 5 9 3" xfId="4970" xr:uid="{00000000-0005-0000-0000-000069130000}"/>
    <cellStyle name="Currency 5 9 4" xfId="4971" xr:uid="{00000000-0005-0000-0000-00006A130000}"/>
    <cellStyle name="Currency 5 9 5" xfId="4972" xr:uid="{00000000-0005-0000-0000-00006B130000}"/>
    <cellStyle name="Currency 5 9 6" xfId="4973" xr:uid="{00000000-0005-0000-0000-00006C130000}"/>
    <cellStyle name="Currency 6" xfId="4974" xr:uid="{00000000-0005-0000-0000-00006D130000}"/>
    <cellStyle name="Currency 6 10" xfId="4975" xr:uid="{00000000-0005-0000-0000-00006E130000}"/>
    <cellStyle name="Currency 6 11" xfId="4976" xr:uid="{00000000-0005-0000-0000-00006F130000}"/>
    <cellStyle name="Currency 6 12" xfId="4977" xr:uid="{00000000-0005-0000-0000-000070130000}"/>
    <cellStyle name="Currency 6 13" xfId="4978" xr:uid="{00000000-0005-0000-0000-000071130000}"/>
    <cellStyle name="Currency 6 14" xfId="4979" xr:uid="{00000000-0005-0000-0000-000072130000}"/>
    <cellStyle name="Currency 6 2" xfId="4980" xr:uid="{00000000-0005-0000-0000-000073130000}"/>
    <cellStyle name="Currency 6 2 2" xfId="4981" xr:uid="{00000000-0005-0000-0000-000074130000}"/>
    <cellStyle name="Currency 6 2 3" xfId="4982" xr:uid="{00000000-0005-0000-0000-000075130000}"/>
    <cellStyle name="Currency 6 2 4" xfId="4983" xr:uid="{00000000-0005-0000-0000-000076130000}"/>
    <cellStyle name="Currency 6 2 5" xfId="4984" xr:uid="{00000000-0005-0000-0000-000077130000}"/>
    <cellStyle name="Currency 6 2 6" xfId="4985" xr:uid="{00000000-0005-0000-0000-000078130000}"/>
    <cellStyle name="Currency 6 3" xfId="4986" xr:uid="{00000000-0005-0000-0000-000079130000}"/>
    <cellStyle name="Currency 6 3 2" xfId="4987" xr:uid="{00000000-0005-0000-0000-00007A130000}"/>
    <cellStyle name="Currency 6 3 3" xfId="4988" xr:uid="{00000000-0005-0000-0000-00007B130000}"/>
    <cellStyle name="Currency 6 3 4" xfId="4989" xr:uid="{00000000-0005-0000-0000-00007C130000}"/>
    <cellStyle name="Currency 6 3 5" xfId="4990" xr:uid="{00000000-0005-0000-0000-00007D130000}"/>
    <cellStyle name="Currency 6 3 6" xfId="4991" xr:uid="{00000000-0005-0000-0000-00007E130000}"/>
    <cellStyle name="Currency 6 4" xfId="4992" xr:uid="{00000000-0005-0000-0000-00007F130000}"/>
    <cellStyle name="Currency 6 4 2" xfId="4993" xr:uid="{00000000-0005-0000-0000-000080130000}"/>
    <cellStyle name="Currency 6 4 3" xfId="4994" xr:uid="{00000000-0005-0000-0000-000081130000}"/>
    <cellStyle name="Currency 6 4 4" xfId="4995" xr:uid="{00000000-0005-0000-0000-000082130000}"/>
    <cellStyle name="Currency 6 4 5" xfId="4996" xr:uid="{00000000-0005-0000-0000-000083130000}"/>
    <cellStyle name="Currency 6 4 6" xfId="4997" xr:uid="{00000000-0005-0000-0000-000084130000}"/>
    <cellStyle name="Currency 6 5" xfId="4998" xr:uid="{00000000-0005-0000-0000-000085130000}"/>
    <cellStyle name="Currency 6 5 2" xfId="4999" xr:uid="{00000000-0005-0000-0000-000086130000}"/>
    <cellStyle name="Currency 6 5 3" xfId="5000" xr:uid="{00000000-0005-0000-0000-000087130000}"/>
    <cellStyle name="Currency 6 5 4" xfId="5001" xr:uid="{00000000-0005-0000-0000-000088130000}"/>
    <cellStyle name="Currency 6 5 5" xfId="5002" xr:uid="{00000000-0005-0000-0000-000089130000}"/>
    <cellStyle name="Currency 6 5 6" xfId="5003" xr:uid="{00000000-0005-0000-0000-00008A130000}"/>
    <cellStyle name="Currency 6 6" xfId="5004" xr:uid="{00000000-0005-0000-0000-00008B130000}"/>
    <cellStyle name="Currency 6 6 2" xfId="5005" xr:uid="{00000000-0005-0000-0000-00008C130000}"/>
    <cellStyle name="Currency 6 6 3" xfId="5006" xr:uid="{00000000-0005-0000-0000-00008D130000}"/>
    <cellStyle name="Currency 6 6 4" xfId="5007" xr:uid="{00000000-0005-0000-0000-00008E130000}"/>
    <cellStyle name="Currency 6 6 5" xfId="5008" xr:uid="{00000000-0005-0000-0000-00008F130000}"/>
    <cellStyle name="Currency 6 6 6" xfId="5009" xr:uid="{00000000-0005-0000-0000-000090130000}"/>
    <cellStyle name="Currency 6 7" xfId="5010" xr:uid="{00000000-0005-0000-0000-000091130000}"/>
    <cellStyle name="Currency 6 7 2" xfId="5011" xr:uid="{00000000-0005-0000-0000-000092130000}"/>
    <cellStyle name="Currency 6 7 3" xfId="5012" xr:uid="{00000000-0005-0000-0000-000093130000}"/>
    <cellStyle name="Currency 6 7 4" xfId="5013" xr:uid="{00000000-0005-0000-0000-000094130000}"/>
    <cellStyle name="Currency 6 7 5" xfId="5014" xr:uid="{00000000-0005-0000-0000-000095130000}"/>
    <cellStyle name="Currency 6 7 6" xfId="5015" xr:uid="{00000000-0005-0000-0000-000096130000}"/>
    <cellStyle name="Currency 6 8" xfId="5016" xr:uid="{00000000-0005-0000-0000-000097130000}"/>
    <cellStyle name="Currency 6 8 2" xfId="5017" xr:uid="{00000000-0005-0000-0000-000098130000}"/>
    <cellStyle name="Currency 6 8 3" xfId="5018" xr:uid="{00000000-0005-0000-0000-000099130000}"/>
    <cellStyle name="Currency 6 8 4" xfId="5019" xr:uid="{00000000-0005-0000-0000-00009A130000}"/>
    <cellStyle name="Currency 6 8 5" xfId="5020" xr:uid="{00000000-0005-0000-0000-00009B130000}"/>
    <cellStyle name="Currency 6 8 6" xfId="5021" xr:uid="{00000000-0005-0000-0000-00009C130000}"/>
    <cellStyle name="Currency 6 9" xfId="5022" xr:uid="{00000000-0005-0000-0000-00009D130000}"/>
    <cellStyle name="Currency 6 9 2" xfId="5023" xr:uid="{00000000-0005-0000-0000-00009E130000}"/>
    <cellStyle name="Currency 6 9 3" xfId="5024" xr:uid="{00000000-0005-0000-0000-00009F130000}"/>
    <cellStyle name="Currency 6 9 4" xfId="5025" xr:uid="{00000000-0005-0000-0000-0000A0130000}"/>
    <cellStyle name="Currency 6 9 5" xfId="5026" xr:uid="{00000000-0005-0000-0000-0000A1130000}"/>
    <cellStyle name="Currency 6 9 6" xfId="5027" xr:uid="{00000000-0005-0000-0000-0000A2130000}"/>
    <cellStyle name="Currency 7" xfId="5028" xr:uid="{00000000-0005-0000-0000-0000A3130000}"/>
    <cellStyle name="Currency 7 10" xfId="5029" xr:uid="{00000000-0005-0000-0000-0000A4130000}"/>
    <cellStyle name="Currency 7 11" xfId="5030" xr:uid="{00000000-0005-0000-0000-0000A5130000}"/>
    <cellStyle name="Currency 7 12" xfId="5031" xr:uid="{00000000-0005-0000-0000-0000A6130000}"/>
    <cellStyle name="Currency 7 13" xfId="5032" xr:uid="{00000000-0005-0000-0000-0000A7130000}"/>
    <cellStyle name="Currency 7 14" xfId="5033" xr:uid="{00000000-0005-0000-0000-0000A8130000}"/>
    <cellStyle name="Currency 7 2" xfId="5034" xr:uid="{00000000-0005-0000-0000-0000A9130000}"/>
    <cellStyle name="Currency 7 2 2" xfId="5035" xr:uid="{00000000-0005-0000-0000-0000AA130000}"/>
    <cellStyle name="Currency 7 2 3" xfId="5036" xr:uid="{00000000-0005-0000-0000-0000AB130000}"/>
    <cellStyle name="Currency 7 2 4" xfId="5037" xr:uid="{00000000-0005-0000-0000-0000AC130000}"/>
    <cellStyle name="Currency 7 2 5" xfId="5038" xr:uid="{00000000-0005-0000-0000-0000AD130000}"/>
    <cellStyle name="Currency 7 2 6" xfId="5039" xr:uid="{00000000-0005-0000-0000-0000AE130000}"/>
    <cellStyle name="Currency 7 3" xfId="5040" xr:uid="{00000000-0005-0000-0000-0000AF130000}"/>
    <cellStyle name="Currency 7 3 2" xfId="5041" xr:uid="{00000000-0005-0000-0000-0000B0130000}"/>
    <cellStyle name="Currency 7 3 3" xfId="5042" xr:uid="{00000000-0005-0000-0000-0000B1130000}"/>
    <cellStyle name="Currency 7 3 4" xfId="5043" xr:uid="{00000000-0005-0000-0000-0000B2130000}"/>
    <cellStyle name="Currency 7 3 5" xfId="5044" xr:uid="{00000000-0005-0000-0000-0000B3130000}"/>
    <cellStyle name="Currency 7 3 6" xfId="5045" xr:uid="{00000000-0005-0000-0000-0000B4130000}"/>
    <cellStyle name="Currency 7 4" xfId="5046" xr:uid="{00000000-0005-0000-0000-0000B5130000}"/>
    <cellStyle name="Currency 7 4 2" xfId="5047" xr:uid="{00000000-0005-0000-0000-0000B6130000}"/>
    <cellStyle name="Currency 7 4 3" xfId="5048" xr:uid="{00000000-0005-0000-0000-0000B7130000}"/>
    <cellStyle name="Currency 7 4 4" xfId="5049" xr:uid="{00000000-0005-0000-0000-0000B8130000}"/>
    <cellStyle name="Currency 7 4 5" xfId="5050" xr:uid="{00000000-0005-0000-0000-0000B9130000}"/>
    <cellStyle name="Currency 7 4 6" xfId="5051" xr:uid="{00000000-0005-0000-0000-0000BA130000}"/>
    <cellStyle name="Currency 7 5" xfId="5052" xr:uid="{00000000-0005-0000-0000-0000BB130000}"/>
    <cellStyle name="Currency 7 5 2" xfId="5053" xr:uid="{00000000-0005-0000-0000-0000BC130000}"/>
    <cellStyle name="Currency 7 5 3" xfId="5054" xr:uid="{00000000-0005-0000-0000-0000BD130000}"/>
    <cellStyle name="Currency 7 5 4" xfId="5055" xr:uid="{00000000-0005-0000-0000-0000BE130000}"/>
    <cellStyle name="Currency 7 5 5" xfId="5056" xr:uid="{00000000-0005-0000-0000-0000BF130000}"/>
    <cellStyle name="Currency 7 5 6" xfId="5057" xr:uid="{00000000-0005-0000-0000-0000C0130000}"/>
    <cellStyle name="Currency 7 6" xfId="5058" xr:uid="{00000000-0005-0000-0000-0000C1130000}"/>
    <cellStyle name="Currency 7 6 2" xfId="5059" xr:uid="{00000000-0005-0000-0000-0000C2130000}"/>
    <cellStyle name="Currency 7 6 3" xfId="5060" xr:uid="{00000000-0005-0000-0000-0000C3130000}"/>
    <cellStyle name="Currency 7 6 4" xfId="5061" xr:uid="{00000000-0005-0000-0000-0000C4130000}"/>
    <cellStyle name="Currency 7 6 5" xfId="5062" xr:uid="{00000000-0005-0000-0000-0000C5130000}"/>
    <cellStyle name="Currency 7 6 6" xfId="5063" xr:uid="{00000000-0005-0000-0000-0000C6130000}"/>
    <cellStyle name="Currency 7 7" xfId="5064" xr:uid="{00000000-0005-0000-0000-0000C7130000}"/>
    <cellStyle name="Currency 7 7 2" xfId="5065" xr:uid="{00000000-0005-0000-0000-0000C8130000}"/>
    <cellStyle name="Currency 7 7 3" xfId="5066" xr:uid="{00000000-0005-0000-0000-0000C9130000}"/>
    <cellStyle name="Currency 7 7 4" xfId="5067" xr:uid="{00000000-0005-0000-0000-0000CA130000}"/>
    <cellStyle name="Currency 7 7 5" xfId="5068" xr:uid="{00000000-0005-0000-0000-0000CB130000}"/>
    <cellStyle name="Currency 7 7 6" xfId="5069" xr:uid="{00000000-0005-0000-0000-0000CC130000}"/>
    <cellStyle name="Currency 7 8" xfId="5070" xr:uid="{00000000-0005-0000-0000-0000CD130000}"/>
    <cellStyle name="Currency 7 8 2" xfId="5071" xr:uid="{00000000-0005-0000-0000-0000CE130000}"/>
    <cellStyle name="Currency 7 8 3" xfId="5072" xr:uid="{00000000-0005-0000-0000-0000CF130000}"/>
    <cellStyle name="Currency 7 8 4" xfId="5073" xr:uid="{00000000-0005-0000-0000-0000D0130000}"/>
    <cellStyle name="Currency 7 8 5" xfId="5074" xr:uid="{00000000-0005-0000-0000-0000D1130000}"/>
    <cellStyle name="Currency 7 8 6" xfId="5075" xr:uid="{00000000-0005-0000-0000-0000D2130000}"/>
    <cellStyle name="Currency 7 9" xfId="5076" xr:uid="{00000000-0005-0000-0000-0000D3130000}"/>
    <cellStyle name="Currency 7 9 2" xfId="5077" xr:uid="{00000000-0005-0000-0000-0000D4130000}"/>
    <cellStyle name="Currency 7 9 3" xfId="5078" xr:uid="{00000000-0005-0000-0000-0000D5130000}"/>
    <cellStyle name="Currency 7 9 4" xfId="5079" xr:uid="{00000000-0005-0000-0000-0000D6130000}"/>
    <cellStyle name="Currency 7 9 5" xfId="5080" xr:uid="{00000000-0005-0000-0000-0000D7130000}"/>
    <cellStyle name="Currency 7 9 6" xfId="5081" xr:uid="{00000000-0005-0000-0000-0000D8130000}"/>
    <cellStyle name="Currency 8" xfId="5082" xr:uid="{00000000-0005-0000-0000-0000D9130000}"/>
    <cellStyle name="Currency 8 2" xfId="5083" xr:uid="{00000000-0005-0000-0000-0000DA130000}"/>
    <cellStyle name="Currency 8 3" xfId="5084" xr:uid="{00000000-0005-0000-0000-0000DB130000}"/>
    <cellStyle name="Currency 8 4" xfId="5085" xr:uid="{00000000-0005-0000-0000-0000DC130000}"/>
    <cellStyle name="Currency 8 5" xfId="5086" xr:uid="{00000000-0005-0000-0000-0000DD130000}"/>
    <cellStyle name="Currency 8 6" xfId="5087" xr:uid="{00000000-0005-0000-0000-0000DE130000}"/>
    <cellStyle name="Currency 9" xfId="5088" xr:uid="{00000000-0005-0000-0000-0000DF130000}"/>
    <cellStyle name="Currency 9 2" xfId="5089" xr:uid="{00000000-0005-0000-0000-0000E0130000}"/>
    <cellStyle name="Currency 9 3" xfId="5090" xr:uid="{00000000-0005-0000-0000-0000E1130000}"/>
    <cellStyle name="Currency 9 4" xfId="5091" xr:uid="{00000000-0005-0000-0000-0000E2130000}"/>
    <cellStyle name="Currency 9 5" xfId="5092" xr:uid="{00000000-0005-0000-0000-0000E3130000}"/>
    <cellStyle name="Currency 9 6" xfId="5093" xr:uid="{00000000-0005-0000-0000-0000E4130000}"/>
    <cellStyle name="Emphasis 1" xfId="5094" xr:uid="{00000000-0005-0000-0000-0000E5130000}"/>
    <cellStyle name="Emphasis 2" xfId="5095" xr:uid="{00000000-0005-0000-0000-0000E6130000}"/>
    <cellStyle name="Emphasis 3" xfId="5096" xr:uid="{00000000-0005-0000-0000-0000E7130000}"/>
    <cellStyle name="Explanatory Text 10" xfId="5097" xr:uid="{00000000-0005-0000-0000-0000E8130000}"/>
    <cellStyle name="Explanatory Text 11" xfId="5098" xr:uid="{00000000-0005-0000-0000-0000E9130000}"/>
    <cellStyle name="Explanatory Text 12" xfId="5099" xr:uid="{00000000-0005-0000-0000-0000EA130000}"/>
    <cellStyle name="Explanatory Text 13" xfId="5100" xr:uid="{00000000-0005-0000-0000-0000EB130000}"/>
    <cellStyle name="Explanatory Text 14" xfId="5101" xr:uid="{00000000-0005-0000-0000-0000EC130000}"/>
    <cellStyle name="Explanatory Text 15" xfId="5102" xr:uid="{00000000-0005-0000-0000-0000ED130000}"/>
    <cellStyle name="Explanatory Text 16" xfId="5103" xr:uid="{00000000-0005-0000-0000-0000EE130000}"/>
    <cellStyle name="Explanatory Text 17" xfId="5104" xr:uid="{00000000-0005-0000-0000-0000EF130000}"/>
    <cellStyle name="Explanatory Text 18" xfId="5105" xr:uid="{00000000-0005-0000-0000-0000F0130000}"/>
    <cellStyle name="Explanatory Text 19" xfId="5106" xr:uid="{00000000-0005-0000-0000-0000F1130000}"/>
    <cellStyle name="Explanatory Text 2" xfId="5107" xr:uid="{00000000-0005-0000-0000-0000F2130000}"/>
    <cellStyle name="Explanatory Text 2 2" xfId="5108" xr:uid="{00000000-0005-0000-0000-0000F3130000}"/>
    <cellStyle name="Explanatory Text 20" xfId="5109" xr:uid="{00000000-0005-0000-0000-0000F4130000}"/>
    <cellStyle name="Explanatory Text 21" xfId="5110" xr:uid="{00000000-0005-0000-0000-0000F5130000}"/>
    <cellStyle name="Explanatory Text 22" xfId="5111" xr:uid="{00000000-0005-0000-0000-0000F6130000}"/>
    <cellStyle name="Explanatory Text 23" xfId="5112" xr:uid="{00000000-0005-0000-0000-0000F7130000}"/>
    <cellStyle name="Explanatory Text 24" xfId="5113" xr:uid="{00000000-0005-0000-0000-0000F8130000}"/>
    <cellStyle name="Explanatory Text 25" xfId="5114" xr:uid="{00000000-0005-0000-0000-0000F9130000}"/>
    <cellStyle name="Explanatory Text 26" xfId="5115" xr:uid="{00000000-0005-0000-0000-0000FA130000}"/>
    <cellStyle name="Explanatory Text 27" xfId="5116" xr:uid="{00000000-0005-0000-0000-0000FB130000}"/>
    <cellStyle name="Explanatory Text 28" xfId="5117" xr:uid="{00000000-0005-0000-0000-0000FC130000}"/>
    <cellStyle name="Explanatory Text 29" xfId="5118" xr:uid="{00000000-0005-0000-0000-0000FD130000}"/>
    <cellStyle name="Explanatory Text 3" xfId="5119" xr:uid="{00000000-0005-0000-0000-0000FE130000}"/>
    <cellStyle name="Explanatory Text 30" xfId="5120" xr:uid="{00000000-0005-0000-0000-0000FF130000}"/>
    <cellStyle name="Explanatory Text 31" xfId="5121" xr:uid="{00000000-0005-0000-0000-000000140000}"/>
    <cellStyle name="Explanatory Text 32" xfId="5122" xr:uid="{00000000-0005-0000-0000-000001140000}"/>
    <cellStyle name="Explanatory Text 33" xfId="5123" xr:uid="{00000000-0005-0000-0000-000002140000}"/>
    <cellStyle name="Explanatory Text 34" xfId="5124" xr:uid="{00000000-0005-0000-0000-000003140000}"/>
    <cellStyle name="Explanatory Text 35" xfId="5125" xr:uid="{00000000-0005-0000-0000-000004140000}"/>
    <cellStyle name="Explanatory Text 36" xfId="5126" xr:uid="{00000000-0005-0000-0000-000005140000}"/>
    <cellStyle name="Explanatory Text 37" xfId="5127" xr:uid="{00000000-0005-0000-0000-000006140000}"/>
    <cellStyle name="Explanatory Text 38" xfId="5128" xr:uid="{00000000-0005-0000-0000-000007140000}"/>
    <cellStyle name="Explanatory Text 39" xfId="5129" xr:uid="{00000000-0005-0000-0000-000008140000}"/>
    <cellStyle name="Explanatory Text 4" xfId="5130" xr:uid="{00000000-0005-0000-0000-000009140000}"/>
    <cellStyle name="Explanatory Text 40" xfId="5131" xr:uid="{00000000-0005-0000-0000-00000A140000}"/>
    <cellStyle name="Explanatory Text 41" xfId="5132" xr:uid="{00000000-0005-0000-0000-00000B140000}"/>
    <cellStyle name="Explanatory Text 42" xfId="5133" xr:uid="{00000000-0005-0000-0000-00000C140000}"/>
    <cellStyle name="Explanatory Text 5" xfId="5134" xr:uid="{00000000-0005-0000-0000-00000D140000}"/>
    <cellStyle name="Explanatory Text 6" xfId="5135" xr:uid="{00000000-0005-0000-0000-00000E140000}"/>
    <cellStyle name="Explanatory Text 7" xfId="5136" xr:uid="{00000000-0005-0000-0000-00000F140000}"/>
    <cellStyle name="Explanatory Text 8" xfId="5137" xr:uid="{00000000-0005-0000-0000-000010140000}"/>
    <cellStyle name="Explanatory Text 9" xfId="5138" xr:uid="{00000000-0005-0000-0000-000011140000}"/>
    <cellStyle name="Explanatory Text 9 2" xfId="5139" xr:uid="{00000000-0005-0000-0000-000012140000}"/>
    <cellStyle name="Explanatory Text 9 3" xfId="5140" xr:uid="{00000000-0005-0000-0000-000013140000}"/>
    <cellStyle name="Good 10" xfId="5141" xr:uid="{00000000-0005-0000-0000-000014140000}"/>
    <cellStyle name="Good 11" xfId="5142" xr:uid="{00000000-0005-0000-0000-000015140000}"/>
    <cellStyle name="Good 12" xfId="5143" xr:uid="{00000000-0005-0000-0000-000016140000}"/>
    <cellStyle name="Good 13" xfId="5144" xr:uid="{00000000-0005-0000-0000-000017140000}"/>
    <cellStyle name="Good 14" xfId="5145" xr:uid="{00000000-0005-0000-0000-000018140000}"/>
    <cellStyle name="Good 15" xfId="5146" xr:uid="{00000000-0005-0000-0000-000019140000}"/>
    <cellStyle name="Good 16" xfId="5147" xr:uid="{00000000-0005-0000-0000-00001A140000}"/>
    <cellStyle name="Good 17" xfId="5148" xr:uid="{00000000-0005-0000-0000-00001B140000}"/>
    <cellStyle name="Good 18" xfId="5149" xr:uid="{00000000-0005-0000-0000-00001C140000}"/>
    <cellStyle name="Good 19" xfId="5150" xr:uid="{00000000-0005-0000-0000-00001D140000}"/>
    <cellStyle name="Good 2" xfId="5151" xr:uid="{00000000-0005-0000-0000-00001E140000}"/>
    <cellStyle name="Good 2 2" xfId="5152" xr:uid="{00000000-0005-0000-0000-00001F140000}"/>
    <cellStyle name="Good 2 3" xfId="5153" xr:uid="{00000000-0005-0000-0000-000020140000}"/>
    <cellStyle name="Good 2 4" xfId="5154" xr:uid="{00000000-0005-0000-0000-000021140000}"/>
    <cellStyle name="Good 20" xfId="5155" xr:uid="{00000000-0005-0000-0000-000022140000}"/>
    <cellStyle name="Good 21" xfId="5156" xr:uid="{00000000-0005-0000-0000-000023140000}"/>
    <cellStyle name="Good 22" xfId="5157" xr:uid="{00000000-0005-0000-0000-000024140000}"/>
    <cellStyle name="Good 23" xfId="5158" xr:uid="{00000000-0005-0000-0000-000025140000}"/>
    <cellStyle name="Good 24" xfId="5159" xr:uid="{00000000-0005-0000-0000-000026140000}"/>
    <cellStyle name="Good 25" xfId="5160" xr:uid="{00000000-0005-0000-0000-000027140000}"/>
    <cellStyle name="Good 26" xfId="5161" xr:uid="{00000000-0005-0000-0000-000028140000}"/>
    <cellStyle name="Good 27" xfId="5162" xr:uid="{00000000-0005-0000-0000-000029140000}"/>
    <cellStyle name="Good 28" xfId="5163" xr:uid="{00000000-0005-0000-0000-00002A140000}"/>
    <cellStyle name="Good 29" xfId="5164" xr:uid="{00000000-0005-0000-0000-00002B140000}"/>
    <cellStyle name="Good 3" xfId="5165" xr:uid="{00000000-0005-0000-0000-00002C140000}"/>
    <cellStyle name="Good 30" xfId="5166" xr:uid="{00000000-0005-0000-0000-00002D140000}"/>
    <cellStyle name="Good 31" xfId="5167" xr:uid="{00000000-0005-0000-0000-00002E140000}"/>
    <cellStyle name="Good 32" xfId="5168" xr:uid="{00000000-0005-0000-0000-00002F140000}"/>
    <cellStyle name="Good 33" xfId="5169" xr:uid="{00000000-0005-0000-0000-000030140000}"/>
    <cellStyle name="Good 34" xfId="5170" xr:uid="{00000000-0005-0000-0000-000031140000}"/>
    <cellStyle name="Good 35" xfId="5171" xr:uid="{00000000-0005-0000-0000-000032140000}"/>
    <cellStyle name="Good 36" xfId="5172" xr:uid="{00000000-0005-0000-0000-000033140000}"/>
    <cellStyle name="Good 37" xfId="5173" xr:uid="{00000000-0005-0000-0000-000034140000}"/>
    <cellStyle name="Good 38" xfId="5174" xr:uid="{00000000-0005-0000-0000-000035140000}"/>
    <cellStyle name="Good 39" xfId="5175" xr:uid="{00000000-0005-0000-0000-000036140000}"/>
    <cellStyle name="Good 4" xfId="5176" xr:uid="{00000000-0005-0000-0000-000037140000}"/>
    <cellStyle name="Good 40" xfId="5177" xr:uid="{00000000-0005-0000-0000-000038140000}"/>
    <cellStyle name="Good 41" xfId="5178" xr:uid="{00000000-0005-0000-0000-000039140000}"/>
    <cellStyle name="Good 42" xfId="5179" xr:uid="{00000000-0005-0000-0000-00003A140000}"/>
    <cellStyle name="Good 5" xfId="5180" xr:uid="{00000000-0005-0000-0000-00003B140000}"/>
    <cellStyle name="Good 6" xfId="5181" xr:uid="{00000000-0005-0000-0000-00003C140000}"/>
    <cellStyle name="Good 7" xfId="5182" xr:uid="{00000000-0005-0000-0000-00003D140000}"/>
    <cellStyle name="Good 8" xfId="5183" xr:uid="{00000000-0005-0000-0000-00003E140000}"/>
    <cellStyle name="Good 9" xfId="5184" xr:uid="{00000000-0005-0000-0000-00003F140000}"/>
    <cellStyle name="Good 9 2" xfId="5185" xr:uid="{00000000-0005-0000-0000-000040140000}"/>
    <cellStyle name="Good 9 3" xfId="5186" xr:uid="{00000000-0005-0000-0000-000041140000}"/>
    <cellStyle name="Heading 1 10" xfId="5187" xr:uid="{00000000-0005-0000-0000-000042140000}"/>
    <cellStyle name="Heading 1 11" xfId="5188" xr:uid="{00000000-0005-0000-0000-000043140000}"/>
    <cellStyle name="Heading 1 12" xfId="5189" xr:uid="{00000000-0005-0000-0000-000044140000}"/>
    <cellStyle name="Heading 1 13" xfId="5190" xr:uid="{00000000-0005-0000-0000-000045140000}"/>
    <cellStyle name="Heading 1 14" xfId="5191" xr:uid="{00000000-0005-0000-0000-000046140000}"/>
    <cellStyle name="Heading 1 15" xfId="5192" xr:uid="{00000000-0005-0000-0000-000047140000}"/>
    <cellStyle name="Heading 1 16" xfId="5193" xr:uid="{00000000-0005-0000-0000-000048140000}"/>
    <cellStyle name="Heading 1 17" xfId="5194" xr:uid="{00000000-0005-0000-0000-000049140000}"/>
    <cellStyle name="Heading 1 18" xfId="5195" xr:uid="{00000000-0005-0000-0000-00004A140000}"/>
    <cellStyle name="Heading 1 19" xfId="5196" xr:uid="{00000000-0005-0000-0000-00004B140000}"/>
    <cellStyle name="Heading 1 2" xfId="5197" xr:uid="{00000000-0005-0000-0000-00004C140000}"/>
    <cellStyle name="Heading 1 2 2" xfId="5198" xr:uid="{00000000-0005-0000-0000-00004D140000}"/>
    <cellStyle name="Heading 1 2 3" xfId="5199" xr:uid="{00000000-0005-0000-0000-00004E140000}"/>
    <cellStyle name="Heading 1 2 4" xfId="5200" xr:uid="{00000000-0005-0000-0000-00004F140000}"/>
    <cellStyle name="Heading 1 20" xfId="5201" xr:uid="{00000000-0005-0000-0000-000050140000}"/>
    <cellStyle name="Heading 1 21" xfId="5202" xr:uid="{00000000-0005-0000-0000-000051140000}"/>
    <cellStyle name="Heading 1 22" xfId="5203" xr:uid="{00000000-0005-0000-0000-000052140000}"/>
    <cellStyle name="Heading 1 23" xfId="5204" xr:uid="{00000000-0005-0000-0000-000053140000}"/>
    <cellStyle name="Heading 1 24" xfId="5205" xr:uid="{00000000-0005-0000-0000-000054140000}"/>
    <cellStyle name="Heading 1 25" xfId="5206" xr:uid="{00000000-0005-0000-0000-000055140000}"/>
    <cellStyle name="Heading 1 26" xfId="5207" xr:uid="{00000000-0005-0000-0000-000056140000}"/>
    <cellStyle name="Heading 1 27" xfId="5208" xr:uid="{00000000-0005-0000-0000-000057140000}"/>
    <cellStyle name="Heading 1 28" xfId="5209" xr:uid="{00000000-0005-0000-0000-000058140000}"/>
    <cellStyle name="Heading 1 29" xfId="5210" xr:uid="{00000000-0005-0000-0000-000059140000}"/>
    <cellStyle name="Heading 1 3" xfId="5211" xr:uid="{00000000-0005-0000-0000-00005A140000}"/>
    <cellStyle name="Heading 1 30" xfId="5212" xr:uid="{00000000-0005-0000-0000-00005B140000}"/>
    <cellStyle name="Heading 1 31" xfId="5213" xr:uid="{00000000-0005-0000-0000-00005C140000}"/>
    <cellStyle name="Heading 1 32" xfId="5214" xr:uid="{00000000-0005-0000-0000-00005D140000}"/>
    <cellStyle name="Heading 1 33" xfId="5215" xr:uid="{00000000-0005-0000-0000-00005E140000}"/>
    <cellStyle name="Heading 1 34" xfId="5216" xr:uid="{00000000-0005-0000-0000-00005F140000}"/>
    <cellStyle name="Heading 1 35" xfId="5217" xr:uid="{00000000-0005-0000-0000-000060140000}"/>
    <cellStyle name="Heading 1 36" xfId="5218" xr:uid="{00000000-0005-0000-0000-000061140000}"/>
    <cellStyle name="Heading 1 37" xfId="5219" xr:uid="{00000000-0005-0000-0000-000062140000}"/>
    <cellStyle name="Heading 1 38" xfId="5220" xr:uid="{00000000-0005-0000-0000-000063140000}"/>
    <cellStyle name="Heading 1 39" xfId="5221" xr:uid="{00000000-0005-0000-0000-000064140000}"/>
    <cellStyle name="Heading 1 4" xfId="5222" xr:uid="{00000000-0005-0000-0000-000065140000}"/>
    <cellStyle name="Heading 1 40" xfId="5223" xr:uid="{00000000-0005-0000-0000-000066140000}"/>
    <cellStyle name="Heading 1 41" xfId="5224" xr:uid="{00000000-0005-0000-0000-000067140000}"/>
    <cellStyle name="Heading 1 42" xfId="5225" xr:uid="{00000000-0005-0000-0000-000068140000}"/>
    <cellStyle name="Heading 1 5" xfId="5226" xr:uid="{00000000-0005-0000-0000-000069140000}"/>
    <cellStyle name="Heading 1 6" xfId="5227" xr:uid="{00000000-0005-0000-0000-00006A140000}"/>
    <cellStyle name="Heading 1 7" xfId="5228" xr:uid="{00000000-0005-0000-0000-00006B140000}"/>
    <cellStyle name="Heading 1 8" xfId="5229" xr:uid="{00000000-0005-0000-0000-00006C140000}"/>
    <cellStyle name="Heading 1 9" xfId="5230" xr:uid="{00000000-0005-0000-0000-00006D140000}"/>
    <cellStyle name="Heading 1 9 2" xfId="5231" xr:uid="{00000000-0005-0000-0000-00006E140000}"/>
    <cellStyle name="Heading 1 9 3" xfId="5232" xr:uid="{00000000-0005-0000-0000-00006F140000}"/>
    <cellStyle name="Heading 2 10" xfId="5233" xr:uid="{00000000-0005-0000-0000-000070140000}"/>
    <cellStyle name="Heading 2 11" xfId="5234" xr:uid="{00000000-0005-0000-0000-000071140000}"/>
    <cellStyle name="Heading 2 12" xfId="5235" xr:uid="{00000000-0005-0000-0000-000072140000}"/>
    <cellStyle name="Heading 2 13" xfId="5236" xr:uid="{00000000-0005-0000-0000-000073140000}"/>
    <cellStyle name="Heading 2 14" xfId="5237" xr:uid="{00000000-0005-0000-0000-000074140000}"/>
    <cellStyle name="Heading 2 15" xfId="5238" xr:uid="{00000000-0005-0000-0000-000075140000}"/>
    <cellStyle name="Heading 2 16" xfId="5239" xr:uid="{00000000-0005-0000-0000-000076140000}"/>
    <cellStyle name="Heading 2 17" xfId="5240" xr:uid="{00000000-0005-0000-0000-000077140000}"/>
    <cellStyle name="Heading 2 18" xfId="5241" xr:uid="{00000000-0005-0000-0000-000078140000}"/>
    <cellStyle name="Heading 2 19" xfId="5242" xr:uid="{00000000-0005-0000-0000-000079140000}"/>
    <cellStyle name="Heading 2 2" xfId="5243" xr:uid="{00000000-0005-0000-0000-00007A140000}"/>
    <cellStyle name="Heading 2 2 2" xfId="5244" xr:uid="{00000000-0005-0000-0000-00007B140000}"/>
    <cellStyle name="Heading 2 2 3" xfId="5245" xr:uid="{00000000-0005-0000-0000-00007C140000}"/>
    <cellStyle name="Heading 2 2 4" xfId="5246" xr:uid="{00000000-0005-0000-0000-00007D140000}"/>
    <cellStyle name="Heading 2 20" xfId="5247" xr:uid="{00000000-0005-0000-0000-00007E140000}"/>
    <cellStyle name="Heading 2 21" xfId="5248" xr:uid="{00000000-0005-0000-0000-00007F140000}"/>
    <cellStyle name="Heading 2 22" xfId="5249" xr:uid="{00000000-0005-0000-0000-000080140000}"/>
    <cellStyle name="Heading 2 23" xfId="5250" xr:uid="{00000000-0005-0000-0000-000081140000}"/>
    <cellStyle name="Heading 2 24" xfId="5251" xr:uid="{00000000-0005-0000-0000-000082140000}"/>
    <cellStyle name="Heading 2 25" xfId="5252" xr:uid="{00000000-0005-0000-0000-000083140000}"/>
    <cellStyle name="Heading 2 26" xfId="5253" xr:uid="{00000000-0005-0000-0000-000084140000}"/>
    <cellStyle name="Heading 2 27" xfId="5254" xr:uid="{00000000-0005-0000-0000-000085140000}"/>
    <cellStyle name="Heading 2 28" xfId="5255" xr:uid="{00000000-0005-0000-0000-000086140000}"/>
    <cellStyle name="Heading 2 29" xfId="5256" xr:uid="{00000000-0005-0000-0000-000087140000}"/>
    <cellStyle name="Heading 2 3" xfId="5257" xr:uid="{00000000-0005-0000-0000-000088140000}"/>
    <cellStyle name="Heading 2 30" xfId="5258" xr:uid="{00000000-0005-0000-0000-000089140000}"/>
    <cellStyle name="Heading 2 31" xfId="5259" xr:uid="{00000000-0005-0000-0000-00008A140000}"/>
    <cellStyle name="Heading 2 32" xfId="5260" xr:uid="{00000000-0005-0000-0000-00008B140000}"/>
    <cellStyle name="Heading 2 33" xfId="5261" xr:uid="{00000000-0005-0000-0000-00008C140000}"/>
    <cellStyle name="Heading 2 34" xfId="5262" xr:uid="{00000000-0005-0000-0000-00008D140000}"/>
    <cellStyle name="Heading 2 35" xfId="5263" xr:uid="{00000000-0005-0000-0000-00008E140000}"/>
    <cellStyle name="Heading 2 36" xfId="5264" xr:uid="{00000000-0005-0000-0000-00008F140000}"/>
    <cellStyle name="Heading 2 37" xfId="5265" xr:uid="{00000000-0005-0000-0000-000090140000}"/>
    <cellStyle name="Heading 2 38" xfId="5266" xr:uid="{00000000-0005-0000-0000-000091140000}"/>
    <cellStyle name="Heading 2 39" xfId="5267" xr:uid="{00000000-0005-0000-0000-000092140000}"/>
    <cellStyle name="Heading 2 4" xfId="5268" xr:uid="{00000000-0005-0000-0000-000093140000}"/>
    <cellStyle name="Heading 2 40" xfId="5269" xr:uid="{00000000-0005-0000-0000-000094140000}"/>
    <cellStyle name="Heading 2 41" xfId="5270" xr:uid="{00000000-0005-0000-0000-000095140000}"/>
    <cellStyle name="Heading 2 42" xfId="5271" xr:uid="{00000000-0005-0000-0000-000096140000}"/>
    <cellStyle name="Heading 2 5" xfId="5272" xr:uid="{00000000-0005-0000-0000-000097140000}"/>
    <cellStyle name="Heading 2 6" xfId="5273" xr:uid="{00000000-0005-0000-0000-000098140000}"/>
    <cellStyle name="Heading 2 7" xfId="5274" xr:uid="{00000000-0005-0000-0000-000099140000}"/>
    <cellStyle name="Heading 2 8" xfId="5275" xr:uid="{00000000-0005-0000-0000-00009A140000}"/>
    <cellStyle name="Heading 2 9" xfId="5276" xr:uid="{00000000-0005-0000-0000-00009B140000}"/>
    <cellStyle name="Heading 2 9 2" xfId="5277" xr:uid="{00000000-0005-0000-0000-00009C140000}"/>
    <cellStyle name="Heading 2 9 3" xfId="5278" xr:uid="{00000000-0005-0000-0000-00009D140000}"/>
    <cellStyle name="Heading 3 10" xfId="5279" xr:uid="{00000000-0005-0000-0000-00009E140000}"/>
    <cellStyle name="Heading 3 11" xfId="5280" xr:uid="{00000000-0005-0000-0000-00009F140000}"/>
    <cellStyle name="Heading 3 12" xfId="5281" xr:uid="{00000000-0005-0000-0000-0000A0140000}"/>
    <cellStyle name="Heading 3 13" xfId="5282" xr:uid="{00000000-0005-0000-0000-0000A1140000}"/>
    <cellStyle name="Heading 3 14" xfId="5283" xr:uid="{00000000-0005-0000-0000-0000A2140000}"/>
    <cellStyle name="Heading 3 15" xfId="5284" xr:uid="{00000000-0005-0000-0000-0000A3140000}"/>
    <cellStyle name="Heading 3 16" xfId="5285" xr:uid="{00000000-0005-0000-0000-0000A4140000}"/>
    <cellStyle name="Heading 3 17" xfId="5286" xr:uid="{00000000-0005-0000-0000-0000A5140000}"/>
    <cellStyle name="Heading 3 18" xfId="5287" xr:uid="{00000000-0005-0000-0000-0000A6140000}"/>
    <cellStyle name="Heading 3 19" xfId="5288" xr:uid="{00000000-0005-0000-0000-0000A7140000}"/>
    <cellStyle name="Heading 3 2" xfId="5289" xr:uid="{00000000-0005-0000-0000-0000A8140000}"/>
    <cellStyle name="Heading 3 2 2" xfId="5290" xr:uid="{00000000-0005-0000-0000-0000A9140000}"/>
    <cellStyle name="Heading 3 2 3" xfId="5291" xr:uid="{00000000-0005-0000-0000-0000AA140000}"/>
    <cellStyle name="Heading 3 2 4" xfId="5292" xr:uid="{00000000-0005-0000-0000-0000AB140000}"/>
    <cellStyle name="Heading 3 20" xfId="5293" xr:uid="{00000000-0005-0000-0000-0000AC140000}"/>
    <cellStyle name="Heading 3 21" xfId="5294" xr:uid="{00000000-0005-0000-0000-0000AD140000}"/>
    <cellStyle name="Heading 3 22" xfId="5295" xr:uid="{00000000-0005-0000-0000-0000AE140000}"/>
    <cellStyle name="Heading 3 23" xfId="5296" xr:uid="{00000000-0005-0000-0000-0000AF140000}"/>
    <cellStyle name="Heading 3 24" xfId="5297" xr:uid="{00000000-0005-0000-0000-0000B0140000}"/>
    <cellStyle name="Heading 3 25" xfId="5298" xr:uid="{00000000-0005-0000-0000-0000B1140000}"/>
    <cellStyle name="Heading 3 26" xfId="5299" xr:uid="{00000000-0005-0000-0000-0000B2140000}"/>
    <cellStyle name="Heading 3 27" xfId="5300" xr:uid="{00000000-0005-0000-0000-0000B3140000}"/>
    <cellStyle name="Heading 3 28" xfId="5301" xr:uid="{00000000-0005-0000-0000-0000B4140000}"/>
    <cellStyle name="Heading 3 29" xfId="5302" xr:uid="{00000000-0005-0000-0000-0000B5140000}"/>
    <cellStyle name="Heading 3 3" xfId="5303" xr:uid="{00000000-0005-0000-0000-0000B6140000}"/>
    <cellStyle name="Heading 3 30" xfId="5304" xr:uid="{00000000-0005-0000-0000-0000B7140000}"/>
    <cellStyle name="Heading 3 31" xfId="5305" xr:uid="{00000000-0005-0000-0000-0000B8140000}"/>
    <cellStyle name="Heading 3 32" xfId="5306" xr:uid="{00000000-0005-0000-0000-0000B9140000}"/>
    <cellStyle name="Heading 3 33" xfId="5307" xr:uid="{00000000-0005-0000-0000-0000BA140000}"/>
    <cellStyle name="Heading 3 34" xfId="5308" xr:uid="{00000000-0005-0000-0000-0000BB140000}"/>
    <cellStyle name="Heading 3 35" xfId="5309" xr:uid="{00000000-0005-0000-0000-0000BC140000}"/>
    <cellStyle name="Heading 3 36" xfId="5310" xr:uid="{00000000-0005-0000-0000-0000BD140000}"/>
    <cellStyle name="Heading 3 37" xfId="5311" xr:uid="{00000000-0005-0000-0000-0000BE140000}"/>
    <cellStyle name="Heading 3 38" xfId="5312" xr:uid="{00000000-0005-0000-0000-0000BF140000}"/>
    <cellStyle name="Heading 3 39" xfId="5313" xr:uid="{00000000-0005-0000-0000-0000C0140000}"/>
    <cellStyle name="Heading 3 4" xfId="5314" xr:uid="{00000000-0005-0000-0000-0000C1140000}"/>
    <cellStyle name="Heading 3 40" xfId="5315" xr:uid="{00000000-0005-0000-0000-0000C2140000}"/>
    <cellStyle name="Heading 3 41" xfId="5316" xr:uid="{00000000-0005-0000-0000-0000C3140000}"/>
    <cellStyle name="Heading 3 42" xfId="5317" xr:uid="{00000000-0005-0000-0000-0000C4140000}"/>
    <cellStyle name="Heading 3 5" xfId="5318" xr:uid="{00000000-0005-0000-0000-0000C5140000}"/>
    <cellStyle name="Heading 3 6" xfId="5319" xr:uid="{00000000-0005-0000-0000-0000C6140000}"/>
    <cellStyle name="Heading 3 7" xfId="5320" xr:uid="{00000000-0005-0000-0000-0000C7140000}"/>
    <cellStyle name="Heading 3 8" xfId="5321" xr:uid="{00000000-0005-0000-0000-0000C8140000}"/>
    <cellStyle name="Heading 3 9" xfId="5322" xr:uid="{00000000-0005-0000-0000-0000C9140000}"/>
    <cellStyle name="Heading 3 9 2" xfId="5323" xr:uid="{00000000-0005-0000-0000-0000CA140000}"/>
    <cellStyle name="Heading 3 9 3" xfId="5324" xr:uid="{00000000-0005-0000-0000-0000CB140000}"/>
    <cellStyle name="Heading 4 10" xfId="5325" xr:uid="{00000000-0005-0000-0000-0000CC140000}"/>
    <cellStyle name="Heading 4 11" xfId="5326" xr:uid="{00000000-0005-0000-0000-0000CD140000}"/>
    <cellStyle name="Heading 4 12" xfId="5327" xr:uid="{00000000-0005-0000-0000-0000CE140000}"/>
    <cellStyle name="Heading 4 13" xfId="5328" xr:uid="{00000000-0005-0000-0000-0000CF140000}"/>
    <cellStyle name="Heading 4 14" xfId="5329" xr:uid="{00000000-0005-0000-0000-0000D0140000}"/>
    <cellStyle name="Heading 4 15" xfId="5330" xr:uid="{00000000-0005-0000-0000-0000D1140000}"/>
    <cellStyle name="Heading 4 16" xfId="5331" xr:uid="{00000000-0005-0000-0000-0000D2140000}"/>
    <cellStyle name="Heading 4 17" xfId="5332" xr:uid="{00000000-0005-0000-0000-0000D3140000}"/>
    <cellStyle name="Heading 4 18" xfId="5333" xr:uid="{00000000-0005-0000-0000-0000D4140000}"/>
    <cellStyle name="Heading 4 19" xfId="5334" xr:uid="{00000000-0005-0000-0000-0000D5140000}"/>
    <cellStyle name="Heading 4 2" xfId="5335" xr:uid="{00000000-0005-0000-0000-0000D6140000}"/>
    <cellStyle name="Heading 4 2 2" xfId="5336" xr:uid="{00000000-0005-0000-0000-0000D7140000}"/>
    <cellStyle name="Heading 4 2 3" xfId="5337" xr:uid="{00000000-0005-0000-0000-0000D8140000}"/>
    <cellStyle name="Heading 4 2 4" xfId="5338" xr:uid="{00000000-0005-0000-0000-0000D9140000}"/>
    <cellStyle name="Heading 4 20" xfId="5339" xr:uid="{00000000-0005-0000-0000-0000DA140000}"/>
    <cellStyle name="Heading 4 21" xfId="5340" xr:uid="{00000000-0005-0000-0000-0000DB140000}"/>
    <cellStyle name="Heading 4 22" xfId="5341" xr:uid="{00000000-0005-0000-0000-0000DC140000}"/>
    <cellStyle name="Heading 4 23" xfId="5342" xr:uid="{00000000-0005-0000-0000-0000DD140000}"/>
    <cellStyle name="Heading 4 24" xfId="5343" xr:uid="{00000000-0005-0000-0000-0000DE140000}"/>
    <cellStyle name="Heading 4 25" xfId="5344" xr:uid="{00000000-0005-0000-0000-0000DF140000}"/>
    <cellStyle name="Heading 4 26" xfId="5345" xr:uid="{00000000-0005-0000-0000-0000E0140000}"/>
    <cellStyle name="Heading 4 27" xfId="5346" xr:uid="{00000000-0005-0000-0000-0000E1140000}"/>
    <cellStyle name="Heading 4 28" xfId="5347" xr:uid="{00000000-0005-0000-0000-0000E2140000}"/>
    <cellStyle name="Heading 4 29" xfId="5348" xr:uid="{00000000-0005-0000-0000-0000E3140000}"/>
    <cellStyle name="Heading 4 3" xfId="5349" xr:uid="{00000000-0005-0000-0000-0000E4140000}"/>
    <cellStyle name="Heading 4 30" xfId="5350" xr:uid="{00000000-0005-0000-0000-0000E5140000}"/>
    <cellStyle name="Heading 4 31" xfId="5351" xr:uid="{00000000-0005-0000-0000-0000E6140000}"/>
    <cellStyle name="Heading 4 32" xfId="5352" xr:uid="{00000000-0005-0000-0000-0000E7140000}"/>
    <cellStyle name="Heading 4 33" xfId="5353" xr:uid="{00000000-0005-0000-0000-0000E8140000}"/>
    <cellStyle name="Heading 4 34" xfId="5354" xr:uid="{00000000-0005-0000-0000-0000E9140000}"/>
    <cellStyle name="Heading 4 35" xfId="5355" xr:uid="{00000000-0005-0000-0000-0000EA140000}"/>
    <cellStyle name="Heading 4 36" xfId="5356" xr:uid="{00000000-0005-0000-0000-0000EB140000}"/>
    <cellStyle name="Heading 4 37" xfId="5357" xr:uid="{00000000-0005-0000-0000-0000EC140000}"/>
    <cellStyle name="Heading 4 38" xfId="5358" xr:uid="{00000000-0005-0000-0000-0000ED140000}"/>
    <cellStyle name="Heading 4 39" xfId="5359" xr:uid="{00000000-0005-0000-0000-0000EE140000}"/>
    <cellStyle name="Heading 4 4" xfId="5360" xr:uid="{00000000-0005-0000-0000-0000EF140000}"/>
    <cellStyle name="Heading 4 40" xfId="5361" xr:uid="{00000000-0005-0000-0000-0000F0140000}"/>
    <cellStyle name="Heading 4 41" xfId="5362" xr:uid="{00000000-0005-0000-0000-0000F1140000}"/>
    <cellStyle name="Heading 4 42" xfId="5363" xr:uid="{00000000-0005-0000-0000-0000F2140000}"/>
    <cellStyle name="Heading 4 5" xfId="5364" xr:uid="{00000000-0005-0000-0000-0000F3140000}"/>
    <cellStyle name="Heading 4 6" xfId="5365" xr:uid="{00000000-0005-0000-0000-0000F4140000}"/>
    <cellStyle name="Heading 4 7" xfId="5366" xr:uid="{00000000-0005-0000-0000-0000F5140000}"/>
    <cellStyle name="Heading 4 8" xfId="5367" xr:uid="{00000000-0005-0000-0000-0000F6140000}"/>
    <cellStyle name="Heading 4 9" xfId="5368" xr:uid="{00000000-0005-0000-0000-0000F7140000}"/>
    <cellStyle name="Heading 4 9 2" xfId="5369" xr:uid="{00000000-0005-0000-0000-0000F8140000}"/>
    <cellStyle name="Heading 4 9 3" xfId="5370" xr:uid="{00000000-0005-0000-0000-0000F9140000}"/>
    <cellStyle name="Input 10" xfId="5371" xr:uid="{00000000-0005-0000-0000-0000FA140000}"/>
    <cellStyle name="Input 10 2" xfId="5372" xr:uid="{00000000-0005-0000-0000-0000FB140000}"/>
    <cellStyle name="Input 10 3" xfId="5373" xr:uid="{00000000-0005-0000-0000-0000FC140000}"/>
    <cellStyle name="Input 10 4" xfId="5374" xr:uid="{00000000-0005-0000-0000-0000FD140000}"/>
    <cellStyle name="Input 11" xfId="5375" xr:uid="{00000000-0005-0000-0000-0000FE140000}"/>
    <cellStyle name="Input 11 2" xfId="5376" xr:uid="{00000000-0005-0000-0000-0000FF140000}"/>
    <cellStyle name="Input 11 3" xfId="5377" xr:uid="{00000000-0005-0000-0000-000000150000}"/>
    <cellStyle name="Input 11 4" xfId="5378" xr:uid="{00000000-0005-0000-0000-000001150000}"/>
    <cellStyle name="Input 12" xfId="5379" xr:uid="{00000000-0005-0000-0000-000002150000}"/>
    <cellStyle name="Input 12 2" xfId="5380" xr:uid="{00000000-0005-0000-0000-000003150000}"/>
    <cellStyle name="Input 12 3" xfId="5381" xr:uid="{00000000-0005-0000-0000-000004150000}"/>
    <cellStyle name="Input 12 4" xfId="5382" xr:uid="{00000000-0005-0000-0000-000005150000}"/>
    <cellStyle name="Input 13" xfId="5383" xr:uid="{00000000-0005-0000-0000-000006150000}"/>
    <cellStyle name="Input 14" xfId="5384" xr:uid="{00000000-0005-0000-0000-000007150000}"/>
    <cellStyle name="Input 15" xfId="5385" xr:uid="{00000000-0005-0000-0000-000008150000}"/>
    <cellStyle name="Input 16" xfId="5386" xr:uid="{00000000-0005-0000-0000-000009150000}"/>
    <cellStyle name="Input 17" xfId="5387" xr:uid="{00000000-0005-0000-0000-00000A150000}"/>
    <cellStyle name="Input 18" xfId="5388" xr:uid="{00000000-0005-0000-0000-00000B150000}"/>
    <cellStyle name="Input 19" xfId="5389" xr:uid="{00000000-0005-0000-0000-00000C150000}"/>
    <cellStyle name="Input 2" xfId="5390" xr:uid="{00000000-0005-0000-0000-00000D150000}"/>
    <cellStyle name="Input 2 2" xfId="5391" xr:uid="{00000000-0005-0000-0000-00000E150000}"/>
    <cellStyle name="Input 2 2 2" xfId="5392" xr:uid="{00000000-0005-0000-0000-00000F150000}"/>
    <cellStyle name="Input 2 2 3" xfId="5393" xr:uid="{00000000-0005-0000-0000-000010150000}"/>
    <cellStyle name="Input 2 2 4" xfId="5394" xr:uid="{00000000-0005-0000-0000-000011150000}"/>
    <cellStyle name="Input 2 3" xfId="5395" xr:uid="{00000000-0005-0000-0000-000012150000}"/>
    <cellStyle name="Input 2 3 2" xfId="5396" xr:uid="{00000000-0005-0000-0000-000013150000}"/>
    <cellStyle name="Input 2 3 3" xfId="5397" xr:uid="{00000000-0005-0000-0000-000014150000}"/>
    <cellStyle name="Input 2 3 4" xfId="5398" xr:uid="{00000000-0005-0000-0000-000015150000}"/>
    <cellStyle name="Input 2 4" xfId="5399" xr:uid="{00000000-0005-0000-0000-000016150000}"/>
    <cellStyle name="Input 2 4 2" xfId="5400" xr:uid="{00000000-0005-0000-0000-000017150000}"/>
    <cellStyle name="Input 2 4 3" xfId="5401" xr:uid="{00000000-0005-0000-0000-000018150000}"/>
    <cellStyle name="Input 2 4 4" xfId="5402" xr:uid="{00000000-0005-0000-0000-000019150000}"/>
    <cellStyle name="Input 2 5" xfId="5403" xr:uid="{00000000-0005-0000-0000-00001A150000}"/>
    <cellStyle name="Input 2 6" xfId="5404" xr:uid="{00000000-0005-0000-0000-00001B150000}"/>
    <cellStyle name="Input 2 7" xfId="5405" xr:uid="{00000000-0005-0000-0000-00001C150000}"/>
    <cellStyle name="Input 20" xfId="5406" xr:uid="{00000000-0005-0000-0000-00001D150000}"/>
    <cellStyle name="Input 21" xfId="5407" xr:uid="{00000000-0005-0000-0000-00001E150000}"/>
    <cellStyle name="Input 22" xfId="5408" xr:uid="{00000000-0005-0000-0000-00001F150000}"/>
    <cellStyle name="Input 23" xfId="5409" xr:uid="{00000000-0005-0000-0000-000020150000}"/>
    <cellStyle name="Input 24" xfId="5410" xr:uid="{00000000-0005-0000-0000-000021150000}"/>
    <cellStyle name="Input 25" xfId="5411" xr:uid="{00000000-0005-0000-0000-000022150000}"/>
    <cellStyle name="Input 26" xfId="5412" xr:uid="{00000000-0005-0000-0000-000023150000}"/>
    <cellStyle name="Input 27" xfId="5413" xr:uid="{00000000-0005-0000-0000-000024150000}"/>
    <cellStyle name="Input 28" xfId="5414" xr:uid="{00000000-0005-0000-0000-000025150000}"/>
    <cellStyle name="Input 29" xfId="5415" xr:uid="{00000000-0005-0000-0000-000026150000}"/>
    <cellStyle name="Input 3" xfId="5416" xr:uid="{00000000-0005-0000-0000-000027150000}"/>
    <cellStyle name="Input 3 2" xfId="5417" xr:uid="{00000000-0005-0000-0000-000028150000}"/>
    <cellStyle name="Input 3 3" xfId="5418" xr:uid="{00000000-0005-0000-0000-000029150000}"/>
    <cellStyle name="Input 3 4" xfId="5419" xr:uid="{00000000-0005-0000-0000-00002A150000}"/>
    <cellStyle name="Input 30" xfId="5420" xr:uid="{00000000-0005-0000-0000-00002B150000}"/>
    <cellStyle name="Input 31" xfId="5421" xr:uid="{00000000-0005-0000-0000-00002C150000}"/>
    <cellStyle name="Input 32" xfId="5422" xr:uid="{00000000-0005-0000-0000-00002D150000}"/>
    <cellStyle name="Input 33" xfId="5423" xr:uid="{00000000-0005-0000-0000-00002E150000}"/>
    <cellStyle name="Input 34" xfId="5424" xr:uid="{00000000-0005-0000-0000-00002F150000}"/>
    <cellStyle name="Input 35" xfId="5425" xr:uid="{00000000-0005-0000-0000-000030150000}"/>
    <cellStyle name="Input 36" xfId="5426" xr:uid="{00000000-0005-0000-0000-000031150000}"/>
    <cellStyle name="Input 37" xfId="5427" xr:uid="{00000000-0005-0000-0000-000032150000}"/>
    <cellStyle name="Input 38" xfId="5428" xr:uid="{00000000-0005-0000-0000-000033150000}"/>
    <cellStyle name="Input 39" xfId="5429" xr:uid="{00000000-0005-0000-0000-000034150000}"/>
    <cellStyle name="Input 4" xfId="5430" xr:uid="{00000000-0005-0000-0000-000035150000}"/>
    <cellStyle name="Input 4 2" xfId="5431" xr:uid="{00000000-0005-0000-0000-000036150000}"/>
    <cellStyle name="Input 4 3" xfId="5432" xr:uid="{00000000-0005-0000-0000-000037150000}"/>
    <cellStyle name="Input 4 4" xfId="5433" xr:uid="{00000000-0005-0000-0000-000038150000}"/>
    <cellStyle name="Input 40" xfId="5434" xr:uid="{00000000-0005-0000-0000-000039150000}"/>
    <cellStyle name="Input 41" xfId="5435" xr:uid="{00000000-0005-0000-0000-00003A150000}"/>
    <cellStyle name="Input 42" xfId="5436" xr:uid="{00000000-0005-0000-0000-00003B150000}"/>
    <cellStyle name="Input 43" xfId="5437" xr:uid="{00000000-0005-0000-0000-00003C150000}"/>
    <cellStyle name="Input 5" xfId="5438" xr:uid="{00000000-0005-0000-0000-00003D150000}"/>
    <cellStyle name="Input 5 2" xfId="5439" xr:uid="{00000000-0005-0000-0000-00003E150000}"/>
    <cellStyle name="Input 5 3" xfId="5440" xr:uid="{00000000-0005-0000-0000-00003F150000}"/>
    <cellStyle name="Input 5 4" xfId="5441" xr:uid="{00000000-0005-0000-0000-000040150000}"/>
    <cellStyle name="Input 6" xfId="5442" xr:uid="{00000000-0005-0000-0000-000041150000}"/>
    <cellStyle name="Input 6 2" xfId="5443" xr:uid="{00000000-0005-0000-0000-000042150000}"/>
    <cellStyle name="Input 6 3" xfId="5444" xr:uid="{00000000-0005-0000-0000-000043150000}"/>
    <cellStyle name="Input 6 4" xfId="5445" xr:uid="{00000000-0005-0000-0000-000044150000}"/>
    <cellStyle name="Input 7" xfId="5446" xr:uid="{00000000-0005-0000-0000-000045150000}"/>
    <cellStyle name="Input 7 2" xfId="5447" xr:uid="{00000000-0005-0000-0000-000046150000}"/>
    <cellStyle name="Input 7 3" xfId="5448" xr:uid="{00000000-0005-0000-0000-000047150000}"/>
    <cellStyle name="Input 7 4" xfId="5449" xr:uid="{00000000-0005-0000-0000-000048150000}"/>
    <cellStyle name="Input 8" xfId="5450" xr:uid="{00000000-0005-0000-0000-000049150000}"/>
    <cellStyle name="Input 8 2" xfId="5451" xr:uid="{00000000-0005-0000-0000-00004A150000}"/>
    <cellStyle name="Input 8 3" xfId="5452" xr:uid="{00000000-0005-0000-0000-00004B150000}"/>
    <cellStyle name="Input 8 4" xfId="5453" xr:uid="{00000000-0005-0000-0000-00004C150000}"/>
    <cellStyle name="Input 9" xfId="5454" xr:uid="{00000000-0005-0000-0000-00004D150000}"/>
    <cellStyle name="Input 9 2" xfId="5455" xr:uid="{00000000-0005-0000-0000-00004E150000}"/>
    <cellStyle name="Input 9 2 2" xfId="5456" xr:uid="{00000000-0005-0000-0000-00004F150000}"/>
    <cellStyle name="Input 9 2 3" xfId="5457" xr:uid="{00000000-0005-0000-0000-000050150000}"/>
    <cellStyle name="Input 9 2 4" xfId="5458" xr:uid="{00000000-0005-0000-0000-000051150000}"/>
    <cellStyle name="Input 9 3" xfId="5459" xr:uid="{00000000-0005-0000-0000-000052150000}"/>
    <cellStyle name="Input 9 4" xfId="5460" xr:uid="{00000000-0005-0000-0000-000053150000}"/>
    <cellStyle name="Input 9 5" xfId="5461" xr:uid="{00000000-0005-0000-0000-000054150000}"/>
    <cellStyle name="Input 9 6" xfId="5462" xr:uid="{00000000-0005-0000-0000-000055150000}"/>
    <cellStyle name="Linked Cell 10" xfId="5463" xr:uid="{00000000-0005-0000-0000-000056150000}"/>
    <cellStyle name="Linked Cell 11" xfId="5464" xr:uid="{00000000-0005-0000-0000-000057150000}"/>
    <cellStyle name="Linked Cell 12" xfId="5465" xr:uid="{00000000-0005-0000-0000-000058150000}"/>
    <cellStyle name="Linked Cell 13" xfId="5466" xr:uid="{00000000-0005-0000-0000-000059150000}"/>
    <cellStyle name="Linked Cell 14" xfId="5467" xr:uid="{00000000-0005-0000-0000-00005A150000}"/>
    <cellStyle name="Linked Cell 15" xfId="5468" xr:uid="{00000000-0005-0000-0000-00005B150000}"/>
    <cellStyle name="Linked Cell 16" xfId="5469" xr:uid="{00000000-0005-0000-0000-00005C150000}"/>
    <cellStyle name="Linked Cell 17" xfId="5470" xr:uid="{00000000-0005-0000-0000-00005D150000}"/>
    <cellStyle name="Linked Cell 18" xfId="5471" xr:uid="{00000000-0005-0000-0000-00005E150000}"/>
    <cellStyle name="Linked Cell 19" xfId="5472" xr:uid="{00000000-0005-0000-0000-00005F150000}"/>
    <cellStyle name="Linked Cell 2" xfId="5473" xr:uid="{00000000-0005-0000-0000-000060150000}"/>
    <cellStyle name="Linked Cell 2 2" xfId="5474" xr:uid="{00000000-0005-0000-0000-000061150000}"/>
    <cellStyle name="Linked Cell 2 3" xfId="5475" xr:uid="{00000000-0005-0000-0000-000062150000}"/>
    <cellStyle name="Linked Cell 2 4" xfId="5476" xr:uid="{00000000-0005-0000-0000-000063150000}"/>
    <cellStyle name="Linked Cell 20" xfId="5477" xr:uid="{00000000-0005-0000-0000-000064150000}"/>
    <cellStyle name="Linked Cell 21" xfId="5478" xr:uid="{00000000-0005-0000-0000-000065150000}"/>
    <cellStyle name="Linked Cell 22" xfId="5479" xr:uid="{00000000-0005-0000-0000-000066150000}"/>
    <cellStyle name="Linked Cell 23" xfId="5480" xr:uid="{00000000-0005-0000-0000-000067150000}"/>
    <cellStyle name="Linked Cell 24" xfId="5481" xr:uid="{00000000-0005-0000-0000-000068150000}"/>
    <cellStyle name="Linked Cell 25" xfId="5482" xr:uid="{00000000-0005-0000-0000-000069150000}"/>
    <cellStyle name="Linked Cell 26" xfId="5483" xr:uid="{00000000-0005-0000-0000-00006A150000}"/>
    <cellStyle name="Linked Cell 27" xfId="5484" xr:uid="{00000000-0005-0000-0000-00006B150000}"/>
    <cellStyle name="Linked Cell 28" xfId="5485" xr:uid="{00000000-0005-0000-0000-00006C150000}"/>
    <cellStyle name="Linked Cell 29" xfId="5486" xr:uid="{00000000-0005-0000-0000-00006D150000}"/>
    <cellStyle name="Linked Cell 3" xfId="5487" xr:uid="{00000000-0005-0000-0000-00006E150000}"/>
    <cellStyle name="Linked Cell 30" xfId="5488" xr:uid="{00000000-0005-0000-0000-00006F150000}"/>
    <cellStyle name="Linked Cell 31" xfId="5489" xr:uid="{00000000-0005-0000-0000-000070150000}"/>
    <cellStyle name="Linked Cell 32" xfId="5490" xr:uid="{00000000-0005-0000-0000-000071150000}"/>
    <cellStyle name="Linked Cell 33" xfId="5491" xr:uid="{00000000-0005-0000-0000-000072150000}"/>
    <cellStyle name="Linked Cell 34" xfId="5492" xr:uid="{00000000-0005-0000-0000-000073150000}"/>
    <cellStyle name="Linked Cell 35" xfId="5493" xr:uid="{00000000-0005-0000-0000-000074150000}"/>
    <cellStyle name="Linked Cell 36" xfId="5494" xr:uid="{00000000-0005-0000-0000-000075150000}"/>
    <cellStyle name="Linked Cell 37" xfId="5495" xr:uid="{00000000-0005-0000-0000-000076150000}"/>
    <cellStyle name="Linked Cell 38" xfId="5496" xr:uid="{00000000-0005-0000-0000-000077150000}"/>
    <cellStyle name="Linked Cell 39" xfId="5497" xr:uid="{00000000-0005-0000-0000-000078150000}"/>
    <cellStyle name="Linked Cell 4" xfId="5498" xr:uid="{00000000-0005-0000-0000-000079150000}"/>
    <cellStyle name="Linked Cell 40" xfId="5499" xr:uid="{00000000-0005-0000-0000-00007A150000}"/>
    <cellStyle name="Linked Cell 41" xfId="5500" xr:uid="{00000000-0005-0000-0000-00007B150000}"/>
    <cellStyle name="Linked Cell 42" xfId="5501" xr:uid="{00000000-0005-0000-0000-00007C150000}"/>
    <cellStyle name="Linked Cell 5" xfId="5502" xr:uid="{00000000-0005-0000-0000-00007D150000}"/>
    <cellStyle name="Linked Cell 6" xfId="5503" xr:uid="{00000000-0005-0000-0000-00007E150000}"/>
    <cellStyle name="Linked Cell 7" xfId="5504" xr:uid="{00000000-0005-0000-0000-00007F150000}"/>
    <cellStyle name="Linked Cell 8" xfId="5505" xr:uid="{00000000-0005-0000-0000-000080150000}"/>
    <cellStyle name="Linked Cell 9" xfId="5506" xr:uid="{00000000-0005-0000-0000-000081150000}"/>
    <cellStyle name="Linked Cell 9 2" xfId="5507" xr:uid="{00000000-0005-0000-0000-000082150000}"/>
    <cellStyle name="Linked Cell 9 3" xfId="5508" xr:uid="{00000000-0005-0000-0000-000083150000}"/>
    <cellStyle name="Neutral 10" xfId="5509" xr:uid="{00000000-0005-0000-0000-000084150000}"/>
    <cellStyle name="Neutral 11" xfId="5510" xr:uid="{00000000-0005-0000-0000-000085150000}"/>
    <cellStyle name="Neutral 12" xfId="5511" xr:uid="{00000000-0005-0000-0000-000086150000}"/>
    <cellStyle name="Neutral 13" xfId="5512" xr:uid="{00000000-0005-0000-0000-000087150000}"/>
    <cellStyle name="Neutral 14" xfId="5513" xr:uid="{00000000-0005-0000-0000-000088150000}"/>
    <cellStyle name="Neutral 15" xfId="5514" xr:uid="{00000000-0005-0000-0000-000089150000}"/>
    <cellStyle name="Neutral 16" xfId="5515" xr:uid="{00000000-0005-0000-0000-00008A150000}"/>
    <cellStyle name="Neutral 17" xfId="5516" xr:uid="{00000000-0005-0000-0000-00008B150000}"/>
    <cellStyle name="Neutral 18" xfId="5517" xr:uid="{00000000-0005-0000-0000-00008C150000}"/>
    <cellStyle name="Neutral 19" xfId="5518" xr:uid="{00000000-0005-0000-0000-00008D150000}"/>
    <cellStyle name="Neutral 2" xfId="5519" xr:uid="{00000000-0005-0000-0000-00008E150000}"/>
    <cellStyle name="Neutral 2 2" xfId="5520" xr:uid="{00000000-0005-0000-0000-00008F150000}"/>
    <cellStyle name="Neutral 2 3" xfId="5521" xr:uid="{00000000-0005-0000-0000-000090150000}"/>
    <cellStyle name="Neutral 2 4" xfId="5522" xr:uid="{00000000-0005-0000-0000-000091150000}"/>
    <cellStyle name="Neutral 20" xfId="5523" xr:uid="{00000000-0005-0000-0000-000092150000}"/>
    <cellStyle name="Neutral 21" xfId="5524" xr:uid="{00000000-0005-0000-0000-000093150000}"/>
    <cellStyle name="Neutral 22" xfId="5525" xr:uid="{00000000-0005-0000-0000-000094150000}"/>
    <cellStyle name="Neutral 23" xfId="5526" xr:uid="{00000000-0005-0000-0000-000095150000}"/>
    <cellStyle name="Neutral 24" xfId="5527" xr:uid="{00000000-0005-0000-0000-000096150000}"/>
    <cellStyle name="Neutral 25" xfId="5528" xr:uid="{00000000-0005-0000-0000-000097150000}"/>
    <cellStyle name="Neutral 26" xfId="5529" xr:uid="{00000000-0005-0000-0000-000098150000}"/>
    <cellStyle name="Neutral 27" xfId="5530" xr:uid="{00000000-0005-0000-0000-000099150000}"/>
    <cellStyle name="Neutral 28" xfId="5531" xr:uid="{00000000-0005-0000-0000-00009A150000}"/>
    <cellStyle name="Neutral 29" xfId="5532" xr:uid="{00000000-0005-0000-0000-00009B150000}"/>
    <cellStyle name="Neutral 3" xfId="5533" xr:uid="{00000000-0005-0000-0000-00009C150000}"/>
    <cellStyle name="Neutral 30" xfId="5534" xr:uid="{00000000-0005-0000-0000-00009D150000}"/>
    <cellStyle name="Neutral 31" xfId="5535" xr:uid="{00000000-0005-0000-0000-00009E150000}"/>
    <cellStyle name="Neutral 32" xfId="5536" xr:uid="{00000000-0005-0000-0000-00009F150000}"/>
    <cellStyle name="Neutral 33" xfId="5537" xr:uid="{00000000-0005-0000-0000-0000A0150000}"/>
    <cellStyle name="Neutral 34" xfId="5538" xr:uid="{00000000-0005-0000-0000-0000A1150000}"/>
    <cellStyle name="Neutral 35" xfId="5539" xr:uid="{00000000-0005-0000-0000-0000A2150000}"/>
    <cellStyle name="Neutral 36" xfId="5540" xr:uid="{00000000-0005-0000-0000-0000A3150000}"/>
    <cellStyle name="Neutral 37" xfId="5541" xr:uid="{00000000-0005-0000-0000-0000A4150000}"/>
    <cellStyle name="Neutral 38" xfId="5542" xr:uid="{00000000-0005-0000-0000-0000A5150000}"/>
    <cellStyle name="Neutral 39" xfId="5543" xr:uid="{00000000-0005-0000-0000-0000A6150000}"/>
    <cellStyle name="Neutral 4" xfId="5544" xr:uid="{00000000-0005-0000-0000-0000A7150000}"/>
    <cellStyle name="Neutral 40" xfId="5545" xr:uid="{00000000-0005-0000-0000-0000A8150000}"/>
    <cellStyle name="Neutral 41" xfId="5546" xr:uid="{00000000-0005-0000-0000-0000A9150000}"/>
    <cellStyle name="Neutral 42" xfId="5547" xr:uid="{00000000-0005-0000-0000-0000AA150000}"/>
    <cellStyle name="Neutral 5" xfId="5548" xr:uid="{00000000-0005-0000-0000-0000AB150000}"/>
    <cellStyle name="Neutral 6" xfId="5549" xr:uid="{00000000-0005-0000-0000-0000AC150000}"/>
    <cellStyle name="Neutral 7" xfId="5550" xr:uid="{00000000-0005-0000-0000-0000AD150000}"/>
    <cellStyle name="Neutral 8" xfId="5551" xr:uid="{00000000-0005-0000-0000-0000AE150000}"/>
    <cellStyle name="Neutral 9" xfId="5552" xr:uid="{00000000-0005-0000-0000-0000AF150000}"/>
    <cellStyle name="Neutral 9 2" xfId="5553" xr:uid="{00000000-0005-0000-0000-0000B0150000}"/>
    <cellStyle name="Neutral 9 3" xfId="5554" xr:uid="{00000000-0005-0000-0000-0000B1150000}"/>
    <cellStyle name="Normal" xfId="0" builtinId="0"/>
    <cellStyle name="Normal 10" xfId="5555" xr:uid="{00000000-0005-0000-0000-0000B3150000}"/>
    <cellStyle name="Normal 10 2" xfId="5556" xr:uid="{00000000-0005-0000-0000-0000B4150000}"/>
    <cellStyle name="Normal 10 2 10" xfId="5557" xr:uid="{00000000-0005-0000-0000-0000B5150000}"/>
    <cellStyle name="Normal 10 2 10 2" xfId="5558" xr:uid="{00000000-0005-0000-0000-0000B6150000}"/>
    <cellStyle name="Normal 10 2 10 3" xfId="5559" xr:uid="{00000000-0005-0000-0000-0000B7150000}"/>
    <cellStyle name="Normal 10 2 10 4" xfId="5560" xr:uid="{00000000-0005-0000-0000-0000B8150000}"/>
    <cellStyle name="Normal 10 2 10 5" xfId="5561" xr:uid="{00000000-0005-0000-0000-0000B9150000}"/>
    <cellStyle name="Normal 10 2 10 6" xfId="5562" xr:uid="{00000000-0005-0000-0000-0000BA150000}"/>
    <cellStyle name="Normal 10 2 11" xfId="5563" xr:uid="{00000000-0005-0000-0000-0000BB150000}"/>
    <cellStyle name="Normal 10 2 11 2" xfId="5564" xr:uid="{00000000-0005-0000-0000-0000BC150000}"/>
    <cellStyle name="Normal 10 2 11 3" xfId="5565" xr:uid="{00000000-0005-0000-0000-0000BD150000}"/>
    <cellStyle name="Normal 10 2 11 4" xfId="5566" xr:uid="{00000000-0005-0000-0000-0000BE150000}"/>
    <cellStyle name="Normal 10 2 11 5" xfId="5567" xr:uid="{00000000-0005-0000-0000-0000BF150000}"/>
    <cellStyle name="Normal 10 2 11 6" xfId="5568" xr:uid="{00000000-0005-0000-0000-0000C0150000}"/>
    <cellStyle name="Normal 10 2 12" xfId="5569" xr:uid="{00000000-0005-0000-0000-0000C1150000}"/>
    <cellStyle name="Normal 10 2 13" xfId="5570" xr:uid="{00000000-0005-0000-0000-0000C2150000}"/>
    <cellStyle name="Normal 10 2 14" xfId="5571" xr:uid="{00000000-0005-0000-0000-0000C3150000}"/>
    <cellStyle name="Normal 10 2 15" xfId="5572" xr:uid="{00000000-0005-0000-0000-0000C4150000}"/>
    <cellStyle name="Normal 10 2 16" xfId="5573" xr:uid="{00000000-0005-0000-0000-0000C5150000}"/>
    <cellStyle name="Normal 10 2 17" xfId="5574" xr:uid="{00000000-0005-0000-0000-0000C6150000}"/>
    <cellStyle name="Normal 10 2 18" xfId="5575" xr:uid="{00000000-0005-0000-0000-0000C7150000}"/>
    <cellStyle name="Normal 10 2 19" xfId="5576" xr:uid="{00000000-0005-0000-0000-0000C8150000}"/>
    <cellStyle name="Normal 10 2 2" xfId="5577" xr:uid="{00000000-0005-0000-0000-0000C9150000}"/>
    <cellStyle name="Normal 10 2 2 10" xfId="5578" xr:uid="{00000000-0005-0000-0000-0000CA150000}"/>
    <cellStyle name="Normal 10 2 2 10 2" xfId="5579" xr:uid="{00000000-0005-0000-0000-0000CB150000}"/>
    <cellStyle name="Normal 10 2 2 10 3" xfId="5580" xr:uid="{00000000-0005-0000-0000-0000CC150000}"/>
    <cellStyle name="Normal 10 2 2 10 4" xfId="5581" xr:uid="{00000000-0005-0000-0000-0000CD150000}"/>
    <cellStyle name="Normal 10 2 2 10 5" xfId="5582" xr:uid="{00000000-0005-0000-0000-0000CE150000}"/>
    <cellStyle name="Normal 10 2 2 10 6" xfId="5583" xr:uid="{00000000-0005-0000-0000-0000CF150000}"/>
    <cellStyle name="Normal 10 2 2 11" xfId="5584" xr:uid="{00000000-0005-0000-0000-0000D0150000}"/>
    <cellStyle name="Normal 10 2 2 12" xfId="5585" xr:uid="{00000000-0005-0000-0000-0000D1150000}"/>
    <cellStyle name="Normal 10 2 2 13" xfId="5586" xr:uid="{00000000-0005-0000-0000-0000D2150000}"/>
    <cellStyle name="Normal 10 2 2 14" xfId="5587" xr:uid="{00000000-0005-0000-0000-0000D3150000}"/>
    <cellStyle name="Normal 10 2 2 15" xfId="5588" xr:uid="{00000000-0005-0000-0000-0000D4150000}"/>
    <cellStyle name="Normal 10 2 2 2" xfId="5589" xr:uid="{00000000-0005-0000-0000-0000D5150000}"/>
    <cellStyle name="Normal 10 2 2 2 10" xfId="5590" xr:uid="{00000000-0005-0000-0000-0000D6150000}"/>
    <cellStyle name="Normal 10 2 2 2 11" xfId="5591" xr:uid="{00000000-0005-0000-0000-0000D7150000}"/>
    <cellStyle name="Normal 10 2 2 2 12" xfId="5592" xr:uid="{00000000-0005-0000-0000-0000D8150000}"/>
    <cellStyle name="Normal 10 2 2 2 13" xfId="5593" xr:uid="{00000000-0005-0000-0000-0000D9150000}"/>
    <cellStyle name="Normal 10 2 2 2 14" xfId="5594" xr:uid="{00000000-0005-0000-0000-0000DA150000}"/>
    <cellStyle name="Normal 10 2 2 2 2" xfId="5595" xr:uid="{00000000-0005-0000-0000-0000DB150000}"/>
    <cellStyle name="Normal 10 2 2 2 2 2" xfId="5596" xr:uid="{00000000-0005-0000-0000-0000DC150000}"/>
    <cellStyle name="Normal 10 2 2 2 2 3" xfId="5597" xr:uid="{00000000-0005-0000-0000-0000DD150000}"/>
    <cellStyle name="Normal 10 2 2 2 2 4" xfId="5598" xr:uid="{00000000-0005-0000-0000-0000DE150000}"/>
    <cellStyle name="Normal 10 2 2 2 2 5" xfId="5599" xr:uid="{00000000-0005-0000-0000-0000DF150000}"/>
    <cellStyle name="Normal 10 2 2 2 2 6" xfId="5600" xr:uid="{00000000-0005-0000-0000-0000E0150000}"/>
    <cellStyle name="Normal 10 2 2 2 3" xfId="5601" xr:uid="{00000000-0005-0000-0000-0000E1150000}"/>
    <cellStyle name="Normal 10 2 2 2 3 2" xfId="5602" xr:uid="{00000000-0005-0000-0000-0000E2150000}"/>
    <cellStyle name="Normal 10 2 2 2 3 3" xfId="5603" xr:uid="{00000000-0005-0000-0000-0000E3150000}"/>
    <cellStyle name="Normal 10 2 2 2 3 4" xfId="5604" xr:uid="{00000000-0005-0000-0000-0000E4150000}"/>
    <cellStyle name="Normal 10 2 2 2 3 5" xfId="5605" xr:uid="{00000000-0005-0000-0000-0000E5150000}"/>
    <cellStyle name="Normal 10 2 2 2 3 6" xfId="5606" xr:uid="{00000000-0005-0000-0000-0000E6150000}"/>
    <cellStyle name="Normal 10 2 2 2 4" xfId="5607" xr:uid="{00000000-0005-0000-0000-0000E7150000}"/>
    <cellStyle name="Normal 10 2 2 2 4 2" xfId="5608" xr:uid="{00000000-0005-0000-0000-0000E8150000}"/>
    <cellStyle name="Normal 10 2 2 2 4 3" xfId="5609" xr:uid="{00000000-0005-0000-0000-0000E9150000}"/>
    <cellStyle name="Normal 10 2 2 2 4 4" xfId="5610" xr:uid="{00000000-0005-0000-0000-0000EA150000}"/>
    <cellStyle name="Normal 10 2 2 2 4 5" xfId="5611" xr:uid="{00000000-0005-0000-0000-0000EB150000}"/>
    <cellStyle name="Normal 10 2 2 2 4 6" xfId="5612" xr:uid="{00000000-0005-0000-0000-0000EC150000}"/>
    <cellStyle name="Normal 10 2 2 2 5" xfId="5613" xr:uid="{00000000-0005-0000-0000-0000ED150000}"/>
    <cellStyle name="Normal 10 2 2 2 5 2" xfId="5614" xr:uid="{00000000-0005-0000-0000-0000EE150000}"/>
    <cellStyle name="Normal 10 2 2 2 5 3" xfId="5615" xr:uid="{00000000-0005-0000-0000-0000EF150000}"/>
    <cellStyle name="Normal 10 2 2 2 5 4" xfId="5616" xr:uid="{00000000-0005-0000-0000-0000F0150000}"/>
    <cellStyle name="Normal 10 2 2 2 5 5" xfId="5617" xr:uid="{00000000-0005-0000-0000-0000F1150000}"/>
    <cellStyle name="Normal 10 2 2 2 5 6" xfId="5618" xr:uid="{00000000-0005-0000-0000-0000F2150000}"/>
    <cellStyle name="Normal 10 2 2 2 6" xfId="5619" xr:uid="{00000000-0005-0000-0000-0000F3150000}"/>
    <cellStyle name="Normal 10 2 2 2 6 2" xfId="5620" xr:uid="{00000000-0005-0000-0000-0000F4150000}"/>
    <cellStyle name="Normal 10 2 2 2 6 3" xfId="5621" xr:uid="{00000000-0005-0000-0000-0000F5150000}"/>
    <cellStyle name="Normal 10 2 2 2 6 4" xfId="5622" xr:uid="{00000000-0005-0000-0000-0000F6150000}"/>
    <cellStyle name="Normal 10 2 2 2 6 5" xfId="5623" xr:uid="{00000000-0005-0000-0000-0000F7150000}"/>
    <cellStyle name="Normal 10 2 2 2 6 6" xfId="5624" xr:uid="{00000000-0005-0000-0000-0000F8150000}"/>
    <cellStyle name="Normal 10 2 2 2 7" xfId="5625" xr:uid="{00000000-0005-0000-0000-0000F9150000}"/>
    <cellStyle name="Normal 10 2 2 2 7 2" xfId="5626" xr:uid="{00000000-0005-0000-0000-0000FA150000}"/>
    <cellStyle name="Normal 10 2 2 2 7 3" xfId="5627" xr:uid="{00000000-0005-0000-0000-0000FB150000}"/>
    <cellStyle name="Normal 10 2 2 2 7 4" xfId="5628" xr:uid="{00000000-0005-0000-0000-0000FC150000}"/>
    <cellStyle name="Normal 10 2 2 2 7 5" xfId="5629" xr:uid="{00000000-0005-0000-0000-0000FD150000}"/>
    <cellStyle name="Normal 10 2 2 2 7 6" xfId="5630" xr:uid="{00000000-0005-0000-0000-0000FE150000}"/>
    <cellStyle name="Normal 10 2 2 2 8" xfId="5631" xr:uid="{00000000-0005-0000-0000-0000FF150000}"/>
    <cellStyle name="Normal 10 2 2 2 8 2" xfId="5632" xr:uid="{00000000-0005-0000-0000-000000160000}"/>
    <cellStyle name="Normal 10 2 2 2 8 3" xfId="5633" xr:uid="{00000000-0005-0000-0000-000001160000}"/>
    <cellStyle name="Normal 10 2 2 2 8 4" xfId="5634" xr:uid="{00000000-0005-0000-0000-000002160000}"/>
    <cellStyle name="Normal 10 2 2 2 8 5" xfId="5635" xr:uid="{00000000-0005-0000-0000-000003160000}"/>
    <cellStyle name="Normal 10 2 2 2 8 6" xfId="5636" xr:uid="{00000000-0005-0000-0000-000004160000}"/>
    <cellStyle name="Normal 10 2 2 2 9" xfId="5637" xr:uid="{00000000-0005-0000-0000-000005160000}"/>
    <cellStyle name="Normal 10 2 2 2 9 2" xfId="5638" xr:uid="{00000000-0005-0000-0000-000006160000}"/>
    <cellStyle name="Normal 10 2 2 2 9 3" xfId="5639" xr:uid="{00000000-0005-0000-0000-000007160000}"/>
    <cellStyle name="Normal 10 2 2 2 9 4" xfId="5640" xr:uid="{00000000-0005-0000-0000-000008160000}"/>
    <cellStyle name="Normal 10 2 2 2 9 5" xfId="5641" xr:uid="{00000000-0005-0000-0000-000009160000}"/>
    <cellStyle name="Normal 10 2 2 2 9 6" xfId="5642" xr:uid="{00000000-0005-0000-0000-00000A160000}"/>
    <cellStyle name="Normal 10 2 2 3" xfId="5643" xr:uid="{00000000-0005-0000-0000-00000B160000}"/>
    <cellStyle name="Normal 10 2 2 3 2" xfId="5644" xr:uid="{00000000-0005-0000-0000-00000C160000}"/>
    <cellStyle name="Normal 10 2 2 3 3" xfId="5645" xr:uid="{00000000-0005-0000-0000-00000D160000}"/>
    <cellStyle name="Normal 10 2 2 3 4" xfId="5646" xr:uid="{00000000-0005-0000-0000-00000E160000}"/>
    <cellStyle name="Normal 10 2 2 3 5" xfId="5647" xr:uid="{00000000-0005-0000-0000-00000F160000}"/>
    <cellStyle name="Normal 10 2 2 3 6" xfId="5648" xr:uid="{00000000-0005-0000-0000-000010160000}"/>
    <cellStyle name="Normal 10 2 2 4" xfId="5649" xr:uid="{00000000-0005-0000-0000-000011160000}"/>
    <cellStyle name="Normal 10 2 2 4 2" xfId="5650" xr:uid="{00000000-0005-0000-0000-000012160000}"/>
    <cellStyle name="Normal 10 2 2 4 3" xfId="5651" xr:uid="{00000000-0005-0000-0000-000013160000}"/>
    <cellStyle name="Normal 10 2 2 4 4" xfId="5652" xr:uid="{00000000-0005-0000-0000-000014160000}"/>
    <cellStyle name="Normal 10 2 2 4 5" xfId="5653" xr:uid="{00000000-0005-0000-0000-000015160000}"/>
    <cellStyle name="Normal 10 2 2 4 6" xfId="5654" xr:uid="{00000000-0005-0000-0000-000016160000}"/>
    <cellStyle name="Normal 10 2 2 5" xfId="5655" xr:uid="{00000000-0005-0000-0000-000017160000}"/>
    <cellStyle name="Normal 10 2 2 5 2" xfId="5656" xr:uid="{00000000-0005-0000-0000-000018160000}"/>
    <cellStyle name="Normal 10 2 2 5 3" xfId="5657" xr:uid="{00000000-0005-0000-0000-000019160000}"/>
    <cellStyle name="Normal 10 2 2 5 4" xfId="5658" xr:uid="{00000000-0005-0000-0000-00001A160000}"/>
    <cellStyle name="Normal 10 2 2 5 5" xfId="5659" xr:uid="{00000000-0005-0000-0000-00001B160000}"/>
    <cellStyle name="Normal 10 2 2 5 6" xfId="5660" xr:uid="{00000000-0005-0000-0000-00001C160000}"/>
    <cellStyle name="Normal 10 2 2 6" xfId="5661" xr:uid="{00000000-0005-0000-0000-00001D160000}"/>
    <cellStyle name="Normal 10 2 2 6 2" xfId="5662" xr:uid="{00000000-0005-0000-0000-00001E160000}"/>
    <cellStyle name="Normal 10 2 2 6 3" xfId="5663" xr:uid="{00000000-0005-0000-0000-00001F160000}"/>
    <cellStyle name="Normal 10 2 2 6 4" xfId="5664" xr:uid="{00000000-0005-0000-0000-000020160000}"/>
    <cellStyle name="Normal 10 2 2 6 5" xfId="5665" xr:uid="{00000000-0005-0000-0000-000021160000}"/>
    <cellStyle name="Normal 10 2 2 6 6" xfId="5666" xr:uid="{00000000-0005-0000-0000-000022160000}"/>
    <cellStyle name="Normal 10 2 2 7" xfId="5667" xr:uid="{00000000-0005-0000-0000-000023160000}"/>
    <cellStyle name="Normal 10 2 2 7 2" xfId="5668" xr:uid="{00000000-0005-0000-0000-000024160000}"/>
    <cellStyle name="Normal 10 2 2 7 3" xfId="5669" xr:uid="{00000000-0005-0000-0000-000025160000}"/>
    <cellStyle name="Normal 10 2 2 7 4" xfId="5670" xr:uid="{00000000-0005-0000-0000-000026160000}"/>
    <cellStyle name="Normal 10 2 2 7 5" xfId="5671" xr:uid="{00000000-0005-0000-0000-000027160000}"/>
    <cellStyle name="Normal 10 2 2 7 6" xfId="5672" xr:uid="{00000000-0005-0000-0000-000028160000}"/>
    <cellStyle name="Normal 10 2 2 8" xfId="5673" xr:uid="{00000000-0005-0000-0000-000029160000}"/>
    <cellStyle name="Normal 10 2 2 8 2" xfId="5674" xr:uid="{00000000-0005-0000-0000-00002A160000}"/>
    <cellStyle name="Normal 10 2 2 8 3" xfId="5675" xr:uid="{00000000-0005-0000-0000-00002B160000}"/>
    <cellStyle name="Normal 10 2 2 8 4" xfId="5676" xr:uid="{00000000-0005-0000-0000-00002C160000}"/>
    <cellStyle name="Normal 10 2 2 8 5" xfId="5677" xr:uid="{00000000-0005-0000-0000-00002D160000}"/>
    <cellStyle name="Normal 10 2 2 8 6" xfId="5678" xr:uid="{00000000-0005-0000-0000-00002E160000}"/>
    <cellStyle name="Normal 10 2 2 9" xfId="5679" xr:uid="{00000000-0005-0000-0000-00002F160000}"/>
    <cellStyle name="Normal 10 2 2 9 2" xfId="5680" xr:uid="{00000000-0005-0000-0000-000030160000}"/>
    <cellStyle name="Normal 10 2 2 9 3" xfId="5681" xr:uid="{00000000-0005-0000-0000-000031160000}"/>
    <cellStyle name="Normal 10 2 2 9 4" xfId="5682" xr:uid="{00000000-0005-0000-0000-000032160000}"/>
    <cellStyle name="Normal 10 2 2 9 5" xfId="5683" xr:uid="{00000000-0005-0000-0000-000033160000}"/>
    <cellStyle name="Normal 10 2 2 9 6" xfId="5684" xr:uid="{00000000-0005-0000-0000-000034160000}"/>
    <cellStyle name="Normal 10 2 20" xfId="5685" xr:uid="{00000000-0005-0000-0000-000035160000}"/>
    <cellStyle name="Normal 10 2 21" xfId="5686" xr:uid="{00000000-0005-0000-0000-000036160000}"/>
    <cellStyle name="Normal 10 2 22" xfId="5687" xr:uid="{00000000-0005-0000-0000-000037160000}"/>
    <cellStyle name="Normal 10 2 23" xfId="5688" xr:uid="{00000000-0005-0000-0000-000038160000}"/>
    <cellStyle name="Normal 10 2 24" xfId="5689" xr:uid="{00000000-0005-0000-0000-000039160000}"/>
    <cellStyle name="Normal 10 2 25" xfId="5690" xr:uid="{00000000-0005-0000-0000-00003A160000}"/>
    <cellStyle name="Normal 10 2 26" xfId="5691" xr:uid="{00000000-0005-0000-0000-00003B160000}"/>
    <cellStyle name="Normal 10 2 27" xfId="5692" xr:uid="{00000000-0005-0000-0000-00003C160000}"/>
    <cellStyle name="Normal 10 2 28" xfId="5693" xr:uid="{00000000-0005-0000-0000-00003D160000}"/>
    <cellStyle name="Normal 10 2 29" xfId="5694" xr:uid="{00000000-0005-0000-0000-00003E160000}"/>
    <cellStyle name="Normal 10 2 3" xfId="5695" xr:uid="{00000000-0005-0000-0000-00003F160000}"/>
    <cellStyle name="Normal 10 2 3 10" xfId="5696" xr:uid="{00000000-0005-0000-0000-000040160000}"/>
    <cellStyle name="Normal 10 2 3 11" xfId="5697" xr:uid="{00000000-0005-0000-0000-000041160000}"/>
    <cellStyle name="Normal 10 2 3 12" xfId="5698" xr:uid="{00000000-0005-0000-0000-000042160000}"/>
    <cellStyle name="Normal 10 2 3 13" xfId="5699" xr:uid="{00000000-0005-0000-0000-000043160000}"/>
    <cellStyle name="Normal 10 2 3 14" xfId="5700" xr:uid="{00000000-0005-0000-0000-000044160000}"/>
    <cellStyle name="Normal 10 2 3 2" xfId="5701" xr:uid="{00000000-0005-0000-0000-000045160000}"/>
    <cellStyle name="Normal 10 2 3 2 2" xfId="5702" xr:uid="{00000000-0005-0000-0000-000046160000}"/>
    <cellStyle name="Normal 10 2 3 2 3" xfId="5703" xr:uid="{00000000-0005-0000-0000-000047160000}"/>
    <cellStyle name="Normal 10 2 3 2 4" xfId="5704" xr:uid="{00000000-0005-0000-0000-000048160000}"/>
    <cellStyle name="Normal 10 2 3 2 5" xfId="5705" xr:uid="{00000000-0005-0000-0000-000049160000}"/>
    <cellStyle name="Normal 10 2 3 2 6" xfId="5706" xr:uid="{00000000-0005-0000-0000-00004A160000}"/>
    <cellStyle name="Normal 10 2 3 3" xfId="5707" xr:uid="{00000000-0005-0000-0000-00004B160000}"/>
    <cellStyle name="Normal 10 2 3 3 2" xfId="5708" xr:uid="{00000000-0005-0000-0000-00004C160000}"/>
    <cellStyle name="Normal 10 2 3 3 3" xfId="5709" xr:uid="{00000000-0005-0000-0000-00004D160000}"/>
    <cellStyle name="Normal 10 2 3 3 4" xfId="5710" xr:uid="{00000000-0005-0000-0000-00004E160000}"/>
    <cellStyle name="Normal 10 2 3 3 5" xfId="5711" xr:uid="{00000000-0005-0000-0000-00004F160000}"/>
    <cellStyle name="Normal 10 2 3 3 6" xfId="5712" xr:uid="{00000000-0005-0000-0000-000050160000}"/>
    <cellStyle name="Normal 10 2 3 4" xfId="5713" xr:uid="{00000000-0005-0000-0000-000051160000}"/>
    <cellStyle name="Normal 10 2 3 4 2" xfId="5714" xr:uid="{00000000-0005-0000-0000-000052160000}"/>
    <cellStyle name="Normal 10 2 3 4 3" xfId="5715" xr:uid="{00000000-0005-0000-0000-000053160000}"/>
    <cellStyle name="Normal 10 2 3 4 4" xfId="5716" xr:uid="{00000000-0005-0000-0000-000054160000}"/>
    <cellStyle name="Normal 10 2 3 4 5" xfId="5717" xr:uid="{00000000-0005-0000-0000-000055160000}"/>
    <cellStyle name="Normal 10 2 3 4 6" xfId="5718" xr:uid="{00000000-0005-0000-0000-000056160000}"/>
    <cellStyle name="Normal 10 2 3 5" xfId="5719" xr:uid="{00000000-0005-0000-0000-000057160000}"/>
    <cellStyle name="Normal 10 2 3 5 2" xfId="5720" xr:uid="{00000000-0005-0000-0000-000058160000}"/>
    <cellStyle name="Normal 10 2 3 5 3" xfId="5721" xr:uid="{00000000-0005-0000-0000-000059160000}"/>
    <cellStyle name="Normal 10 2 3 5 4" xfId="5722" xr:uid="{00000000-0005-0000-0000-00005A160000}"/>
    <cellStyle name="Normal 10 2 3 5 5" xfId="5723" xr:uid="{00000000-0005-0000-0000-00005B160000}"/>
    <cellStyle name="Normal 10 2 3 5 6" xfId="5724" xr:uid="{00000000-0005-0000-0000-00005C160000}"/>
    <cellStyle name="Normal 10 2 3 6" xfId="5725" xr:uid="{00000000-0005-0000-0000-00005D160000}"/>
    <cellStyle name="Normal 10 2 3 6 2" xfId="5726" xr:uid="{00000000-0005-0000-0000-00005E160000}"/>
    <cellStyle name="Normal 10 2 3 6 3" xfId="5727" xr:uid="{00000000-0005-0000-0000-00005F160000}"/>
    <cellStyle name="Normal 10 2 3 6 4" xfId="5728" xr:uid="{00000000-0005-0000-0000-000060160000}"/>
    <cellStyle name="Normal 10 2 3 6 5" xfId="5729" xr:uid="{00000000-0005-0000-0000-000061160000}"/>
    <cellStyle name="Normal 10 2 3 6 6" xfId="5730" xr:uid="{00000000-0005-0000-0000-000062160000}"/>
    <cellStyle name="Normal 10 2 3 7" xfId="5731" xr:uid="{00000000-0005-0000-0000-000063160000}"/>
    <cellStyle name="Normal 10 2 3 7 2" xfId="5732" xr:uid="{00000000-0005-0000-0000-000064160000}"/>
    <cellStyle name="Normal 10 2 3 7 3" xfId="5733" xr:uid="{00000000-0005-0000-0000-000065160000}"/>
    <cellStyle name="Normal 10 2 3 7 4" xfId="5734" xr:uid="{00000000-0005-0000-0000-000066160000}"/>
    <cellStyle name="Normal 10 2 3 7 5" xfId="5735" xr:uid="{00000000-0005-0000-0000-000067160000}"/>
    <cellStyle name="Normal 10 2 3 7 6" xfId="5736" xr:uid="{00000000-0005-0000-0000-000068160000}"/>
    <cellStyle name="Normal 10 2 3 8" xfId="5737" xr:uid="{00000000-0005-0000-0000-000069160000}"/>
    <cellStyle name="Normal 10 2 3 8 2" xfId="5738" xr:uid="{00000000-0005-0000-0000-00006A160000}"/>
    <cellStyle name="Normal 10 2 3 8 3" xfId="5739" xr:uid="{00000000-0005-0000-0000-00006B160000}"/>
    <cellStyle name="Normal 10 2 3 8 4" xfId="5740" xr:uid="{00000000-0005-0000-0000-00006C160000}"/>
    <cellStyle name="Normal 10 2 3 8 5" xfId="5741" xr:uid="{00000000-0005-0000-0000-00006D160000}"/>
    <cellStyle name="Normal 10 2 3 8 6" xfId="5742" xr:uid="{00000000-0005-0000-0000-00006E160000}"/>
    <cellStyle name="Normal 10 2 3 9" xfId="5743" xr:uid="{00000000-0005-0000-0000-00006F160000}"/>
    <cellStyle name="Normal 10 2 3 9 2" xfId="5744" xr:uid="{00000000-0005-0000-0000-000070160000}"/>
    <cellStyle name="Normal 10 2 3 9 3" xfId="5745" xr:uid="{00000000-0005-0000-0000-000071160000}"/>
    <cellStyle name="Normal 10 2 3 9 4" xfId="5746" xr:uid="{00000000-0005-0000-0000-000072160000}"/>
    <cellStyle name="Normal 10 2 3 9 5" xfId="5747" xr:uid="{00000000-0005-0000-0000-000073160000}"/>
    <cellStyle name="Normal 10 2 3 9 6" xfId="5748" xr:uid="{00000000-0005-0000-0000-000074160000}"/>
    <cellStyle name="Normal 10 2 30" xfId="5749" xr:uid="{00000000-0005-0000-0000-000075160000}"/>
    <cellStyle name="Normal 10 2 31" xfId="5750" xr:uid="{00000000-0005-0000-0000-000076160000}"/>
    <cellStyle name="Normal 10 2 4" xfId="5751" xr:uid="{00000000-0005-0000-0000-000077160000}"/>
    <cellStyle name="Normal 10 2 4 2" xfId="5752" xr:uid="{00000000-0005-0000-0000-000078160000}"/>
    <cellStyle name="Normal 10 2 4 3" xfId="5753" xr:uid="{00000000-0005-0000-0000-000079160000}"/>
    <cellStyle name="Normal 10 2 4 4" xfId="5754" xr:uid="{00000000-0005-0000-0000-00007A160000}"/>
    <cellStyle name="Normal 10 2 4 5" xfId="5755" xr:uid="{00000000-0005-0000-0000-00007B160000}"/>
    <cellStyle name="Normal 10 2 4 6" xfId="5756" xr:uid="{00000000-0005-0000-0000-00007C160000}"/>
    <cellStyle name="Normal 10 2 5" xfId="5757" xr:uid="{00000000-0005-0000-0000-00007D160000}"/>
    <cellStyle name="Normal 10 2 5 2" xfId="5758" xr:uid="{00000000-0005-0000-0000-00007E160000}"/>
    <cellStyle name="Normal 10 2 5 3" xfId="5759" xr:uid="{00000000-0005-0000-0000-00007F160000}"/>
    <cellStyle name="Normal 10 2 5 4" xfId="5760" xr:uid="{00000000-0005-0000-0000-000080160000}"/>
    <cellStyle name="Normal 10 2 5 5" xfId="5761" xr:uid="{00000000-0005-0000-0000-000081160000}"/>
    <cellStyle name="Normal 10 2 5 6" xfId="5762" xr:uid="{00000000-0005-0000-0000-000082160000}"/>
    <cellStyle name="Normal 10 2 6" xfId="5763" xr:uid="{00000000-0005-0000-0000-000083160000}"/>
    <cellStyle name="Normal 10 2 6 2" xfId="5764" xr:uid="{00000000-0005-0000-0000-000084160000}"/>
    <cellStyle name="Normal 10 2 6 3" xfId="5765" xr:uid="{00000000-0005-0000-0000-000085160000}"/>
    <cellStyle name="Normal 10 2 6 4" xfId="5766" xr:uid="{00000000-0005-0000-0000-000086160000}"/>
    <cellStyle name="Normal 10 2 6 5" xfId="5767" xr:uid="{00000000-0005-0000-0000-000087160000}"/>
    <cellStyle name="Normal 10 2 6 6" xfId="5768" xr:uid="{00000000-0005-0000-0000-000088160000}"/>
    <cellStyle name="Normal 10 2 7" xfId="5769" xr:uid="{00000000-0005-0000-0000-000089160000}"/>
    <cellStyle name="Normal 10 2 7 2" xfId="5770" xr:uid="{00000000-0005-0000-0000-00008A160000}"/>
    <cellStyle name="Normal 10 2 7 3" xfId="5771" xr:uid="{00000000-0005-0000-0000-00008B160000}"/>
    <cellStyle name="Normal 10 2 7 4" xfId="5772" xr:uid="{00000000-0005-0000-0000-00008C160000}"/>
    <cellStyle name="Normal 10 2 7 5" xfId="5773" xr:uid="{00000000-0005-0000-0000-00008D160000}"/>
    <cellStyle name="Normal 10 2 7 6" xfId="5774" xr:uid="{00000000-0005-0000-0000-00008E160000}"/>
    <cellStyle name="Normal 10 2 8" xfId="5775" xr:uid="{00000000-0005-0000-0000-00008F160000}"/>
    <cellStyle name="Normal 10 2 8 2" xfId="5776" xr:uid="{00000000-0005-0000-0000-000090160000}"/>
    <cellStyle name="Normal 10 2 8 3" xfId="5777" xr:uid="{00000000-0005-0000-0000-000091160000}"/>
    <cellStyle name="Normal 10 2 8 4" xfId="5778" xr:uid="{00000000-0005-0000-0000-000092160000}"/>
    <cellStyle name="Normal 10 2 8 5" xfId="5779" xr:uid="{00000000-0005-0000-0000-000093160000}"/>
    <cellStyle name="Normal 10 2 8 6" xfId="5780" xr:uid="{00000000-0005-0000-0000-000094160000}"/>
    <cellStyle name="Normal 10 2 9" xfId="5781" xr:uid="{00000000-0005-0000-0000-000095160000}"/>
    <cellStyle name="Normal 10 2 9 2" xfId="5782" xr:uid="{00000000-0005-0000-0000-000096160000}"/>
    <cellStyle name="Normal 10 2 9 3" xfId="5783" xr:uid="{00000000-0005-0000-0000-000097160000}"/>
    <cellStyle name="Normal 10 2 9 4" xfId="5784" xr:uid="{00000000-0005-0000-0000-000098160000}"/>
    <cellStyle name="Normal 10 2 9 5" xfId="5785" xr:uid="{00000000-0005-0000-0000-000099160000}"/>
    <cellStyle name="Normal 10 2 9 6" xfId="5786" xr:uid="{00000000-0005-0000-0000-00009A160000}"/>
    <cellStyle name="Normal 10 3" xfId="5787" xr:uid="{00000000-0005-0000-0000-00009B160000}"/>
    <cellStyle name="Normal 10 3 10" xfId="5788" xr:uid="{00000000-0005-0000-0000-00009C160000}"/>
    <cellStyle name="Normal 10 3 10 2" xfId="5789" xr:uid="{00000000-0005-0000-0000-00009D160000}"/>
    <cellStyle name="Normal 10 3 10 3" xfId="5790" xr:uid="{00000000-0005-0000-0000-00009E160000}"/>
    <cellStyle name="Normal 10 3 10 4" xfId="5791" xr:uid="{00000000-0005-0000-0000-00009F160000}"/>
    <cellStyle name="Normal 10 3 10 5" xfId="5792" xr:uid="{00000000-0005-0000-0000-0000A0160000}"/>
    <cellStyle name="Normal 10 3 10 6" xfId="5793" xr:uid="{00000000-0005-0000-0000-0000A1160000}"/>
    <cellStyle name="Normal 10 3 11" xfId="5794" xr:uid="{00000000-0005-0000-0000-0000A2160000}"/>
    <cellStyle name="Normal 10 3 11 2" xfId="5795" xr:uid="{00000000-0005-0000-0000-0000A3160000}"/>
    <cellStyle name="Normal 10 3 11 3" xfId="5796" xr:uid="{00000000-0005-0000-0000-0000A4160000}"/>
    <cellStyle name="Normal 10 3 11 4" xfId="5797" xr:uid="{00000000-0005-0000-0000-0000A5160000}"/>
    <cellStyle name="Normal 10 3 11 5" xfId="5798" xr:uid="{00000000-0005-0000-0000-0000A6160000}"/>
    <cellStyle name="Normal 10 3 11 6" xfId="5799" xr:uid="{00000000-0005-0000-0000-0000A7160000}"/>
    <cellStyle name="Normal 10 3 12" xfId="5800" xr:uid="{00000000-0005-0000-0000-0000A8160000}"/>
    <cellStyle name="Normal 10 3 13" xfId="5801" xr:uid="{00000000-0005-0000-0000-0000A9160000}"/>
    <cellStyle name="Normal 10 3 14" xfId="5802" xr:uid="{00000000-0005-0000-0000-0000AA160000}"/>
    <cellStyle name="Normal 10 3 15" xfId="5803" xr:uid="{00000000-0005-0000-0000-0000AB160000}"/>
    <cellStyle name="Normal 10 3 16" xfId="5804" xr:uid="{00000000-0005-0000-0000-0000AC160000}"/>
    <cellStyle name="Normal 10 3 17" xfId="5805" xr:uid="{00000000-0005-0000-0000-0000AD160000}"/>
    <cellStyle name="Normal 10 3 18" xfId="5806" xr:uid="{00000000-0005-0000-0000-0000AE160000}"/>
    <cellStyle name="Normal 10 3 19" xfId="5807" xr:uid="{00000000-0005-0000-0000-0000AF160000}"/>
    <cellStyle name="Normal 10 3 2" xfId="5808" xr:uid="{00000000-0005-0000-0000-0000B0160000}"/>
    <cellStyle name="Normal 10 3 2 10" xfId="5809" xr:uid="{00000000-0005-0000-0000-0000B1160000}"/>
    <cellStyle name="Normal 10 3 2 10 2" xfId="5810" xr:uid="{00000000-0005-0000-0000-0000B2160000}"/>
    <cellStyle name="Normal 10 3 2 10 3" xfId="5811" xr:uid="{00000000-0005-0000-0000-0000B3160000}"/>
    <cellStyle name="Normal 10 3 2 10 4" xfId="5812" xr:uid="{00000000-0005-0000-0000-0000B4160000}"/>
    <cellStyle name="Normal 10 3 2 10 5" xfId="5813" xr:uid="{00000000-0005-0000-0000-0000B5160000}"/>
    <cellStyle name="Normal 10 3 2 10 6" xfId="5814" xr:uid="{00000000-0005-0000-0000-0000B6160000}"/>
    <cellStyle name="Normal 10 3 2 11" xfId="5815" xr:uid="{00000000-0005-0000-0000-0000B7160000}"/>
    <cellStyle name="Normal 10 3 2 12" xfId="5816" xr:uid="{00000000-0005-0000-0000-0000B8160000}"/>
    <cellStyle name="Normal 10 3 2 13" xfId="5817" xr:uid="{00000000-0005-0000-0000-0000B9160000}"/>
    <cellStyle name="Normal 10 3 2 14" xfId="5818" xr:uid="{00000000-0005-0000-0000-0000BA160000}"/>
    <cellStyle name="Normal 10 3 2 15" xfId="5819" xr:uid="{00000000-0005-0000-0000-0000BB160000}"/>
    <cellStyle name="Normal 10 3 2 2" xfId="5820" xr:uid="{00000000-0005-0000-0000-0000BC160000}"/>
    <cellStyle name="Normal 10 3 2 2 10" xfId="5821" xr:uid="{00000000-0005-0000-0000-0000BD160000}"/>
    <cellStyle name="Normal 10 3 2 2 11" xfId="5822" xr:uid="{00000000-0005-0000-0000-0000BE160000}"/>
    <cellStyle name="Normal 10 3 2 2 12" xfId="5823" xr:uid="{00000000-0005-0000-0000-0000BF160000}"/>
    <cellStyle name="Normal 10 3 2 2 13" xfId="5824" xr:uid="{00000000-0005-0000-0000-0000C0160000}"/>
    <cellStyle name="Normal 10 3 2 2 14" xfId="5825" xr:uid="{00000000-0005-0000-0000-0000C1160000}"/>
    <cellStyle name="Normal 10 3 2 2 2" xfId="5826" xr:uid="{00000000-0005-0000-0000-0000C2160000}"/>
    <cellStyle name="Normal 10 3 2 2 2 2" xfId="5827" xr:uid="{00000000-0005-0000-0000-0000C3160000}"/>
    <cellStyle name="Normal 10 3 2 2 2 3" xfId="5828" xr:uid="{00000000-0005-0000-0000-0000C4160000}"/>
    <cellStyle name="Normal 10 3 2 2 2 4" xfId="5829" xr:uid="{00000000-0005-0000-0000-0000C5160000}"/>
    <cellStyle name="Normal 10 3 2 2 2 5" xfId="5830" xr:uid="{00000000-0005-0000-0000-0000C6160000}"/>
    <cellStyle name="Normal 10 3 2 2 2 6" xfId="5831" xr:uid="{00000000-0005-0000-0000-0000C7160000}"/>
    <cellStyle name="Normal 10 3 2 2 3" xfId="5832" xr:uid="{00000000-0005-0000-0000-0000C8160000}"/>
    <cellStyle name="Normal 10 3 2 2 3 2" xfId="5833" xr:uid="{00000000-0005-0000-0000-0000C9160000}"/>
    <cellStyle name="Normal 10 3 2 2 3 3" xfId="5834" xr:uid="{00000000-0005-0000-0000-0000CA160000}"/>
    <cellStyle name="Normal 10 3 2 2 3 4" xfId="5835" xr:uid="{00000000-0005-0000-0000-0000CB160000}"/>
    <cellStyle name="Normal 10 3 2 2 3 5" xfId="5836" xr:uid="{00000000-0005-0000-0000-0000CC160000}"/>
    <cellStyle name="Normal 10 3 2 2 3 6" xfId="5837" xr:uid="{00000000-0005-0000-0000-0000CD160000}"/>
    <cellStyle name="Normal 10 3 2 2 4" xfId="5838" xr:uid="{00000000-0005-0000-0000-0000CE160000}"/>
    <cellStyle name="Normal 10 3 2 2 4 2" xfId="5839" xr:uid="{00000000-0005-0000-0000-0000CF160000}"/>
    <cellStyle name="Normal 10 3 2 2 4 3" xfId="5840" xr:uid="{00000000-0005-0000-0000-0000D0160000}"/>
    <cellStyle name="Normal 10 3 2 2 4 4" xfId="5841" xr:uid="{00000000-0005-0000-0000-0000D1160000}"/>
    <cellStyle name="Normal 10 3 2 2 4 5" xfId="5842" xr:uid="{00000000-0005-0000-0000-0000D2160000}"/>
    <cellStyle name="Normal 10 3 2 2 4 6" xfId="5843" xr:uid="{00000000-0005-0000-0000-0000D3160000}"/>
    <cellStyle name="Normal 10 3 2 2 5" xfId="5844" xr:uid="{00000000-0005-0000-0000-0000D4160000}"/>
    <cellStyle name="Normal 10 3 2 2 5 2" xfId="5845" xr:uid="{00000000-0005-0000-0000-0000D5160000}"/>
    <cellStyle name="Normal 10 3 2 2 5 3" xfId="5846" xr:uid="{00000000-0005-0000-0000-0000D6160000}"/>
    <cellStyle name="Normal 10 3 2 2 5 4" xfId="5847" xr:uid="{00000000-0005-0000-0000-0000D7160000}"/>
    <cellStyle name="Normal 10 3 2 2 5 5" xfId="5848" xr:uid="{00000000-0005-0000-0000-0000D8160000}"/>
    <cellStyle name="Normal 10 3 2 2 5 6" xfId="5849" xr:uid="{00000000-0005-0000-0000-0000D9160000}"/>
    <cellStyle name="Normal 10 3 2 2 6" xfId="5850" xr:uid="{00000000-0005-0000-0000-0000DA160000}"/>
    <cellStyle name="Normal 10 3 2 2 6 2" xfId="5851" xr:uid="{00000000-0005-0000-0000-0000DB160000}"/>
    <cellStyle name="Normal 10 3 2 2 6 3" xfId="5852" xr:uid="{00000000-0005-0000-0000-0000DC160000}"/>
    <cellStyle name="Normal 10 3 2 2 6 4" xfId="5853" xr:uid="{00000000-0005-0000-0000-0000DD160000}"/>
    <cellStyle name="Normal 10 3 2 2 6 5" xfId="5854" xr:uid="{00000000-0005-0000-0000-0000DE160000}"/>
    <cellStyle name="Normal 10 3 2 2 6 6" xfId="5855" xr:uid="{00000000-0005-0000-0000-0000DF160000}"/>
    <cellStyle name="Normal 10 3 2 2 7" xfId="5856" xr:uid="{00000000-0005-0000-0000-0000E0160000}"/>
    <cellStyle name="Normal 10 3 2 2 7 2" xfId="5857" xr:uid="{00000000-0005-0000-0000-0000E1160000}"/>
    <cellStyle name="Normal 10 3 2 2 7 3" xfId="5858" xr:uid="{00000000-0005-0000-0000-0000E2160000}"/>
    <cellStyle name="Normal 10 3 2 2 7 4" xfId="5859" xr:uid="{00000000-0005-0000-0000-0000E3160000}"/>
    <cellStyle name="Normal 10 3 2 2 7 5" xfId="5860" xr:uid="{00000000-0005-0000-0000-0000E4160000}"/>
    <cellStyle name="Normal 10 3 2 2 7 6" xfId="5861" xr:uid="{00000000-0005-0000-0000-0000E5160000}"/>
    <cellStyle name="Normal 10 3 2 2 8" xfId="5862" xr:uid="{00000000-0005-0000-0000-0000E6160000}"/>
    <cellStyle name="Normal 10 3 2 2 8 2" xfId="5863" xr:uid="{00000000-0005-0000-0000-0000E7160000}"/>
    <cellStyle name="Normal 10 3 2 2 8 3" xfId="5864" xr:uid="{00000000-0005-0000-0000-0000E8160000}"/>
    <cellStyle name="Normal 10 3 2 2 8 4" xfId="5865" xr:uid="{00000000-0005-0000-0000-0000E9160000}"/>
    <cellStyle name="Normal 10 3 2 2 8 5" xfId="5866" xr:uid="{00000000-0005-0000-0000-0000EA160000}"/>
    <cellStyle name="Normal 10 3 2 2 8 6" xfId="5867" xr:uid="{00000000-0005-0000-0000-0000EB160000}"/>
    <cellStyle name="Normal 10 3 2 2 9" xfId="5868" xr:uid="{00000000-0005-0000-0000-0000EC160000}"/>
    <cellStyle name="Normal 10 3 2 2 9 2" xfId="5869" xr:uid="{00000000-0005-0000-0000-0000ED160000}"/>
    <cellStyle name="Normal 10 3 2 2 9 3" xfId="5870" xr:uid="{00000000-0005-0000-0000-0000EE160000}"/>
    <cellStyle name="Normal 10 3 2 2 9 4" xfId="5871" xr:uid="{00000000-0005-0000-0000-0000EF160000}"/>
    <cellStyle name="Normal 10 3 2 2 9 5" xfId="5872" xr:uid="{00000000-0005-0000-0000-0000F0160000}"/>
    <cellStyle name="Normal 10 3 2 2 9 6" xfId="5873" xr:uid="{00000000-0005-0000-0000-0000F1160000}"/>
    <cellStyle name="Normal 10 3 2 3" xfId="5874" xr:uid="{00000000-0005-0000-0000-0000F2160000}"/>
    <cellStyle name="Normal 10 3 2 3 2" xfId="5875" xr:uid="{00000000-0005-0000-0000-0000F3160000}"/>
    <cellStyle name="Normal 10 3 2 3 3" xfId="5876" xr:uid="{00000000-0005-0000-0000-0000F4160000}"/>
    <cellStyle name="Normal 10 3 2 3 4" xfId="5877" xr:uid="{00000000-0005-0000-0000-0000F5160000}"/>
    <cellStyle name="Normal 10 3 2 3 5" xfId="5878" xr:uid="{00000000-0005-0000-0000-0000F6160000}"/>
    <cellStyle name="Normal 10 3 2 3 6" xfId="5879" xr:uid="{00000000-0005-0000-0000-0000F7160000}"/>
    <cellStyle name="Normal 10 3 2 4" xfId="5880" xr:uid="{00000000-0005-0000-0000-0000F8160000}"/>
    <cellStyle name="Normal 10 3 2 4 2" xfId="5881" xr:uid="{00000000-0005-0000-0000-0000F9160000}"/>
    <cellStyle name="Normal 10 3 2 4 3" xfId="5882" xr:uid="{00000000-0005-0000-0000-0000FA160000}"/>
    <cellStyle name="Normal 10 3 2 4 4" xfId="5883" xr:uid="{00000000-0005-0000-0000-0000FB160000}"/>
    <cellStyle name="Normal 10 3 2 4 5" xfId="5884" xr:uid="{00000000-0005-0000-0000-0000FC160000}"/>
    <cellStyle name="Normal 10 3 2 4 6" xfId="5885" xr:uid="{00000000-0005-0000-0000-0000FD160000}"/>
    <cellStyle name="Normal 10 3 2 5" xfId="5886" xr:uid="{00000000-0005-0000-0000-0000FE160000}"/>
    <cellStyle name="Normal 10 3 2 5 2" xfId="5887" xr:uid="{00000000-0005-0000-0000-0000FF160000}"/>
    <cellStyle name="Normal 10 3 2 5 3" xfId="5888" xr:uid="{00000000-0005-0000-0000-000000170000}"/>
    <cellStyle name="Normal 10 3 2 5 4" xfId="5889" xr:uid="{00000000-0005-0000-0000-000001170000}"/>
    <cellStyle name="Normal 10 3 2 5 5" xfId="5890" xr:uid="{00000000-0005-0000-0000-000002170000}"/>
    <cellStyle name="Normal 10 3 2 5 6" xfId="5891" xr:uid="{00000000-0005-0000-0000-000003170000}"/>
    <cellStyle name="Normal 10 3 2 6" xfId="5892" xr:uid="{00000000-0005-0000-0000-000004170000}"/>
    <cellStyle name="Normal 10 3 2 6 2" xfId="5893" xr:uid="{00000000-0005-0000-0000-000005170000}"/>
    <cellStyle name="Normal 10 3 2 6 3" xfId="5894" xr:uid="{00000000-0005-0000-0000-000006170000}"/>
    <cellStyle name="Normal 10 3 2 6 4" xfId="5895" xr:uid="{00000000-0005-0000-0000-000007170000}"/>
    <cellStyle name="Normal 10 3 2 6 5" xfId="5896" xr:uid="{00000000-0005-0000-0000-000008170000}"/>
    <cellStyle name="Normal 10 3 2 6 6" xfId="5897" xr:uid="{00000000-0005-0000-0000-000009170000}"/>
    <cellStyle name="Normal 10 3 2 7" xfId="5898" xr:uid="{00000000-0005-0000-0000-00000A170000}"/>
    <cellStyle name="Normal 10 3 2 7 2" xfId="5899" xr:uid="{00000000-0005-0000-0000-00000B170000}"/>
    <cellStyle name="Normal 10 3 2 7 3" xfId="5900" xr:uid="{00000000-0005-0000-0000-00000C170000}"/>
    <cellStyle name="Normal 10 3 2 7 4" xfId="5901" xr:uid="{00000000-0005-0000-0000-00000D170000}"/>
    <cellStyle name="Normal 10 3 2 7 5" xfId="5902" xr:uid="{00000000-0005-0000-0000-00000E170000}"/>
    <cellStyle name="Normal 10 3 2 7 6" xfId="5903" xr:uid="{00000000-0005-0000-0000-00000F170000}"/>
    <cellStyle name="Normal 10 3 2 8" xfId="5904" xr:uid="{00000000-0005-0000-0000-000010170000}"/>
    <cellStyle name="Normal 10 3 2 8 2" xfId="5905" xr:uid="{00000000-0005-0000-0000-000011170000}"/>
    <cellStyle name="Normal 10 3 2 8 3" xfId="5906" xr:uid="{00000000-0005-0000-0000-000012170000}"/>
    <cellStyle name="Normal 10 3 2 8 4" xfId="5907" xr:uid="{00000000-0005-0000-0000-000013170000}"/>
    <cellStyle name="Normal 10 3 2 8 5" xfId="5908" xr:uid="{00000000-0005-0000-0000-000014170000}"/>
    <cellStyle name="Normal 10 3 2 8 6" xfId="5909" xr:uid="{00000000-0005-0000-0000-000015170000}"/>
    <cellStyle name="Normal 10 3 2 9" xfId="5910" xr:uid="{00000000-0005-0000-0000-000016170000}"/>
    <cellStyle name="Normal 10 3 2 9 2" xfId="5911" xr:uid="{00000000-0005-0000-0000-000017170000}"/>
    <cellStyle name="Normal 10 3 2 9 3" xfId="5912" xr:uid="{00000000-0005-0000-0000-000018170000}"/>
    <cellStyle name="Normal 10 3 2 9 4" xfId="5913" xr:uid="{00000000-0005-0000-0000-000019170000}"/>
    <cellStyle name="Normal 10 3 2 9 5" xfId="5914" xr:uid="{00000000-0005-0000-0000-00001A170000}"/>
    <cellStyle name="Normal 10 3 2 9 6" xfId="5915" xr:uid="{00000000-0005-0000-0000-00001B170000}"/>
    <cellStyle name="Normal 10 3 20" xfId="5916" xr:uid="{00000000-0005-0000-0000-00001C170000}"/>
    <cellStyle name="Normal 10 3 21" xfId="5917" xr:uid="{00000000-0005-0000-0000-00001D170000}"/>
    <cellStyle name="Normal 10 3 22" xfId="5918" xr:uid="{00000000-0005-0000-0000-00001E170000}"/>
    <cellStyle name="Normal 10 3 23" xfId="5919" xr:uid="{00000000-0005-0000-0000-00001F170000}"/>
    <cellStyle name="Normal 10 3 24" xfId="5920" xr:uid="{00000000-0005-0000-0000-000020170000}"/>
    <cellStyle name="Normal 10 3 25" xfId="5921" xr:uid="{00000000-0005-0000-0000-000021170000}"/>
    <cellStyle name="Normal 10 3 26" xfId="5922" xr:uid="{00000000-0005-0000-0000-000022170000}"/>
    <cellStyle name="Normal 10 3 27" xfId="5923" xr:uid="{00000000-0005-0000-0000-000023170000}"/>
    <cellStyle name="Normal 10 3 28" xfId="5924" xr:uid="{00000000-0005-0000-0000-000024170000}"/>
    <cellStyle name="Normal 10 3 29" xfId="5925" xr:uid="{00000000-0005-0000-0000-000025170000}"/>
    <cellStyle name="Normal 10 3 3" xfId="5926" xr:uid="{00000000-0005-0000-0000-000026170000}"/>
    <cellStyle name="Normal 10 3 3 10" xfId="5927" xr:uid="{00000000-0005-0000-0000-000027170000}"/>
    <cellStyle name="Normal 10 3 3 11" xfId="5928" xr:uid="{00000000-0005-0000-0000-000028170000}"/>
    <cellStyle name="Normal 10 3 3 12" xfId="5929" xr:uid="{00000000-0005-0000-0000-000029170000}"/>
    <cellStyle name="Normal 10 3 3 13" xfId="5930" xr:uid="{00000000-0005-0000-0000-00002A170000}"/>
    <cellStyle name="Normal 10 3 3 14" xfId="5931" xr:uid="{00000000-0005-0000-0000-00002B170000}"/>
    <cellStyle name="Normal 10 3 3 2" xfId="5932" xr:uid="{00000000-0005-0000-0000-00002C170000}"/>
    <cellStyle name="Normal 10 3 3 2 2" xfId="5933" xr:uid="{00000000-0005-0000-0000-00002D170000}"/>
    <cellStyle name="Normal 10 3 3 2 3" xfId="5934" xr:uid="{00000000-0005-0000-0000-00002E170000}"/>
    <cellStyle name="Normal 10 3 3 2 4" xfId="5935" xr:uid="{00000000-0005-0000-0000-00002F170000}"/>
    <cellStyle name="Normal 10 3 3 2 5" xfId="5936" xr:uid="{00000000-0005-0000-0000-000030170000}"/>
    <cellStyle name="Normal 10 3 3 2 6" xfId="5937" xr:uid="{00000000-0005-0000-0000-000031170000}"/>
    <cellStyle name="Normal 10 3 3 3" xfId="5938" xr:uid="{00000000-0005-0000-0000-000032170000}"/>
    <cellStyle name="Normal 10 3 3 3 2" xfId="5939" xr:uid="{00000000-0005-0000-0000-000033170000}"/>
    <cellStyle name="Normal 10 3 3 3 3" xfId="5940" xr:uid="{00000000-0005-0000-0000-000034170000}"/>
    <cellStyle name="Normal 10 3 3 3 4" xfId="5941" xr:uid="{00000000-0005-0000-0000-000035170000}"/>
    <cellStyle name="Normal 10 3 3 3 5" xfId="5942" xr:uid="{00000000-0005-0000-0000-000036170000}"/>
    <cellStyle name="Normal 10 3 3 3 6" xfId="5943" xr:uid="{00000000-0005-0000-0000-000037170000}"/>
    <cellStyle name="Normal 10 3 3 4" xfId="5944" xr:uid="{00000000-0005-0000-0000-000038170000}"/>
    <cellStyle name="Normal 10 3 3 4 2" xfId="5945" xr:uid="{00000000-0005-0000-0000-000039170000}"/>
    <cellStyle name="Normal 10 3 3 4 3" xfId="5946" xr:uid="{00000000-0005-0000-0000-00003A170000}"/>
    <cellStyle name="Normal 10 3 3 4 4" xfId="5947" xr:uid="{00000000-0005-0000-0000-00003B170000}"/>
    <cellStyle name="Normal 10 3 3 4 5" xfId="5948" xr:uid="{00000000-0005-0000-0000-00003C170000}"/>
    <cellStyle name="Normal 10 3 3 4 6" xfId="5949" xr:uid="{00000000-0005-0000-0000-00003D170000}"/>
    <cellStyle name="Normal 10 3 3 5" xfId="5950" xr:uid="{00000000-0005-0000-0000-00003E170000}"/>
    <cellStyle name="Normal 10 3 3 5 2" xfId="5951" xr:uid="{00000000-0005-0000-0000-00003F170000}"/>
    <cellStyle name="Normal 10 3 3 5 3" xfId="5952" xr:uid="{00000000-0005-0000-0000-000040170000}"/>
    <cellStyle name="Normal 10 3 3 5 4" xfId="5953" xr:uid="{00000000-0005-0000-0000-000041170000}"/>
    <cellStyle name="Normal 10 3 3 5 5" xfId="5954" xr:uid="{00000000-0005-0000-0000-000042170000}"/>
    <cellStyle name="Normal 10 3 3 5 6" xfId="5955" xr:uid="{00000000-0005-0000-0000-000043170000}"/>
    <cellStyle name="Normal 10 3 3 6" xfId="5956" xr:uid="{00000000-0005-0000-0000-000044170000}"/>
    <cellStyle name="Normal 10 3 3 6 2" xfId="5957" xr:uid="{00000000-0005-0000-0000-000045170000}"/>
    <cellStyle name="Normal 10 3 3 6 3" xfId="5958" xr:uid="{00000000-0005-0000-0000-000046170000}"/>
    <cellStyle name="Normal 10 3 3 6 4" xfId="5959" xr:uid="{00000000-0005-0000-0000-000047170000}"/>
    <cellStyle name="Normal 10 3 3 6 5" xfId="5960" xr:uid="{00000000-0005-0000-0000-000048170000}"/>
    <cellStyle name="Normal 10 3 3 6 6" xfId="5961" xr:uid="{00000000-0005-0000-0000-000049170000}"/>
    <cellStyle name="Normal 10 3 3 7" xfId="5962" xr:uid="{00000000-0005-0000-0000-00004A170000}"/>
    <cellStyle name="Normal 10 3 3 7 2" xfId="5963" xr:uid="{00000000-0005-0000-0000-00004B170000}"/>
    <cellStyle name="Normal 10 3 3 7 3" xfId="5964" xr:uid="{00000000-0005-0000-0000-00004C170000}"/>
    <cellStyle name="Normal 10 3 3 7 4" xfId="5965" xr:uid="{00000000-0005-0000-0000-00004D170000}"/>
    <cellStyle name="Normal 10 3 3 7 5" xfId="5966" xr:uid="{00000000-0005-0000-0000-00004E170000}"/>
    <cellStyle name="Normal 10 3 3 7 6" xfId="5967" xr:uid="{00000000-0005-0000-0000-00004F170000}"/>
    <cellStyle name="Normal 10 3 3 8" xfId="5968" xr:uid="{00000000-0005-0000-0000-000050170000}"/>
    <cellStyle name="Normal 10 3 3 8 2" xfId="5969" xr:uid="{00000000-0005-0000-0000-000051170000}"/>
    <cellStyle name="Normal 10 3 3 8 3" xfId="5970" xr:uid="{00000000-0005-0000-0000-000052170000}"/>
    <cellStyle name="Normal 10 3 3 8 4" xfId="5971" xr:uid="{00000000-0005-0000-0000-000053170000}"/>
    <cellStyle name="Normal 10 3 3 8 5" xfId="5972" xr:uid="{00000000-0005-0000-0000-000054170000}"/>
    <cellStyle name="Normal 10 3 3 8 6" xfId="5973" xr:uid="{00000000-0005-0000-0000-000055170000}"/>
    <cellStyle name="Normal 10 3 3 9" xfId="5974" xr:uid="{00000000-0005-0000-0000-000056170000}"/>
    <cellStyle name="Normal 10 3 3 9 2" xfId="5975" xr:uid="{00000000-0005-0000-0000-000057170000}"/>
    <cellStyle name="Normal 10 3 3 9 3" xfId="5976" xr:uid="{00000000-0005-0000-0000-000058170000}"/>
    <cellStyle name="Normal 10 3 3 9 4" xfId="5977" xr:uid="{00000000-0005-0000-0000-000059170000}"/>
    <cellStyle name="Normal 10 3 3 9 5" xfId="5978" xr:uid="{00000000-0005-0000-0000-00005A170000}"/>
    <cellStyle name="Normal 10 3 3 9 6" xfId="5979" xr:uid="{00000000-0005-0000-0000-00005B170000}"/>
    <cellStyle name="Normal 10 3 30" xfId="5980" xr:uid="{00000000-0005-0000-0000-00005C170000}"/>
    <cellStyle name="Normal 10 3 31" xfId="5981" xr:uid="{00000000-0005-0000-0000-00005D170000}"/>
    <cellStyle name="Normal 10 3 4" xfId="5982" xr:uid="{00000000-0005-0000-0000-00005E170000}"/>
    <cellStyle name="Normal 10 3 4 2" xfId="5983" xr:uid="{00000000-0005-0000-0000-00005F170000}"/>
    <cellStyle name="Normal 10 3 4 3" xfId="5984" xr:uid="{00000000-0005-0000-0000-000060170000}"/>
    <cellStyle name="Normal 10 3 4 4" xfId="5985" xr:uid="{00000000-0005-0000-0000-000061170000}"/>
    <cellStyle name="Normal 10 3 4 5" xfId="5986" xr:uid="{00000000-0005-0000-0000-000062170000}"/>
    <cellStyle name="Normal 10 3 4 6" xfId="5987" xr:uid="{00000000-0005-0000-0000-000063170000}"/>
    <cellStyle name="Normal 10 3 5" xfId="5988" xr:uid="{00000000-0005-0000-0000-000064170000}"/>
    <cellStyle name="Normal 10 3 5 2" xfId="5989" xr:uid="{00000000-0005-0000-0000-000065170000}"/>
    <cellStyle name="Normal 10 3 5 3" xfId="5990" xr:uid="{00000000-0005-0000-0000-000066170000}"/>
    <cellStyle name="Normal 10 3 5 4" xfId="5991" xr:uid="{00000000-0005-0000-0000-000067170000}"/>
    <cellStyle name="Normal 10 3 5 5" xfId="5992" xr:uid="{00000000-0005-0000-0000-000068170000}"/>
    <cellStyle name="Normal 10 3 5 6" xfId="5993" xr:uid="{00000000-0005-0000-0000-000069170000}"/>
    <cellStyle name="Normal 10 3 6" xfId="5994" xr:uid="{00000000-0005-0000-0000-00006A170000}"/>
    <cellStyle name="Normal 10 3 6 2" xfId="5995" xr:uid="{00000000-0005-0000-0000-00006B170000}"/>
    <cellStyle name="Normal 10 3 6 3" xfId="5996" xr:uid="{00000000-0005-0000-0000-00006C170000}"/>
    <cellStyle name="Normal 10 3 6 4" xfId="5997" xr:uid="{00000000-0005-0000-0000-00006D170000}"/>
    <cellStyle name="Normal 10 3 6 5" xfId="5998" xr:uid="{00000000-0005-0000-0000-00006E170000}"/>
    <cellStyle name="Normal 10 3 6 6" xfId="5999" xr:uid="{00000000-0005-0000-0000-00006F170000}"/>
    <cellStyle name="Normal 10 3 7" xfId="6000" xr:uid="{00000000-0005-0000-0000-000070170000}"/>
    <cellStyle name="Normal 10 3 7 2" xfId="6001" xr:uid="{00000000-0005-0000-0000-000071170000}"/>
    <cellStyle name="Normal 10 3 7 3" xfId="6002" xr:uid="{00000000-0005-0000-0000-000072170000}"/>
    <cellStyle name="Normal 10 3 7 4" xfId="6003" xr:uid="{00000000-0005-0000-0000-000073170000}"/>
    <cellStyle name="Normal 10 3 7 5" xfId="6004" xr:uid="{00000000-0005-0000-0000-000074170000}"/>
    <cellStyle name="Normal 10 3 7 6" xfId="6005" xr:uid="{00000000-0005-0000-0000-000075170000}"/>
    <cellStyle name="Normal 10 3 8" xfId="6006" xr:uid="{00000000-0005-0000-0000-000076170000}"/>
    <cellStyle name="Normal 10 3 8 2" xfId="6007" xr:uid="{00000000-0005-0000-0000-000077170000}"/>
    <cellStyle name="Normal 10 3 8 3" xfId="6008" xr:uid="{00000000-0005-0000-0000-000078170000}"/>
    <cellStyle name="Normal 10 3 8 4" xfId="6009" xr:uid="{00000000-0005-0000-0000-000079170000}"/>
    <cellStyle name="Normal 10 3 8 5" xfId="6010" xr:uid="{00000000-0005-0000-0000-00007A170000}"/>
    <cellStyle name="Normal 10 3 8 6" xfId="6011" xr:uid="{00000000-0005-0000-0000-00007B170000}"/>
    <cellStyle name="Normal 10 3 9" xfId="6012" xr:uid="{00000000-0005-0000-0000-00007C170000}"/>
    <cellStyle name="Normal 10 3 9 2" xfId="6013" xr:uid="{00000000-0005-0000-0000-00007D170000}"/>
    <cellStyle name="Normal 10 3 9 3" xfId="6014" xr:uid="{00000000-0005-0000-0000-00007E170000}"/>
    <cellStyle name="Normal 10 3 9 4" xfId="6015" xr:uid="{00000000-0005-0000-0000-00007F170000}"/>
    <cellStyle name="Normal 10 3 9 5" xfId="6016" xr:uid="{00000000-0005-0000-0000-000080170000}"/>
    <cellStyle name="Normal 10 3 9 6" xfId="6017" xr:uid="{00000000-0005-0000-0000-000081170000}"/>
    <cellStyle name="Normal 10 4" xfId="6018" xr:uid="{00000000-0005-0000-0000-000082170000}"/>
    <cellStyle name="Normal 10 4 10" xfId="6019" xr:uid="{00000000-0005-0000-0000-000083170000}"/>
    <cellStyle name="Normal 10 4 10 2" xfId="6020" xr:uid="{00000000-0005-0000-0000-000084170000}"/>
    <cellStyle name="Normal 10 4 10 3" xfId="6021" xr:uid="{00000000-0005-0000-0000-000085170000}"/>
    <cellStyle name="Normal 10 4 10 4" xfId="6022" xr:uid="{00000000-0005-0000-0000-000086170000}"/>
    <cellStyle name="Normal 10 4 10 5" xfId="6023" xr:uid="{00000000-0005-0000-0000-000087170000}"/>
    <cellStyle name="Normal 10 4 10 6" xfId="6024" xr:uid="{00000000-0005-0000-0000-000088170000}"/>
    <cellStyle name="Normal 10 4 11" xfId="6025" xr:uid="{00000000-0005-0000-0000-000089170000}"/>
    <cellStyle name="Normal 10 4 11 2" xfId="6026" xr:uid="{00000000-0005-0000-0000-00008A170000}"/>
    <cellStyle name="Normal 10 4 11 3" xfId="6027" xr:uid="{00000000-0005-0000-0000-00008B170000}"/>
    <cellStyle name="Normal 10 4 11 4" xfId="6028" xr:uid="{00000000-0005-0000-0000-00008C170000}"/>
    <cellStyle name="Normal 10 4 11 5" xfId="6029" xr:uid="{00000000-0005-0000-0000-00008D170000}"/>
    <cellStyle name="Normal 10 4 11 6" xfId="6030" xr:uid="{00000000-0005-0000-0000-00008E170000}"/>
    <cellStyle name="Normal 10 4 12" xfId="6031" xr:uid="{00000000-0005-0000-0000-00008F170000}"/>
    <cellStyle name="Normal 10 4 13" xfId="6032" xr:uid="{00000000-0005-0000-0000-000090170000}"/>
    <cellStyle name="Normal 10 4 14" xfId="6033" xr:uid="{00000000-0005-0000-0000-000091170000}"/>
    <cellStyle name="Normal 10 4 15" xfId="6034" xr:uid="{00000000-0005-0000-0000-000092170000}"/>
    <cellStyle name="Normal 10 4 16" xfId="6035" xr:uid="{00000000-0005-0000-0000-000093170000}"/>
    <cellStyle name="Normal 10 4 17" xfId="6036" xr:uid="{00000000-0005-0000-0000-000094170000}"/>
    <cellStyle name="Normal 10 4 18" xfId="6037" xr:uid="{00000000-0005-0000-0000-000095170000}"/>
    <cellStyle name="Normal 10 4 19" xfId="6038" xr:uid="{00000000-0005-0000-0000-000096170000}"/>
    <cellStyle name="Normal 10 4 2" xfId="6039" xr:uid="{00000000-0005-0000-0000-000097170000}"/>
    <cellStyle name="Normal 10 4 2 10" xfId="6040" xr:uid="{00000000-0005-0000-0000-000098170000}"/>
    <cellStyle name="Normal 10 4 2 10 2" xfId="6041" xr:uid="{00000000-0005-0000-0000-000099170000}"/>
    <cellStyle name="Normal 10 4 2 10 3" xfId="6042" xr:uid="{00000000-0005-0000-0000-00009A170000}"/>
    <cellStyle name="Normal 10 4 2 10 4" xfId="6043" xr:uid="{00000000-0005-0000-0000-00009B170000}"/>
    <cellStyle name="Normal 10 4 2 10 5" xfId="6044" xr:uid="{00000000-0005-0000-0000-00009C170000}"/>
    <cellStyle name="Normal 10 4 2 10 6" xfId="6045" xr:uid="{00000000-0005-0000-0000-00009D170000}"/>
    <cellStyle name="Normal 10 4 2 11" xfId="6046" xr:uid="{00000000-0005-0000-0000-00009E170000}"/>
    <cellStyle name="Normal 10 4 2 12" xfId="6047" xr:uid="{00000000-0005-0000-0000-00009F170000}"/>
    <cellStyle name="Normal 10 4 2 13" xfId="6048" xr:uid="{00000000-0005-0000-0000-0000A0170000}"/>
    <cellStyle name="Normal 10 4 2 14" xfId="6049" xr:uid="{00000000-0005-0000-0000-0000A1170000}"/>
    <cellStyle name="Normal 10 4 2 15" xfId="6050" xr:uid="{00000000-0005-0000-0000-0000A2170000}"/>
    <cellStyle name="Normal 10 4 2 2" xfId="6051" xr:uid="{00000000-0005-0000-0000-0000A3170000}"/>
    <cellStyle name="Normal 10 4 2 2 10" xfId="6052" xr:uid="{00000000-0005-0000-0000-0000A4170000}"/>
    <cellStyle name="Normal 10 4 2 2 11" xfId="6053" xr:uid="{00000000-0005-0000-0000-0000A5170000}"/>
    <cellStyle name="Normal 10 4 2 2 12" xfId="6054" xr:uid="{00000000-0005-0000-0000-0000A6170000}"/>
    <cellStyle name="Normal 10 4 2 2 13" xfId="6055" xr:uid="{00000000-0005-0000-0000-0000A7170000}"/>
    <cellStyle name="Normal 10 4 2 2 14" xfId="6056" xr:uid="{00000000-0005-0000-0000-0000A8170000}"/>
    <cellStyle name="Normal 10 4 2 2 2" xfId="6057" xr:uid="{00000000-0005-0000-0000-0000A9170000}"/>
    <cellStyle name="Normal 10 4 2 2 2 2" xfId="6058" xr:uid="{00000000-0005-0000-0000-0000AA170000}"/>
    <cellStyle name="Normal 10 4 2 2 2 3" xfId="6059" xr:uid="{00000000-0005-0000-0000-0000AB170000}"/>
    <cellStyle name="Normal 10 4 2 2 2 4" xfId="6060" xr:uid="{00000000-0005-0000-0000-0000AC170000}"/>
    <cellStyle name="Normal 10 4 2 2 2 5" xfId="6061" xr:uid="{00000000-0005-0000-0000-0000AD170000}"/>
    <cellStyle name="Normal 10 4 2 2 2 6" xfId="6062" xr:uid="{00000000-0005-0000-0000-0000AE170000}"/>
    <cellStyle name="Normal 10 4 2 2 3" xfId="6063" xr:uid="{00000000-0005-0000-0000-0000AF170000}"/>
    <cellStyle name="Normal 10 4 2 2 3 2" xfId="6064" xr:uid="{00000000-0005-0000-0000-0000B0170000}"/>
    <cellStyle name="Normal 10 4 2 2 3 3" xfId="6065" xr:uid="{00000000-0005-0000-0000-0000B1170000}"/>
    <cellStyle name="Normal 10 4 2 2 3 4" xfId="6066" xr:uid="{00000000-0005-0000-0000-0000B2170000}"/>
    <cellStyle name="Normal 10 4 2 2 3 5" xfId="6067" xr:uid="{00000000-0005-0000-0000-0000B3170000}"/>
    <cellStyle name="Normal 10 4 2 2 3 6" xfId="6068" xr:uid="{00000000-0005-0000-0000-0000B4170000}"/>
    <cellStyle name="Normal 10 4 2 2 4" xfId="6069" xr:uid="{00000000-0005-0000-0000-0000B5170000}"/>
    <cellStyle name="Normal 10 4 2 2 4 2" xfId="6070" xr:uid="{00000000-0005-0000-0000-0000B6170000}"/>
    <cellStyle name="Normal 10 4 2 2 4 3" xfId="6071" xr:uid="{00000000-0005-0000-0000-0000B7170000}"/>
    <cellStyle name="Normal 10 4 2 2 4 4" xfId="6072" xr:uid="{00000000-0005-0000-0000-0000B8170000}"/>
    <cellStyle name="Normal 10 4 2 2 4 5" xfId="6073" xr:uid="{00000000-0005-0000-0000-0000B9170000}"/>
    <cellStyle name="Normal 10 4 2 2 4 6" xfId="6074" xr:uid="{00000000-0005-0000-0000-0000BA170000}"/>
    <cellStyle name="Normal 10 4 2 2 5" xfId="6075" xr:uid="{00000000-0005-0000-0000-0000BB170000}"/>
    <cellStyle name="Normal 10 4 2 2 5 2" xfId="6076" xr:uid="{00000000-0005-0000-0000-0000BC170000}"/>
    <cellStyle name="Normal 10 4 2 2 5 3" xfId="6077" xr:uid="{00000000-0005-0000-0000-0000BD170000}"/>
    <cellStyle name="Normal 10 4 2 2 5 4" xfId="6078" xr:uid="{00000000-0005-0000-0000-0000BE170000}"/>
    <cellStyle name="Normal 10 4 2 2 5 5" xfId="6079" xr:uid="{00000000-0005-0000-0000-0000BF170000}"/>
    <cellStyle name="Normal 10 4 2 2 5 6" xfId="6080" xr:uid="{00000000-0005-0000-0000-0000C0170000}"/>
    <cellStyle name="Normal 10 4 2 2 6" xfId="6081" xr:uid="{00000000-0005-0000-0000-0000C1170000}"/>
    <cellStyle name="Normal 10 4 2 2 6 2" xfId="6082" xr:uid="{00000000-0005-0000-0000-0000C2170000}"/>
    <cellStyle name="Normal 10 4 2 2 6 3" xfId="6083" xr:uid="{00000000-0005-0000-0000-0000C3170000}"/>
    <cellStyle name="Normal 10 4 2 2 6 4" xfId="6084" xr:uid="{00000000-0005-0000-0000-0000C4170000}"/>
    <cellStyle name="Normal 10 4 2 2 6 5" xfId="6085" xr:uid="{00000000-0005-0000-0000-0000C5170000}"/>
    <cellStyle name="Normal 10 4 2 2 6 6" xfId="6086" xr:uid="{00000000-0005-0000-0000-0000C6170000}"/>
    <cellStyle name="Normal 10 4 2 2 7" xfId="6087" xr:uid="{00000000-0005-0000-0000-0000C7170000}"/>
    <cellStyle name="Normal 10 4 2 2 7 2" xfId="6088" xr:uid="{00000000-0005-0000-0000-0000C8170000}"/>
    <cellStyle name="Normal 10 4 2 2 7 3" xfId="6089" xr:uid="{00000000-0005-0000-0000-0000C9170000}"/>
    <cellStyle name="Normal 10 4 2 2 7 4" xfId="6090" xr:uid="{00000000-0005-0000-0000-0000CA170000}"/>
    <cellStyle name="Normal 10 4 2 2 7 5" xfId="6091" xr:uid="{00000000-0005-0000-0000-0000CB170000}"/>
    <cellStyle name="Normal 10 4 2 2 7 6" xfId="6092" xr:uid="{00000000-0005-0000-0000-0000CC170000}"/>
    <cellStyle name="Normal 10 4 2 2 8" xfId="6093" xr:uid="{00000000-0005-0000-0000-0000CD170000}"/>
    <cellStyle name="Normal 10 4 2 2 8 2" xfId="6094" xr:uid="{00000000-0005-0000-0000-0000CE170000}"/>
    <cellStyle name="Normal 10 4 2 2 8 3" xfId="6095" xr:uid="{00000000-0005-0000-0000-0000CF170000}"/>
    <cellStyle name="Normal 10 4 2 2 8 4" xfId="6096" xr:uid="{00000000-0005-0000-0000-0000D0170000}"/>
    <cellStyle name="Normal 10 4 2 2 8 5" xfId="6097" xr:uid="{00000000-0005-0000-0000-0000D1170000}"/>
    <cellStyle name="Normal 10 4 2 2 8 6" xfId="6098" xr:uid="{00000000-0005-0000-0000-0000D2170000}"/>
    <cellStyle name="Normal 10 4 2 2 9" xfId="6099" xr:uid="{00000000-0005-0000-0000-0000D3170000}"/>
    <cellStyle name="Normal 10 4 2 2 9 2" xfId="6100" xr:uid="{00000000-0005-0000-0000-0000D4170000}"/>
    <cellStyle name="Normal 10 4 2 2 9 3" xfId="6101" xr:uid="{00000000-0005-0000-0000-0000D5170000}"/>
    <cellStyle name="Normal 10 4 2 2 9 4" xfId="6102" xr:uid="{00000000-0005-0000-0000-0000D6170000}"/>
    <cellStyle name="Normal 10 4 2 2 9 5" xfId="6103" xr:uid="{00000000-0005-0000-0000-0000D7170000}"/>
    <cellStyle name="Normal 10 4 2 2 9 6" xfId="6104" xr:uid="{00000000-0005-0000-0000-0000D8170000}"/>
    <cellStyle name="Normal 10 4 2 3" xfId="6105" xr:uid="{00000000-0005-0000-0000-0000D9170000}"/>
    <cellStyle name="Normal 10 4 2 3 2" xfId="6106" xr:uid="{00000000-0005-0000-0000-0000DA170000}"/>
    <cellStyle name="Normal 10 4 2 3 3" xfId="6107" xr:uid="{00000000-0005-0000-0000-0000DB170000}"/>
    <cellStyle name="Normal 10 4 2 3 4" xfId="6108" xr:uid="{00000000-0005-0000-0000-0000DC170000}"/>
    <cellStyle name="Normal 10 4 2 3 5" xfId="6109" xr:uid="{00000000-0005-0000-0000-0000DD170000}"/>
    <cellStyle name="Normal 10 4 2 3 6" xfId="6110" xr:uid="{00000000-0005-0000-0000-0000DE170000}"/>
    <cellStyle name="Normal 10 4 2 4" xfId="6111" xr:uid="{00000000-0005-0000-0000-0000DF170000}"/>
    <cellStyle name="Normal 10 4 2 4 2" xfId="6112" xr:uid="{00000000-0005-0000-0000-0000E0170000}"/>
    <cellStyle name="Normal 10 4 2 4 3" xfId="6113" xr:uid="{00000000-0005-0000-0000-0000E1170000}"/>
    <cellStyle name="Normal 10 4 2 4 4" xfId="6114" xr:uid="{00000000-0005-0000-0000-0000E2170000}"/>
    <cellStyle name="Normal 10 4 2 4 5" xfId="6115" xr:uid="{00000000-0005-0000-0000-0000E3170000}"/>
    <cellStyle name="Normal 10 4 2 4 6" xfId="6116" xr:uid="{00000000-0005-0000-0000-0000E4170000}"/>
    <cellStyle name="Normal 10 4 2 5" xfId="6117" xr:uid="{00000000-0005-0000-0000-0000E5170000}"/>
    <cellStyle name="Normal 10 4 2 5 2" xfId="6118" xr:uid="{00000000-0005-0000-0000-0000E6170000}"/>
    <cellStyle name="Normal 10 4 2 5 3" xfId="6119" xr:uid="{00000000-0005-0000-0000-0000E7170000}"/>
    <cellStyle name="Normal 10 4 2 5 4" xfId="6120" xr:uid="{00000000-0005-0000-0000-0000E8170000}"/>
    <cellStyle name="Normal 10 4 2 5 5" xfId="6121" xr:uid="{00000000-0005-0000-0000-0000E9170000}"/>
    <cellStyle name="Normal 10 4 2 5 6" xfId="6122" xr:uid="{00000000-0005-0000-0000-0000EA170000}"/>
    <cellStyle name="Normal 10 4 2 6" xfId="6123" xr:uid="{00000000-0005-0000-0000-0000EB170000}"/>
    <cellStyle name="Normal 10 4 2 6 2" xfId="6124" xr:uid="{00000000-0005-0000-0000-0000EC170000}"/>
    <cellStyle name="Normal 10 4 2 6 3" xfId="6125" xr:uid="{00000000-0005-0000-0000-0000ED170000}"/>
    <cellStyle name="Normal 10 4 2 6 4" xfId="6126" xr:uid="{00000000-0005-0000-0000-0000EE170000}"/>
    <cellStyle name="Normal 10 4 2 6 5" xfId="6127" xr:uid="{00000000-0005-0000-0000-0000EF170000}"/>
    <cellStyle name="Normal 10 4 2 6 6" xfId="6128" xr:uid="{00000000-0005-0000-0000-0000F0170000}"/>
    <cellStyle name="Normal 10 4 2 7" xfId="6129" xr:uid="{00000000-0005-0000-0000-0000F1170000}"/>
    <cellStyle name="Normal 10 4 2 7 2" xfId="6130" xr:uid="{00000000-0005-0000-0000-0000F2170000}"/>
    <cellStyle name="Normal 10 4 2 7 3" xfId="6131" xr:uid="{00000000-0005-0000-0000-0000F3170000}"/>
    <cellStyle name="Normal 10 4 2 7 4" xfId="6132" xr:uid="{00000000-0005-0000-0000-0000F4170000}"/>
    <cellStyle name="Normal 10 4 2 7 5" xfId="6133" xr:uid="{00000000-0005-0000-0000-0000F5170000}"/>
    <cellStyle name="Normal 10 4 2 7 6" xfId="6134" xr:uid="{00000000-0005-0000-0000-0000F6170000}"/>
    <cellStyle name="Normal 10 4 2 8" xfId="6135" xr:uid="{00000000-0005-0000-0000-0000F7170000}"/>
    <cellStyle name="Normal 10 4 2 8 2" xfId="6136" xr:uid="{00000000-0005-0000-0000-0000F8170000}"/>
    <cellStyle name="Normal 10 4 2 8 3" xfId="6137" xr:uid="{00000000-0005-0000-0000-0000F9170000}"/>
    <cellStyle name="Normal 10 4 2 8 4" xfId="6138" xr:uid="{00000000-0005-0000-0000-0000FA170000}"/>
    <cellStyle name="Normal 10 4 2 8 5" xfId="6139" xr:uid="{00000000-0005-0000-0000-0000FB170000}"/>
    <cellStyle name="Normal 10 4 2 8 6" xfId="6140" xr:uid="{00000000-0005-0000-0000-0000FC170000}"/>
    <cellStyle name="Normal 10 4 2 9" xfId="6141" xr:uid="{00000000-0005-0000-0000-0000FD170000}"/>
    <cellStyle name="Normal 10 4 2 9 2" xfId="6142" xr:uid="{00000000-0005-0000-0000-0000FE170000}"/>
    <cellStyle name="Normal 10 4 2 9 3" xfId="6143" xr:uid="{00000000-0005-0000-0000-0000FF170000}"/>
    <cellStyle name="Normal 10 4 2 9 4" xfId="6144" xr:uid="{00000000-0005-0000-0000-000000180000}"/>
    <cellStyle name="Normal 10 4 2 9 5" xfId="6145" xr:uid="{00000000-0005-0000-0000-000001180000}"/>
    <cellStyle name="Normal 10 4 2 9 6" xfId="6146" xr:uid="{00000000-0005-0000-0000-000002180000}"/>
    <cellStyle name="Normal 10 4 20" xfId="6147" xr:uid="{00000000-0005-0000-0000-000003180000}"/>
    <cellStyle name="Normal 10 4 21" xfId="6148" xr:uid="{00000000-0005-0000-0000-000004180000}"/>
    <cellStyle name="Normal 10 4 22" xfId="6149" xr:uid="{00000000-0005-0000-0000-000005180000}"/>
    <cellStyle name="Normal 10 4 23" xfId="6150" xr:uid="{00000000-0005-0000-0000-000006180000}"/>
    <cellStyle name="Normal 10 4 24" xfId="6151" xr:uid="{00000000-0005-0000-0000-000007180000}"/>
    <cellStyle name="Normal 10 4 25" xfId="6152" xr:uid="{00000000-0005-0000-0000-000008180000}"/>
    <cellStyle name="Normal 10 4 26" xfId="6153" xr:uid="{00000000-0005-0000-0000-000009180000}"/>
    <cellStyle name="Normal 10 4 27" xfId="6154" xr:uid="{00000000-0005-0000-0000-00000A180000}"/>
    <cellStyle name="Normal 10 4 28" xfId="6155" xr:uid="{00000000-0005-0000-0000-00000B180000}"/>
    <cellStyle name="Normal 10 4 29" xfId="6156" xr:uid="{00000000-0005-0000-0000-00000C180000}"/>
    <cellStyle name="Normal 10 4 3" xfId="6157" xr:uid="{00000000-0005-0000-0000-00000D180000}"/>
    <cellStyle name="Normal 10 4 3 10" xfId="6158" xr:uid="{00000000-0005-0000-0000-00000E180000}"/>
    <cellStyle name="Normal 10 4 3 11" xfId="6159" xr:uid="{00000000-0005-0000-0000-00000F180000}"/>
    <cellStyle name="Normal 10 4 3 12" xfId="6160" xr:uid="{00000000-0005-0000-0000-000010180000}"/>
    <cellStyle name="Normal 10 4 3 13" xfId="6161" xr:uid="{00000000-0005-0000-0000-000011180000}"/>
    <cellStyle name="Normal 10 4 3 14" xfId="6162" xr:uid="{00000000-0005-0000-0000-000012180000}"/>
    <cellStyle name="Normal 10 4 3 2" xfId="6163" xr:uid="{00000000-0005-0000-0000-000013180000}"/>
    <cellStyle name="Normal 10 4 3 2 2" xfId="6164" xr:uid="{00000000-0005-0000-0000-000014180000}"/>
    <cellStyle name="Normal 10 4 3 2 3" xfId="6165" xr:uid="{00000000-0005-0000-0000-000015180000}"/>
    <cellStyle name="Normal 10 4 3 2 4" xfId="6166" xr:uid="{00000000-0005-0000-0000-000016180000}"/>
    <cellStyle name="Normal 10 4 3 2 5" xfId="6167" xr:uid="{00000000-0005-0000-0000-000017180000}"/>
    <cellStyle name="Normal 10 4 3 2 6" xfId="6168" xr:uid="{00000000-0005-0000-0000-000018180000}"/>
    <cellStyle name="Normal 10 4 3 3" xfId="6169" xr:uid="{00000000-0005-0000-0000-000019180000}"/>
    <cellStyle name="Normal 10 4 3 3 2" xfId="6170" xr:uid="{00000000-0005-0000-0000-00001A180000}"/>
    <cellStyle name="Normal 10 4 3 3 3" xfId="6171" xr:uid="{00000000-0005-0000-0000-00001B180000}"/>
    <cellStyle name="Normal 10 4 3 3 4" xfId="6172" xr:uid="{00000000-0005-0000-0000-00001C180000}"/>
    <cellStyle name="Normal 10 4 3 3 5" xfId="6173" xr:uid="{00000000-0005-0000-0000-00001D180000}"/>
    <cellStyle name="Normal 10 4 3 3 6" xfId="6174" xr:uid="{00000000-0005-0000-0000-00001E180000}"/>
    <cellStyle name="Normal 10 4 3 4" xfId="6175" xr:uid="{00000000-0005-0000-0000-00001F180000}"/>
    <cellStyle name="Normal 10 4 3 4 2" xfId="6176" xr:uid="{00000000-0005-0000-0000-000020180000}"/>
    <cellStyle name="Normal 10 4 3 4 3" xfId="6177" xr:uid="{00000000-0005-0000-0000-000021180000}"/>
    <cellStyle name="Normal 10 4 3 4 4" xfId="6178" xr:uid="{00000000-0005-0000-0000-000022180000}"/>
    <cellStyle name="Normal 10 4 3 4 5" xfId="6179" xr:uid="{00000000-0005-0000-0000-000023180000}"/>
    <cellStyle name="Normal 10 4 3 4 6" xfId="6180" xr:uid="{00000000-0005-0000-0000-000024180000}"/>
    <cellStyle name="Normal 10 4 3 5" xfId="6181" xr:uid="{00000000-0005-0000-0000-000025180000}"/>
    <cellStyle name="Normal 10 4 3 5 2" xfId="6182" xr:uid="{00000000-0005-0000-0000-000026180000}"/>
    <cellStyle name="Normal 10 4 3 5 3" xfId="6183" xr:uid="{00000000-0005-0000-0000-000027180000}"/>
    <cellStyle name="Normal 10 4 3 5 4" xfId="6184" xr:uid="{00000000-0005-0000-0000-000028180000}"/>
    <cellStyle name="Normal 10 4 3 5 5" xfId="6185" xr:uid="{00000000-0005-0000-0000-000029180000}"/>
    <cellStyle name="Normal 10 4 3 5 6" xfId="6186" xr:uid="{00000000-0005-0000-0000-00002A180000}"/>
    <cellStyle name="Normal 10 4 3 6" xfId="6187" xr:uid="{00000000-0005-0000-0000-00002B180000}"/>
    <cellStyle name="Normal 10 4 3 6 2" xfId="6188" xr:uid="{00000000-0005-0000-0000-00002C180000}"/>
    <cellStyle name="Normal 10 4 3 6 3" xfId="6189" xr:uid="{00000000-0005-0000-0000-00002D180000}"/>
    <cellStyle name="Normal 10 4 3 6 4" xfId="6190" xr:uid="{00000000-0005-0000-0000-00002E180000}"/>
    <cellStyle name="Normal 10 4 3 6 5" xfId="6191" xr:uid="{00000000-0005-0000-0000-00002F180000}"/>
    <cellStyle name="Normal 10 4 3 6 6" xfId="6192" xr:uid="{00000000-0005-0000-0000-000030180000}"/>
    <cellStyle name="Normal 10 4 3 7" xfId="6193" xr:uid="{00000000-0005-0000-0000-000031180000}"/>
    <cellStyle name="Normal 10 4 3 7 2" xfId="6194" xr:uid="{00000000-0005-0000-0000-000032180000}"/>
    <cellStyle name="Normal 10 4 3 7 3" xfId="6195" xr:uid="{00000000-0005-0000-0000-000033180000}"/>
    <cellStyle name="Normal 10 4 3 7 4" xfId="6196" xr:uid="{00000000-0005-0000-0000-000034180000}"/>
    <cellStyle name="Normal 10 4 3 7 5" xfId="6197" xr:uid="{00000000-0005-0000-0000-000035180000}"/>
    <cellStyle name="Normal 10 4 3 7 6" xfId="6198" xr:uid="{00000000-0005-0000-0000-000036180000}"/>
    <cellStyle name="Normal 10 4 3 8" xfId="6199" xr:uid="{00000000-0005-0000-0000-000037180000}"/>
    <cellStyle name="Normal 10 4 3 8 2" xfId="6200" xr:uid="{00000000-0005-0000-0000-000038180000}"/>
    <cellStyle name="Normal 10 4 3 8 3" xfId="6201" xr:uid="{00000000-0005-0000-0000-000039180000}"/>
    <cellStyle name="Normal 10 4 3 8 4" xfId="6202" xr:uid="{00000000-0005-0000-0000-00003A180000}"/>
    <cellStyle name="Normal 10 4 3 8 5" xfId="6203" xr:uid="{00000000-0005-0000-0000-00003B180000}"/>
    <cellStyle name="Normal 10 4 3 8 6" xfId="6204" xr:uid="{00000000-0005-0000-0000-00003C180000}"/>
    <cellStyle name="Normal 10 4 3 9" xfId="6205" xr:uid="{00000000-0005-0000-0000-00003D180000}"/>
    <cellStyle name="Normal 10 4 3 9 2" xfId="6206" xr:uid="{00000000-0005-0000-0000-00003E180000}"/>
    <cellStyle name="Normal 10 4 3 9 3" xfId="6207" xr:uid="{00000000-0005-0000-0000-00003F180000}"/>
    <cellStyle name="Normal 10 4 3 9 4" xfId="6208" xr:uid="{00000000-0005-0000-0000-000040180000}"/>
    <cellStyle name="Normal 10 4 3 9 5" xfId="6209" xr:uid="{00000000-0005-0000-0000-000041180000}"/>
    <cellStyle name="Normal 10 4 3 9 6" xfId="6210" xr:uid="{00000000-0005-0000-0000-000042180000}"/>
    <cellStyle name="Normal 10 4 30" xfId="6211" xr:uid="{00000000-0005-0000-0000-000043180000}"/>
    <cellStyle name="Normal 10 4 31" xfId="6212" xr:uid="{00000000-0005-0000-0000-000044180000}"/>
    <cellStyle name="Normal 10 4 4" xfId="6213" xr:uid="{00000000-0005-0000-0000-000045180000}"/>
    <cellStyle name="Normal 10 4 4 2" xfId="6214" xr:uid="{00000000-0005-0000-0000-000046180000}"/>
    <cellStyle name="Normal 10 4 4 3" xfId="6215" xr:uid="{00000000-0005-0000-0000-000047180000}"/>
    <cellStyle name="Normal 10 4 4 4" xfId="6216" xr:uid="{00000000-0005-0000-0000-000048180000}"/>
    <cellStyle name="Normal 10 4 4 5" xfId="6217" xr:uid="{00000000-0005-0000-0000-000049180000}"/>
    <cellStyle name="Normal 10 4 4 6" xfId="6218" xr:uid="{00000000-0005-0000-0000-00004A180000}"/>
    <cellStyle name="Normal 10 4 5" xfId="6219" xr:uid="{00000000-0005-0000-0000-00004B180000}"/>
    <cellStyle name="Normal 10 4 5 2" xfId="6220" xr:uid="{00000000-0005-0000-0000-00004C180000}"/>
    <cellStyle name="Normal 10 4 5 3" xfId="6221" xr:uid="{00000000-0005-0000-0000-00004D180000}"/>
    <cellStyle name="Normal 10 4 5 4" xfId="6222" xr:uid="{00000000-0005-0000-0000-00004E180000}"/>
    <cellStyle name="Normal 10 4 5 5" xfId="6223" xr:uid="{00000000-0005-0000-0000-00004F180000}"/>
    <cellStyle name="Normal 10 4 5 6" xfId="6224" xr:uid="{00000000-0005-0000-0000-000050180000}"/>
    <cellStyle name="Normal 10 4 6" xfId="6225" xr:uid="{00000000-0005-0000-0000-000051180000}"/>
    <cellStyle name="Normal 10 4 6 2" xfId="6226" xr:uid="{00000000-0005-0000-0000-000052180000}"/>
    <cellStyle name="Normal 10 4 6 3" xfId="6227" xr:uid="{00000000-0005-0000-0000-000053180000}"/>
    <cellStyle name="Normal 10 4 6 4" xfId="6228" xr:uid="{00000000-0005-0000-0000-000054180000}"/>
    <cellStyle name="Normal 10 4 6 5" xfId="6229" xr:uid="{00000000-0005-0000-0000-000055180000}"/>
    <cellStyle name="Normal 10 4 6 6" xfId="6230" xr:uid="{00000000-0005-0000-0000-000056180000}"/>
    <cellStyle name="Normal 10 4 7" xfId="6231" xr:uid="{00000000-0005-0000-0000-000057180000}"/>
    <cellStyle name="Normal 10 4 7 2" xfId="6232" xr:uid="{00000000-0005-0000-0000-000058180000}"/>
    <cellStyle name="Normal 10 4 7 3" xfId="6233" xr:uid="{00000000-0005-0000-0000-000059180000}"/>
    <cellStyle name="Normal 10 4 7 4" xfId="6234" xr:uid="{00000000-0005-0000-0000-00005A180000}"/>
    <cellStyle name="Normal 10 4 7 5" xfId="6235" xr:uid="{00000000-0005-0000-0000-00005B180000}"/>
    <cellStyle name="Normal 10 4 7 6" xfId="6236" xr:uid="{00000000-0005-0000-0000-00005C180000}"/>
    <cellStyle name="Normal 10 4 8" xfId="6237" xr:uid="{00000000-0005-0000-0000-00005D180000}"/>
    <cellStyle name="Normal 10 4 8 2" xfId="6238" xr:uid="{00000000-0005-0000-0000-00005E180000}"/>
    <cellStyle name="Normal 10 4 8 3" xfId="6239" xr:uid="{00000000-0005-0000-0000-00005F180000}"/>
    <cellStyle name="Normal 10 4 8 4" xfId="6240" xr:uid="{00000000-0005-0000-0000-000060180000}"/>
    <cellStyle name="Normal 10 4 8 5" xfId="6241" xr:uid="{00000000-0005-0000-0000-000061180000}"/>
    <cellStyle name="Normal 10 4 8 6" xfId="6242" xr:uid="{00000000-0005-0000-0000-000062180000}"/>
    <cellStyle name="Normal 10 4 9" xfId="6243" xr:uid="{00000000-0005-0000-0000-000063180000}"/>
    <cellStyle name="Normal 10 4 9 2" xfId="6244" xr:uid="{00000000-0005-0000-0000-000064180000}"/>
    <cellStyle name="Normal 10 4 9 3" xfId="6245" xr:uid="{00000000-0005-0000-0000-000065180000}"/>
    <cellStyle name="Normal 10 4 9 4" xfId="6246" xr:uid="{00000000-0005-0000-0000-000066180000}"/>
    <cellStyle name="Normal 10 4 9 5" xfId="6247" xr:uid="{00000000-0005-0000-0000-000067180000}"/>
    <cellStyle name="Normal 10 4 9 6" xfId="6248" xr:uid="{00000000-0005-0000-0000-000068180000}"/>
    <cellStyle name="Normal 10 5" xfId="6249" xr:uid="{00000000-0005-0000-0000-000069180000}"/>
    <cellStyle name="Normal 10 5 10" xfId="6250" xr:uid="{00000000-0005-0000-0000-00006A180000}"/>
    <cellStyle name="Normal 10 5 10 2" xfId="6251" xr:uid="{00000000-0005-0000-0000-00006B180000}"/>
    <cellStyle name="Normal 10 5 10 3" xfId="6252" xr:uid="{00000000-0005-0000-0000-00006C180000}"/>
    <cellStyle name="Normal 10 5 10 4" xfId="6253" xr:uid="{00000000-0005-0000-0000-00006D180000}"/>
    <cellStyle name="Normal 10 5 10 5" xfId="6254" xr:uid="{00000000-0005-0000-0000-00006E180000}"/>
    <cellStyle name="Normal 10 5 10 6" xfId="6255" xr:uid="{00000000-0005-0000-0000-00006F180000}"/>
    <cellStyle name="Normal 10 5 11" xfId="6256" xr:uid="{00000000-0005-0000-0000-000070180000}"/>
    <cellStyle name="Normal 10 5 11 2" xfId="6257" xr:uid="{00000000-0005-0000-0000-000071180000}"/>
    <cellStyle name="Normal 10 5 11 3" xfId="6258" xr:uid="{00000000-0005-0000-0000-000072180000}"/>
    <cellStyle name="Normal 10 5 11 4" xfId="6259" xr:uid="{00000000-0005-0000-0000-000073180000}"/>
    <cellStyle name="Normal 10 5 11 5" xfId="6260" xr:uid="{00000000-0005-0000-0000-000074180000}"/>
    <cellStyle name="Normal 10 5 11 6" xfId="6261" xr:uid="{00000000-0005-0000-0000-000075180000}"/>
    <cellStyle name="Normal 10 5 12" xfId="6262" xr:uid="{00000000-0005-0000-0000-000076180000}"/>
    <cellStyle name="Normal 10 5 13" xfId="6263" xr:uid="{00000000-0005-0000-0000-000077180000}"/>
    <cellStyle name="Normal 10 5 14" xfId="6264" xr:uid="{00000000-0005-0000-0000-000078180000}"/>
    <cellStyle name="Normal 10 5 15" xfId="6265" xr:uid="{00000000-0005-0000-0000-000079180000}"/>
    <cellStyle name="Normal 10 5 16" xfId="6266" xr:uid="{00000000-0005-0000-0000-00007A180000}"/>
    <cellStyle name="Normal 10 5 17" xfId="6267" xr:uid="{00000000-0005-0000-0000-00007B180000}"/>
    <cellStyle name="Normal 10 5 18" xfId="6268" xr:uid="{00000000-0005-0000-0000-00007C180000}"/>
    <cellStyle name="Normal 10 5 19" xfId="6269" xr:uid="{00000000-0005-0000-0000-00007D180000}"/>
    <cellStyle name="Normal 10 5 2" xfId="6270" xr:uid="{00000000-0005-0000-0000-00007E180000}"/>
    <cellStyle name="Normal 10 5 2 10" xfId="6271" xr:uid="{00000000-0005-0000-0000-00007F180000}"/>
    <cellStyle name="Normal 10 5 2 10 2" xfId="6272" xr:uid="{00000000-0005-0000-0000-000080180000}"/>
    <cellStyle name="Normal 10 5 2 10 3" xfId="6273" xr:uid="{00000000-0005-0000-0000-000081180000}"/>
    <cellStyle name="Normal 10 5 2 10 4" xfId="6274" xr:uid="{00000000-0005-0000-0000-000082180000}"/>
    <cellStyle name="Normal 10 5 2 10 5" xfId="6275" xr:uid="{00000000-0005-0000-0000-000083180000}"/>
    <cellStyle name="Normal 10 5 2 10 6" xfId="6276" xr:uid="{00000000-0005-0000-0000-000084180000}"/>
    <cellStyle name="Normal 10 5 2 11" xfId="6277" xr:uid="{00000000-0005-0000-0000-000085180000}"/>
    <cellStyle name="Normal 10 5 2 12" xfId="6278" xr:uid="{00000000-0005-0000-0000-000086180000}"/>
    <cellStyle name="Normal 10 5 2 13" xfId="6279" xr:uid="{00000000-0005-0000-0000-000087180000}"/>
    <cellStyle name="Normal 10 5 2 14" xfId="6280" xr:uid="{00000000-0005-0000-0000-000088180000}"/>
    <cellStyle name="Normal 10 5 2 15" xfId="6281" xr:uid="{00000000-0005-0000-0000-000089180000}"/>
    <cellStyle name="Normal 10 5 2 2" xfId="6282" xr:uid="{00000000-0005-0000-0000-00008A180000}"/>
    <cellStyle name="Normal 10 5 2 2 10" xfId="6283" xr:uid="{00000000-0005-0000-0000-00008B180000}"/>
    <cellStyle name="Normal 10 5 2 2 11" xfId="6284" xr:uid="{00000000-0005-0000-0000-00008C180000}"/>
    <cellStyle name="Normal 10 5 2 2 12" xfId="6285" xr:uid="{00000000-0005-0000-0000-00008D180000}"/>
    <cellStyle name="Normal 10 5 2 2 13" xfId="6286" xr:uid="{00000000-0005-0000-0000-00008E180000}"/>
    <cellStyle name="Normal 10 5 2 2 14" xfId="6287" xr:uid="{00000000-0005-0000-0000-00008F180000}"/>
    <cellStyle name="Normal 10 5 2 2 2" xfId="6288" xr:uid="{00000000-0005-0000-0000-000090180000}"/>
    <cellStyle name="Normal 10 5 2 2 2 2" xfId="6289" xr:uid="{00000000-0005-0000-0000-000091180000}"/>
    <cellStyle name="Normal 10 5 2 2 2 3" xfId="6290" xr:uid="{00000000-0005-0000-0000-000092180000}"/>
    <cellStyle name="Normal 10 5 2 2 2 4" xfId="6291" xr:uid="{00000000-0005-0000-0000-000093180000}"/>
    <cellStyle name="Normal 10 5 2 2 2 5" xfId="6292" xr:uid="{00000000-0005-0000-0000-000094180000}"/>
    <cellStyle name="Normal 10 5 2 2 2 6" xfId="6293" xr:uid="{00000000-0005-0000-0000-000095180000}"/>
    <cellStyle name="Normal 10 5 2 2 3" xfId="6294" xr:uid="{00000000-0005-0000-0000-000096180000}"/>
    <cellStyle name="Normal 10 5 2 2 3 2" xfId="6295" xr:uid="{00000000-0005-0000-0000-000097180000}"/>
    <cellStyle name="Normal 10 5 2 2 3 3" xfId="6296" xr:uid="{00000000-0005-0000-0000-000098180000}"/>
    <cellStyle name="Normal 10 5 2 2 3 4" xfId="6297" xr:uid="{00000000-0005-0000-0000-000099180000}"/>
    <cellStyle name="Normal 10 5 2 2 3 5" xfId="6298" xr:uid="{00000000-0005-0000-0000-00009A180000}"/>
    <cellStyle name="Normal 10 5 2 2 3 6" xfId="6299" xr:uid="{00000000-0005-0000-0000-00009B180000}"/>
    <cellStyle name="Normal 10 5 2 2 4" xfId="6300" xr:uid="{00000000-0005-0000-0000-00009C180000}"/>
    <cellStyle name="Normal 10 5 2 2 4 2" xfId="6301" xr:uid="{00000000-0005-0000-0000-00009D180000}"/>
    <cellStyle name="Normal 10 5 2 2 4 3" xfId="6302" xr:uid="{00000000-0005-0000-0000-00009E180000}"/>
    <cellStyle name="Normal 10 5 2 2 4 4" xfId="6303" xr:uid="{00000000-0005-0000-0000-00009F180000}"/>
    <cellStyle name="Normal 10 5 2 2 4 5" xfId="6304" xr:uid="{00000000-0005-0000-0000-0000A0180000}"/>
    <cellStyle name="Normal 10 5 2 2 4 6" xfId="6305" xr:uid="{00000000-0005-0000-0000-0000A1180000}"/>
    <cellStyle name="Normal 10 5 2 2 5" xfId="6306" xr:uid="{00000000-0005-0000-0000-0000A2180000}"/>
    <cellStyle name="Normal 10 5 2 2 5 2" xfId="6307" xr:uid="{00000000-0005-0000-0000-0000A3180000}"/>
    <cellStyle name="Normal 10 5 2 2 5 3" xfId="6308" xr:uid="{00000000-0005-0000-0000-0000A4180000}"/>
    <cellStyle name="Normal 10 5 2 2 5 4" xfId="6309" xr:uid="{00000000-0005-0000-0000-0000A5180000}"/>
    <cellStyle name="Normal 10 5 2 2 5 5" xfId="6310" xr:uid="{00000000-0005-0000-0000-0000A6180000}"/>
    <cellStyle name="Normal 10 5 2 2 5 6" xfId="6311" xr:uid="{00000000-0005-0000-0000-0000A7180000}"/>
    <cellStyle name="Normal 10 5 2 2 6" xfId="6312" xr:uid="{00000000-0005-0000-0000-0000A8180000}"/>
    <cellStyle name="Normal 10 5 2 2 6 2" xfId="6313" xr:uid="{00000000-0005-0000-0000-0000A9180000}"/>
    <cellStyle name="Normal 10 5 2 2 6 3" xfId="6314" xr:uid="{00000000-0005-0000-0000-0000AA180000}"/>
    <cellStyle name="Normal 10 5 2 2 6 4" xfId="6315" xr:uid="{00000000-0005-0000-0000-0000AB180000}"/>
    <cellStyle name="Normal 10 5 2 2 6 5" xfId="6316" xr:uid="{00000000-0005-0000-0000-0000AC180000}"/>
    <cellStyle name="Normal 10 5 2 2 6 6" xfId="6317" xr:uid="{00000000-0005-0000-0000-0000AD180000}"/>
    <cellStyle name="Normal 10 5 2 2 7" xfId="6318" xr:uid="{00000000-0005-0000-0000-0000AE180000}"/>
    <cellStyle name="Normal 10 5 2 2 7 2" xfId="6319" xr:uid="{00000000-0005-0000-0000-0000AF180000}"/>
    <cellStyle name="Normal 10 5 2 2 7 3" xfId="6320" xr:uid="{00000000-0005-0000-0000-0000B0180000}"/>
    <cellStyle name="Normal 10 5 2 2 7 4" xfId="6321" xr:uid="{00000000-0005-0000-0000-0000B1180000}"/>
    <cellStyle name="Normal 10 5 2 2 7 5" xfId="6322" xr:uid="{00000000-0005-0000-0000-0000B2180000}"/>
    <cellStyle name="Normal 10 5 2 2 7 6" xfId="6323" xr:uid="{00000000-0005-0000-0000-0000B3180000}"/>
    <cellStyle name="Normal 10 5 2 2 8" xfId="6324" xr:uid="{00000000-0005-0000-0000-0000B4180000}"/>
    <cellStyle name="Normal 10 5 2 2 8 2" xfId="6325" xr:uid="{00000000-0005-0000-0000-0000B5180000}"/>
    <cellStyle name="Normal 10 5 2 2 8 3" xfId="6326" xr:uid="{00000000-0005-0000-0000-0000B6180000}"/>
    <cellStyle name="Normal 10 5 2 2 8 4" xfId="6327" xr:uid="{00000000-0005-0000-0000-0000B7180000}"/>
    <cellStyle name="Normal 10 5 2 2 8 5" xfId="6328" xr:uid="{00000000-0005-0000-0000-0000B8180000}"/>
    <cellStyle name="Normal 10 5 2 2 8 6" xfId="6329" xr:uid="{00000000-0005-0000-0000-0000B9180000}"/>
    <cellStyle name="Normal 10 5 2 2 9" xfId="6330" xr:uid="{00000000-0005-0000-0000-0000BA180000}"/>
    <cellStyle name="Normal 10 5 2 2 9 2" xfId="6331" xr:uid="{00000000-0005-0000-0000-0000BB180000}"/>
    <cellStyle name="Normal 10 5 2 2 9 3" xfId="6332" xr:uid="{00000000-0005-0000-0000-0000BC180000}"/>
    <cellStyle name="Normal 10 5 2 2 9 4" xfId="6333" xr:uid="{00000000-0005-0000-0000-0000BD180000}"/>
    <cellStyle name="Normal 10 5 2 2 9 5" xfId="6334" xr:uid="{00000000-0005-0000-0000-0000BE180000}"/>
    <cellStyle name="Normal 10 5 2 2 9 6" xfId="6335" xr:uid="{00000000-0005-0000-0000-0000BF180000}"/>
    <cellStyle name="Normal 10 5 2 3" xfId="6336" xr:uid="{00000000-0005-0000-0000-0000C0180000}"/>
    <cellStyle name="Normal 10 5 2 3 2" xfId="6337" xr:uid="{00000000-0005-0000-0000-0000C1180000}"/>
    <cellStyle name="Normal 10 5 2 3 3" xfId="6338" xr:uid="{00000000-0005-0000-0000-0000C2180000}"/>
    <cellStyle name="Normal 10 5 2 3 4" xfId="6339" xr:uid="{00000000-0005-0000-0000-0000C3180000}"/>
    <cellStyle name="Normal 10 5 2 3 5" xfId="6340" xr:uid="{00000000-0005-0000-0000-0000C4180000}"/>
    <cellStyle name="Normal 10 5 2 3 6" xfId="6341" xr:uid="{00000000-0005-0000-0000-0000C5180000}"/>
    <cellStyle name="Normal 10 5 2 4" xfId="6342" xr:uid="{00000000-0005-0000-0000-0000C6180000}"/>
    <cellStyle name="Normal 10 5 2 4 2" xfId="6343" xr:uid="{00000000-0005-0000-0000-0000C7180000}"/>
    <cellStyle name="Normal 10 5 2 4 3" xfId="6344" xr:uid="{00000000-0005-0000-0000-0000C8180000}"/>
    <cellStyle name="Normal 10 5 2 4 4" xfId="6345" xr:uid="{00000000-0005-0000-0000-0000C9180000}"/>
    <cellStyle name="Normal 10 5 2 4 5" xfId="6346" xr:uid="{00000000-0005-0000-0000-0000CA180000}"/>
    <cellStyle name="Normal 10 5 2 4 6" xfId="6347" xr:uid="{00000000-0005-0000-0000-0000CB180000}"/>
    <cellStyle name="Normal 10 5 2 5" xfId="6348" xr:uid="{00000000-0005-0000-0000-0000CC180000}"/>
    <cellStyle name="Normal 10 5 2 5 2" xfId="6349" xr:uid="{00000000-0005-0000-0000-0000CD180000}"/>
    <cellStyle name="Normal 10 5 2 5 3" xfId="6350" xr:uid="{00000000-0005-0000-0000-0000CE180000}"/>
    <cellStyle name="Normal 10 5 2 5 4" xfId="6351" xr:uid="{00000000-0005-0000-0000-0000CF180000}"/>
    <cellStyle name="Normal 10 5 2 5 5" xfId="6352" xr:uid="{00000000-0005-0000-0000-0000D0180000}"/>
    <cellStyle name="Normal 10 5 2 5 6" xfId="6353" xr:uid="{00000000-0005-0000-0000-0000D1180000}"/>
    <cellStyle name="Normal 10 5 2 6" xfId="6354" xr:uid="{00000000-0005-0000-0000-0000D2180000}"/>
    <cellStyle name="Normal 10 5 2 6 2" xfId="6355" xr:uid="{00000000-0005-0000-0000-0000D3180000}"/>
    <cellStyle name="Normal 10 5 2 6 3" xfId="6356" xr:uid="{00000000-0005-0000-0000-0000D4180000}"/>
    <cellStyle name="Normal 10 5 2 6 4" xfId="6357" xr:uid="{00000000-0005-0000-0000-0000D5180000}"/>
    <cellStyle name="Normal 10 5 2 6 5" xfId="6358" xr:uid="{00000000-0005-0000-0000-0000D6180000}"/>
    <cellStyle name="Normal 10 5 2 6 6" xfId="6359" xr:uid="{00000000-0005-0000-0000-0000D7180000}"/>
    <cellStyle name="Normal 10 5 2 7" xfId="6360" xr:uid="{00000000-0005-0000-0000-0000D8180000}"/>
    <cellStyle name="Normal 10 5 2 7 2" xfId="6361" xr:uid="{00000000-0005-0000-0000-0000D9180000}"/>
    <cellStyle name="Normal 10 5 2 7 3" xfId="6362" xr:uid="{00000000-0005-0000-0000-0000DA180000}"/>
    <cellStyle name="Normal 10 5 2 7 4" xfId="6363" xr:uid="{00000000-0005-0000-0000-0000DB180000}"/>
    <cellStyle name="Normal 10 5 2 7 5" xfId="6364" xr:uid="{00000000-0005-0000-0000-0000DC180000}"/>
    <cellStyle name="Normal 10 5 2 7 6" xfId="6365" xr:uid="{00000000-0005-0000-0000-0000DD180000}"/>
    <cellStyle name="Normal 10 5 2 8" xfId="6366" xr:uid="{00000000-0005-0000-0000-0000DE180000}"/>
    <cellStyle name="Normal 10 5 2 8 2" xfId="6367" xr:uid="{00000000-0005-0000-0000-0000DF180000}"/>
    <cellStyle name="Normal 10 5 2 8 3" xfId="6368" xr:uid="{00000000-0005-0000-0000-0000E0180000}"/>
    <cellStyle name="Normal 10 5 2 8 4" xfId="6369" xr:uid="{00000000-0005-0000-0000-0000E1180000}"/>
    <cellStyle name="Normal 10 5 2 8 5" xfId="6370" xr:uid="{00000000-0005-0000-0000-0000E2180000}"/>
    <cellStyle name="Normal 10 5 2 8 6" xfId="6371" xr:uid="{00000000-0005-0000-0000-0000E3180000}"/>
    <cellStyle name="Normal 10 5 2 9" xfId="6372" xr:uid="{00000000-0005-0000-0000-0000E4180000}"/>
    <cellStyle name="Normal 10 5 2 9 2" xfId="6373" xr:uid="{00000000-0005-0000-0000-0000E5180000}"/>
    <cellStyle name="Normal 10 5 2 9 3" xfId="6374" xr:uid="{00000000-0005-0000-0000-0000E6180000}"/>
    <cellStyle name="Normal 10 5 2 9 4" xfId="6375" xr:uid="{00000000-0005-0000-0000-0000E7180000}"/>
    <cellStyle name="Normal 10 5 2 9 5" xfId="6376" xr:uid="{00000000-0005-0000-0000-0000E8180000}"/>
    <cellStyle name="Normal 10 5 2 9 6" xfId="6377" xr:uid="{00000000-0005-0000-0000-0000E9180000}"/>
    <cellStyle name="Normal 10 5 20" xfId="6378" xr:uid="{00000000-0005-0000-0000-0000EA180000}"/>
    <cellStyle name="Normal 10 5 21" xfId="6379" xr:uid="{00000000-0005-0000-0000-0000EB180000}"/>
    <cellStyle name="Normal 10 5 22" xfId="6380" xr:uid="{00000000-0005-0000-0000-0000EC180000}"/>
    <cellStyle name="Normal 10 5 23" xfId="6381" xr:uid="{00000000-0005-0000-0000-0000ED180000}"/>
    <cellStyle name="Normal 10 5 24" xfId="6382" xr:uid="{00000000-0005-0000-0000-0000EE180000}"/>
    <cellStyle name="Normal 10 5 25" xfId="6383" xr:uid="{00000000-0005-0000-0000-0000EF180000}"/>
    <cellStyle name="Normal 10 5 26" xfId="6384" xr:uid="{00000000-0005-0000-0000-0000F0180000}"/>
    <cellStyle name="Normal 10 5 27" xfId="6385" xr:uid="{00000000-0005-0000-0000-0000F1180000}"/>
    <cellStyle name="Normal 10 5 28" xfId="6386" xr:uid="{00000000-0005-0000-0000-0000F2180000}"/>
    <cellStyle name="Normal 10 5 29" xfId="6387" xr:uid="{00000000-0005-0000-0000-0000F3180000}"/>
    <cellStyle name="Normal 10 5 3" xfId="6388" xr:uid="{00000000-0005-0000-0000-0000F4180000}"/>
    <cellStyle name="Normal 10 5 3 10" xfId="6389" xr:uid="{00000000-0005-0000-0000-0000F5180000}"/>
    <cellStyle name="Normal 10 5 3 11" xfId="6390" xr:uid="{00000000-0005-0000-0000-0000F6180000}"/>
    <cellStyle name="Normal 10 5 3 12" xfId="6391" xr:uid="{00000000-0005-0000-0000-0000F7180000}"/>
    <cellStyle name="Normal 10 5 3 13" xfId="6392" xr:uid="{00000000-0005-0000-0000-0000F8180000}"/>
    <cellStyle name="Normal 10 5 3 14" xfId="6393" xr:uid="{00000000-0005-0000-0000-0000F9180000}"/>
    <cellStyle name="Normal 10 5 3 2" xfId="6394" xr:uid="{00000000-0005-0000-0000-0000FA180000}"/>
    <cellStyle name="Normal 10 5 3 2 2" xfId="6395" xr:uid="{00000000-0005-0000-0000-0000FB180000}"/>
    <cellStyle name="Normal 10 5 3 2 3" xfId="6396" xr:uid="{00000000-0005-0000-0000-0000FC180000}"/>
    <cellStyle name="Normal 10 5 3 2 4" xfId="6397" xr:uid="{00000000-0005-0000-0000-0000FD180000}"/>
    <cellStyle name="Normal 10 5 3 2 5" xfId="6398" xr:uid="{00000000-0005-0000-0000-0000FE180000}"/>
    <cellStyle name="Normal 10 5 3 2 6" xfId="6399" xr:uid="{00000000-0005-0000-0000-0000FF180000}"/>
    <cellStyle name="Normal 10 5 3 3" xfId="6400" xr:uid="{00000000-0005-0000-0000-000000190000}"/>
    <cellStyle name="Normal 10 5 3 3 2" xfId="6401" xr:uid="{00000000-0005-0000-0000-000001190000}"/>
    <cellStyle name="Normal 10 5 3 3 3" xfId="6402" xr:uid="{00000000-0005-0000-0000-000002190000}"/>
    <cellStyle name="Normal 10 5 3 3 4" xfId="6403" xr:uid="{00000000-0005-0000-0000-000003190000}"/>
    <cellStyle name="Normal 10 5 3 3 5" xfId="6404" xr:uid="{00000000-0005-0000-0000-000004190000}"/>
    <cellStyle name="Normal 10 5 3 3 6" xfId="6405" xr:uid="{00000000-0005-0000-0000-000005190000}"/>
    <cellStyle name="Normal 10 5 3 4" xfId="6406" xr:uid="{00000000-0005-0000-0000-000006190000}"/>
    <cellStyle name="Normal 10 5 3 4 2" xfId="6407" xr:uid="{00000000-0005-0000-0000-000007190000}"/>
    <cellStyle name="Normal 10 5 3 4 3" xfId="6408" xr:uid="{00000000-0005-0000-0000-000008190000}"/>
    <cellStyle name="Normal 10 5 3 4 4" xfId="6409" xr:uid="{00000000-0005-0000-0000-000009190000}"/>
    <cellStyle name="Normal 10 5 3 4 5" xfId="6410" xr:uid="{00000000-0005-0000-0000-00000A190000}"/>
    <cellStyle name="Normal 10 5 3 4 6" xfId="6411" xr:uid="{00000000-0005-0000-0000-00000B190000}"/>
    <cellStyle name="Normal 10 5 3 5" xfId="6412" xr:uid="{00000000-0005-0000-0000-00000C190000}"/>
    <cellStyle name="Normal 10 5 3 5 2" xfId="6413" xr:uid="{00000000-0005-0000-0000-00000D190000}"/>
    <cellStyle name="Normal 10 5 3 5 3" xfId="6414" xr:uid="{00000000-0005-0000-0000-00000E190000}"/>
    <cellStyle name="Normal 10 5 3 5 4" xfId="6415" xr:uid="{00000000-0005-0000-0000-00000F190000}"/>
    <cellStyle name="Normal 10 5 3 5 5" xfId="6416" xr:uid="{00000000-0005-0000-0000-000010190000}"/>
    <cellStyle name="Normal 10 5 3 5 6" xfId="6417" xr:uid="{00000000-0005-0000-0000-000011190000}"/>
    <cellStyle name="Normal 10 5 3 6" xfId="6418" xr:uid="{00000000-0005-0000-0000-000012190000}"/>
    <cellStyle name="Normal 10 5 3 6 2" xfId="6419" xr:uid="{00000000-0005-0000-0000-000013190000}"/>
    <cellStyle name="Normal 10 5 3 6 3" xfId="6420" xr:uid="{00000000-0005-0000-0000-000014190000}"/>
    <cellStyle name="Normal 10 5 3 6 4" xfId="6421" xr:uid="{00000000-0005-0000-0000-000015190000}"/>
    <cellStyle name="Normal 10 5 3 6 5" xfId="6422" xr:uid="{00000000-0005-0000-0000-000016190000}"/>
    <cellStyle name="Normal 10 5 3 6 6" xfId="6423" xr:uid="{00000000-0005-0000-0000-000017190000}"/>
    <cellStyle name="Normal 10 5 3 7" xfId="6424" xr:uid="{00000000-0005-0000-0000-000018190000}"/>
    <cellStyle name="Normal 10 5 3 7 2" xfId="6425" xr:uid="{00000000-0005-0000-0000-000019190000}"/>
    <cellStyle name="Normal 10 5 3 7 3" xfId="6426" xr:uid="{00000000-0005-0000-0000-00001A190000}"/>
    <cellStyle name="Normal 10 5 3 7 4" xfId="6427" xr:uid="{00000000-0005-0000-0000-00001B190000}"/>
    <cellStyle name="Normal 10 5 3 7 5" xfId="6428" xr:uid="{00000000-0005-0000-0000-00001C190000}"/>
    <cellStyle name="Normal 10 5 3 7 6" xfId="6429" xr:uid="{00000000-0005-0000-0000-00001D190000}"/>
    <cellStyle name="Normal 10 5 3 8" xfId="6430" xr:uid="{00000000-0005-0000-0000-00001E190000}"/>
    <cellStyle name="Normal 10 5 3 8 2" xfId="6431" xr:uid="{00000000-0005-0000-0000-00001F190000}"/>
    <cellStyle name="Normal 10 5 3 8 3" xfId="6432" xr:uid="{00000000-0005-0000-0000-000020190000}"/>
    <cellStyle name="Normal 10 5 3 8 4" xfId="6433" xr:uid="{00000000-0005-0000-0000-000021190000}"/>
    <cellStyle name="Normal 10 5 3 8 5" xfId="6434" xr:uid="{00000000-0005-0000-0000-000022190000}"/>
    <cellStyle name="Normal 10 5 3 8 6" xfId="6435" xr:uid="{00000000-0005-0000-0000-000023190000}"/>
    <cellStyle name="Normal 10 5 3 9" xfId="6436" xr:uid="{00000000-0005-0000-0000-000024190000}"/>
    <cellStyle name="Normal 10 5 3 9 2" xfId="6437" xr:uid="{00000000-0005-0000-0000-000025190000}"/>
    <cellStyle name="Normal 10 5 3 9 3" xfId="6438" xr:uid="{00000000-0005-0000-0000-000026190000}"/>
    <cellStyle name="Normal 10 5 3 9 4" xfId="6439" xr:uid="{00000000-0005-0000-0000-000027190000}"/>
    <cellStyle name="Normal 10 5 3 9 5" xfId="6440" xr:uid="{00000000-0005-0000-0000-000028190000}"/>
    <cellStyle name="Normal 10 5 3 9 6" xfId="6441" xr:uid="{00000000-0005-0000-0000-000029190000}"/>
    <cellStyle name="Normal 10 5 30" xfId="6442" xr:uid="{00000000-0005-0000-0000-00002A190000}"/>
    <cellStyle name="Normal 10 5 31" xfId="6443" xr:uid="{00000000-0005-0000-0000-00002B190000}"/>
    <cellStyle name="Normal 10 5 4" xfId="6444" xr:uid="{00000000-0005-0000-0000-00002C190000}"/>
    <cellStyle name="Normal 10 5 4 2" xfId="6445" xr:uid="{00000000-0005-0000-0000-00002D190000}"/>
    <cellStyle name="Normal 10 5 4 3" xfId="6446" xr:uid="{00000000-0005-0000-0000-00002E190000}"/>
    <cellStyle name="Normal 10 5 4 4" xfId="6447" xr:uid="{00000000-0005-0000-0000-00002F190000}"/>
    <cellStyle name="Normal 10 5 4 5" xfId="6448" xr:uid="{00000000-0005-0000-0000-000030190000}"/>
    <cellStyle name="Normal 10 5 4 6" xfId="6449" xr:uid="{00000000-0005-0000-0000-000031190000}"/>
    <cellStyle name="Normal 10 5 5" xfId="6450" xr:uid="{00000000-0005-0000-0000-000032190000}"/>
    <cellStyle name="Normal 10 5 5 2" xfId="6451" xr:uid="{00000000-0005-0000-0000-000033190000}"/>
    <cellStyle name="Normal 10 5 5 3" xfId="6452" xr:uid="{00000000-0005-0000-0000-000034190000}"/>
    <cellStyle name="Normal 10 5 5 4" xfId="6453" xr:uid="{00000000-0005-0000-0000-000035190000}"/>
    <cellStyle name="Normal 10 5 5 5" xfId="6454" xr:uid="{00000000-0005-0000-0000-000036190000}"/>
    <cellStyle name="Normal 10 5 5 6" xfId="6455" xr:uid="{00000000-0005-0000-0000-000037190000}"/>
    <cellStyle name="Normal 10 5 6" xfId="6456" xr:uid="{00000000-0005-0000-0000-000038190000}"/>
    <cellStyle name="Normal 10 5 6 2" xfId="6457" xr:uid="{00000000-0005-0000-0000-000039190000}"/>
    <cellStyle name="Normal 10 5 6 3" xfId="6458" xr:uid="{00000000-0005-0000-0000-00003A190000}"/>
    <cellStyle name="Normal 10 5 6 4" xfId="6459" xr:uid="{00000000-0005-0000-0000-00003B190000}"/>
    <cellStyle name="Normal 10 5 6 5" xfId="6460" xr:uid="{00000000-0005-0000-0000-00003C190000}"/>
    <cellStyle name="Normal 10 5 6 6" xfId="6461" xr:uid="{00000000-0005-0000-0000-00003D190000}"/>
    <cellStyle name="Normal 10 5 7" xfId="6462" xr:uid="{00000000-0005-0000-0000-00003E190000}"/>
    <cellStyle name="Normal 10 5 7 2" xfId="6463" xr:uid="{00000000-0005-0000-0000-00003F190000}"/>
    <cellStyle name="Normal 10 5 7 3" xfId="6464" xr:uid="{00000000-0005-0000-0000-000040190000}"/>
    <cellStyle name="Normal 10 5 7 4" xfId="6465" xr:uid="{00000000-0005-0000-0000-000041190000}"/>
    <cellStyle name="Normal 10 5 7 5" xfId="6466" xr:uid="{00000000-0005-0000-0000-000042190000}"/>
    <cellStyle name="Normal 10 5 7 6" xfId="6467" xr:uid="{00000000-0005-0000-0000-000043190000}"/>
    <cellStyle name="Normal 10 5 8" xfId="6468" xr:uid="{00000000-0005-0000-0000-000044190000}"/>
    <cellStyle name="Normal 10 5 8 2" xfId="6469" xr:uid="{00000000-0005-0000-0000-000045190000}"/>
    <cellStyle name="Normal 10 5 8 3" xfId="6470" xr:uid="{00000000-0005-0000-0000-000046190000}"/>
    <cellStyle name="Normal 10 5 8 4" xfId="6471" xr:uid="{00000000-0005-0000-0000-000047190000}"/>
    <cellStyle name="Normal 10 5 8 5" xfId="6472" xr:uid="{00000000-0005-0000-0000-000048190000}"/>
    <cellStyle name="Normal 10 5 8 6" xfId="6473" xr:uid="{00000000-0005-0000-0000-000049190000}"/>
    <cellStyle name="Normal 10 5 9" xfId="6474" xr:uid="{00000000-0005-0000-0000-00004A190000}"/>
    <cellStyle name="Normal 10 5 9 2" xfId="6475" xr:uid="{00000000-0005-0000-0000-00004B190000}"/>
    <cellStyle name="Normal 10 5 9 3" xfId="6476" xr:uid="{00000000-0005-0000-0000-00004C190000}"/>
    <cellStyle name="Normal 10 5 9 4" xfId="6477" xr:uid="{00000000-0005-0000-0000-00004D190000}"/>
    <cellStyle name="Normal 10 5 9 5" xfId="6478" xr:uid="{00000000-0005-0000-0000-00004E190000}"/>
    <cellStyle name="Normal 10 5 9 6" xfId="6479" xr:uid="{00000000-0005-0000-0000-00004F190000}"/>
    <cellStyle name="Normal 10 6" xfId="6480" xr:uid="{00000000-0005-0000-0000-000050190000}"/>
    <cellStyle name="Normal 100" xfId="6481" xr:uid="{00000000-0005-0000-0000-000051190000}"/>
    <cellStyle name="Normal 100 2" xfId="6482" xr:uid="{00000000-0005-0000-0000-000052190000}"/>
    <cellStyle name="Normal 101" xfId="6483" xr:uid="{00000000-0005-0000-0000-000053190000}"/>
    <cellStyle name="Normal 102" xfId="6484" xr:uid="{00000000-0005-0000-0000-000054190000}"/>
    <cellStyle name="Normal 103" xfId="6485" xr:uid="{00000000-0005-0000-0000-000055190000}"/>
    <cellStyle name="Normal 104" xfId="6486" xr:uid="{00000000-0005-0000-0000-000056190000}"/>
    <cellStyle name="Normal 105" xfId="6487" xr:uid="{00000000-0005-0000-0000-000057190000}"/>
    <cellStyle name="Normal 106" xfId="6488" xr:uid="{00000000-0005-0000-0000-000058190000}"/>
    <cellStyle name="Normal 107" xfId="6489" xr:uid="{00000000-0005-0000-0000-000059190000}"/>
    <cellStyle name="Normal 108" xfId="6490" xr:uid="{00000000-0005-0000-0000-00005A190000}"/>
    <cellStyle name="Normal 109" xfId="6491" xr:uid="{00000000-0005-0000-0000-00005B190000}"/>
    <cellStyle name="Normal 11" xfId="6492" xr:uid="{00000000-0005-0000-0000-00005C190000}"/>
    <cellStyle name="Normal 11 10" xfId="6493" xr:uid="{00000000-0005-0000-0000-00005D190000}"/>
    <cellStyle name="Normal 11 11" xfId="6494" xr:uid="{00000000-0005-0000-0000-00005E190000}"/>
    <cellStyle name="Normal 11 12" xfId="6495" xr:uid="{00000000-0005-0000-0000-00005F190000}"/>
    <cellStyle name="Normal 11 13" xfId="6496" xr:uid="{00000000-0005-0000-0000-000060190000}"/>
    <cellStyle name="Normal 11 14" xfId="6497" xr:uid="{00000000-0005-0000-0000-000061190000}"/>
    <cellStyle name="Normal 11 15" xfId="6498" xr:uid="{00000000-0005-0000-0000-000062190000}"/>
    <cellStyle name="Normal 11 16" xfId="6499" xr:uid="{00000000-0005-0000-0000-000063190000}"/>
    <cellStyle name="Normal 11 17" xfId="6500" xr:uid="{00000000-0005-0000-0000-000064190000}"/>
    <cellStyle name="Normal 11 18" xfId="6501" xr:uid="{00000000-0005-0000-0000-000065190000}"/>
    <cellStyle name="Normal 11 19" xfId="6502" xr:uid="{00000000-0005-0000-0000-000066190000}"/>
    <cellStyle name="Normal 11 2" xfId="6503" xr:uid="{00000000-0005-0000-0000-000067190000}"/>
    <cellStyle name="Normal 11 20" xfId="6504" xr:uid="{00000000-0005-0000-0000-000068190000}"/>
    <cellStyle name="Normal 11 21" xfId="6505" xr:uid="{00000000-0005-0000-0000-000069190000}"/>
    <cellStyle name="Normal 11 22" xfId="6506" xr:uid="{00000000-0005-0000-0000-00006A190000}"/>
    <cellStyle name="Normal 11 23" xfId="6507" xr:uid="{00000000-0005-0000-0000-00006B190000}"/>
    <cellStyle name="Normal 11 24" xfId="6508" xr:uid="{00000000-0005-0000-0000-00006C190000}"/>
    <cellStyle name="Normal 11 25" xfId="6509" xr:uid="{00000000-0005-0000-0000-00006D190000}"/>
    <cellStyle name="Normal 11 26" xfId="6510" xr:uid="{00000000-0005-0000-0000-00006E190000}"/>
    <cellStyle name="Normal 11 27" xfId="6511" xr:uid="{00000000-0005-0000-0000-00006F190000}"/>
    <cellStyle name="Normal 11 28" xfId="6512" xr:uid="{00000000-0005-0000-0000-000070190000}"/>
    <cellStyle name="Normal 11 29" xfId="6513" xr:uid="{00000000-0005-0000-0000-000071190000}"/>
    <cellStyle name="Normal 11 3" xfId="6514" xr:uid="{00000000-0005-0000-0000-000072190000}"/>
    <cellStyle name="Normal 11 30" xfId="6515" xr:uid="{00000000-0005-0000-0000-000073190000}"/>
    <cellStyle name="Normal 11 31" xfId="6516" xr:uid="{00000000-0005-0000-0000-000074190000}"/>
    <cellStyle name="Normal 11 4" xfId="6517" xr:uid="{00000000-0005-0000-0000-000075190000}"/>
    <cellStyle name="Normal 11 5" xfId="6518" xr:uid="{00000000-0005-0000-0000-000076190000}"/>
    <cellStyle name="Normal 11 6" xfId="6519" xr:uid="{00000000-0005-0000-0000-000077190000}"/>
    <cellStyle name="Normal 11 7" xfId="6520" xr:uid="{00000000-0005-0000-0000-000078190000}"/>
    <cellStyle name="Normal 11 8" xfId="6521" xr:uid="{00000000-0005-0000-0000-000079190000}"/>
    <cellStyle name="Normal 11 9" xfId="6522" xr:uid="{00000000-0005-0000-0000-00007A190000}"/>
    <cellStyle name="Normal 110" xfId="6523" xr:uid="{00000000-0005-0000-0000-00007B190000}"/>
    <cellStyle name="Normal 111" xfId="6524" xr:uid="{00000000-0005-0000-0000-00007C190000}"/>
    <cellStyle name="Normal 111 10" xfId="6525" xr:uid="{00000000-0005-0000-0000-00007D190000}"/>
    <cellStyle name="Normal 111 11" xfId="6526" xr:uid="{00000000-0005-0000-0000-00007E190000}"/>
    <cellStyle name="Normal 111 12" xfId="6527" xr:uid="{00000000-0005-0000-0000-00007F190000}"/>
    <cellStyle name="Normal 111 13" xfId="6528" xr:uid="{00000000-0005-0000-0000-000080190000}"/>
    <cellStyle name="Normal 111 14" xfId="6529" xr:uid="{00000000-0005-0000-0000-000081190000}"/>
    <cellStyle name="Normal 111 15" xfId="6530" xr:uid="{00000000-0005-0000-0000-000082190000}"/>
    <cellStyle name="Normal 111 16" xfId="6531" xr:uid="{00000000-0005-0000-0000-000083190000}"/>
    <cellStyle name="Normal 111 17" xfId="6532" xr:uid="{00000000-0005-0000-0000-000084190000}"/>
    <cellStyle name="Normal 111 18" xfId="6533" xr:uid="{00000000-0005-0000-0000-000085190000}"/>
    <cellStyle name="Normal 111 2" xfId="6534" xr:uid="{00000000-0005-0000-0000-000086190000}"/>
    <cellStyle name="Normal 111 3" xfId="6535" xr:uid="{00000000-0005-0000-0000-000087190000}"/>
    <cellStyle name="Normal 111 4" xfId="6536" xr:uid="{00000000-0005-0000-0000-000088190000}"/>
    <cellStyle name="Normal 111 5" xfId="6537" xr:uid="{00000000-0005-0000-0000-000089190000}"/>
    <cellStyle name="Normal 111 6" xfId="6538" xr:uid="{00000000-0005-0000-0000-00008A190000}"/>
    <cellStyle name="Normal 111 7" xfId="6539" xr:uid="{00000000-0005-0000-0000-00008B190000}"/>
    <cellStyle name="Normal 111 8" xfId="6540" xr:uid="{00000000-0005-0000-0000-00008C190000}"/>
    <cellStyle name="Normal 111 9" xfId="6541" xr:uid="{00000000-0005-0000-0000-00008D190000}"/>
    <cellStyle name="Normal 112" xfId="6542" xr:uid="{00000000-0005-0000-0000-00008E190000}"/>
    <cellStyle name="Normal 113" xfId="6543" xr:uid="{00000000-0005-0000-0000-00008F190000}"/>
    <cellStyle name="Normal 114" xfId="6544" xr:uid="{00000000-0005-0000-0000-000090190000}"/>
    <cellStyle name="Normal 115" xfId="6545" xr:uid="{00000000-0005-0000-0000-000091190000}"/>
    <cellStyle name="Normal 116" xfId="6546" xr:uid="{00000000-0005-0000-0000-000092190000}"/>
    <cellStyle name="Normal 117" xfId="6547" xr:uid="{00000000-0005-0000-0000-000093190000}"/>
    <cellStyle name="Normal 118" xfId="6548" xr:uid="{00000000-0005-0000-0000-000094190000}"/>
    <cellStyle name="Normal 119" xfId="6549" xr:uid="{00000000-0005-0000-0000-000095190000}"/>
    <cellStyle name="Normal 12" xfId="6550" xr:uid="{00000000-0005-0000-0000-000096190000}"/>
    <cellStyle name="Normal 120" xfId="6551" xr:uid="{00000000-0005-0000-0000-000097190000}"/>
    <cellStyle name="Normal 121" xfId="6552" xr:uid="{00000000-0005-0000-0000-000098190000}"/>
    <cellStyle name="Normal 122" xfId="6553" xr:uid="{00000000-0005-0000-0000-000099190000}"/>
    <cellStyle name="Normal 123" xfId="6554" xr:uid="{00000000-0005-0000-0000-00009A190000}"/>
    <cellStyle name="Normal 124" xfId="6555" xr:uid="{00000000-0005-0000-0000-00009B190000}"/>
    <cellStyle name="Normal 125" xfId="6556" xr:uid="{00000000-0005-0000-0000-00009C190000}"/>
    <cellStyle name="Normal 126" xfId="6557" xr:uid="{00000000-0005-0000-0000-00009D190000}"/>
    <cellStyle name="Normal 127" xfId="6558" xr:uid="{00000000-0005-0000-0000-00009E190000}"/>
    <cellStyle name="Normal 128" xfId="6559" xr:uid="{00000000-0005-0000-0000-00009F190000}"/>
    <cellStyle name="Normal 129" xfId="6560" xr:uid="{00000000-0005-0000-0000-0000A0190000}"/>
    <cellStyle name="Normal 13" xfId="6561" xr:uid="{00000000-0005-0000-0000-0000A1190000}"/>
    <cellStyle name="Normal 130" xfId="6562" xr:uid="{00000000-0005-0000-0000-0000A2190000}"/>
    <cellStyle name="Normal 131" xfId="6563" xr:uid="{00000000-0005-0000-0000-0000A3190000}"/>
    <cellStyle name="Normal 132" xfId="6564" xr:uid="{00000000-0005-0000-0000-0000A4190000}"/>
    <cellStyle name="Normal 133" xfId="6565" xr:uid="{00000000-0005-0000-0000-0000A5190000}"/>
    <cellStyle name="Normal 134" xfId="6566" xr:uid="{00000000-0005-0000-0000-0000A6190000}"/>
    <cellStyle name="Normal 135" xfId="6567" xr:uid="{00000000-0005-0000-0000-0000A7190000}"/>
    <cellStyle name="Normal 136" xfId="6568" xr:uid="{00000000-0005-0000-0000-0000A8190000}"/>
    <cellStyle name="Normal 137" xfId="6569" xr:uid="{00000000-0005-0000-0000-0000A9190000}"/>
    <cellStyle name="Normal 138" xfId="6570" xr:uid="{00000000-0005-0000-0000-0000AA190000}"/>
    <cellStyle name="Normal 139" xfId="6571" xr:uid="{00000000-0005-0000-0000-0000AB190000}"/>
    <cellStyle name="Normal 14" xfId="6572" xr:uid="{00000000-0005-0000-0000-0000AC190000}"/>
    <cellStyle name="Normal 140" xfId="6573" xr:uid="{00000000-0005-0000-0000-0000AD190000}"/>
    <cellStyle name="Normal 141" xfId="6574" xr:uid="{00000000-0005-0000-0000-0000AE190000}"/>
    <cellStyle name="Normal 142" xfId="6575" xr:uid="{00000000-0005-0000-0000-0000AF190000}"/>
    <cellStyle name="Normal 143" xfId="6576" xr:uid="{00000000-0005-0000-0000-0000B0190000}"/>
    <cellStyle name="Normal 144" xfId="6577" xr:uid="{00000000-0005-0000-0000-0000B1190000}"/>
    <cellStyle name="Normal 145" xfId="6578" xr:uid="{00000000-0005-0000-0000-0000B2190000}"/>
    <cellStyle name="Normal 146" xfId="6579" xr:uid="{00000000-0005-0000-0000-0000B3190000}"/>
    <cellStyle name="Normal 147" xfId="6580" xr:uid="{00000000-0005-0000-0000-0000B4190000}"/>
    <cellStyle name="Normal 148" xfId="6581" xr:uid="{00000000-0005-0000-0000-0000B5190000}"/>
    <cellStyle name="Normal 149" xfId="35411" xr:uid="{00000000-0005-0000-0000-0000B6190000}"/>
    <cellStyle name="Normal 15" xfId="6582" xr:uid="{00000000-0005-0000-0000-0000B7190000}"/>
    <cellStyle name="Normal 15 10" xfId="6583" xr:uid="{00000000-0005-0000-0000-0000B8190000}"/>
    <cellStyle name="Normal 15 10 2" xfId="6584" xr:uid="{00000000-0005-0000-0000-0000B9190000}"/>
    <cellStyle name="Normal 15 10 3" xfId="6585" xr:uid="{00000000-0005-0000-0000-0000BA190000}"/>
    <cellStyle name="Normal 15 10 4" xfId="6586" xr:uid="{00000000-0005-0000-0000-0000BB190000}"/>
    <cellStyle name="Normal 15 10 5" xfId="6587" xr:uid="{00000000-0005-0000-0000-0000BC190000}"/>
    <cellStyle name="Normal 15 10 6" xfId="6588" xr:uid="{00000000-0005-0000-0000-0000BD190000}"/>
    <cellStyle name="Normal 15 11" xfId="6589" xr:uid="{00000000-0005-0000-0000-0000BE190000}"/>
    <cellStyle name="Normal 15 11 2" xfId="6590" xr:uid="{00000000-0005-0000-0000-0000BF190000}"/>
    <cellStyle name="Normal 15 11 3" xfId="6591" xr:uid="{00000000-0005-0000-0000-0000C0190000}"/>
    <cellStyle name="Normal 15 11 4" xfId="6592" xr:uid="{00000000-0005-0000-0000-0000C1190000}"/>
    <cellStyle name="Normal 15 11 5" xfId="6593" xr:uid="{00000000-0005-0000-0000-0000C2190000}"/>
    <cellStyle name="Normal 15 11 6" xfId="6594" xr:uid="{00000000-0005-0000-0000-0000C3190000}"/>
    <cellStyle name="Normal 15 12" xfId="6595" xr:uid="{00000000-0005-0000-0000-0000C4190000}"/>
    <cellStyle name="Normal 15 13" xfId="6596" xr:uid="{00000000-0005-0000-0000-0000C5190000}"/>
    <cellStyle name="Normal 15 14" xfId="6597" xr:uid="{00000000-0005-0000-0000-0000C6190000}"/>
    <cellStyle name="Normal 15 15" xfId="6598" xr:uid="{00000000-0005-0000-0000-0000C7190000}"/>
    <cellStyle name="Normal 15 16" xfId="6599" xr:uid="{00000000-0005-0000-0000-0000C8190000}"/>
    <cellStyle name="Normal 15 2" xfId="6600" xr:uid="{00000000-0005-0000-0000-0000C9190000}"/>
    <cellStyle name="Normal 15 2 10" xfId="6601" xr:uid="{00000000-0005-0000-0000-0000CA190000}"/>
    <cellStyle name="Normal 15 2 10 2" xfId="6602" xr:uid="{00000000-0005-0000-0000-0000CB190000}"/>
    <cellStyle name="Normal 15 2 10 3" xfId="6603" xr:uid="{00000000-0005-0000-0000-0000CC190000}"/>
    <cellStyle name="Normal 15 2 10 4" xfId="6604" xr:uid="{00000000-0005-0000-0000-0000CD190000}"/>
    <cellStyle name="Normal 15 2 10 5" xfId="6605" xr:uid="{00000000-0005-0000-0000-0000CE190000}"/>
    <cellStyle name="Normal 15 2 10 6" xfId="6606" xr:uid="{00000000-0005-0000-0000-0000CF190000}"/>
    <cellStyle name="Normal 15 2 11" xfId="6607" xr:uid="{00000000-0005-0000-0000-0000D0190000}"/>
    <cellStyle name="Normal 15 2 12" xfId="6608" xr:uid="{00000000-0005-0000-0000-0000D1190000}"/>
    <cellStyle name="Normal 15 2 13" xfId="6609" xr:uid="{00000000-0005-0000-0000-0000D2190000}"/>
    <cellStyle name="Normal 15 2 14" xfId="6610" xr:uid="{00000000-0005-0000-0000-0000D3190000}"/>
    <cellStyle name="Normal 15 2 15" xfId="6611" xr:uid="{00000000-0005-0000-0000-0000D4190000}"/>
    <cellStyle name="Normal 15 2 2" xfId="6612" xr:uid="{00000000-0005-0000-0000-0000D5190000}"/>
    <cellStyle name="Normal 15 2 2 10" xfId="6613" xr:uid="{00000000-0005-0000-0000-0000D6190000}"/>
    <cellStyle name="Normal 15 2 2 11" xfId="6614" xr:uid="{00000000-0005-0000-0000-0000D7190000}"/>
    <cellStyle name="Normal 15 2 2 12" xfId="6615" xr:uid="{00000000-0005-0000-0000-0000D8190000}"/>
    <cellStyle name="Normal 15 2 2 13" xfId="6616" xr:uid="{00000000-0005-0000-0000-0000D9190000}"/>
    <cellStyle name="Normal 15 2 2 14" xfId="6617" xr:uid="{00000000-0005-0000-0000-0000DA190000}"/>
    <cellStyle name="Normal 15 2 2 2" xfId="6618" xr:uid="{00000000-0005-0000-0000-0000DB190000}"/>
    <cellStyle name="Normal 15 2 2 2 2" xfId="6619" xr:uid="{00000000-0005-0000-0000-0000DC190000}"/>
    <cellStyle name="Normal 15 2 2 2 3" xfId="6620" xr:uid="{00000000-0005-0000-0000-0000DD190000}"/>
    <cellStyle name="Normal 15 2 2 2 4" xfId="6621" xr:uid="{00000000-0005-0000-0000-0000DE190000}"/>
    <cellStyle name="Normal 15 2 2 2 5" xfId="6622" xr:uid="{00000000-0005-0000-0000-0000DF190000}"/>
    <cellStyle name="Normal 15 2 2 2 6" xfId="6623" xr:uid="{00000000-0005-0000-0000-0000E0190000}"/>
    <cellStyle name="Normal 15 2 2 3" xfId="6624" xr:uid="{00000000-0005-0000-0000-0000E1190000}"/>
    <cellStyle name="Normal 15 2 2 3 2" xfId="6625" xr:uid="{00000000-0005-0000-0000-0000E2190000}"/>
    <cellStyle name="Normal 15 2 2 3 3" xfId="6626" xr:uid="{00000000-0005-0000-0000-0000E3190000}"/>
    <cellStyle name="Normal 15 2 2 3 4" xfId="6627" xr:uid="{00000000-0005-0000-0000-0000E4190000}"/>
    <cellStyle name="Normal 15 2 2 3 5" xfId="6628" xr:uid="{00000000-0005-0000-0000-0000E5190000}"/>
    <cellStyle name="Normal 15 2 2 3 6" xfId="6629" xr:uid="{00000000-0005-0000-0000-0000E6190000}"/>
    <cellStyle name="Normal 15 2 2 4" xfId="6630" xr:uid="{00000000-0005-0000-0000-0000E7190000}"/>
    <cellStyle name="Normal 15 2 2 4 2" xfId="6631" xr:uid="{00000000-0005-0000-0000-0000E8190000}"/>
    <cellStyle name="Normal 15 2 2 4 3" xfId="6632" xr:uid="{00000000-0005-0000-0000-0000E9190000}"/>
    <cellStyle name="Normal 15 2 2 4 4" xfId="6633" xr:uid="{00000000-0005-0000-0000-0000EA190000}"/>
    <cellStyle name="Normal 15 2 2 4 5" xfId="6634" xr:uid="{00000000-0005-0000-0000-0000EB190000}"/>
    <cellStyle name="Normal 15 2 2 4 6" xfId="6635" xr:uid="{00000000-0005-0000-0000-0000EC190000}"/>
    <cellStyle name="Normal 15 2 2 5" xfId="6636" xr:uid="{00000000-0005-0000-0000-0000ED190000}"/>
    <cellStyle name="Normal 15 2 2 5 2" xfId="6637" xr:uid="{00000000-0005-0000-0000-0000EE190000}"/>
    <cellStyle name="Normal 15 2 2 5 3" xfId="6638" xr:uid="{00000000-0005-0000-0000-0000EF190000}"/>
    <cellStyle name="Normal 15 2 2 5 4" xfId="6639" xr:uid="{00000000-0005-0000-0000-0000F0190000}"/>
    <cellStyle name="Normal 15 2 2 5 5" xfId="6640" xr:uid="{00000000-0005-0000-0000-0000F1190000}"/>
    <cellStyle name="Normal 15 2 2 5 6" xfId="6641" xr:uid="{00000000-0005-0000-0000-0000F2190000}"/>
    <cellStyle name="Normal 15 2 2 6" xfId="6642" xr:uid="{00000000-0005-0000-0000-0000F3190000}"/>
    <cellStyle name="Normal 15 2 2 6 2" xfId="6643" xr:uid="{00000000-0005-0000-0000-0000F4190000}"/>
    <cellStyle name="Normal 15 2 2 6 3" xfId="6644" xr:uid="{00000000-0005-0000-0000-0000F5190000}"/>
    <cellStyle name="Normal 15 2 2 6 4" xfId="6645" xr:uid="{00000000-0005-0000-0000-0000F6190000}"/>
    <cellStyle name="Normal 15 2 2 6 5" xfId="6646" xr:uid="{00000000-0005-0000-0000-0000F7190000}"/>
    <cellStyle name="Normal 15 2 2 6 6" xfId="6647" xr:uid="{00000000-0005-0000-0000-0000F8190000}"/>
    <cellStyle name="Normal 15 2 2 7" xfId="6648" xr:uid="{00000000-0005-0000-0000-0000F9190000}"/>
    <cellStyle name="Normal 15 2 2 7 2" xfId="6649" xr:uid="{00000000-0005-0000-0000-0000FA190000}"/>
    <cellStyle name="Normal 15 2 2 7 3" xfId="6650" xr:uid="{00000000-0005-0000-0000-0000FB190000}"/>
    <cellStyle name="Normal 15 2 2 7 4" xfId="6651" xr:uid="{00000000-0005-0000-0000-0000FC190000}"/>
    <cellStyle name="Normal 15 2 2 7 5" xfId="6652" xr:uid="{00000000-0005-0000-0000-0000FD190000}"/>
    <cellStyle name="Normal 15 2 2 7 6" xfId="6653" xr:uid="{00000000-0005-0000-0000-0000FE190000}"/>
    <cellStyle name="Normal 15 2 2 8" xfId="6654" xr:uid="{00000000-0005-0000-0000-0000FF190000}"/>
    <cellStyle name="Normal 15 2 2 8 2" xfId="6655" xr:uid="{00000000-0005-0000-0000-0000001A0000}"/>
    <cellStyle name="Normal 15 2 2 8 3" xfId="6656" xr:uid="{00000000-0005-0000-0000-0000011A0000}"/>
    <cellStyle name="Normal 15 2 2 8 4" xfId="6657" xr:uid="{00000000-0005-0000-0000-0000021A0000}"/>
    <cellStyle name="Normal 15 2 2 8 5" xfId="6658" xr:uid="{00000000-0005-0000-0000-0000031A0000}"/>
    <cellStyle name="Normal 15 2 2 8 6" xfId="6659" xr:uid="{00000000-0005-0000-0000-0000041A0000}"/>
    <cellStyle name="Normal 15 2 2 9" xfId="6660" xr:uid="{00000000-0005-0000-0000-0000051A0000}"/>
    <cellStyle name="Normal 15 2 2 9 2" xfId="6661" xr:uid="{00000000-0005-0000-0000-0000061A0000}"/>
    <cellStyle name="Normal 15 2 2 9 3" xfId="6662" xr:uid="{00000000-0005-0000-0000-0000071A0000}"/>
    <cellStyle name="Normal 15 2 2 9 4" xfId="6663" xr:uid="{00000000-0005-0000-0000-0000081A0000}"/>
    <cellStyle name="Normal 15 2 2 9 5" xfId="6664" xr:uid="{00000000-0005-0000-0000-0000091A0000}"/>
    <cellStyle name="Normal 15 2 2 9 6" xfId="6665" xr:uid="{00000000-0005-0000-0000-00000A1A0000}"/>
    <cellStyle name="Normal 15 2 3" xfId="6666" xr:uid="{00000000-0005-0000-0000-00000B1A0000}"/>
    <cellStyle name="Normal 15 2 3 2" xfId="6667" xr:uid="{00000000-0005-0000-0000-00000C1A0000}"/>
    <cellStyle name="Normal 15 2 3 3" xfId="6668" xr:uid="{00000000-0005-0000-0000-00000D1A0000}"/>
    <cellStyle name="Normal 15 2 3 4" xfId="6669" xr:uid="{00000000-0005-0000-0000-00000E1A0000}"/>
    <cellStyle name="Normal 15 2 3 5" xfId="6670" xr:uid="{00000000-0005-0000-0000-00000F1A0000}"/>
    <cellStyle name="Normal 15 2 3 6" xfId="6671" xr:uid="{00000000-0005-0000-0000-0000101A0000}"/>
    <cellStyle name="Normal 15 2 4" xfId="6672" xr:uid="{00000000-0005-0000-0000-0000111A0000}"/>
    <cellStyle name="Normal 15 2 4 2" xfId="6673" xr:uid="{00000000-0005-0000-0000-0000121A0000}"/>
    <cellStyle name="Normal 15 2 4 3" xfId="6674" xr:uid="{00000000-0005-0000-0000-0000131A0000}"/>
    <cellStyle name="Normal 15 2 4 4" xfId="6675" xr:uid="{00000000-0005-0000-0000-0000141A0000}"/>
    <cellStyle name="Normal 15 2 4 5" xfId="6676" xr:uid="{00000000-0005-0000-0000-0000151A0000}"/>
    <cellStyle name="Normal 15 2 4 6" xfId="6677" xr:uid="{00000000-0005-0000-0000-0000161A0000}"/>
    <cellStyle name="Normal 15 2 5" xfId="6678" xr:uid="{00000000-0005-0000-0000-0000171A0000}"/>
    <cellStyle name="Normal 15 2 5 2" xfId="6679" xr:uid="{00000000-0005-0000-0000-0000181A0000}"/>
    <cellStyle name="Normal 15 2 5 3" xfId="6680" xr:uid="{00000000-0005-0000-0000-0000191A0000}"/>
    <cellStyle name="Normal 15 2 5 4" xfId="6681" xr:uid="{00000000-0005-0000-0000-00001A1A0000}"/>
    <cellStyle name="Normal 15 2 5 5" xfId="6682" xr:uid="{00000000-0005-0000-0000-00001B1A0000}"/>
    <cellStyle name="Normal 15 2 5 6" xfId="6683" xr:uid="{00000000-0005-0000-0000-00001C1A0000}"/>
    <cellStyle name="Normal 15 2 6" xfId="6684" xr:uid="{00000000-0005-0000-0000-00001D1A0000}"/>
    <cellStyle name="Normal 15 2 6 2" xfId="6685" xr:uid="{00000000-0005-0000-0000-00001E1A0000}"/>
    <cellStyle name="Normal 15 2 6 3" xfId="6686" xr:uid="{00000000-0005-0000-0000-00001F1A0000}"/>
    <cellStyle name="Normal 15 2 6 4" xfId="6687" xr:uid="{00000000-0005-0000-0000-0000201A0000}"/>
    <cellStyle name="Normal 15 2 6 5" xfId="6688" xr:uid="{00000000-0005-0000-0000-0000211A0000}"/>
    <cellStyle name="Normal 15 2 6 6" xfId="6689" xr:uid="{00000000-0005-0000-0000-0000221A0000}"/>
    <cellStyle name="Normal 15 2 7" xfId="6690" xr:uid="{00000000-0005-0000-0000-0000231A0000}"/>
    <cellStyle name="Normal 15 2 7 2" xfId="6691" xr:uid="{00000000-0005-0000-0000-0000241A0000}"/>
    <cellStyle name="Normal 15 2 7 3" xfId="6692" xr:uid="{00000000-0005-0000-0000-0000251A0000}"/>
    <cellStyle name="Normal 15 2 7 4" xfId="6693" xr:uid="{00000000-0005-0000-0000-0000261A0000}"/>
    <cellStyle name="Normal 15 2 7 5" xfId="6694" xr:uid="{00000000-0005-0000-0000-0000271A0000}"/>
    <cellStyle name="Normal 15 2 7 6" xfId="6695" xr:uid="{00000000-0005-0000-0000-0000281A0000}"/>
    <cellStyle name="Normal 15 2 8" xfId="6696" xr:uid="{00000000-0005-0000-0000-0000291A0000}"/>
    <cellStyle name="Normal 15 2 8 2" xfId="6697" xr:uid="{00000000-0005-0000-0000-00002A1A0000}"/>
    <cellStyle name="Normal 15 2 8 3" xfId="6698" xr:uid="{00000000-0005-0000-0000-00002B1A0000}"/>
    <cellStyle name="Normal 15 2 8 4" xfId="6699" xr:uid="{00000000-0005-0000-0000-00002C1A0000}"/>
    <cellStyle name="Normal 15 2 8 5" xfId="6700" xr:uid="{00000000-0005-0000-0000-00002D1A0000}"/>
    <cellStyle name="Normal 15 2 8 6" xfId="6701" xr:uid="{00000000-0005-0000-0000-00002E1A0000}"/>
    <cellStyle name="Normal 15 2 9" xfId="6702" xr:uid="{00000000-0005-0000-0000-00002F1A0000}"/>
    <cellStyle name="Normal 15 2 9 2" xfId="6703" xr:uid="{00000000-0005-0000-0000-0000301A0000}"/>
    <cellStyle name="Normal 15 2 9 3" xfId="6704" xr:uid="{00000000-0005-0000-0000-0000311A0000}"/>
    <cellStyle name="Normal 15 2 9 4" xfId="6705" xr:uid="{00000000-0005-0000-0000-0000321A0000}"/>
    <cellStyle name="Normal 15 2 9 5" xfId="6706" xr:uid="{00000000-0005-0000-0000-0000331A0000}"/>
    <cellStyle name="Normal 15 2 9 6" xfId="6707" xr:uid="{00000000-0005-0000-0000-0000341A0000}"/>
    <cellStyle name="Normal 15 3" xfId="6708" xr:uid="{00000000-0005-0000-0000-0000351A0000}"/>
    <cellStyle name="Normal 15 3 10" xfId="6709" xr:uid="{00000000-0005-0000-0000-0000361A0000}"/>
    <cellStyle name="Normal 15 3 11" xfId="6710" xr:uid="{00000000-0005-0000-0000-0000371A0000}"/>
    <cellStyle name="Normal 15 3 12" xfId="6711" xr:uid="{00000000-0005-0000-0000-0000381A0000}"/>
    <cellStyle name="Normal 15 3 13" xfId="6712" xr:uid="{00000000-0005-0000-0000-0000391A0000}"/>
    <cellStyle name="Normal 15 3 14" xfId="6713" xr:uid="{00000000-0005-0000-0000-00003A1A0000}"/>
    <cellStyle name="Normal 15 3 2" xfId="6714" xr:uid="{00000000-0005-0000-0000-00003B1A0000}"/>
    <cellStyle name="Normal 15 3 2 2" xfId="6715" xr:uid="{00000000-0005-0000-0000-00003C1A0000}"/>
    <cellStyle name="Normal 15 3 2 3" xfId="6716" xr:uid="{00000000-0005-0000-0000-00003D1A0000}"/>
    <cellStyle name="Normal 15 3 2 4" xfId="6717" xr:uid="{00000000-0005-0000-0000-00003E1A0000}"/>
    <cellStyle name="Normal 15 3 2 5" xfId="6718" xr:uid="{00000000-0005-0000-0000-00003F1A0000}"/>
    <cellStyle name="Normal 15 3 2 6" xfId="6719" xr:uid="{00000000-0005-0000-0000-0000401A0000}"/>
    <cellStyle name="Normal 15 3 3" xfId="6720" xr:uid="{00000000-0005-0000-0000-0000411A0000}"/>
    <cellStyle name="Normal 15 3 3 2" xfId="6721" xr:uid="{00000000-0005-0000-0000-0000421A0000}"/>
    <cellStyle name="Normal 15 3 3 3" xfId="6722" xr:uid="{00000000-0005-0000-0000-0000431A0000}"/>
    <cellStyle name="Normal 15 3 3 4" xfId="6723" xr:uid="{00000000-0005-0000-0000-0000441A0000}"/>
    <cellStyle name="Normal 15 3 3 5" xfId="6724" xr:uid="{00000000-0005-0000-0000-0000451A0000}"/>
    <cellStyle name="Normal 15 3 3 6" xfId="6725" xr:uid="{00000000-0005-0000-0000-0000461A0000}"/>
    <cellStyle name="Normal 15 3 4" xfId="6726" xr:uid="{00000000-0005-0000-0000-0000471A0000}"/>
    <cellStyle name="Normal 15 3 4 2" xfId="6727" xr:uid="{00000000-0005-0000-0000-0000481A0000}"/>
    <cellStyle name="Normal 15 3 4 3" xfId="6728" xr:uid="{00000000-0005-0000-0000-0000491A0000}"/>
    <cellStyle name="Normal 15 3 4 4" xfId="6729" xr:uid="{00000000-0005-0000-0000-00004A1A0000}"/>
    <cellStyle name="Normal 15 3 4 5" xfId="6730" xr:uid="{00000000-0005-0000-0000-00004B1A0000}"/>
    <cellStyle name="Normal 15 3 4 6" xfId="6731" xr:uid="{00000000-0005-0000-0000-00004C1A0000}"/>
    <cellStyle name="Normal 15 3 5" xfId="6732" xr:uid="{00000000-0005-0000-0000-00004D1A0000}"/>
    <cellStyle name="Normal 15 3 5 2" xfId="6733" xr:uid="{00000000-0005-0000-0000-00004E1A0000}"/>
    <cellStyle name="Normal 15 3 5 3" xfId="6734" xr:uid="{00000000-0005-0000-0000-00004F1A0000}"/>
    <cellStyle name="Normal 15 3 5 4" xfId="6735" xr:uid="{00000000-0005-0000-0000-0000501A0000}"/>
    <cellStyle name="Normal 15 3 5 5" xfId="6736" xr:uid="{00000000-0005-0000-0000-0000511A0000}"/>
    <cellStyle name="Normal 15 3 5 6" xfId="6737" xr:uid="{00000000-0005-0000-0000-0000521A0000}"/>
    <cellStyle name="Normal 15 3 6" xfId="6738" xr:uid="{00000000-0005-0000-0000-0000531A0000}"/>
    <cellStyle name="Normal 15 3 6 2" xfId="6739" xr:uid="{00000000-0005-0000-0000-0000541A0000}"/>
    <cellStyle name="Normal 15 3 6 3" xfId="6740" xr:uid="{00000000-0005-0000-0000-0000551A0000}"/>
    <cellStyle name="Normal 15 3 6 4" xfId="6741" xr:uid="{00000000-0005-0000-0000-0000561A0000}"/>
    <cellStyle name="Normal 15 3 6 5" xfId="6742" xr:uid="{00000000-0005-0000-0000-0000571A0000}"/>
    <cellStyle name="Normal 15 3 6 6" xfId="6743" xr:uid="{00000000-0005-0000-0000-0000581A0000}"/>
    <cellStyle name="Normal 15 3 7" xfId="6744" xr:uid="{00000000-0005-0000-0000-0000591A0000}"/>
    <cellStyle name="Normal 15 3 7 2" xfId="6745" xr:uid="{00000000-0005-0000-0000-00005A1A0000}"/>
    <cellStyle name="Normal 15 3 7 3" xfId="6746" xr:uid="{00000000-0005-0000-0000-00005B1A0000}"/>
    <cellStyle name="Normal 15 3 7 4" xfId="6747" xr:uid="{00000000-0005-0000-0000-00005C1A0000}"/>
    <cellStyle name="Normal 15 3 7 5" xfId="6748" xr:uid="{00000000-0005-0000-0000-00005D1A0000}"/>
    <cellStyle name="Normal 15 3 7 6" xfId="6749" xr:uid="{00000000-0005-0000-0000-00005E1A0000}"/>
    <cellStyle name="Normal 15 3 8" xfId="6750" xr:uid="{00000000-0005-0000-0000-00005F1A0000}"/>
    <cellStyle name="Normal 15 3 8 2" xfId="6751" xr:uid="{00000000-0005-0000-0000-0000601A0000}"/>
    <cellStyle name="Normal 15 3 8 3" xfId="6752" xr:uid="{00000000-0005-0000-0000-0000611A0000}"/>
    <cellStyle name="Normal 15 3 8 4" xfId="6753" xr:uid="{00000000-0005-0000-0000-0000621A0000}"/>
    <cellStyle name="Normal 15 3 8 5" xfId="6754" xr:uid="{00000000-0005-0000-0000-0000631A0000}"/>
    <cellStyle name="Normal 15 3 8 6" xfId="6755" xr:uid="{00000000-0005-0000-0000-0000641A0000}"/>
    <cellStyle name="Normal 15 3 9" xfId="6756" xr:uid="{00000000-0005-0000-0000-0000651A0000}"/>
    <cellStyle name="Normal 15 3 9 2" xfId="6757" xr:uid="{00000000-0005-0000-0000-0000661A0000}"/>
    <cellStyle name="Normal 15 3 9 3" xfId="6758" xr:uid="{00000000-0005-0000-0000-0000671A0000}"/>
    <cellStyle name="Normal 15 3 9 4" xfId="6759" xr:uid="{00000000-0005-0000-0000-0000681A0000}"/>
    <cellStyle name="Normal 15 3 9 5" xfId="6760" xr:uid="{00000000-0005-0000-0000-0000691A0000}"/>
    <cellStyle name="Normal 15 3 9 6" xfId="6761" xr:uid="{00000000-0005-0000-0000-00006A1A0000}"/>
    <cellStyle name="Normal 15 4" xfId="6762" xr:uid="{00000000-0005-0000-0000-00006B1A0000}"/>
    <cellStyle name="Normal 15 4 2" xfId="6763" xr:uid="{00000000-0005-0000-0000-00006C1A0000}"/>
    <cellStyle name="Normal 15 4 3" xfId="6764" xr:uid="{00000000-0005-0000-0000-00006D1A0000}"/>
    <cellStyle name="Normal 15 4 4" xfId="6765" xr:uid="{00000000-0005-0000-0000-00006E1A0000}"/>
    <cellStyle name="Normal 15 4 5" xfId="6766" xr:uid="{00000000-0005-0000-0000-00006F1A0000}"/>
    <cellStyle name="Normal 15 4 6" xfId="6767" xr:uid="{00000000-0005-0000-0000-0000701A0000}"/>
    <cellStyle name="Normal 15 5" xfId="6768" xr:uid="{00000000-0005-0000-0000-0000711A0000}"/>
    <cellStyle name="Normal 15 5 2" xfId="6769" xr:uid="{00000000-0005-0000-0000-0000721A0000}"/>
    <cellStyle name="Normal 15 5 3" xfId="6770" xr:uid="{00000000-0005-0000-0000-0000731A0000}"/>
    <cellStyle name="Normal 15 5 4" xfId="6771" xr:uid="{00000000-0005-0000-0000-0000741A0000}"/>
    <cellStyle name="Normal 15 5 5" xfId="6772" xr:uid="{00000000-0005-0000-0000-0000751A0000}"/>
    <cellStyle name="Normal 15 5 6" xfId="6773" xr:uid="{00000000-0005-0000-0000-0000761A0000}"/>
    <cellStyle name="Normal 15 6" xfId="6774" xr:uid="{00000000-0005-0000-0000-0000771A0000}"/>
    <cellStyle name="Normal 15 6 2" xfId="6775" xr:uid="{00000000-0005-0000-0000-0000781A0000}"/>
    <cellStyle name="Normal 15 6 3" xfId="6776" xr:uid="{00000000-0005-0000-0000-0000791A0000}"/>
    <cellStyle name="Normal 15 6 4" xfId="6777" xr:uid="{00000000-0005-0000-0000-00007A1A0000}"/>
    <cellStyle name="Normal 15 6 5" xfId="6778" xr:uid="{00000000-0005-0000-0000-00007B1A0000}"/>
    <cellStyle name="Normal 15 6 6" xfId="6779" xr:uid="{00000000-0005-0000-0000-00007C1A0000}"/>
    <cellStyle name="Normal 15 7" xfId="6780" xr:uid="{00000000-0005-0000-0000-00007D1A0000}"/>
    <cellStyle name="Normal 15 7 2" xfId="6781" xr:uid="{00000000-0005-0000-0000-00007E1A0000}"/>
    <cellStyle name="Normal 15 7 3" xfId="6782" xr:uid="{00000000-0005-0000-0000-00007F1A0000}"/>
    <cellStyle name="Normal 15 7 4" xfId="6783" xr:uid="{00000000-0005-0000-0000-0000801A0000}"/>
    <cellStyle name="Normal 15 7 5" xfId="6784" xr:uid="{00000000-0005-0000-0000-0000811A0000}"/>
    <cellStyle name="Normal 15 7 6" xfId="6785" xr:uid="{00000000-0005-0000-0000-0000821A0000}"/>
    <cellStyle name="Normal 15 8" xfId="6786" xr:uid="{00000000-0005-0000-0000-0000831A0000}"/>
    <cellStyle name="Normal 15 8 2" xfId="6787" xr:uid="{00000000-0005-0000-0000-0000841A0000}"/>
    <cellStyle name="Normal 15 8 3" xfId="6788" xr:uid="{00000000-0005-0000-0000-0000851A0000}"/>
    <cellStyle name="Normal 15 8 4" xfId="6789" xr:uid="{00000000-0005-0000-0000-0000861A0000}"/>
    <cellStyle name="Normal 15 8 5" xfId="6790" xr:uid="{00000000-0005-0000-0000-0000871A0000}"/>
    <cellStyle name="Normal 15 8 6" xfId="6791" xr:uid="{00000000-0005-0000-0000-0000881A0000}"/>
    <cellStyle name="Normal 15 9" xfId="6792" xr:uid="{00000000-0005-0000-0000-0000891A0000}"/>
    <cellStyle name="Normal 15 9 2" xfId="6793" xr:uid="{00000000-0005-0000-0000-00008A1A0000}"/>
    <cellStyle name="Normal 15 9 3" xfId="6794" xr:uid="{00000000-0005-0000-0000-00008B1A0000}"/>
    <cellStyle name="Normal 15 9 4" xfId="6795" xr:uid="{00000000-0005-0000-0000-00008C1A0000}"/>
    <cellStyle name="Normal 15 9 5" xfId="6796" xr:uid="{00000000-0005-0000-0000-00008D1A0000}"/>
    <cellStyle name="Normal 15 9 6" xfId="6797" xr:uid="{00000000-0005-0000-0000-00008E1A0000}"/>
    <cellStyle name="Normal 150" xfId="35412" xr:uid="{00000000-0005-0000-0000-00008F1A0000}"/>
    <cellStyle name="Normal 151" xfId="35413" xr:uid="{00000000-0005-0000-0000-0000901A0000}"/>
    <cellStyle name="Normal 152" xfId="2" xr:uid="{00000000-0005-0000-0000-0000911A0000}"/>
    <cellStyle name="Normal 16" xfId="6798" xr:uid="{00000000-0005-0000-0000-0000921A0000}"/>
    <cellStyle name="Normal 16 10" xfId="6799" xr:uid="{00000000-0005-0000-0000-0000931A0000}"/>
    <cellStyle name="Normal 16 10 2" xfId="6800" xr:uid="{00000000-0005-0000-0000-0000941A0000}"/>
    <cellStyle name="Normal 16 10 3" xfId="6801" xr:uid="{00000000-0005-0000-0000-0000951A0000}"/>
    <cellStyle name="Normal 16 10 4" xfId="6802" xr:uid="{00000000-0005-0000-0000-0000961A0000}"/>
    <cellStyle name="Normal 16 10 5" xfId="6803" xr:uid="{00000000-0005-0000-0000-0000971A0000}"/>
    <cellStyle name="Normal 16 10 6" xfId="6804" xr:uid="{00000000-0005-0000-0000-0000981A0000}"/>
    <cellStyle name="Normal 16 11" xfId="6805" xr:uid="{00000000-0005-0000-0000-0000991A0000}"/>
    <cellStyle name="Normal 16 11 2" xfId="6806" xr:uid="{00000000-0005-0000-0000-00009A1A0000}"/>
    <cellStyle name="Normal 16 11 3" xfId="6807" xr:uid="{00000000-0005-0000-0000-00009B1A0000}"/>
    <cellStyle name="Normal 16 11 4" xfId="6808" xr:uid="{00000000-0005-0000-0000-00009C1A0000}"/>
    <cellStyle name="Normal 16 11 5" xfId="6809" xr:uid="{00000000-0005-0000-0000-00009D1A0000}"/>
    <cellStyle name="Normal 16 11 6" xfId="6810" xr:uid="{00000000-0005-0000-0000-00009E1A0000}"/>
    <cellStyle name="Normal 16 12" xfId="6811" xr:uid="{00000000-0005-0000-0000-00009F1A0000}"/>
    <cellStyle name="Normal 16 13" xfId="6812" xr:uid="{00000000-0005-0000-0000-0000A01A0000}"/>
    <cellStyle name="Normal 16 14" xfId="6813" xr:uid="{00000000-0005-0000-0000-0000A11A0000}"/>
    <cellStyle name="Normal 16 15" xfId="6814" xr:uid="{00000000-0005-0000-0000-0000A21A0000}"/>
    <cellStyle name="Normal 16 16" xfId="6815" xr:uid="{00000000-0005-0000-0000-0000A31A0000}"/>
    <cellStyle name="Normal 16 2" xfId="6816" xr:uid="{00000000-0005-0000-0000-0000A41A0000}"/>
    <cellStyle name="Normal 16 2 10" xfId="6817" xr:uid="{00000000-0005-0000-0000-0000A51A0000}"/>
    <cellStyle name="Normal 16 2 10 2" xfId="6818" xr:uid="{00000000-0005-0000-0000-0000A61A0000}"/>
    <cellStyle name="Normal 16 2 10 3" xfId="6819" xr:uid="{00000000-0005-0000-0000-0000A71A0000}"/>
    <cellStyle name="Normal 16 2 10 4" xfId="6820" xr:uid="{00000000-0005-0000-0000-0000A81A0000}"/>
    <cellStyle name="Normal 16 2 10 5" xfId="6821" xr:uid="{00000000-0005-0000-0000-0000A91A0000}"/>
    <cellStyle name="Normal 16 2 10 6" xfId="6822" xr:uid="{00000000-0005-0000-0000-0000AA1A0000}"/>
    <cellStyle name="Normal 16 2 11" xfId="6823" xr:uid="{00000000-0005-0000-0000-0000AB1A0000}"/>
    <cellStyle name="Normal 16 2 12" xfId="6824" xr:uid="{00000000-0005-0000-0000-0000AC1A0000}"/>
    <cellStyle name="Normal 16 2 13" xfId="6825" xr:uid="{00000000-0005-0000-0000-0000AD1A0000}"/>
    <cellStyle name="Normal 16 2 14" xfId="6826" xr:uid="{00000000-0005-0000-0000-0000AE1A0000}"/>
    <cellStyle name="Normal 16 2 15" xfId="6827" xr:uid="{00000000-0005-0000-0000-0000AF1A0000}"/>
    <cellStyle name="Normal 16 2 2" xfId="6828" xr:uid="{00000000-0005-0000-0000-0000B01A0000}"/>
    <cellStyle name="Normal 16 2 2 10" xfId="6829" xr:uid="{00000000-0005-0000-0000-0000B11A0000}"/>
    <cellStyle name="Normal 16 2 2 11" xfId="6830" xr:uid="{00000000-0005-0000-0000-0000B21A0000}"/>
    <cellStyle name="Normal 16 2 2 12" xfId="6831" xr:uid="{00000000-0005-0000-0000-0000B31A0000}"/>
    <cellStyle name="Normal 16 2 2 13" xfId="6832" xr:uid="{00000000-0005-0000-0000-0000B41A0000}"/>
    <cellStyle name="Normal 16 2 2 14" xfId="6833" xr:uid="{00000000-0005-0000-0000-0000B51A0000}"/>
    <cellStyle name="Normal 16 2 2 2" xfId="6834" xr:uid="{00000000-0005-0000-0000-0000B61A0000}"/>
    <cellStyle name="Normal 16 2 2 2 2" xfId="6835" xr:uid="{00000000-0005-0000-0000-0000B71A0000}"/>
    <cellStyle name="Normal 16 2 2 2 3" xfId="6836" xr:uid="{00000000-0005-0000-0000-0000B81A0000}"/>
    <cellStyle name="Normal 16 2 2 2 4" xfId="6837" xr:uid="{00000000-0005-0000-0000-0000B91A0000}"/>
    <cellStyle name="Normal 16 2 2 2 5" xfId="6838" xr:uid="{00000000-0005-0000-0000-0000BA1A0000}"/>
    <cellStyle name="Normal 16 2 2 2 6" xfId="6839" xr:uid="{00000000-0005-0000-0000-0000BB1A0000}"/>
    <cellStyle name="Normal 16 2 2 3" xfId="6840" xr:uid="{00000000-0005-0000-0000-0000BC1A0000}"/>
    <cellStyle name="Normal 16 2 2 3 2" xfId="6841" xr:uid="{00000000-0005-0000-0000-0000BD1A0000}"/>
    <cellStyle name="Normal 16 2 2 3 3" xfId="6842" xr:uid="{00000000-0005-0000-0000-0000BE1A0000}"/>
    <cellStyle name="Normal 16 2 2 3 4" xfId="6843" xr:uid="{00000000-0005-0000-0000-0000BF1A0000}"/>
    <cellStyle name="Normal 16 2 2 3 5" xfId="6844" xr:uid="{00000000-0005-0000-0000-0000C01A0000}"/>
    <cellStyle name="Normal 16 2 2 3 6" xfId="6845" xr:uid="{00000000-0005-0000-0000-0000C11A0000}"/>
    <cellStyle name="Normal 16 2 2 4" xfId="6846" xr:uid="{00000000-0005-0000-0000-0000C21A0000}"/>
    <cellStyle name="Normal 16 2 2 4 2" xfId="6847" xr:uid="{00000000-0005-0000-0000-0000C31A0000}"/>
    <cellStyle name="Normal 16 2 2 4 3" xfId="6848" xr:uid="{00000000-0005-0000-0000-0000C41A0000}"/>
    <cellStyle name="Normal 16 2 2 4 4" xfId="6849" xr:uid="{00000000-0005-0000-0000-0000C51A0000}"/>
    <cellStyle name="Normal 16 2 2 4 5" xfId="6850" xr:uid="{00000000-0005-0000-0000-0000C61A0000}"/>
    <cellStyle name="Normal 16 2 2 4 6" xfId="6851" xr:uid="{00000000-0005-0000-0000-0000C71A0000}"/>
    <cellStyle name="Normal 16 2 2 5" xfId="6852" xr:uid="{00000000-0005-0000-0000-0000C81A0000}"/>
    <cellStyle name="Normal 16 2 2 5 2" xfId="6853" xr:uid="{00000000-0005-0000-0000-0000C91A0000}"/>
    <cellStyle name="Normal 16 2 2 5 3" xfId="6854" xr:uid="{00000000-0005-0000-0000-0000CA1A0000}"/>
    <cellStyle name="Normal 16 2 2 5 4" xfId="6855" xr:uid="{00000000-0005-0000-0000-0000CB1A0000}"/>
    <cellStyle name="Normal 16 2 2 5 5" xfId="6856" xr:uid="{00000000-0005-0000-0000-0000CC1A0000}"/>
    <cellStyle name="Normal 16 2 2 5 6" xfId="6857" xr:uid="{00000000-0005-0000-0000-0000CD1A0000}"/>
    <cellStyle name="Normal 16 2 2 6" xfId="6858" xr:uid="{00000000-0005-0000-0000-0000CE1A0000}"/>
    <cellStyle name="Normal 16 2 2 6 2" xfId="6859" xr:uid="{00000000-0005-0000-0000-0000CF1A0000}"/>
    <cellStyle name="Normal 16 2 2 6 3" xfId="6860" xr:uid="{00000000-0005-0000-0000-0000D01A0000}"/>
    <cellStyle name="Normal 16 2 2 6 4" xfId="6861" xr:uid="{00000000-0005-0000-0000-0000D11A0000}"/>
    <cellStyle name="Normal 16 2 2 6 5" xfId="6862" xr:uid="{00000000-0005-0000-0000-0000D21A0000}"/>
    <cellStyle name="Normal 16 2 2 6 6" xfId="6863" xr:uid="{00000000-0005-0000-0000-0000D31A0000}"/>
    <cellStyle name="Normal 16 2 2 7" xfId="6864" xr:uid="{00000000-0005-0000-0000-0000D41A0000}"/>
    <cellStyle name="Normal 16 2 2 7 2" xfId="6865" xr:uid="{00000000-0005-0000-0000-0000D51A0000}"/>
    <cellStyle name="Normal 16 2 2 7 3" xfId="6866" xr:uid="{00000000-0005-0000-0000-0000D61A0000}"/>
    <cellStyle name="Normal 16 2 2 7 4" xfId="6867" xr:uid="{00000000-0005-0000-0000-0000D71A0000}"/>
    <cellStyle name="Normal 16 2 2 7 5" xfId="6868" xr:uid="{00000000-0005-0000-0000-0000D81A0000}"/>
    <cellStyle name="Normal 16 2 2 7 6" xfId="6869" xr:uid="{00000000-0005-0000-0000-0000D91A0000}"/>
    <cellStyle name="Normal 16 2 2 8" xfId="6870" xr:uid="{00000000-0005-0000-0000-0000DA1A0000}"/>
    <cellStyle name="Normal 16 2 2 8 2" xfId="6871" xr:uid="{00000000-0005-0000-0000-0000DB1A0000}"/>
    <cellStyle name="Normal 16 2 2 8 3" xfId="6872" xr:uid="{00000000-0005-0000-0000-0000DC1A0000}"/>
    <cellStyle name="Normal 16 2 2 8 4" xfId="6873" xr:uid="{00000000-0005-0000-0000-0000DD1A0000}"/>
    <cellStyle name="Normal 16 2 2 8 5" xfId="6874" xr:uid="{00000000-0005-0000-0000-0000DE1A0000}"/>
    <cellStyle name="Normal 16 2 2 8 6" xfId="6875" xr:uid="{00000000-0005-0000-0000-0000DF1A0000}"/>
    <cellStyle name="Normal 16 2 2 9" xfId="6876" xr:uid="{00000000-0005-0000-0000-0000E01A0000}"/>
    <cellStyle name="Normal 16 2 2 9 2" xfId="6877" xr:uid="{00000000-0005-0000-0000-0000E11A0000}"/>
    <cellStyle name="Normal 16 2 2 9 3" xfId="6878" xr:uid="{00000000-0005-0000-0000-0000E21A0000}"/>
    <cellStyle name="Normal 16 2 2 9 4" xfId="6879" xr:uid="{00000000-0005-0000-0000-0000E31A0000}"/>
    <cellStyle name="Normal 16 2 2 9 5" xfId="6880" xr:uid="{00000000-0005-0000-0000-0000E41A0000}"/>
    <cellStyle name="Normal 16 2 2 9 6" xfId="6881" xr:uid="{00000000-0005-0000-0000-0000E51A0000}"/>
    <cellStyle name="Normal 16 2 3" xfId="6882" xr:uid="{00000000-0005-0000-0000-0000E61A0000}"/>
    <cellStyle name="Normal 16 2 3 2" xfId="6883" xr:uid="{00000000-0005-0000-0000-0000E71A0000}"/>
    <cellStyle name="Normal 16 2 3 3" xfId="6884" xr:uid="{00000000-0005-0000-0000-0000E81A0000}"/>
    <cellStyle name="Normal 16 2 3 4" xfId="6885" xr:uid="{00000000-0005-0000-0000-0000E91A0000}"/>
    <cellStyle name="Normal 16 2 3 5" xfId="6886" xr:uid="{00000000-0005-0000-0000-0000EA1A0000}"/>
    <cellStyle name="Normal 16 2 3 6" xfId="6887" xr:uid="{00000000-0005-0000-0000-0000EB1A0000}"/>
    <cellStyle name="Normal 16 2 4" xfId="6888" xr:uid="{00000000-0005-0000-0000-0000EC1A0000}"/>
    <cellStyle name="Normal 16 2 4 2" xfId="6889" xr:uid="{00000000-0005-0000-0000-0000ED1A0000}"/>
    <cellStyle name="Normal 16 2 4 3" xfId="6890" xr:uid="{00000000-0005-0000-0000-0000EE1A0000}"/>
    <cellStyle name="Normal 16 2 4 4" xfId="6891" xr:uid="{00000000-0005-0000-0000-0000EF1A0000}"/>
    <cellStyle name="Normal 16 2 4 5" xfId="6892" xr:uid="{00000000-0005-0000-0000-0000F01A0000}"/>
    <cellStyle name="Normal 16 2 4 6" xfId="6893" xr:uid="{00000000-0005-0000-0000-0000F11A0000}"/>
    <cellStyle name="Normal 16 2 5" xfId="6894" xr:uid="{00000000-0005-0000-0000-0000F21A0000}"/>
    <cellStyle name="Normal 16 2 5 2" xfId="6895" xr:uid="{00000000-0005-0000-0000-0000F31A0000}"/>
    <cellStyle name="Normal 16 2 5 3" xfId="6896" xr:uid="{00000000-0005-0000-0000-0000F41A0000}"/>
    <cellStyle name="Normal 16 2 5 4" xfId="6897" xr:uid="{00000000-0005-0000-0000-0000F51A0000}"/>
    <cellStyle name="Normal 16 2 5 5" xfId="6898" xr:uid="{00000000-0005-0000-0000-0000F61A0000}"/>
    <cellStyle name="Normal 16 2 5 6" xfId="6899" xr:uid="{00000000-0005-0000-0000-0000F71A0000}"/>
    <cellStyle name="Normal 16 2 6" xfId="6900" xr:uid="{00000000-0005-0000-0000-0000F81A0000}"/>
    <cellStyle name="Normal 16 2 6 2" xfId="6901" xr:uid="{00000000-0005-0000-0000-0000F91A0000}"/>
    <cellStyle name="Normal 16 2 6 3" xfId="6902" xr:uid="{00000000-0005-0000-0000-0000FA1A0000}"/>
    <cellStyle name="Normal 16 2 6 4" xfId="6903" xr:uid="{00000000-0005-0000-0000-0000FB1A0000}"/>
    <cellStyle name="Normal 16 2 6 5" xfId="6904" xr:uid="{00000000-0005-0000-0000-0000FC1A0000}"/>
    <cellStyle name="Normal 16 2 6 6" xfId="6905" xr:uid="{00000000-0005-0000-0000-0000FD1A0000}"/>
    <cellStyle name="Normal 16 2 7" xfId="6906" xr:uid="{00000000-0005-0000-0000-0000FE1A0000}"/>
    <cellStyle name="Normal 16 2 7 2" xfId="6907" xr:uid="{00000000-0005-0000-0000-0000FF1A0000}"/>
    <cellStyle name="Normal 16 2 7 3" xfId="6908" xr:uid="{00000000-0005-0000-0000-0000001B0000}"/>
    <cellStyle name="Normal 16 2 7 4" xfId="6909" xr:uid="{00000000-0005-0000-0000-0000011B0000}"/>
    <cellStyle name="Normal 16 2 7 5" xfId="6910" xr:uid="{00000000-0005-0000-0000-0000021B0000}"/>
    <cellStyle name="Normal 16 2 7 6" xfId="6911" xr:uid="{00000000-0005-0000-0000-0000031B0000}"/>
    <cellStyle name="Normal 16 2 8" xfId="6912" xr:uid="{00000000-0005-0000-0000-0000041B0000}"/>
    <cellStyle name="Normal 16 2 8 2" xfId="6913" xr:uid="{00000000-0005-0000-0000-0000051B0000}"/>
    <cellStyle name="Normal 16 2 8 3" xfId="6914" xr:uid="{00000000-0005-0000-0000-0000061B0000}"/>
    <cellStyle name="Normal 16 2 8 4" xfId="6915" xr:uid="{00000000-0005-0000-0000-0000071B0000}"/>
    <cellStyle name="Normal 16 2 8 5" xfId="6916" xr:uid="{00000000-0005-0000-0000-0000081B0000}"/>
    <cellStyle name="Normal 16 2 8 6" xfId="6917" xr:uid="{00000000-0005-0000-0000-0000091B0000}"/>
    <cellStyle name="Normal 16 2 9" xfId="6918" xr:uid="{00000000-0005-0000-0000-00000A1B0000}"/>
    <cellStyle name="Normal 16 2 9 2" xfId="6919" xr:uid="{00000000-0005-0000-0000-00000B1B0000}"/>
    <cellStyle name="Normal 16 2 9 3" xfId="6920" xr:uid="{00000000-0005-0000-0000-00000C1B0000}"/>
    <cellStyle name="Normal 16 2 9 4" xfId="6921" xr:uid="{00000000-0005-0000-0000-00000D1B0000}"/>
    <cellStyle name="Normal 16 2 9 5" xfId="6922" xr:uid="{00000000-0005-0000-0000-00000E1B0000}"/>
    <cellStyle name="Normal 16 2 9 6" xfId="6923" xr:uid="{00000000-0005-0000-0000-00000F1B0000}"/>
    <cellStyle name="Normal 16 3" xfId="6924" xr:uid="{00000000-0005-0000-0000-0000101B0000}"/>
    <cellStyle name="Normal 16 3 10" xfId="6925" xr:uid="{00000000-0005-0000-0000-0000111B0000}"/>
    <cellStyle name="Normal 16 3 11" xfId="6926" xr:uid="{00000000-0005-0000-0000-0000121B0000}"/>
    <cellStyle name="Normal 16 3 12" xfId="6927" xr:uid="{00000000-0005-0000-0000-0000131B0000}"/>
    <cellStyle name="Normal 16 3 13" xfId="6928" xr:uid="{00000000-0005-0000-0000-0000141B0000}"/>
    <cellStyle name="Normal 16 3 14" xfId="6929" xr:uid="{00000000-0005-0000-0000-0000151B0000}"/>
    <cellStyle name="Normal 16 3 2" xfId="6930" xr:uid="{00000000-0005-0000-0000-0000161B0000}"/>
    <cellStyle name="Normal 16 3 2 2" xfId="6931" xr:uid="{00000000-0005-0000-0000-0000171B0000}"/>
    <cellStyle name="Normal 16 3 2 3" xfId="6932" xr:uid="{00000000-0005-0000-0000-0000181B0000}"/>
    <cellStyle name="Normal 16 3 2 4" xfId="6933" xr:uid="{00000000-0005-0000-0000-0000191B0000}"/>
    <cellStyle name="Normal 16 3 2 5" xfId="6934" xr:uid="{00000000-0005-0000-0000-00001A1B0000}"/>
    <cellStyle name="Normal 16 3 2 6" xfId="6935" xr:uid="{00000000-0005-0000-0000-00001B1B0000}"/>
    <cellStyle name="Normal 16 3 3" xfId="6936" xr:uid="{00000000-0005-0000-0000-00001C1B0000}"/>
    <cellStyle name="Normal 16 3 3 2" xfId="6937" xr:uid="{00000000-0005-0000-0000-00001D1B0000}"/>
    <cellStyle name="Normal 16 3 3 3" xfId="6938" xr:uid="{00000000-0005-0000-0000-00001E1B0000}"/>
    <cellStyle name="Normal 16 3 3 4" xfId="6939" xr:uid="{00000000-0005-0000-0000-00001F1B0000}"/>
    <cellStyle name="Normal 16 3 3 5" xfId="6940" xr:uid="{00000000-0005-0000-0000-0000201B0000}"/>
    <cellStyle name="Normal 16 3 3 6" xfId="6941" xr:uid="{00000000-0005-0000-0000-0000211B0000}"/>
    <cellStyle name="Normal 16 3 4" xfId="6942" xr:uid="{00000000-0005-0000-0000-0000221B0000}"/>
    <cellStyle name="Normal 16 3 4 2" xfId="6943" xr:uid="{00000000-0005-0000-0000-0000231B0000}"/>
    <cellStyle name="Normal 16 3 4 3" xfId="6944" xr:uid="{00000000-0005-0000-0000-0000241B0000}"/>
    <cellStyle name="Normal 16 3 4 4" xfId="6945" xr:uid="{00000000-0005-0000-0000-0000251B0000}"/>
    <cellStyle name="Normal 16 3 4 5" xfId="6946" xr:uid="{00000000-0005-0000-0000-0000261B0000}"/>
    <cellStyle name="Normal 16 3 4 6" xfId="6947" xr:uid="{00000000-0005-0000-0000-0000271B0000}"/>
    <cellStyle name="Normal 16 3 5" xfId="6948" xr:uid="{00000000-0005-0000-0000-0000281B0000}"/>
    <cellStyle name="Normal 16 3 5 2" xfId="6949" xr:uid="{00000000-0005-0000-0000-0000291B0000}"/>
    <cellStyle name="Normal 16 3 5 3" xfId="6950" xr:uid="{00000000-0005-0000-0000-00002A1B0000}"/>
    <cellStyle name="Normal 16 3 5 4" xfId="6951" xr:uid="{00000000-0005-0000-0000-00002B1B0000}"/>
    <cellStyle name="Normal 16 3 5 5" xfId="6952" xr:uid="{00000000-0005-0000-0000-00002C1B0000}"/>
    <cellStyle name="Normal 16 3 5 6" xfId="6953" xr:uid="{00000000-0005-0000-0000-00002D1B0000}"/>
    <cellStyle name="Normal 16 3 6" xfId="6954" xr:uid="{00000000-0005-0000-0000-00002E1B0000}"/>
    <cellStyle name="Normal 16 3 6 2" xfId="6955" xr:uid="{00000000-0005-0000-0000-00002F1B0000}"/>
    <cellStyle name="Normal 16 3 6 3" xfId="6956" xr:uid="{00000000-0005-0000-0000-0000301B0000}"/>
    <cellStyle name="Normal 16 3 6 4" xfId="6957" xr:uid="{00000000-0005-0000-0000-0000311B0000}"/>
    <cellStyle name="Normal 16 3 6 5" xfId="6958" xr:uid="{00000000-0005-0000-0000-0000321B0000}"/>
    <cellStyle name="Normal 16 3 6 6" xfId="6959" xr:uid="{00000000-0005-0000-0000-0000331B0000}"/>
    <cellStyle name="Normal 16 3 7" xfId="6960" xr:uid="{00000000-0005-0000-0000-0000341B0000}"/>
    <cellStyle name="Normal 16 3 7 2" xfId="6961" xr:uid="{00000000-0005-0000-0000-0000351B0000}"/>
    <cellStyle name="Normal 16 3 7 3" xfId="6962" xr:uid="{00000000-0005-0000-0000-0000361B0000}"/>
    <cellStyle name="Normal 16 3 7 4" xfId="6963" xr:uid="{00000000-0005-0000-0000-0000371B0000}"/>
    <cellStyle name="Normal 16 3 7 5" xfId="6964" xr:uid="{00000000-0005-0000-0000-0000381B0000}"/>
    <cellStyle name="Normal 16 3 7 6" xfId="6965" xr:uid="{00000000-0005-0000-0000-0000391B0000}"/>
    <cellStyle name="Normal 16 3 8" xfId="6966" xr:uid="{00000000-0005-0000-0000-00003A1B0000}"/>
    <cellStyle name="Normal 16 3 8 2" xfId="6967" xr:uid="{00000000-0005-0000-0000-00003B1B0000}"/>
    <cellStyle name="Normal 16 3 8 3" xfId="6968" xr:uid="{00000000-0005-0000-0000-00003C1B0000}"/>
    <cellStyle name="Normal 16 3 8 4" xfId="6969" xr:uid="{00000000-0005-0000-0000-00003D1B0000}"/>
    <cellStyle name="Normal 16 3 8 5" xfId="6970" xr:uid="{00000000-0005-0000-0000-00003E1B0000}"/>
    <cellStyle name="Normal 16 3 8 6" xfId="6971" xr:uid="{00000000-0005-0000-0000-00003F1B0000}"/>
    <cellStyle name="Normal 16 3 9" xfId="6972" xr:uid="{00000000-0005-0000-0000-0000401B0000}"/>
    <cellStyle name="Normal 16 3 9 2" xfId="6973" xr:uid="{00000000-0005-0000-0000-0000411B0000}"/>
    <cellStyle name="Normal 16 3 9 3" xfId="6974" xr:uid="{00000000-0005-0000-0000-0000421B0000}"/>
    <cellStyle name="Normal 16 3 9 4" xfId="6975" xr:uid="{00000000-0005-0000-0000-0000431B0000}"/>
    <cellStyle name="Normal 16 3 9 5" xfId="6976" xr:uid="{00000000-0005-0000-0000-0000441B0000}"/>
    <cellStyle name="Normal 16 3 9 6" xfId="6977" xr:uid="{00000000-0005-0000-0000-0000451B0000}"/>
    <cellStyle name="Normal 16 4" xfId="6978" xr:uid="{00000000-0005-0000-0000-0000461B0000}"/>
    <cellStyle name="Normal 16 4 2" xfId="6979" xr:uid="{00000000-0005-0000-0000-0000471B0000}"/>
    <cellStyle name="Normal 16 4 3" xfId="6980" xr:uid="{00000000-0005-0000-0000-0000481B0000}"/>
    <cellStyle name="Normal 16 4 4" xfId="6981" xr:uid="{00000000-0005-0000-0000-0000491B0000}"/>
    <cellStyle name="Normal 16 4 5" xfId="6982" xr:uid="{00000000-0005-0000-0000-00004A1B0000}"/>
    <cellStyle name="Normal 16 4 6" xfId="6983" xr:uid="{00000000-0005-0000-0000-00004B1B0000}"/>
    <cellStyle name="Normal 16 5" xfId="6984" xr:uid="{00000000-0005-0000-0000-00004C1B0000}"/>
    <cellStyle name="Normal 16 5 2" xfId="6985" xr:uid="{00000000-0005-0000-0000-00004D1B0000}"/>
    <cellStyle name="Normal 16 5 3" xfId="6986" xr:uid="{00000000-0005-0000-0000-00004E1B0000}"/>
    <cellStyle name="Normal 16 5 4" xfId="6987" xr:uid="{00000000-0005-0000-0000-00004F1B0000}"/>
    <cellStyle name="Normal 16 5 5" xfId="6988" xr:uid="{00000000-0005-0000-0000-0000501B0000}"/>
    <cellStyle name="Normal 16 5 6" xfId="6989" xr:uid="{00000000-0005-0000-0000-0000511B0000}"/>
    <cellStyle name="Normal 16 6" xfId="6990" xr:uid="{00000000-0005-0000-0000-0000521B0000}"/>
    <cellStyle name="Normal 16 6 2" xfId="6991" xr:uid="{00000000-0005-0000-0000-0000531B0000}"/>
    <cellStyle name="Normal 16 6 3" xfId="6992" xr:uid="{00000000-0005-0000-0000-0000541B0000}"/>
    <cellStyle name="Normal 16 6 4" xfId="6993" xr:uid="{00000000-0005-0000-0000-0000551B0000}"/>
    <cellStyle name="Normal 16 6 5" xfId="6994" xr:uid="{00000000-0005-0000-0000-0000561B0000}"/>
    <cellStyle name="Normal 16 6 6" xfId="6995" xr:uid="{00000000-0005-0000-0000-0000571B0000}"/>
    <cellStyle name="Normal 16 7" xfId="6996" xr:uid="{00000000-0005-0000-0000-0000581B0000}"/>
    <cellStyle name="Normal 16 7 2" xfId="6997" xr:uid="{00000000-0005-0000-0000-0000591B0000}"/>
    <cellStyle name="Normal 16 7 3" xfId="6998" xr:uid="{00000000-0005-0000-0000-00005A1B0000}"/>
    <cellStyle name="Normal 16 7 4" xfId="6999" xr:uid="{00000000-0005-0000-0000-00005B1B0000}"/>
    <cellStyle name="Normal 16 7 5" xfId="7000" xr:uid="{00000000-0005-0000-0000-00005C1B0000}"/>
    <cellStyle name="Normal 16 7 6" xfId="7001" xr:uid="{00000000-0005-0000-0000-00005D1B0000}"/>
    <cellStyle name="Normal 16 8" xfId="7002" xr:uid="{00000000-0005-0000-0000-00005E1B0000}"/>
    <cellStyle name="Normal 16 8 2" xfId="7003" xr:uid="{00000000-0005-0000-0000-00005F1B0000}"/>
    <cellStyle name="Normal 16 8 3" xfId="7004" xr:uid="{00000000-0005-0000-0000-0000601B0000}"/>
    <cellStyle name="Normal 16 8 4" xfId="7005" xr:uid="{00000000-0005-0000-0000-0000611B0000}"/>
    <cellStyle name="Normal 16 8 5" xfId="7006" xr:uid="{00000000-0005-0000-0000-0000621B0000}"/>
    <cellStyle name="Normal 16 8 6" xfId="7007" xr:uid="{00000000-0005-0000-0000-0000631B0000}"/>
    <cellStyle name="Normal 16 9" xfId="7008" xr:uid="{00000000-0005-0000-0000-0000641B0000}"/>
    <cellStyle name="Normal 16 9 2" xfId="7009" xr:uid="{00000000-0005-0000-0000-0000651B0000}"/>
    <cellStyle name="Normal 16 9 3" xfId="7010" xr:uid="{00000000-0005-0000-0000-0000661B0000}"/>
    <cellStyle name="Normal 16 9 4" xfId="7011" xr:uid="{00000000-0005-0000-0000-0000671B0000}"/>
    <cellStyle name="Normal 16 9 5" xfId="7012" xr:uid="{00000000-0005-0000-0000-0000681B0000}"/>
    <cellStyle name="Normal 16 9 6" xfId="7013" xr:uid="{00000000-0005-0000-0000-0000691B0000}"/>
    <cellStyle name="Normal 17" xfId="7014" xr:uid="{00000000-0005-0000-0000-00006A1B0000}"/>
    <cellStyle name="Normal 17 10" xfId="7015" xr:uid="{00000000-0005-0000-0000-00006B1B0000}"/>
    <cellStyle name="Normal 17 10 10" xfId="7016" xr:uid="{00000000-0005-0000-0000-00006C1B0000}"/>
    <cellStyle name="Normal 17 10 10 2" xfId="7017" xr:uid="{00000000-0005-0000-0000-00006D1B0000}"/>
    <cellStyle name="Normal 17 10 10 3" xfId="7018" xr:uid="{00000000-0005-0000-0000-00006E1B0000}"/>
    <cellStyle name="Normal 17 10 10 4" xfId="7019" xr:uid="{00000000-0005-0000-0000-00006F1B0000}"/>
    <cellStyle name="Normal 17 10 10 5" xfId="7020" xr:uid="{00000000-0005-0000-0000-0000701B0000}"/>
    <cellStyle name="Normal 17 10 10 6" xfId="7021" xr:uid="{00000000-0005-0000-0000-0000711B0000}"/>
    <cellStyle name="Normal 17 10 11" xfId="7022" xr:uid="{00000000-0005-0000-0000-0000721B0000}"/>
    <cellStyle name="Normal 17 10 12" xfId="7023" xr:uid="{00000000-0005-0000-0000-0000731B0000}"/>
    <cellStyle name="Normal 17 10 13" xfId="7024" xr:uid="{00000000-0005-0000-0000-0000741B0000}"/>
    <cellStyle name="Normal 17 10 14" xfId="7025" xr:uid="{00000000-0005-0000-0000-0000751B0000}"/>
    <cellStyle name="Normal 17 10 15" xfId="7026" xr:uid="{00000000-0005-0000-0000-0000761B0000}"/>
    <cellStyle name="Normal 17 10 2" xfId="7027" xr:uid="{00000000-0005-0000-0000-0000771B0000}"/>
    <cellStyle name="Normal 17 10 2 10" xfId="7028" xr:uid="{00000000-0005-0000-0000-0000781B0000}"/>
    <cellStyle name="Normal 17 10 2 11" xfId="7029" xr:uid="{00000000-0005-0000-0000-0000791B0000}"/>
    <cellStyle name="Normal 17 10 2 12" xfId="7030" xr:uid="{00000000-0005-0000-0000-00007A1B0000}"/>
    <cellStyle name="Normal 17 10 2 13" xfId="7031" xr:uid="{00000000-0005-0000-0000-00007B1B0000}"/>
    <cellStyle name="Normal 17 10 2 14" xfId="7032" xr:uid="{00000000-0005-0000-0000-00007C1B0000}"/>
    <cellStyle name="Normal 17 10 2 2" xfId="7033" xr:uid="{00000000-0005-0000-0000-00007D1B0000}"/>
    <cellStyle name="Normal 17 10 2 2 2" xfId="7034" xr:uid="{00000000-0005-0000-0000-00007E1B0000}"/>
    <cellStyle name="Normal 17 10 2 2 3" xfId="7035" xr:uid="{00000000-0005-0000-0000-00007F1B0000}"/>
    <cellStyle name="Normal 17 10 2 2 4" xfId="7036" xr:uid="{00000000-0005-0000-0000-0000801B0000}"/>
    <cellStyle name="Normal 17 10 2 2 5" xfId="7037" xr:uid="{00000000-0005-0000-0000-0000811B0000}"/>
    <cellStyle name="Normal 17 10 2 2 6" xfId="7038" xr:uid="{00000000-0005-0000-0000-0000821B0000}"/>
    <cellStyle name="Normal 17 10 2 3" xfId="7039" xr:uid="{00000000-0005-0000-0000-0000831B0000}"/>
    <cellStyle name="Normal 17 10 2 3 2" xfId="7040" xr:uid="{00000000-0005-0000-0000-0000841B0000}"/>
    <cellStyle name="Normal 17 10 2 3 3" xfId="7041" xr:uid="{00000000-0005-0000-0000-0000851B0000}"/>
    <cellStyle name="Normal 17 10 2 3 4" xfId="7042" xr:uid="{00000000-0005-0000-0000-0000861B0000}"/>
    <cellStyle name="Normal 17 10 2 3 5" xfId="7043" xr:uid="{00000000-0005-0000-0000-0000871B0000}"/>
    <cellStyle name="Normal 17 10 2 3 6" xfId="7044" xr:uid="{00000000-0005-0000-0000-0000881B0000}"/>
    <cellStyle name="Normal 17 10 2 4" xfId="7045" xr:uid="{00000000-0005-0000-0000-0000891B0000}"/>
    <cellStyle name="Normal 17 10 2 4 2" xfId="7046" xr:uid="{00000000-0005-0000-0000-00008A1B0000}"/>
    <cellStyle name="Normal 17 10 2 4 3" xfId="7047" xr:uid="{00000000-0005-0000-0000-00008B1B0000}"/>
    <cellStyle name="Normal 17 10 2 4 4" xfId="7048" xr:uid="{00000000-0005-0000-0000-00008C1B0000}"/>
    <cellStyle name="Normal 17 10 2 4 5" xfId="7049" xr:uid="{00000000-0005-0000-0000-00008D1B0000}"/>
    <cellStyle name="Normal 17 10 2 4 6" xfId="7050" xr:uid="{00000000-0005-0000-0000-00008E1B0000}"/>
    <cellStyle name="Normal 17 10 2 5" xfId="7051" xr:uid="{00000000-0005-0000-0000-00008F1B0000}"/>
    <cellStyle name="Normal 17 10 2 5 2" xfId="7052" xr:uid="{00000000-0005-0000-0000-0000901B0000}"/>
    <cellStyle name="Normal 17 10 2 5 3" xfId="7053" xr:uid="{00000000-0005-0000-0000-0000911B0000}"/>
    <cellStyle name="Normal 17 10 2 5 4" xfId="7054" xr:uid="{00000000-0005-0000-0000-0000921B0000}"/>
    <cellStyle name="Normal 17 10 2 5 5" xfId="7055" xr:uid="{00000000-0005-0000-0000-0000931B0000}"/>
    <cellStyle name="Normal 17 10 2 5 6" xfId="7056" xr:uid="{00000000-0005-0000-0000-0000941B0000}"/>
    <cellStyle name="Normal 17 10 2 6" xfId="7057" xr:uid="{00000000-0005-0000-0000-0000951B0000}"/>
    <cellStyle name="Normal 17 10 2 6 2" xfId="7058" xr:uid="{00000000-0005-0000-0000-0000961B0000}"/>
    <cellStyle name="Normal 17 10 2 6 3" xfId="7059" xr:uid="{00000000-0005-0000-0000-0000971B0000}"/>
    <cellStyle name="Normal 17 10 2 6 4" xfId="7060" xr:uid="{00000000-0005-0000-0000-0000981B0000}"/>
    <cellStyle name="Normal 17 10 2 6 5" xfId="7061" xr:uid="{00000000-0005-0000-0000-0000991B0000}"/>
    <cellStyle name="Normal 17 10 2 6 6" xfId="7062" xr:uid="{00000000-0005-0000-0000-00009A1B0000}"/>
    <cellStyle name="Normal 17 10 2 7" xfId="7063" xr:uid="{00000000-0005-0000-0000-00009B1B0000}"/>
    <cellStyle name="Normal 17 10 2 7 2" xfId="7064" xr:uid="{00000000-0005-0000-0000-00009C1B0000}"/>
    <cellStyle name="Normal 17 10 2 7 3" xfId="7065" xr:uid="{00000000-0005-0000-0000-00009D1B0000}"/>
    <cellStyle name="Normal 17 10 2 7 4" xfId="7066" xr:uid="{00000000-0005-0000-0000-00009E1B0000}"/>
    <cellStyle name="Normal 17 10 2 7 5" xfId="7067" xr:uid="{00000000-0005-0000-0000-00009F1B0000}"/>
    <cellStyle name="Normal 17 10 2 7 6" xfId="7068" xr:uid="{00000000-0005-0000-0000-0000A01B0000}"/>
    <cellStyle name="Normal 17 10 2 8" xfId="7069" xr:uid="{00000000-0005-0000-0000-0000A11B0000}"/>
    <cellStyle name="Normal 17 10 2 8 2" xfId="7070" xr:uid="{00000000-0005-0000-0000-0000A21B0000}"/>
    <cellStyle name="Normal 17 10 2 8 3" xfId="7071" xr:uid="{00000000-0005-0000-0000-0000A31B0000}"/>
    <cellStyle name="Normal 17 10 2 8 4" xfId="7072" xr:uid="{00000000-0005-0000-0000-0000A41B0000}"/>
    <cellStyle name="Normal 17 10 2 8 5" xfId="7073" xr:uid="{00000000-0005-0000-0000-0000A51B0000}"/>
    <cellStyle name="Normal 17 10 2 8 6" xfId="7074" xr:uid="{00000000-0005-0000-0000-0000A61B0000}"/>
    <cellStyle name="Normal 17 10 2 9" xfId="7075" xr:uid="{00000000-0005-0000-0000-0000A71B0000}"/>
    <cellStyle name="Normal 17 10 2 9 2" xfId="7076" xr:uid="{00000000-0005-0000-0000-0000A81B0000}"/>
    <cellStyle name="Normal 17 10 2 9 3" xfId="7077" xr:uid="{00000000-0005-0000-0000-0000A91B0000}"/>
    <cellStyle name="Normal 17 10 2 9 4" xfId="7078" xr:uid="{00000000-0005-0000-0000-0000AA1B0000}"/>
    <cellStyle name="Normal 17 10 2 9 5" xfId="7079" xr:uid="{00000000-0005-0000-0000-0000AB1B0000}"/>
    <cellStyle name="Normal 17 10 2 9 6" xfId="7080" xr:uid="{00000000-0005-0000-0000-0000AC1B0000}"/>
    <cellStyle name="Normal 17 10 3" xfId="7081" xr:uid="{00000000-0005-0000-0000-0000AD1B0000}"/>
    <cellStyle name="Normal 17 10 3 2" xfId="7082" xr:uid="{00000000-0005-0000-0000-0000AE1B0000}"/>
    <cellStyle name="Normal 17 10 3 3" xfId="7083" xr:uid="{00000000-0005-0000-0000-0000AF1B0000}"/>
    <cellStyle name="Normal 17 10 3 4" xfId="7084" xr:uid="{00000000-0005-0000-0000-0000B01B0000}"/>
    <cellStyle name="Normal 17 10 3 5" xfId="7085" xr:uid="{00000000-0005-0000-0000-0000B11B0000}"/>
    <cellStyle name="Normal 17 10 3 6" xfId="7086" xr:uid="{00000000-0005-0000-0000-0000B21B0000}"/>
    <cellStyle name="Normal 17 10 4" xfId="7087" xr:uid="{00000000-0005-0000-0000-0000B31B0000}"/>
    <cellStyle name="Normal 17 10 4 2" xfId="7088" xr:uid="{00000000-0005-0000-0000-0000B41B0000}"/>
    <cellStyle name="Normal 17 10 4 3" xfId="7089" xr:uid="{00000000-0005-0000-0000-0000B51B0000}"/>
    <cellStyle name="Normal 17 10 4 4" xfId="7090" xr:uid="{00000000-0005-0000-0000-0000B61B0000}"/>
    <cellStyle name="Normal 17 10 4 5" xfId="7091" xr:uid="{00000000-0005-0000-0000-0000B71B0000}"/>
    <cellStyle name="Normal 17 10 4 6" xfId="7092" xr:uid="{00000000-0005-0000-0000-0000B81B0000}"/>
    <cellStyle name="Normal 17 10 5" xfId="7093" xr:uid="{00000000-0005-0000-0000-0000B91B0000}"/>
    <cellStyle name="Normal 17 10 5 2" xfId="7094" xr:uid="{00000000-0005-0000-0000-0000BA1B0000}"/>
    <cellStyle name="Normal 17 10 5 3" xfId="7095" xr:uid="{00000000-0005-0000-0000-0000BB1B0000}"/>
    <cellStyle name="Normal 17 10 5 4" xfId="7096" xr:uid="{00000000-0005-0000-0000-0000BC1B0000}"/>
    <cellStyle name="Normal 17 10 5 5" xfId="7097" xr:uid="{00000000-0005-0000-0000-0000BD1B0000}"/>
    <cellStyle name="Normal 17 10 5 6" xfId="7098" xr:uid="{00000000-0005-0000-0000-0000BE1B0000}"/>
    <cellStyle name="Normal 17 10 6" xfId="7099" xr:uid="{00000000-0005-0000-0000-0000BF1B0000}"/>
    <cellStyle name="Normal 17 10 6 2" xfId="7100" xr:uid="{00000000-0005-0000-0000-0000C01B0000}"/>
    <cellStyle name="Normal 17 10 6 3" xfId="7101" xr:uid="{00000000-0005-0000-0000-0000C11B0000}"/>
    <cellStyle name="Normal 17 10 6 4" xfId="7102" xr:uid="{00000000-0005-0000-0000-0000C21B0000}"/>
    <cellStyle name="Normal 17 10 6 5" xfId="7103" xr:uid="{00000000-0005-0000-0000-0000C31B0000}"/>
    <cellStyle name="Normal 17 10 6 6" xfId="7104" xr:uid="{00000000-0005-0000-0000-0000C41B0000}"/>
    <cellStyle name="Normal 17 10 7" xfId="7105" xr:uid="{00000000-0005-0000-0000-0000C51B0000}"/>
    <cellStyle name="Normal 17 10 7 2" xfId="7106" xr:uid="{00000000-0005-0000-0000-0000C61B0000}"/>
    <cellStyle name="Normal 17 10 7 3" xfId="7107" xr:uid="{00000000-0005-0000-0000-0000C71B0000}"/>
    <cellStyle name="Normal 17 10 7 4" xfId="7108" xr:uid="{00000000-0005-0000-0000-0000C81B0000}"/>
    <cellStyle name="Normal 17 10 7 5" xfId="7109" xr:uid="{00000000-0005-0000-0000-0000C91B0000}"/>
    <cellStyle name="Normal 17 10 7 6" xfId="7110" xr:uid="{00000000-0005-0000-0000-0000CA1B0000}"/>
    <cellStyle name="Normal 17 10 8" xfId="7111" xr:uid="{00000000-0005-0000-0000-0000CB1B0000}"/>
    <cellStyle name="Normal 17 10 8 2" xfId="7112" xr:uid="{00000000-0005-0000-0000-0000CC1B0000}"/>
    <cellStyle name="Normal 17 10 8 3" xfId="7113" xr:uid="{00000000-0005-0000-0000-0000CD1B0000}"/>
    <cellStyle name="Normal 17 10 8 4" xfId="7114" xr:uid="{00000000-0005-0000-0000-0000CE1B0000}"/>
    <cellStyle name="Normal 17 10 8 5" xfId="7115" xr:uid="{00000000-0005-0000-0000-0000CF1B0000}"/>
    <cellStyle name="Normal 17 10 8 6" xfId="7116" xr:uid="{00000000-0005-0000-0000-0000D01B0000}"/>
    <cellStyle name="Normal 17 10 9" xfId="7117" xr:uid="{00000000-0005-0000-0000-0000D11B0000}"/>
    <cellStyle name="Normal 17 10 9 2" xfId="7118" xr:uid="{00000000-0005-0000-0000-0000D21B0000}"/>
    <cellStyle name="Normal 17 10 9 3" xfId="7119" xr:uid="{00000000-0005-0000-0000-0000D31B0000}"/>
    <cellStyle name="Normal 17 10 9 4" xfId="7120" xr:uid="{00000000-0005-0000-0000-0000D41B0000}"/>
    <cellStyle name="Normal 17 10 9 5" xfId="7121" xr:uid="{00000000-0005-0000-0000-0000D51B0000}"/>
    <cellStyle name="Normal 17 10 9 6" xfId="7122" xr:uid="{00000000-0005-0000-0000-0000D61B0000}"/>
    <cellStyle name="Normal 17 11" xfId="7123" xr:uid="{00000000-0005-0000-0000-0000D71B0000}"/>
    <cellStyle name="Normal 17 11 10" xfId="7124" xr:uid="{00000000-0005-0000-0000-0000D81B0000}"/>
    <cellStyle name="Normal 17 11 10 2" xfId="7125" xr:uid="{00000000-0005-0000-0000-0000D91B0000}"/>
    <cellStyle name="Normal 17 11 10 3" xfId="7126" xr:uid="{00000000-0005-0000-0000-0000DA1B0000}"/>
    <cellStyle name="Normal 17 11 10 4" xfId="7127" xr:uid="{00000000-0005-0000-0000-0000DB1B0000}"/>
    <cellStyle name="Normal 17 11 10 5" xfId="7128" xr:uid="{00000000-0005-0000-0000-0000DC1B0000}"/>
    <cellStyle name="Normal 17 11 10 6" xfId="7129" xr:uid="{00000000-0005-0000-0000-0000DD1B0000}"/>
    <cellStyle name="Normal 17 11 11" xfId="7130" xr:uid="{00000000-0005-0000-0000-0000DE1B0000}"/>
    <cellStyle name="Normal 17 11 11 2" xfId="7131" xr:uid="{00000000-0005-0000-0000-0000DF1B0000}"/>
    <cellStyle name="Normal 17 11 11 3" xfId="7132" xr:uid="{00000000-0005-0000-0000-0000E01B0000}"/>
    <cellStyle name="Normal 17 11 11 4" xfId="7133" xr:uid="{00000000-0005-0000-0000-0000E11B0000}"/>
    <cellStyle name="Normal 17 11 11 5" xfId="7134" xr:uid="{00000000-0005-0000-0000-0000E21B0000}"/>
    <cellStyle name="Normal 17 11 11 6" xfId="7135" xr:uid="{00000000-0005-0000-0000-0000E31B0000}"/>
    <cellStyle name="Normal 17 11 12" xfId="7136" xr:uid="{00000000-0005-0000-0000-0000E41B0000}"/>
    <cellStyle name="Normal 17 11 13" xfId="7137" xr:uid="{00000000-0005-0000-0000-0000E51B0000}"/>
    <cellStyle name="Normal 17 11 14" xfId="7138" xr:uid="{00000000-0005-0000-0000-0000E61B0000}"/>
    <cellStyle name="Normal 17 11 15" xfId="7139" xr:uid="{00000000-0005-0000-0000-0000E71B0000}"/>
    <cellStyle name="Normal 17 11 16" xfId="7140" xr:uid="{00000000-0005-0000-0000-0000E81B0000}"/>
    <cellStyle name="Normal 17 11 2" xfId="7141" xr:uid="{00000000-0005-0000-0000-0000E91B0000}"/>
    <cellStyle name="Normal 17 11 2 10" xfId="7142" xr:uid="{00000000-0005-0000-0000-0000EA1B0000}"/>
    <cellStyle name="Normal 17 11 2 10 2" xfId="7143" xr:uid="{00000000-0005-0000-0000-0000EB1B0000}"/>
    <cellStyle name="Normal 17 11 2 10 3" xfId="7144" xr:uid="{00000000-0005-0000-0000-0000EC1B0000}"/>
    <cellStyle name="Normal 17 11 2 10 4" xfId="7145" xr:uid="{00000000-0005-0000-0000-0000ED1B0000}"/>
    <cellStyle name="Normal 17 11 2 10 5" xfId="7146" xr:uid="{00000000-0005-0000-0000-0000EE1B0000}"/>
    <cellStyle name="Normal 17 11 2 10 6" xfId="7147" xr:uid="{00000000-0005-0000-0000-0000EF1B0000}"/>
    <cellStyle name="Normal 17 11 2 11" xfId="7148" xr:uid="{00000000-0005-0000-0000-0000F01B0000}"/>
    <cellStyle name="Normal 17 11 2 12" xfId="7149" xr:uid="{00000000-0005-0000-0000-0000F11B0000}"/>
    <cellStyle name="Normal 17 11 2 13" xfId="7150" xr:uid="{00000000-0005-0000-0000-0000F21B0000}"/>
    <cellStyle name="Normal 17 11 2 14" xfId="7151" xr:uid="{00000000-0005-0000-0000-0000F31B0000}"/>
    <cellStyle name="Normal 17 11 2 15" xfId="7152" xr:uid="{00000000-0005-0000-0000-0000F41B0000}"/>
    <cellStyle name="Normal 17 11 2 2" xfId="7153" xr:uid="{00000000-0005-0000-0000-0000F51B0000}"/>
    <cellStyle name="Normal 17 11 2 2 10" xfId="7154" xr:uid="{00000000-0005-0000-0000-0000F61B0000}"/>
    <cellStyle name="Normal 17 11 2 2 11" xfId="7155" xr:uid="{00000000-0005-0000-0000-0000F71B0000}"/>
    <cellStyle name="Normal 17 11 2 2 12" xfId="7156" xr:uid="{00000000-0005-0000-0000-0000F81B0000}"/>
    <cellStyle name="Normal 17 11 2 2 13" xfId="7157" xr:uid="{00000000-0005-0000-0000-0000F91B0000}"/>
    <cellStyle name="Normal 17 11 2 2 14" xfId="7158" xr:uid="{00000000-0005-0000-0000-0000FA1B0000}"/>
    <cellStyle name="Normal 17 11 2 2 2" xfId="7159" xr:uid="{00000000-0005-0000-0000-0000FB1B0000}"/>
    <cellStyle name="Normal 17 11 2 2 2 2" xfId="7160" xr:uid="{00000000-0005-0000-0000-0000FC1B0000}"/>
    <cellStyle name="Normal 17 11 2 2 2 3" xfId="7161" xr:uid="{00000000-0005-0000-0000-0000FD1B0000}"/>
    <cellStyle name="Normal 17 11 2 2 2 4" xfId="7162" xr:uid="{00000000-0005-0000-0000-0000FE1B0000}"/>
    <cellStyle name="Normal 17 11 2 2 2 5" xfId="7163" xr:uid="{00000000-0005-0000-0000-0000FF1B0000}"/>
    <cellStyle name="Normal 17 11 2 2 2 6" xfId="7164" xr:uid="{00000000-0005-0000-0000-0000001C0000}"/>
    <cellStyle name="Normal 17 11 2 2 3" xfId="7165" xr:uid="{00000000-0005-0000-0000-0000011C0000}"/>
    <cellStyle name="Normal 17 11 2 2 3 2" xfId="7166" xr:uid="{00000000-0005-0000-0000-0000021C0000}"/>
    <cellStyle name="Normal 17 11 2 2 3 3" xfId="7167" xr:uid="{00000000-0005-0000-0000-0000031C0000}"/>
    <cellStyle name="Normal 17 11 2 2 3 4" xfId="7168" xr:uid="{00000000-0005-0000-0000-0000041C0000}"/>
    <cellStyle name="Normal 17 11 2 2 3 5" xfId="7169" xr:uid="{00000000-0005-0000-0000-0000051C0000}"/>
    <cellStyle name="Normal 17 11 2 2 3 6" xfId="7170" xr:uid="{00000000-0005-0000-0000-0000061C0000}"/>
    <cellStyle name="Normal 17 11 2 2 4" xfId="7171" xr:uid="{00000000-0005-0000-0000-0000071C0000}"/>
    <cellStyle name="Normal 17 11 2 2 4 2" xfId="7172" xr:uid="{00000000-0005-0000-0000-0000081C0000}"/>
    <cellStyle name="Normal 17 11 2 2 4 3" xfId="7173" xr:uid="{00000000-0005-0000-0000-0000091C0000}"/>
    <cellStyle name="Normal 17 11 2 2 4 4" xfId="7174" xr:uid="{00000000-0005-0000-0000-00000A1C0000}"/>
    <cellStyle name="Normal 17 11 2 2 4 5" xfId="7175" xr:uid="{00000000-0005-0000-0000-00000B1C0000}"/>
    <cellStyle name="Normal 17 11 2 2 4 6" xfId="7176" xr:uid="{00000000-0005-0000-0000-00000C1C0000}"/>
    <cellStyle name="Normal 17 11 2 2 5" xfId="7177" xr:uid="{00000000-0005-0000-0000-00000D1C0000}"/>
    <cellStyle name="Normal 17 11 2 2 5 2" xfId="7178" xr:uid="{00000000-0005-0000-0000-00000E1C0000}"/>
    <cellStyle name="Normal 17 11 2 2 5 3" xfId="7179" xr:uid="{00000000-0005-0000-0000-00000F1C0000}"/>
    <cellStyle name="Normal 17 11 2 2 5 4" xfId="7180" xr:uid="{00000000-0005-0000-0000-0000101C0000}"/>
    <cellStyle name="Normal 17 11 2 2 5 5" xfId="7181" xr:uid="{00000000-0005-0000-0000-0000111C0000}"/>
    <cellStyle name="Normal 17 11 2 2 5 6" xfId="7182" xr:uid="{00000000-0005-0000-0000-0000121C0000}"/>
    <cellStyle name="Normal 17 11 2 2 6" xfId="7183" xr:uid="{00000000-0005-0000-0000-0000131C0000}"/>
    <cellStyle name="Normal 17 11 2 2 6 2" xfId="7184" xr:uid="{00000000-0005-0000-0000-0000141C0000}"/>
    <cellStyle name="Normal 17 11 2 2 6 3" xfId="7185" xr:uid="{00000000-0005-0000-0000-0000151C0000}"/>
    <cellStyle name="Normal 17 11 2 2 6 4" xfId="7186" xr:uid="{00000000-0005-0000-0000-0000161C0000}"/>
    <cellStyle name="Normal 17 11 2 2 6 5" xfId="7187" xr:uid="{00000000-0005-0000-0000-0000171C0000}"/>
    <cellStyle name="Normal 17 11 2 2 6 6" xfId="7188" xr:uid="{00000000-0005-0000-0000-0000181C0000}"/>
    <cellStyle name="Normal 17 11 2 2 7" xfId="7189" xr:uid="{00000000-0005-0000-0000-0000191C0000}"/>
    <cellStyle name="Normal 17 11 2 2 7 2" xfId="7190" xr:uid="{00000000-0005-0000-0000-00001A1C0000}"/>
    <cellStyle name="Normal 17 11 2 2 7 3" xfId="7191" xr:uid="{00000000-0005-0000-0000-00001B1C0000}"/>
    <cellStyle name="Normal 17 11 2 2 7 4" xfId="7192" xr:uid="{00000000-0005-0000-0000-00001C1C0000}"/>
    <cellStyle name="Normal 17 11 2 2 7 5" xfId="7193" xr:uid="{00000000-0005-0000-0000-00001D1C0000}"/>
    <cellStyle name="Normal 17 11 2 2 7 6" xfId="7194" xr:uid="{00000000-0005-0000-0000-00001E1C0000}"/>
    <cellStyle name="Normal 17 11 2 2 8" xfId="7195" xr:uid="{00000000-0005-0000-0000-00001F1C0000}"/>
    <cellStyle name="Normal 17 11 2 2 8 2" xfId="7196" xr:uid="{00000000-0005-0000-0000-0000201C0000}"/>
    <cellStyle name="Normal 17 11 2 2 8 3" xfId="7197" xr:uid="{00000000-0005-0000-0000-0000211C0000}"/>
    <cellStyle name="Normal 17 11 2 2 8 4" xfId="7198" xr:uid="{00000000-0005-0000-0000-0000221C0000}"/>
    <cellStyle name="Normal 17 11 2 2 8 5" xfId="7199" xr:uid="{00000000-0005-0000-0000-0000231C0000}"/>
    <cellStyle name="Normal 17 11 2 2 8 6" xfId="7200" xr:uid="{00000000-0005-0000-0000-0000241C0000}"/>
    <cellStyle name="Normal 17 11 2 2 9" xfId="7201" xr:uid="{00000000-0005-0000-0000-0000251C0000}"/>
    <cellStyle name="Normal 17 11 2 2 9 2" xfId="7202" xr:uid="{00000000-0005-0000-0000-0000261C0000}"/>
    <cellStyle name="Normal 17 11 2 2 9 3" xfId="7203" xr:uid="{00000000-0005-0000-0000-0000271C0000}"/>
    <cellStyle name="Normal 17 11 2 2 9 4" xfId="7204" xr:uid="{00000000-0005-0000-0000-0000281C0000}"/>
    <cellStyle name="Normal 17 11 2 2 9 5" xfId="7205" xr:uid="{00000000-0005-0000-0000-0000291C0000}"/>
    <cellStyle name="Normal 17 11 2 2 9 6" xfId="7206" xr:uid="{00000000-0005-0000-0000-00002A1C0000}"/>
    <cellStyle name="Normal 17 11 2 3" xfId="7207" xr:uid="{00000000-0005-0000-0000-00002B1C0000}"/>
    <cellStyle name="Normal 17 11 2 3 2" xfId="7208" xr:uid="{00000000-0005-0000-0000-00002C1C0000}"/>
    <cellStyle name="Normal 17 11 2 3 3" xfId="7209" xr:uid="{00000000-0005-0000-0000-00002D1C0000}"/>
    <cellStyle name="Normal 17 11 2 3 4" xfId="7210" xr:uid="{00000000-0005-0000-0000-00002E1C0000}"/>
    <cellStyle name="Normal 17 11 2 3 5" xfId="7211" xr:uid="{00000000-0005-0000-0000-00002F1C0000}"/>
    <cellStyle name="Normal 17 11 2 3 6" xfId="7212" xr:uid="{00000000-0005-0000-0000-0000301C0000}"/>
    <cellStyle name="Normal 17 11 2 4" xfId="7213" xr:uid="{00000000-0005-0000-0000-0000311C0000}"/>
    <cellStyle name="Normal 17 11 2 4 2" xfId="7214" xr:uid="{00000000-0005-0000-0000-0000321C0000}"/>
    <cellStyle name="Normal 17 11 2 4 3" xfId="7215" xr:uid="{00000000-0005-0000-0000-0000331C0000}"/>
    <cellStyle name="Normal 17 11 2 4 4" xfId="7216" xr:uid="{00000000-0005-0000-0000-0000341C0000}"/>
    <cellStyle name="Normal 17 11 2 4 5" xfId="7217" xr:uid="{00000000-0005-0000-0000-0000351C0000}"/>
    <cellStyle name="Normal 17 11 2 4 6" xfId="7218" xr:uid="{00000000-0005-0000-0000-0000361C0000}"/>
    <cellStyle name="Normal 17 11 2 5" xfId="7219" xr:uid="{00000000-0005-0000-0000-0000371C0000}"/>
    <cellStyle name="Normal 17 11 2 5 2" xfId="7220" xr:uid="{00000000-0005-0000-0000-0000381C0000}"/>
    <cellStyle name="Normal 17 11 2 5 3" xfId="7221" xr:uid="{00000000-0005-0000-0000-0000391C0000}"/>
    <cellStyle name="Normal 17 11 2 5 4" xfId="7222" xr:uid="{00000000-0005-0000-0000-00003A1C0000}"/>
    <cellStyle name="Normal 17 11 2 5 5" xfId="7223" xr:uid="{00000000-0005-0000-0000-00003B1C0000}"/>
    <cellStyle name="Normal 17 11 2 5 6" xfId="7224" xr:uid="{00000000-0005-0000-0000-00003C1C0000}"/>
    <cellStyle name="Normal 17 11 2 6" xfId="7225" xr:uid="{00000000-0005-0000-0000-00003D1C0000}"/>
    <cellStyle name="Normal 17 11 2 6 2" xfId="7226" xr:uid="{00000000-0005-0000-0000-00003E1C0000}"/>
    <cellStyle name="Normal 17 11 2 6 3" xfId="7227" xr:uid="{00000000-0005-0000-0000-00003F1C0000}"/>
    <cellStyle name="Normal 17 11 2 6 4" xfId="7228" xr:uid="{00000000-0005-0000-0000-0000401C0000}"/>
    <cellStyle name="Normal 17 11 2 6 5" xfId="7229" xr:uid="{00000000-0005-0000-0000-0000411C0000}"/>
    <cellStyle name="Normal 17 11 2 6 6" xfId="7230" xr:uid="{00000000-0005-0000-0000-0000421C0000}"/>
    <cellStyle name="Normal 17 11 2 7" xfId="7231" xr:uid="{00000000-0005-0000-0000-0000431C0000}"/>
    <cellStyle name="Normal 17 11 2 7 2" xfId="7232" xr:uid="{00000000-0005-0000-0000-0000441C0000}"/>
    <cellStyle name="Normal 17 11 2 7 3" xfId="7233" xr:uid="{00000000-0005-0000-0000-0000451C0000}"/>
    <cellStyle name="Normal 17 11 2 7 4" xfId="7234" xr:uid="{00000000-0005-0000-0000-0000461C0000}"/>
    <cellStyle name="Normal 17 11 2 7 5" xfId="7235" xr:uid="{00000000-0005-0000-0000-0000471C0000}"/>
    <cellStyle name="Normal 17 11 2 7 6" xfId="7236" xr:uid="{00000000-0005-0000-0000-0000481C0000}"/>
    <cellStyle name="Normal 17 11 2 8" xfId="7237" xr:uid="{00000000-0005-0000-0000-0000491C0000}"/>
    <cellStyle name="Normal 17 11 2 8 2" xfId="7238" xr:uid="{00000000-0005-0000-0000-00004A1C0000}"/>
    <cellStyle name="Normal 17 11 2 8 3" xfId="7239" xr:uid="{00000000-0005-0000-0000-00004B1C0000}"/>
    <cellStyle name="Normal 17 11 2 8 4" xfId="7240" xr:uid="{00000000-0005-0000-0000-00004C1C0000}"/>
    <cellStyle name="Normal 17 11 2 8 5" xfId="7241" xr:uid="{00000000-0005-0000-0000-00004D1C0000}"/>
    <cellStyle name="Normal 17 11 2 8 6" xfId="7242" xr:uid="{00000000-0005-0000-0000-00004E1C0000}"/>
    <cellStyle name="Normal 17 11 2 9" xfId="7243" xr:uid="{00000000-0005-0000-0000-00004F1C0000}"/>
    <cellStyle name="Normal 17 11 2 9 2" xfId="7244" xr:uid="{00000000-0005-0000-0000-0000501C0000}"/>
    <cellStyle name="Normal 17 11 2 9 3" xfId="7245" xr:uid="{00000000-0005-0000-0000-0000511C0000}"/>
    <cellStyle name="Normal 17 11 2 9 4" xfId="7246" xr:uid="{00000000-0005-0000-0000-0000521C0000}"/>
    <cellStyle name="Normal 17 11 2 9 5" xfId="7247" xr:uid="{00000000-0005-0000-0000-0000531C0000}"/>
    <cellStyle name="Normal 17 11 2 9 6" xfId="7248" xr:uid="{00000000-0005-0000-0000-0000541C0000}"/>
    <cellStyle name="Normal 17 11 3" xfId="7249" xr:uid="{00000000-0005-0000-0000-0000551C0000}"/>
    <cellStyle name="Normal 17 11 3 10" xfId="7250" xr:uid="{00000000-0005-0000-0000-0000561C0000}"/>
    <cellStyle name="Normal 17 11 3 11" xfId="7251" xr:uid="{00000000-0005-0000-0000-0000571C0000}"/>
    <cellStyle name="Normal 17 11 3 12" xfId="7252" xr:uid="{00000000-0005-0000-0000-0000581C0000}"/>
    <cellStyle name="Normal 17 11 3 13" xfId="7253" xr:uid="{00000000-0005-0000-0000-0000591C0000}"/>
    <cellStyle name="Normal 17 11 3 14" xfId="7254" xr:uid="{00000000-0005-0000-0000-00005A1C0000}"/>
    <cellStyle name="Normal 17 11 3 2" xfId="7255" xr:uid="{00000000-0005-0000-0000-00005B1C0000}"/>
    <cellStyle name="Normal 17 11 3 2 2" xfId="7256" xr:uid="{00000000-0005-0000-0000-00005C1C0000}"/>
    <cellStyle name="Normal 17 11 3 2 3" xfId="7257" xr:uid="{00000000-0005-0000-0000-00005D1C0000}"/>
    <cellStyle name="Normal 17 11 3 2 4" xfId="7258" xr:uid="{00000000-0005-0000-0000-00005E1C0000}"/>
    <cellStyle name="Normal 17 11 3 2 5" xfId="7259" xr:uid="{00000000-0005-0000-0000-00005F1C0000}"/>
    <cellStyle name="Normal 17 11 3 2 6" xfId="7260" xr:uid="{00000000-0005-0000-0000-0000601C0000}"/>
    <cellStyle name="Normal 17 11 3 3" xfId="7261" xr:uid="{00000000-0005-0000-0000-0000611C0000}"/>
    <cellStyle name="Normal 17 11 3 3 2" xfId="7262" xr:uid="{00000000-0005-0000-0000-0000621C0000}"/>
    <cellStyle name="Normal 17 11 3 3 3" xfId="7263" xr:uid="{00000000-0005-0000-0000-0000631C0000}"/>
    <cellStyle name="Normal 17 11 3 3 4" xfId="7264" xr:uid="{00000000-0005-0000-0000-0000641C0000}"/>
    <cellStyle name="Normal 17 11 3 3 5" xfId="7265" xr:uid="{00000000-0005-0000-0000-0000651C0000}"/>
    <cellStyle name="Normal 17 11 3 3 6" xfId="7266" xr:uid="{00000000-0005-0000-0000-0000661C0000}"/>
    <cellStyle name="Normal 17 11 3 4" xfId="7267" xr:uid="{00000000-0005-0000-0000-0000671C0000}"/>
    <cellStyle name="Normal 17 11 3 4 2" xfId="7268" xr:uid="{00000000-0005-0000-0000-0000681C0000}"/>
    <cellStyle name="Normal 17 11 3 4 3" xfId="7269" xr:uid="{00000000-0005-0000-0000-0000691C0000}"/>
    <cellStyle name="Normal 17 11 3 4 4" xfId="7270" xr:uid="{00000000-0005-0000-0000-00006A1C0000}"/>
    <cellStyle name="Normal 17 11 3 4 5" xfId="7271" xr:uid="{00000000-0005-0000-0000-00006B1C0000}"/>
    <cellStyle name="Normal 17 11 3 4 6" xfId="7272" xr:uid="{00000000-0005-0000-0000-00006C1C0000}"/>
    <cellStyle name="Normal 17 11 3 5" xfId="7273" xr:uid="{00000000-0005-0000-0000-00006D1C0000}"/>
    <cellStyle name="Normal 17 11 3 5 2" xfId="7274" xr:uid="{00000000-0005-0000-0000-00006E1C0000}"/>
    <cellStyle name="Normal 17 11 3 5 3" xfId="7275" xr:uid="{00000000-0005-0000-0000-00006F1C0000}"/>
    <cellStyle name="Normal 17 11 3 5 4" xfId="7276" xr:uid="{00000000-0005-0000-0000-0000701C0000}"/>
    <cellStyle name="Normal 17 11 3 5 5" xfId="7277" xr:uid="{00000000-0005-0000-0000-0000711C0000}"/>
    <cellStyle name="Normal 17 11 3 5 6" xfId="7278" xr:uid="{00000000-0005-0000-0000-0000721C0000}"/>
    <cellStyle name="Normal 17 11 3 6" xfId="7279" xr:uid="{00000000-0005-0000-0000-0000731C0000}"/>
    <cellStyle name="Normal 17 11 3 6 2" xfId="7280" xr:uid="{00000000-0005-0000-0000-0000741C0000}"/>
    <cellStyle name="Normal 17 11 3 6 3" xfId="7281" xr:uid="{00000000-0005-0000-0000-0000751C0000}"/>
    <cellStyle name="Normal 17 11 3 6 4" xfId="7282" xr:uid="{00000000-0005-0000-0000-0000761C0000}"/>
    <cellStyle name="Normal 17 11 3 6 5" xfId="7283" xr:uid="{00000000-0005-0000-0000-0000771C0000}"/>
    <cellStyle name="Normal 17 11 3 6 6" xfId="7284" xr:uid="{00000000-0005-0000-0000-0000781C0000}"/>
    <cellStyle name="Normal 17 11 3 7" xfId="7285" xr:uid="{00000000-0005-0000-0000-0000791C0000}"/>
    <cellStyle name="Normal 17 11 3 7 2" xfId="7286" xr:uid="{00000000-0005-0000-0000-00007A1C0000}"/>
    <cellStyle name="Normal 17 11 3 7 3" xfId="7287" xr:uid="{00000000-0005-0000-0000-00007B1C0000}"/>
    <cellStyle name="Normal 17 11 3 7 4" xfId="7288" xr:uid="{00000000-0005-0000-0000-00007C1C0000}"/>
    <cellStyle name="Normal 17 11 3 7 5" xfId="7289" xr:uid="{00000000-0005-0000-0000-00007D1C0000}"/>
    <cellStyle name="Normal 17 11 3 7 6" xfId="7290" xr:uid="{00000000-0005-0000-0000-00007E1C0000}"/>
    <cellStyle name="Normal 17 11 3 8" xfId="7291" xr:uid="{00000000-0005-0000-0000-00007F1C0000}"/>
    <cellStyle name="Normal 17 11 3 8 2" xfId="7292" xr:uid="{00000000-0005-0000-0000-0000801C0000}"/>
    <cellStyle name="Normal 17 11 3 8 3" xfId="7293" xr:uid="{00000000-0005-0000-0000-0000811C0000}"/>
    <cellStyle name="Normal 17 11 3 8 4" xfId="7294" xr:uid="{00000000-0005-0000-0000-0000821C0000}"/>
    <cellStyle name="Normal 17 11 3 8 5" xfId="7295" xr:uid="{00000000-0005-0000-0000-0000831C0000}"/>
    <cellStyle name="Normal 17 11 3 8 6" xfId="7296" xr:uid="{00000000-0005-0000-0000-0000841C0000}"/>
    <cellStyle name="Normal 17 11 3 9" xfId="7297" xr:uid="{00000000-0005-0000-0000-0000851C0000}"/>
    <cellStyle name="Normal 17 11 3 9 2" xfId="7298" xr:uid="{00000000-0005-0000-0000-0000861C0000}"/>
    <cellStyle name="Normal 17 11 3 9 3" xfId="7299" xr:uid="{00000000-0005-0000-0000-0000871C0000}"/>
    <cellStyle name="Normal 17 11 3 9 4" xfId="7300" xr:uid="{00000000-0005-0000-0000-0000881C0000}"/>
    <cellStyle name="Normal 17 11 3 9 5" xfId="7301" xr:uid="{00000000-0005-0000-0000-0000891C0000}"/>
    <cellStyle name="Normal 17 11 3 9 6" xfId="7302" xr:uid="{00000000-0005-0000-0000-00008A1C0000}"/>
    <cellStyle name="Normal 17 11 4" xfId="7303" xr:uid="{00000000-0005-0000-0000-00008B1C0000}"/>
    <cellStyle name="Normal 17 11 4 2" xfId="7304" xr:uid="{00000000-0005-0000-0000-00008C1C0000}"/>
    <cellStyle name="Normal 17 11 4 3" xfId="7305" xr:uid="{00000000-0005-0000-0000-00008D1C0000}"/>
    <cellStyle name="Normal 17 11 4 4" xfId="7306" xr:uid="{00000000-0005-0000-0000-00008E1C0000}"/>
    <cellStyle name="Normal 17 11 4 5" xfId="7307" xr:uid="{00000000-0005-0000-0000-00008F1C0000}"/>
    <cellStyle name="Normal 17 11 4 6" xfId="7308" xr:uid="{00000000-0005-0000-0000-0000901C0000}"/>
    <cellStyle name="Normal 17 11 5" xfId="7309" xr:uid="{00000000-0005-0000-0000-0000911C0000}"/>
    <cellStyle name="Normal 17 11 5 2" xfId="7310" xr:uid="{00000000-0005-0000-0000-0000921C0000}"/>
    <cellStyle name="Normal 17 11 5 3" xfId="7311" xr:uid="{00000000-0005-0000-0000-0000931C0000}"/>
    <cellStyle name="Normal 17 11 5 4" xfId="7312" xr:uid="{00000000-0005-0000-0000-0000941C0000}"/>
    <cellStyle name="Normal 17 11 5 5" xfId="7313" xr:uid="{00000000-0005-0000-0000-0000951C0000}"/>
    <cellStyle name="Normal 17 11 5 6" xfId="7314" xr:uid="{00000000-0005-0000-0000-0000961C0000}"/>
    <cellStyle name="Normal 17 11 6" xfId="7315" xr:uid="{00000000-0005-0000-0000-0000971C0000}"/>
    <cellStyle name="Normal 17 11 6 2" xfId="7316" xr:uid="{00000000-0005-0000-0000-0000981C0000}"/>
    <cellStyle name="Normal 17 11 6 3" xfId="7317" xr:uid="{00000000-0005-0000-0000-0000991C0000}"/>
    <cellStyle name="Normal 17 11 6 4" xfId="7318" xr:uid="{00000000-0005-0000-0000-00009A1C0000}"/>
    <cellStyle name="Normal 17 11 6 5" xfId="7319" xr:uid="{00000000-0005-0000-0000-00009B1C0000}"/>
    <cellStyle name="Normal 17 11 6 6" xfId="7320" xr:uid="{00000000-0005-0000-0000-00009C1C0000}"/>
    <cellStyle name="Normal 17 11 7" xfId="7321" xr:uid="{00000000-0005-0000-0000-00009D1C0000}"/>
    <cellStyle name="Normal 17 11 7 2" xfId="7322" xr:uid="{00000000-0005-0000-0000-00009E1C0000}"/>
    <cellStyle name="Normal 17 11 7 3" xfId="7323" xr:uid="{00000000-0005-0000-0000-00009F1C0000}"/>
    <cellStyle name="Normal 17 11 7 4" xfId="7324" xr:uid="{00000000-0005-0000-0000-0000A01C0000}"/>
    <cellStyle name="Normal 17 11 7 5" xfId="7325" xr:uid="{00000000-0005-0000-0000-0000A11C0000}"/>
    <cellStyle name="Normal 17 11 7 6" xfId="7326" xr:uid="{00000000-0005-0000-0000-0000A21C0000}"/>
    <cellStyle name="Normal 17 11 8" xfId="7327" xr:uid="{00000000-0005-0000-0000-0000A31C0000}"/>
    <cellStyle name="Normal 17 11 8 2" xfId="7328" xr:uid="{00000000-0005-0000-0000-0000A41C0000}"/>
    <cellStyle name="Normal 17 11 8 3" xfId="7329" xr:uid="{00000000-0005-0000-0000-0000A51C0000}"/>
    <cellStyle name="Normal 17 11 8 4" xfId="7330" xr:uid="{00000000-0005-0000-0000-0000A61C0000}"/>
    <cellStyle name="Normal 17 11 8 5" xfId="7331" xr:uid="{00000000-0005-0000-0000-0000A71C0000}"/>
    <cellStyle name="Normal 17 11 8 6" xfId="7332" xr:uid="{00000000-0005-0000-0000-0000A81C0000}"/>
    <cellStyle name="Normal 17 11 9" xfId="7333" xr:uid="{00000000-0005-0000-0000-0000A91C0000}"/>
    <cellStyle name="Normal 17 11 9 2" xfId="7334" xr:uid="{00000000-0005-0000-0000-0000AA1C0000}"/>
    <cellStyle name="Normal 17 11 9 3" xfId="7335" xr:uid="{00000000-0005-0000-0000-0000AB1C0000}"/>
    <cellStyle name="Normal 17 11 9 4" xfId="7336" xr:uid="{00000000-0005-0000-0000-0000AC1C0000}"/>
    <cellStyle name="Normal 17 11 9 5" xfId="7337" xr:uid="{00000000-0005-0000-0000-0000AD1C0000}"/>
    <cellStyle name="Normal 17 11 9 6" xfId="7338" xr:uid="{00000000-0005-0000-0000-0000AE1C0000}"/>
    <cellStyle name="Normal 17 12" xfId="7339" xr:uid="{00000000-0005-0000-0000-0000AF1C0000}"/>
    <cellStyle name="Normal 17 12 10" xfId="7340" xr:uid="{00000000-0005-0000-0000-0000B01C0000}"/>
    <cellStyle name="Normal 17 12 10 2" xfId="7341" xr:uid="{00000000-0005-0000-0000-0000B11C0000}"/>
    <cellStyle name="Normal 17 12 10 3" xfId="7342" xr:uid="{00000000-0005-0000-0000-0000B21C0000}"/>
    <cellStyle name="Normal 17 12 10 4" xfId="7343" xr:uid="{00000000-0005-0000-0000-0000B31C0000}"/>
    <cellStyle name="Normal 17 12 10 5" xfId="7344" xr:uid="{00000000-0005-0000-0000-0000B41C0000}"/>
    <cellStyle name="Normal 17 12 10 6" xfId="7345" xr:uid="{00000000-0005-0000-0000-0000B51C0000}"/>
    <cellStyle name="Normal 17 12 11" xfId="7346" xr:uid="{00000000-0005-0000-0000-0000B61C0000}"/>
    <cellStyle name="Normal 17 12 12" xfId="7347" xr:uid="{00000000-0005-0000-0000-0000B71C0000}"/>
    <cellStyle name="Normal 17 12 13" xfId="7348" xr:uid="{00000000-0005-0000-0000-0000B81C0000}"/>
    <cellStyle name="Normal 17 12 14" xfId="7349" xr:uid="{00000000-0005-0000-0000-0000B91C0000}"/>
    <cellStyle name="Normal 17 12 15" xfId="7350" xr:uid="{00000000-0005-0000-0000-0000BA1C0000}"/>
    <cellStyle name="Normal 17 12 2" xfId="7351" xr:uid="{00000000-0005-0000-0000-0000BB1C0000}"/>
    <cellStyle name="Normal 17 12 2 10" xfId="7352" xr:uid="{00000000-0005-0000-0000-0000BC1C0000}"/>
    <cellStyle name="Normal 17 12 2 11" xfId="7353" xr:uid="{00000000-0005-0000-0000-0000BD1C0000}"/>
    <cellStyle name="Normal 17 12 2 12" xfId="7354" xr:uid="{00000000-0005-0000-0000-0000BE1C0000}"/>
    <cellStyle name="Normal 17 12 2 13" xfId="7355" xr:uid="{00000000-0005-0000-0000-0000BF1C0000}"/>
    <cellStyle name="Normal 17 12 2 14" xfId="7356" xr:uid="{00000000-0005-0000-0000-0000C01C0000}"/>
    <cellStyle name="Normal 17 12 2 2" xfId="7357" xr:uid="{00000000-0005-0000-0000-0000C11C0000}"/>
    <cellStyle name="Normal 17 12 2 2 2" xfId="7358" xr:uid="{00000000-0005-0000-0000-0000C21C0000}"/>
    <cellStyle name="Normal 17 12 2 2 3" xfId="7359" xr:uid="{00000000-0005-0000-0000-0000C31C0000}"/>
    <cellStyle name="Normal 17 12 2 2 4" xfId="7360" xr:uid="{00000000-0005-0000-0000-0000C41C0000}"/>
    <cellStyle name="Normal 17 12 2 2 5" xfId="7361" xr:uid="{00000000-0005-0000-0000-0000C51C0000}"/>
    <cellStyle name="Normal 17 12 2 2 6" xfId="7362" xr:uid="{00000000-0005-0000-0000-0000C61C0000}"/>
    <cellStyle name="Normal 17 12 2 3" xfId="7363" xr:uid="{00000000-0005-0000-0000-0000C71C0000}"/>
    <cellStyle name="Normal 17 12 2 3 2" xfId="7364" xr:uid="{00000000-0005-0000-0000-0000C81C0000}"/>
    <cellStyle name="Normal 17 12 2 3 3" xfId="7365" xr:uid="{00000000-0005-0000-0000-0000C91C0000}"/>
    <cellStyle name="Normal 17 12 2 3 4" xfId="7366" xr:uid="{00000000-0005-0000-0000-0000CA1C0000}"/>
    <cellStyle name="Normal 17 12 2 3 5" xfId="7367" xr:uid="{00000000-0005-0000-0000-0000CB1C0000}"/>
    <cellStyle name="Normal 17 12 2 3 6" xfId="7368" xr:uid="{00000000-0005-0000-0000-0000CC1C0000}"/>
    <cellStyle name="Normal 17 12 2 4" xfId="7369" xr:uid="{00000000-0005-0000-0000-0000CD1C0000}"/>
    <cellStyle name="Normal 17 12 2 4 2" xfId="7370" xr:uid="{00000000-0005-0000-0000-0000CE1C0000}"/>
    <cellStyle name="Normal 17 12 2 4 3" xfId="7371" xr:uid="{00000000-0005-0000-0000-0000CF1C0000}"/>
    <cellStyle name="Normal 17 12 2 4 4" xfId="7372" xr:uid="{00000000-0005-0000-0000-0000D01C0000}"/>
    <cellStyle name="Normal 17 12 2 4 5" xfId="7373" xr:uid="{00000000-0005-0000-0000-0000D11C0000}"/>
    <cellStyle name="Normal 17 12 2 4 6" xfId="7374" xr:uid="{00000000-0005-0000-0000-0000D21C0000}"/>
    <cellStyle name="Normal 17 12 2 5" xfId="7375" xr:uid="{00000000-0005-0000-0000-0000D31C0000}"/>
    <cellStyle name="Normal 17 12 2 5 2" xfId="7376" xr:uid="{00000000-0005-0000-0000-0000D41C0000}"/>
    <cellStyle name="Normal 17 12 2 5 3" xfId="7377" xr:uid="{00000000-0005-0000-0000-0000D51C0000}"/>
    <cellStyle name="Normal 17 12 2 5 4" xfId="7378" xr:uid="{00000000-0005-0000-0000-0000D61C0000}"/>
    <cellStyle name="Normal 17 12 2 5 5" xfId="7379" xr:uid="{00000000-0005-0000-0000-0000D71C0000}"/>
    <cellStyle name="Normal 17 12 2 5 6" xfId="7380" xr:uid="{00000000-0005-0000-0000-0000D81C0000}"/>
    <cellStyle name="Normal 17 12 2 6" xfId="7381" xr:uid="{00000000-0005-0000-0000-0000D91C0000}"/>
    <cellStyle name="Normal 17 12 2 6 2" xfId="7382" xr:uid="{00000000-0005-0000-0000-0000DA1C0000}"/>
    <cellStyle name="Normal 17 12 2 6 3" xfId="7383" xr:uid="{00000000-0005-0000-0000-0000DB1C0000}"/>
    <cellStyle name="Normal 17 12 2 6 4" xfId="7384" xr:uid="{00000000-0005-0000-0000-0000DC1C0000}"/>
    <cellStyle name="Normal 17 12 2 6 5" xfId="7385" xr:uid="{00000000-0005-0000-0000-0000DD1C0000}"/>
    <cellStyle name="Normal 17 12 2 6 6" xfId="7386" xr:uid="{00000000-0005-0000-0000-0000DE1C0000}"/>
    <cellStyle name="Normal 17 12 2 7" xfId="7387" xr:uid="{00000000-0005-0000-0000-0000DF1C0000}"/>
    <cellStyle name="Normal 17 12 2 7 2" xfId="7388" xr:uid="{00000000-0005-0000-0000-0000E01C0000}"/>
    <cellStyle name="Normal 17 12 2 7 3" xfId="7389" xr:uid="{00000000-0005-0000-0000-0000E11C0000}"/>
    <cellStyle name="Normal 17 12 2 7 4" xfId="7390" xr:uid="{00000000-0005-0000-0000-0000E21C0000}"/>
    <cellStyle name="Normal 17 12 2 7 5" xfId="7391" xr:uid="{00000000-0005-0000-0000-0000E31C0000}"/>
    <cellStyle name="Normal 17 12 2 7 6" xfId="7392" xr:uid="{00000000-0005-0000-0000-0000E41C0000}"/>
    <cellStyle name="Normal 17 12 2 8" xfId="7393" xr:uid="{00000000-0005-0000-0000-0000E51C0000}"/>
    <cellStyle name="Normal 17 12 2 8 2" xfId="7394" xr:uid="{00000000-0005-0000-0000-0000E61C0000}"/>
    <cellStyle name="Normal 17 12 2 8 3" xfId="7395" xr:uid="{00000000-0005-0000-0000-0000E71C0000}"/>
    <cellStyle name="Normal 17 12 2 8 4" xfId="7396" xr:uid="{00000000-0005-0000-0000-0000E81C0000}"/>
    <cellStyle name="Normal 17 12 2 8 5" xfId="7397" xr:uid="{00000000-0005-0000-0000-0000E91C0000}"/>
    <cellStyle name="Normal 17 12 2 8 6" xfId="7398" xr:uid="{00000000-0005-0000-0000-0000EA1C0000}"/>
    <cellStyle name="Normal 17 12 2 9" xfId="7399" xr:uid="{00000000-0005-0000-0000-0000EB1C0000}"/>
    <cellStyle name="Normal 17 12 2 9 2" xfId="7400" xr:uid="{00000000-0005-0000-0000-0000EC1C0000}"/>
    <cellStyle name="Normal 17 12 2 9 3" xfId="7401" xr:uid="{00000000-0005-0000-0000-0000ED1C0000}"/>
    <cellStyle name="Normal 17 12 2 9 4" xfId="7402" xr:uid="{00000000-0005-0000-0000-0000EE1C0000}"/>
    <cellStyle name="Normal 17 12 2 9 5" xfId="7403" xr:uid="{00000000-0005-0000-0000-0000EF1C0000}"/>
    <cellStyle name="Normal 17 12 2 9 6" xfId="7404" xr:uid="{00000000-0005-0000-0000-0000F01C0000}"/>
    <cellStyle name="Normal 17 12 3" xfId="7405" xr:uid="{00000000-0005-0000-0000-0000F11C0000}"/>
    <cellStyle name="Normal 17 12 3 2" xfId="7406" xr:uid="{00000000-0005-0000-0000-0000F21C0000}"/>
    <cellStyle name="Normal 17 12 3 3" xfId="7407" xr:uid="{00000000-0005-0000-0000-0000F31C0000}"/>
    <cellStyle name="Normal 17 12 3 4" xfId="7408" xr:uid="{00000000-0005-0000-0000-0000F41C0000}"/>
    <cellStyle name="Normal 17 12 3 5" xfId="7409" xr:uid="{00000000-0005-0000-0000-0000F51C0000}"/>
    <cellStyle name="Normal 17 12 3 6" xfId="7410" xr:uid="{00000000-0005-0000-0000-0000F61C0000}"/>
    <cellStyle name="Normal 17 12 4" xfId="7411" xr:uid="{00000000-0005-0000-0000-0000F71C0000}"/>
    <cellStyle name="Normal 17 12 4 2" xfId="7412" xr:uid="{00000000-0005-0000-0000-0000F81C0000}"/>
    <cellStyle name="Normal 17 12 4 3" xfId="7413" xr:uid="{00000000-0005-0000-0000-0000F91C0000}"/>
    <cellStyle name="Normal 17 12 4 4" xfId="7414" xr:uid="{00000000-0005-0000-0000-0000FA1C0000}"/>
    <cellStyle name="Normal 17 12 4 5" xfId="7415" xr:uid="{00000000-0005-0000-0000-0000FB1C0000}"/>
    <cellStyle name="Normal 17 12 4 6" xfId="7416" xr:uid="{00000000-0005-0000-0000-0000FC1C0000}"/>
    <cellStyle name="Normal 17 12 5" xfId="7417" xr:uid="{00000000-0005-0000-0000-0000FD1C0000}"/>
    <cellStyle name="Normal 17 12 5 2" xfId="7418" xr:uid="{00000000-0005-0000-0000-0000FE1C0000}"/>
    <cellStyle name="Normal 17 12 5 3" xfId="7419" xr:uid="{00000000-0005-0000-0000-0000FF1C0000}"/>
    <cellStyle name="Normal 17 12 5 4" xfId="7420" xr:uid="{00000000-0005-0000-0000-0000001D0000}"/>
    <cellStyle name="Normal 17 12 5 5" xfId="7421" xr:uid="{00000000-0005-0000-0000-0000011D0000}"/>
    <cellStyle name="Normal 17 12 5 6" xfId="7422" xr:uid="{00000000-0005-0000-0000-0000021D0000}"/>
    <cellStyle name="Normal 17 12 6" xfId="7423" xr:uid="{00000000-0005-0000-0000-0000031D0000}"/>
    <cellStyle name="Normal 17 12 6 2" xfId="7424" xr:uid="{00000000-0005-0000-0000-0000041D0000}"/>
    <cellStyle name="Normal 17 12 6 3" xfId="7425" xr:uid="{00000000-0005-0000-0000-0000051D0000}"/>
    <cellStyle name="Normal 17 12 6 4" xfId="7426" xr:uid="{00000000-0005-0000-0000-0000061D0000}"/>
    <cellStyle name="Normal 17 12 6 5" xfId="7427" xr:uid="{00000000-0005-0000-0000-0000071D0000}"/>
    <cellStyle name="Normal 17 12 6 6" xfId="7428" xr:uid="{00000000-0005-0000-0000-0000081D0000}"/>
    <cellStyle name="Normal 17 12 7" xfId="7429" xr:uid="{00000000-0005-0000-0000-0000091D0000}"/>
    <cellStyle name="Normal 17 12 7 2" xfId="7430" xr:uid="{00000000-0005-0000-0000-00000A1D0000}"/>
    <cellStyle name="Normal 17 12 7 3" xfId="7431" xr:uid="{00000000-0005-0000-0000-00000B1D0000}"/>
    <cellStyle name="Normal 17 12 7 4" xfId="7432" xr:uid="{00000000-0005-0000-0000-00000C1D0000}"/>
    <cellStyle name="Normal 17 12 7 5" xfId="7433" xr:uid="{00000000-0005-0000-0000-00000D1D0000}"/>
    <cellStyle name="Normal 17 12 7 6" xfId="7434" xr:uid="{00000000-0005-0000-0000-00000E1D0000}"/>
    <cellStyle name="Normal 17 12 8" xfId="7435" xr:uid="{00000000-0005-0000-0000-00000F1D0000}"/>
    <cellStyle name="Normal 17 12 8 2" xfId="7436" xr:uid="{00000000-0005-0000-0000-0000101D0000}"/>
    <cellStyle name="Normal 17 12 8 3" xfId="7437" xr:uid="{00000000-0005-0000-0000-0000111D0000}"/>
    <cellStyle name="Normal 17 12 8 4" xfId="7438" xr:uid="{00000000-0005-0000-0000-0000121D0000}"/>
    <cellStyle name="Normal 17 12 8 5" xfId="7439" xr:uid="{00000000-0005-0000-0000-0000131D0000}"/>
    <cellStyle name="Normal 17 12 8 6" xfId="7440" xr:uid="{00000000-0005-0000-0000-0000141D0000}"/>
    <cellStyle name="Normal 17 12 9" xfId="7441" xr:uid="{00000000-0005-0000-0000-0000151D0000}"/>
    <cellStyle name="Normal 17 12 9 2" xfId="7442" xr:uid="{00000000-0005-0000-0000-0000161D0000}"/>
    <cellStyle name="Normal 17 12 9 3" xfId="7443" xr:uid="{00000000-0005-0000-0000-0000171D0000}"/>
    <cellStyle name="Normal 17 12 9 4" xfId="7444" xr:uid="{00000000-0005-0000-0000-0000181D0000}"/>
    <cellStyle name="Normal 17 12 9 5" xfId="7445" xr:uid="{00000000-0005-0000-0000-0000191D0000}"/>
    <cellStyle name="Normal 17 12 9 6" xfId="7446" xr:uid="{00000000-0005-0000-0000-00001A1D0000}"/>
    <cellStyle name="Normal 17 13" xfId="7447" xr:uid="{00000000-0005-0000-0000-00001B1D0000}"/>
    <cellStyle name="Normal 17 13 10" xfId="7448" xr:uid="{00000000-0005-0000-0000-00001C1D0000}"/>
    <cellStyle name="Normal 17 13 10 2" xfId="7449" xr:uid="{00000000-0005-0000-0000-00001D1D0000}"/>
    <cellStyle name="Normal 17 13 10 3" xfId="7450" xr:uid="{00000000-0005-0000-0000-00001E1D0000}"/>
    <cellStyle name="Normal 17 13 10 4" xfId="7451" xr:uid="{00000000-0005-0000-0000-00001F1D0000}"/>
    <cellStyle name="Normal 17 13 10 5" xfId="7452" xr:uid="{00000000-0005-0000-0000-0000201D0000}"/>
    <cellStyle name="Normal 17 13 10 6" xfId="7453" xr:uid="{00000000-0005-0000-0000-0000211D0000}"/>
    <cellStyle name="Normal 17 13 11" xfId="7454" xr:uid="{00000000-0005-0000-0000-0000221D0000}"/>
    <cellStyle name="Normal 17 13 12" xfId="7455" xr:uid="{00000000-0005-0000-0000-0000231D0000}"/>
    <cellStyle name="Normal 17 13 13" xfId="7456" xr:uid="{00000000-0005-0000-0000-0000241D0000}"/>
    <cellStyle name="Normal 17 13 14" xfId="7457" xr:uid="{00000000-0005-0000-0000-0000251D0000}"/>
    <cellStyle name="Normal 17 13 15" xfId="7458" xr:uid="{00000000-0005-0000-0000-0000261D0000}"/>
    <cellStyle name="Normal 17 13 2" xfId="7459" xr:uid="{00000000-0005-0000-0000-0000271D0000}"/>
    <cellStyle name="Normal 17 13 2 10" xfId="7460" xr:uid="{00000000-0005-0000-0000-0000281D0000}"/>
    <cellStyle name="Normal 17 13 2 11" xfId="7461" xr:uid="{00000000-0005-0000-0000-0000291D0000}"/>
    <cellStyle name="Normal 17 13 2 12" xfId="7462" xr:uid="{00000000-0005-0000-0000-00002A1D0000}"/>
    <cellStyle name="Normal 17 13 2 13" xfId="7463" xr:uid="{00000000-0005-0000-0000-00002B1D0000}"/>
    <cellStyle name="Normal 17 13 2 14" xfId="7464" xr:uid="{00000000-0005-0000-0000-00002C1D0000}"/>
    <cellStyle name="Normal 17 13 2 2" xfId="7465" xr:uid="{00000000-0005-0000-0000-00002D1D0000}"/>
    <cellStyle name="Normal 17 13 2 2 2" xfId="7466" xr:uid="{00000000-0005-0000-0000-00002E1D0000}"/>
    <cellStyle name="Normal 17 13 2 2 3" xfId="7467" xr:uid="{00000000-0005-0000-0000-00002F1D0000}"/>
    <cellStyle name="Normal 17 13 2 2 4" xfId="7468" xr:uid="{00000000-0005-0000-0000-0000301D0000}"/>
    <cellStyle name="Normal 17 13 2 2 5" xfId="7469" xr:uid="{00000000-0005-0000-0000-0000311D0000}"/>
    <cellStyle name="Normal 17 13 2 2 6" xfId="7470" xr:uid="{00000000-0005-0000-0000-0000321D0000}"/>
    <cellStyle name="Normal 17 13 2 3" xfId="7471" xr:uid="{00000000-0005-0000-0000-0000331D0000}"/>
    <cellStyle name="Normal 17 13 2 3 2" xfId="7472" xr:uid="{00000000-0005-0000-0000-0000341D0000}"/>
    <cellStyle name="Normal 17 13 2 3 3" xfId="7473" xr:uid="{00000000-0005-0000-0000-0000351D0000}"/>
    <cellStyle name="Normal 17 13 2 3 4" xfId="7474" xr:uid="{00000000-0005-0000-0000-0000361D0000}"/>
    <cellStyle name="Normal 17 13 2 3 5" xfId="7475" xr:uid="{00000000-0005-0000-0000-0000371D0000}"/>
    <cellStyle name="Normal 17 13 2 3 6" xfId="7476" xr:uid="{00000000-0005-0000-0000-0000381D0000}"/>
    <cellStyle name="Normal 17 13 2 4" xfId="7477" xr:uid="{00000000-0005-0000-0000-0000391D0000}"/>
    <cellStyle name="Normal 17 13 2 4 2" xfId="7478" xr:uid="{00000000-0005-0000-0000-00003A1D0000}"/>
    <cellStyle name="Normal 17 13 2 4 3" xfId="7479" xr:uid="{00000000-0005-0000-0000-00003B1D0000}"/>
    <cellStyle name="Normal 17 13 2 4 4" xfId="7480" xr:uid="{00000000-0005-0000-0000-00003C1D0000}"/>
    <cellStyle name="Normal 17 13 2 4 5" xfId="7481" xr:uid="{00000000-0005-0000-0000-00003D1D0000}"/>
    <cellStyle name="Normal 17 13 2 4 6" xfId="7482" xr:uid="{00000000-0005-0000-0000-00003E1D0000}"/>
    <cellStyle name="Normal 17 13 2 5" xfId="7483" xr:uid="{00000000-0005-0000-0000-00003F1D0000}"/>
    <cellStyle name="Normal 17 13 2 5 2" xfId="7484" xr:uid="{00000000-0005-0000-0000-0000401D0000}"/>
    <cellStyle name="Normal 17 13 2 5 3" xfId="7485" xr:uid="{00000000-0005-0000-0000-0000411D0000}"/>
    <cellStyle name="Normal 17 13 2 5 4" xfId="7486" xr:uid="{00000000-0005-0000-0000-0000421D0000}"/>
    <cellStyle name="Normal 17 13 2 5 5" xfId="7487" xr:uid="{00000000-0005-0000-0000-0000431D0000}"/>
    <cellStyle name="Normal 17 13 2 5 6" xfId="7488" xr:uid="{00000000-0005-0000-0000-0000441D0000}"/>
    <cellStyle name="Normal 17 13 2 6" xfId="7489" xr:uid="{00000000-0005-0000-0000-0000451D0000}"/>
    <cellStyle name="Normal 17 13 2 6 2" xfId="7490" xr:uid="{00000000-0005-0000-0000-0000461D0000}"/>
    <cellStyle name="Normal 17 13 2 6 3" xfId="7491" xr:uid="{00000000-0005-0000-0000-0000471D0000}"/>
    <cellStyle name="Normal 17 13 2 6 4" xfId="7492" xr:uid="{00000000-0005-0000-0000-0000481D0000}"/>
    <cellStyle name="Normal 17 13 2 6 5" xfId="7493" xr:uid="{00000000-0005-0000-0000-0000491D0000}"/>
    <cellStyle name="Normal 17 13 2 6 6" xfId="7494" xr:uid="{00000000-0005-0000-0000-00004A1D0000}"/>
    <cellStyle name="Normal 17 13 2 7" xfId="7495" xr:uid="{00000000-0005-0000-0000-00004B1D0000}"/>
    <cellStyle name="Normal 17 13 2 7 2" xfId="7496" xr:uid="{00000000-0005-0000-0000-00004C1D0000}"/>
    <cellStyle name="Normal 17 13 2 7 3" xfId="7497" xr:uid="{00000000-0005-0000-0000-00004D1D0000}"/>
    <cellStyle name="Normal 17 13 2 7 4" xfId="7498" xr:uid="{00000000-0005-0000-0000-00004E1D0000}"/>
    <cellStyle name="Normal 17 13 2 7 5" xfId="7499" xr:uid="{00000000-0005-0000-0000-00004F1D0000}"/>
    <cellStyle name="Normal 17 13 2 7 6" xfId="7500" xr:uid="{00000000-0005-0000-0000-0000501D0000}"/>
    <cellStyle name="Normal 17 13 2 8" xfId="7501" xr:uid="{00000000-0005-0000-0000-0000511D0000}"/>
    <cellStyle name="Normal 17 13 2 8 2" xfId="7502" xr:uid="{00000000-0005-0000-0000-0000521D0000}"/>
    <cellStyle name="Normal 17 13 2 8 3" xfId="7503" xr:uid="{00000000-0005-0000-0000-0000531D0000}"/>
    <cellStyle name="Normal 17 13 2 8 4" xfId="7504" xr:uid="{00000000-0005-0000-0000-0000541D0000}"/>
    <cellStyle name="Normal 17 13 2 8 5" xfId="7505" xr:uid="{00000000-0005-0000-0000-0000551D0000}"/>
    <cellStyle name="Normal 17 13 2 8 6" xfId="7506" xr:uid="{00000000-0005-0000-0000-0000561D0000}"/>
    <cellStyle name="Normal 17 13 2 9" xfId="7507" xr:uid="{00000000-0005-0000-0000-0000571D0000}"/>
    <cellStyle name="Normal 17 13 2 9 2" xfId="7508" xr:uid="{00000000-0005-0000-0000-0000581D0000}"/>
    <cellStyle name="Normal 17 13 2 9 3" xfId="7509" xr:uid="{00000000-0005-0000-0000-0000591D0000}"/>
    <cellStyle name="Normal 17 13 2 9 4" xfId="7510" xr:uid="{00000000-0005-0000-0000-00005A1D0000}"/>
    <cellStyle name="Normal 17 13 2 9 5" xfId="7511" xr:uid="{00000000-0005-0000-0000-00005B1D0000}"/>
    <cellStyle name="Normal 17 13 2 9 6" xfId="7512" xr:uid="{00000000-0005-0000-0000-00005C1D0000}"/>
    <cellStyle name="Normal 17 13 3" xfId="7513" xr:uid="{00000000-0005-0000-0000-00005D1D0000}"/>
    <cellStyle name="Normal 17 13 3 2" xfId="7514" xr:uid="{00000000-0005-0000-0000-00005E1D0000}"/>
    <cellStyle name="Normal 17 13 3 3" xfId="7515" xr:uid="{00000000-0005-0000-0000-00005F1D0000}"/>
    <cellStyle name="Normal 17 13 3 4" xfId="7516" xr:uid="{00000000-0005-0000-0000-0000601D0000}"/>
    <cellStyle name="Normal 17 13 3 5" xfId="7517" xr:uid="{00000000-0005-0000-0000-0000611D0000}"/>
    <cellStyle name="Normal 17 13 3 6" xfId="7518" xr:uid="{00000000-0005-0000-0000-0000621D0000}"/>
    <cellStyle name="Normal 17 13 4" xfId="7519" xr:uid="{00000000-0005-0000-0000-0000631D0000}"/>
    <cellStyle name="Normal 17 13 4 2" xfId="7520" xr:uid="{00000000-0005-0000-0000-0000641D0000}"/>
    <cellStyle name="Normal 17 13 4 3" xfId="7521" xr:uid="{00000000-0005-0000-0000-0000651D0000}"/>
    <cellStyle name="Normal 17 13 4 4" xfId="7522" xr:uid="{00000000-0005-0000-0000-0000661D0000}"/>
    <cellStyle name="Normal 17 13 4 5" xfId="7523" xr:uid="{00000000-0005-0000-0000-0000671D0000}"/>
    <cellStyle name="Normal 17 13 4 6" xfId="7524" xr:uid="{00000000-0005-0000-0000-0000681D0000}"/>
    <cellStyle name="Normal 17 13 5" xfId="7525" xr:uid="{00000000-0005-0000-0000-0000691D0000}"/>
    <cellStyle name="Normal 17 13 5 2" xfId="7526" xr:uid="{00000000-0005-0000-0000-00006A1D0000}"/>
    <cellStyle name="Normal 17 13 5 3" xfId="7527" xr:uid="{00000000-0005-0000-0000-00006B1D0000}"/>
    <cellStyle name="Normal 17 13 5 4" xfId="7528" xr:uid="{00000000-0005-0000-0000-00006C1D0000}"/>
    <cellStyle name="Normal 17 13 5 5" xfId="7529" xr:uid="{00000000-0005-0000-0000-00006D1D0000}"/>
    <cellStyle name="Normal 17 13 5 6" xfId="7530" xr:uid="{00000000-0005-0000-0000-00006E1D0000}"/>
    <cellStyle name="Normal 17 13 6" xfId="7531" xr:uid="{00000000-0005-0000-0000-00006F1D0000}"/>
    <cellStyle name="Normal 17 13 6 2" xfId="7532" xr:uid="{00000000-0005-0000-0000-0000701D0000}"/>
    <cellStyle name="Normal 17 13 6 3" xfId="7533" xr:uid="{00000000-0005-0000-0000-0000711D0000}"/>
    <cellStyle name="Normal 17 13 6 4" xfId="7534" xr:uid="{00000000-0005-0000-0000-0000721D0000}"/>
    <cellStyle name="Normal 17 13 6 5" xfId="7535" xr:uid="{00000000-0005-0000-0000-0000731D0000}"/>
    <cellStyle name="Normal 17 13 6 6" xfId="7536" xr:uid="{00000000-0005-0000-0000-0000741D0000}"/>
    <cellStyle name="Normal 17 13 7" xfId="7537" xr:uid="{00000000-0005-0000-0000-0000751D0000}"/>
    <cellStyle name="Normal 17 13 7 2" xfId="7538" xr:uid="{00000000-0005-0000-0000-0000761D0000}"/>
    <cellStyle name="Normal 17 13 7 3" xfId="7539" xr:uid="{00000000-0005-0000-0000-0000771D0000}"/>
    <cellStyle name="Normal 17 13 7 4" xfId="7540" xr:uid="{00000000-0005-0000-0000-0000781D0000}"/>
    <cellStyle name="Normal 17 13 7 5" xfId="7541" xr:uid="{00000000-0005-0000-0000-0000791D0000}"/>
    <cellStyle name="Normal 17 13 7 6" xfId="7542" xr:uid="{00000000-0005-0000-0000-00007A1D0000}"/>
    <cellStyle name="Normal 17 13 8" xfId="7543" xr:uid="{00000000-0005-0000-0000-00007B1D0000}"/>
    <cellStyle name="Normal 17 13 8 2" xfId="7544" xr:uid="{00000000-0005-0000-0000-00007C1D0000}"/>
    <cellStyle name="Normal 17 13 8 3" xfId="7545" xr:uid="{00000000-0005-0000-0000-00007D1D0000}"/>
    <cellStyle name="Normal 17 13 8 4" xfId="7546" xr:uid="{00000000-0005-0000-0000-00007E1D0000}"/>
    <cellStyle name="Normal 17 13 8 5" xfId="7547" xr:uid="{00000000-0005-0000-0000-00007F1D0000}"/>
    <cellStyle name="Normal 17 13 8 6" xfId="7548" xr:uid="{00000000-0005-0000-0000-0000801D0000}"/>
    <cellStyle name="Normal 17 13 9" xfId="7549" xr:uid="{00000000-0005-0000-0000-0000811D0000}"/>
    <cellStyle name="Normal 17 13 9 2" xfId="7550" xr:uid="{00000000-0005-0000-0000-0000821D0000}"/>
    <cellStyle name="Normal 17 13 9 3" xfId="7551" xr:uid="{00000000-0005-0000-0000-0000831D0000}"/>
    <cellStyle name="Normal 17 13 9 4" xfId="7552" xr:uid="{00000000-0005-0000-0000-0000841D0000}"/>
    <cellStyle name="Normal 17 13 9 5" xfId="7553" xr:uid="{00000000-0005-0000-0000-0000851D0000}"/>
    <cellStyle name="Normal 17 13 9 6" xfId="7554" xr:uid="{00000000-0005-0000-0000-0000861D0000}"/>
    <cellStyle name="Normal 17 14" xfId="7555" xr:uid="{00000000-0005-0000-0000-0000871D0000}"/>
    <cellStyle name="Normal 17 14 10" xfId="7556" xr:uid="{00000000-0005-0000-0000-0000881D0000}"/>
    <cellStyle name="Normal 17 14 10 2" xfId="7557" xr:uid="{00000000-0005-0000-0000-0000891D0000}"/>
    <cellStyle name="Normal 17 14 10 3" xfId="7558" xr:uid="{00000000-0005-0000-0000-00008A1D0000}"/>
    <cellStyle name="Normal 17 14 10 4" xfId="7559" xr:uid="{00000000-0005-0000-0000-00008B1D0000}"/>
    <cellStyle name="Normal 17 14 10 5" xfId="7560" xr:uid="{00000000-0005-0000-0000-00008C1D0000}"/>
    <cellStyle name="Normal 17 14 10 6" xfId="7561" xr:uid="{00000000-0005-0000-0000-00008D1D0000}"/>
    <cellStyle name="Normal 17 14 11" xfId="7562" xr:uid="{00000000-0005-0000-0000-00008E1D0000}"/>
    <cellStyle name="Normal 17 14 12" xfId="7563" xr:uid="{00000000-0005-0000-0000-00008F1D0000}"/>
    <cellStyle name="Normal 17 14 13" xfId="7564" xr:uid="{00000000-0005-0000-0000-0000901D0000}"/>
    <cellStyle name="Normal 17 14 14" xfId="7565" xr:uid="{00000000-0005-0000-0000-0000911D0000}"/>
    <cellStyle name="Normal 17 14 15" xfId="7566" xr:uid="{00000000-0005-0000-0000-0000921D0000}"/>
    <cellStyle name="Normal 17 14 2" xfId="7567" xr:uid="{00000000-0005-0000-0000-0000931D0000}"/>
    <cellStyle name="Normal 17 14 2 10" xfId="7568" xr:uid="{00000000-0005-0000-0000-0000941D0000}"/>
    <cellStyle name="Normal 17 14 2 11" xfId="7569" xr:uid="{00000000-0005-0000-0000-0000951D0000}"/>
    <cellStyle name="Normal 17 14 2 12" xfId="7570" xr:uid="{00000000-0005-0000-0000-0000961D0000}"/>
    <cellStyle name="Normal 17 14 2 13" xfId="7571" xr:uid="{00000000-0005-0000-0000-0000971D0000}"/>
    <cellStyle name="Normal 17 14 2 14" xfId="7572" xr:uid="{00000000-0005-0000-0000-0000981D0000}"/>
    <cellStyle name="Normal 17 14 2 2" xfId="7573" xr:uid="{00000000-0005-0000-0000-0000991D0000}"/>
    <cellStyle name="Normal 17 14 2 2 2" xfId="7574" xr:uid="{00000000-0005-0000-0000-00009A1D0000}"/>
    <cellStyle name="Normal 17 14 2 2 3" xfId="7575" xr:uid="{00000000-0005-0000-0000-00009B1D0000}"/>
    <cellStyle name="Normal 17 14 2 2 4" xfId="7576" xr:uid="{00000000-0005-0000-0000-00009C1D0000}"/>
    <cellStyle name="Normal 17 14 2 2 5" xfId="7577" xr:uid="{00000000-0005-0000-0000-00009D1D0000}"/>
    <cellStyle name="Normal 17 14 2 2 6" xfId="7578" xr:uid="{00000000-0005-0000-0000-00009E1D0000}"/>
    <cellStyle name="Normal 17 14 2 3" xfId="7579" xr:uid="{00000000-0005-0000-0000-00009F1D0000}"/>
    <cellStyle name="Normal 17 14 2 3 2" xfId="7580" xr:uid="{00000000-0005-0000-0000-0000A01D0000}"/>
    <cellStyle name="Normal 17 14 2 3 3" xfId="7581" xr:uid="{00000000-0005-0000-0000-0000A11D0000}"/>
    <cellStyle name="Normal 17 14 2 3 4" xfId="7582" xr:uid="{00000000-0005-0000-0000-0000A21D0000}"/>
    <cellStyle name="Normal 17 14 2 3 5" xfId="7583" xr:uid="{00000000-0005-0000-0000-0000A31D0000}"/>
    <cellStyle name="Normal 17 14 2 3 6" xfId="7584" xr:uid="{00000000-0005-0000-0000-0000A41D0000}"/>
    <cellStyle name="Normal 17 14 2 4" xfId="7585" xr:uid="{00000000-0005-0000-0000-0000A51D0000}"/>
    <cellStyle name="Normal 17 14 2 4 2" xfId="7586" xr:uid="{00000000-0005-0000-0000-0000A61D0000}"/>
    <cellStyle name="Normal 17 14 2 4 3" xfId="7587" xr:uid="{00000000-0005-0000-0000-0000A71D0000}"/>
    <cellStyle name="Normal 17 14 2 4 4" xfId="7588" xr:uid="{00000000-0005-0000-0000-0000A81D0000}"/>
    <cellStyle name="Normal 17 14 2 4 5" xfId="7589" xr:uid="{00000000-0005-0000-0000-0000A91D0000}"/>
    <cellStyle name="Normal 17 14 2 4 6" xfId="7590" xr:uid="{00000000-0005-0000-0000-0000AA1D0000}"/>
    <cellStyle name="Normal 17 14 2 5" xfId="7591" xr:uid="{00000000-0005-0000-0000-0000AB1D0000}"/>
    <cellStyle name="Normal 17 14 2 5 2" xfId="7592" xr:uid="{00000000-0005-0000-0000-0000AC1D0000}"/>
    <cellStyle name="Normal 17 14 2 5 3" xfId="7593" xr:uid="{00000000-0005-0000-0000-0000AD1D0000}"/>
    <cellStyle name="Normal 17 14 2 5 4" xfId="7594" xr:uid="{00000000-0005-0000-0000-0000AE1D0000}"/>
    <cellStyle name="Normal 17 14 2 5 5" xfId="7595" xr:uid="{00000000-0005-0000-0000-0000AF1D0000}"/>
    <cellStyle name="Normal 17 14 2 5 6" xfId="7596" xr:uid="{00000000-0005-0000-0000-0000B01D0000}"/>
    <cellStyle name="Normal 17 14 2 6" xfId="7597" xr:uid="{00000000-0005-0000-0000-0000B11D0000}"/>
    <cellStyle name="Normal 17 14 2 6 2" xfId="7598" xr:uid="{00000000-0005-0000-0000-0000B21D0000}"/>
    <cellStyle name="Normal 17 14 2 6 3" xfId="7599" xr:uid="{00000000-0005-0000-0000-0000B31D0000}"/>
    <cellStyle name="Normal 17 14 2 6 4" xfId="7600" xr:uid="{00000000-0005-0000-0000-0000B41D0000}"/>
    <cellStyle name="Normal 17 14 2 6 5" xfId="7601" xr:uid="{00000000-0005-0000-0000-0000B51D0000}"/>
    <cellStyle name="Normal 17 14 2 6 6" xfId="7602" xr:uid="{00000000-0005-0000-0000-0000B61D0000}"/>
    <cellStyle name="Normal 17 14 2 7" xfId="7603" xr:uid="{00000000-0005-0000-0000-0000B71D0000}"/>
    <cellStyle name="Normal 17 14 2 7 2" xfId="7604" xr:uid="{00000000-0005-0000-0000-0000B81D0000}"/>
    <cellStyle name="Normal 17 14 2 7 3" xfId="7605" xr:uid="{00000000-0005-0000-0000-0000B91D0000}"/>
    <cellStyle name="Normal 17 14 2 7 4" xfId="7606" xr:uid="{00000000-0005-0000-0000-0000BA1D0000}"/>
    <cellStyle name="Normal 17 14 2 7 5" xfId="7607" xr:uid="{00000000-0005-0000-0000-0000BB1D0000}"/>
    <cellStyle name="Normal 17 14 2 7 6" xfId="7608" xr:uid="{00000000-0005-0000-0000-0000BC1D0000}"/>
    <cellStyle name="Normal 17 14 2 8" xfId="7609" xr:uid="{00000000-0005-0000-0000-0000BD1D0000}"/>
    <cellStyle name="Normal 17 14 2 8 2" xfId="7610" xr:uid="{00000000-0005-0000-0000-0000BE1D0000}"/>
    <cellStyle name="Normal 17 14 2 8 3" xfId="7611" xr:uid="{00000000-0005-0000-0000-0000BF1D0000}"/>
    <cellStyle name="Normal 17 14 2 8 4" xfId="7612" xr:uid="{00000000-0005-0000-0000-0000C01D0000}"/>
    <cellStyle name="Normal 17 14 2 8 5" xfId="7613" xr:uid="{00000000-0005-0000-0000-0000C11D0000}"/>
    <cellStyle name="Normal 17 14 2 8 6" xfId="7614" xr:uid="{00000000-0005-0000-0000-0000C21D0000}"/>
    <cellStyle name="Normal 17 14 2 9" xfId="7615" xr:uid="{00000000-0005-0000-0000-0000C31D0000}"/>
    <cellStyle name="Normal 17 14 2 9 2" xfId="7616" xr:uid="{00000000-0005-0000-0000-0000C41D0000}"/>
    <cellStyle name="Normal 17 14 2 9 3" xfId="7617" xr:uid="{00000000-0005-0000-0000-0000C51D0000}"/>
    <cellStyle name="Normal 17 14 2 9 4" xfId="7618" xr:uid="{00000000-0005-0000-0000-0000C61D0000}"/>
    <cellStyle name="Normal 17 14 2 9 5" xfId="7619" xr:uid="{00000000-0005-0000-0000-0000C71D0000}"/>
    <cellStyle name="Normal 17 14 2 9 6" xfId="7620" xr:uid="{00000000-0005-0000-0000-0000C81D0000}"/>
    <cellStyle name="Normal 17 14 3" xfId="7621" xr:uid="{00000000-0005-0000-0000-0000C91D0000}"/>
    <cellStyle name="Normal 17 14 3 2" xfId="7622" xr:uid="{00000000-0005-0000-0000-0000CA1D0000}"/>
    <cellStyle name="Normal 17 14 3 3" xfId="7623" xr:uid="{00000000-0005-0000-0000-0000CB1D0000}"/>
    <cellStyle name="Normal 17 14 3 4" xfId="7624" xr:uid="{00000000-0005-0000-0000-0000CC1D0000}"/>
    <cellStyle name="Normal 17 14 3 5" xfId="7625" xr:uid="{00000000-0005-0000-0000-0000CD1D0000}"/>
    <cellStyle name="Normal 17 14 3 6" xfId="7626" xr:uid="{00000000-0005-0000-0000-0000CE1D0000}"/>
    <cellStyle name="Normal 17 14 4" xfId="7627" xr:uid="{00000000-0005-0000-0000-0000CF1D0000}"/>
    <cellStyle name="Normal 17 14 4 2" xfId="7628" xr:uid="{00000000-0005-0000-0000-0000D01D0000}"/>
    <cellStyle name="Normal 17 14 4 3" xfId="7629" xr:uid="{00000000-0005-0000-0000-0000D11D0000}"/>
    <cellStyle name="Normal 17 14 4 4" xfId="7630" xr:uid="{00000000-0005-0000-0000-0000D21D0000}"/>
    <cellStyle name="Normal 17 14 4 5" xfId="7631" xr:uid="{00000000-0005-0000-0000-0000D31D0000}"/>
    <cellStyle name="Normal 17 14 4 6" xfId="7632" xr:uid="{00000000-0005-0000-0000-0000D41D0000}"/>
    <cellStyle name="Normal 17 14 5" xfId="7633" xr:uid="{00000000-0005-0000-0000-0000D51D0000}"/>
    <cellStyle name="Normal 17 14 5 2" xfId="7634" xr:uid="{00000000-0005-0000-0000-0000D61D0000}"/>
    <cellStyle name="Normal 17 14 5 3" xfId="7635" xr:uid="{00000000-0005-0000-0000-0000D71D0000}"/>
    <cellStyle name="Normal 17 14 5 4" xfId="7636" xr:uid="{00000000-0005-0000-0000-0000D81D0000}"/>
    <cellStyle name="Normal 17 14 5 5" xfId="7637" xr:uid="{00000000-0005-0000-0000-0000D91D0000}"/>
    <cellStyle name="Normal 17 14 5 6" xfId="7638" xr:uid="{00000000-0005-0000-0000-0000DA1D0000}"/>
    <cellStyle name="Normal 17 14 6" xfId="7639" xr:uid="{00000000-0005-0000-0000-0000DB1D0000}"/>
    <cellStyle name="Normal 17 14 6 2" xfId="7640" xr:uid="{00000000-0005-0000-0000-0000DC1D0000}"/>
    <cellStyle name="Normal 17 14 6 3" xfId="7641" xr:uid="{00000000-0005-0000-0000-0000DD1D0000}"/>
    <cellStyle name="Normal 17 14 6 4" xfId="7642" xr:uid="{00000000-0005-0000-0000-0000DE1D0000}"/>
    <cellStyle name="Normal 17 14 6 5" xfId="7643" xr:uid="{00000000-0005-0000-0000-0000DF1D0000}"/>
    <cellStyle name="Normal 17 14 6 6" xfId="7644" xr:uid="{00000000-0005-0000-0000-0000E01D0000}"/>
    <cellStyle name="Normal 17 14 7" xfId="7645" xr:uid="{00000000-0005-0000-0000-0000E11D0000}"/>
    <cellStyle name="Normal 17 14 7 2" xfId="7646" xr:uid="{00000000-0005-0000-0000-0000E21D0000}"/>
    <cellStyle name="Normal 17 14 7 3" xfId="7647" xr:uid="{00000000-0005-0000-0000-0000E31D0000}"/>
    <cellStyle name="Normal 17 14 7 4" xfId="7648" xr:uid="{00000000-0005-0000-0000-0000E41D0000}"/>
    <cellStyle name="Normal 17 14 7 5" xfId="7649" xr:uid="{00000000-0005-0000-0000-0000E51D0000}"/>
    <cellStyle name="Normal 17 14 7 6" xfId="7650" xr:uid="{00000000-0005-0000-0000-0000E61D0000}"/>
    <cellStyle name="Normal 17 14 8" xfId="7651" xr:uid="{00000000-0005-0000-0000-0000E71D0000}"/>
    <cellStyle name="Normal 17 14 8 2" xfId="7652" xr:uid="{00000000-0005-0000-0000-0000E81D0000}"/>
    <cellStyle name="Normal 17 14 8 3" xfId="7653" xr:uid="{00000000-0005-0000-0000-0000E91D0000}"/>
    <cellStyle name="Normal 17 14 8 4" xfId="7654" xr:uid="{00000000-0005-0000-0000-0000EA1D0000}"/>
    <cellStyle name="Normal 17 14 8 5" xfId="7655" xr:uid="{00000000-0005-0000-0000-0000EB1D0000}"/>
    <cellStyle name="Normal 17 14 8 6" xfId="7656" xr:uid="{00000000-0005-0000-0000-0000EC1D0000}"/>
    <cellStyle name="Normal 17 14 9" xfId="7657" xr:uid="{00000000-0005-0000-0000-0000ED1D0000}"/>
    <cellStyle name="Normal 17 14 9 2" xfId="7658" xr:uid="{00000000-0005-0000-0000-0000EE1D0000}"/>
    <cellStyle name="Normal 17 14 9 3" xfId="7659" xr:uid="{00000000-0005-0000-0000-0000EF1D0000}"/>
    <cellStyle name="Normal 17 14 9 4" xfId="7660" xr:uid="{00000000-0005-0000-0000-0000F01D0000}"/>
    <cellStyle name="Normal 17 14 9 5" xfId="7661" xr:uid="{00000000-0005-0000-0000-0000F11D0000}"/>
    <cellStyle name="Normal 17 14 9 6" xfId="7662" xr:uid="{00000000-0005-0000-0000-0000F21D0000}"/>
    <cellStyle name="Normal 17 15" xfId="7663" xr:uid="{00000000-0005-0000-0000-0000F31D0000}"/>
    <cellStyle name="Normal 17 15 10" xfId="7664" xr:uid="{00000000-0005-0000-0000-0000F41D0000}"/>
    <cellStyle name="Normal 17 15 10 2" xfId="7665" xr:uid="{00000000-0005-0000-0000-0000F51D0000}"/>
    <cellStyle name="Normal 17 15 10 3" xfId="7666" xr:uid="{00000000-0005-0000-0000-0000F61D0000}"/>
    <cellStyle name="Normal 17 15 10 4" xfId="7667" xr:uid="{00000000-0005-0000-0000-0000F71D0000}"/>
    <cellStyle name="Normal 17 15 10 5" xfId="7668" xr:uid="{00000000-0005-0000-0000-0000F81D0000}"/>
    <cellStyle name="Normal 17 15 10 6" xfId="7669" xr:uid="{00000000-0005-0000-0000-0000F91D0000}"/>
    <cellStyle name="Normal 17 15 11" xfId="7670" xr:uid="{00000000-0005-0000-0000-0000FA1D0000}"/>
    <cellStyle name="Normal 17 15 12" xfId="7671" xr:uid="{00000000-0005-0000-0000-0000FB1D0000}"/>
    <cellStyle name="Normal 17 15 13" xfId="7672" xr:uid="{00000000-0005-0000-0000-0000FC1D0000}"/>
    <cellStyle name="Normal 17 15 14" xfId="7673" xr:uid="{00000000-0005-0000-0000-0000FD1D0000}"/>
    <cellStyle name="Normal 17 15 15" xfId="7674" xr:uid="{00000000-0005-0000-0000-0000FE1D0000}"/>
    <cellStyle name="Normal 17 15 2" xfId="7675" xr:uid="{00000000-0005-0000-0000-0000FF1D0000}"/>
    <cellStyle name="Normal 17 15 2 10" xfId="7676" xr:uid="{00000000-0005-0000-0000-0000001E0000}"/>
    <cellStyle name="Normal 17 15 2 11" xfId="7677" xr:uid="{00000000-0005-0000-0000-0000011E0000}"/>
    <cellStyle name="Normal 17 15 2 12" xfId="7678" xr:uid="{00000000-0005-0000-0000-0000021E0000}"/>
    <cellStyle name="Normal 17 15 2 13" xfId="7679" xr:uid="{00000000-0005-0000-0000-0000031E0000}"/>
    <cellStyle name="Normal 17 15 2 14" xfId="7680" xr:uid="{00000000-0005-0000-0000-0000041E0000}"/>
    <cellStyle name="Normal 17 15 2 2" xfId="7681" xr:uid="{00000000-0005-0000-0000-0000051E0000}"/>
    <cellStyle name="Normal 17 15 2 2 2" xfId="7682" xr:uid="{00000000-0005-0000-0000-0000061E0000}"/>
    <cellStyle name="Normal 17 15 2 2 3" xfId="7683" xr:uid="{00000000-0005-0000-0000-0000071E0000}"/>
    <cellStyle name="Normal 17 15 2 2 4" xfId="7684" xr:uid="{00000000-0005-0000-0000-0000081E0000}"/>
    <cellStyle name="Normal 17 15 2 2 5" xfId="7685" xr:uid="{00000000-0005-0000-0000-0000091E0000}"/>
    <cellStyle name="Normal 17 15 2 2 6" xfId="7686" xr:uid="{00000000-0005-0000-0000-00000A1E0000}"/>
    <cellStyle name="Normal 17 15 2 3" xfId="7687" xr:uid="{00000000-0005-0000-0000-00000B1E0000}"/>
    <cellStyle name="Normal 17 15 2 3 2" xfId="7688" xr:uid="{00000000-0005-0000-0000-00000C1E0000}"/>
    <cellStyle name="Normal 17 15 2 3 3" xfId="7689" xr:uid="{00000000-0005-0000-0000-00000D1E0000}"/>
    <cellStyle name="Normal 17 15 2 3 4" xfId="7690" xr:uid="{00000000-0005-0000-0000-00000E1E0000}"/>
    <cellStyle name="Normal 17 15 2 3 5" xfId="7691" xr:uid="{00000000-0005-0000-0000-00000F1E0000}"/>
    <cellStyle name="Normal 17 15 2 3 6" xfId="7692" xr:uid="{00000000-0005-0000-0000-0000101E0000}"/>
    <cellStyle name="Normal 17 15 2 4" xfId="7693" xr:uid="{00000000-0005-0000-0000-0000111E0000}"/>
    <cellStyle name="Normal 17 15 2 4 2" xfId="7694" xr:uid="{00000000-0005-0000-0000-0000121E0000}"/>
    <cellStyle name="Normal 17 15 2 4 3" xfId="7695" xr:uid="{00000000-0005-0000-0000-0000131E0000}"/>
    <cellStyle name="Normal 17 15 2 4 4" xfId="7696" xr:uid="{00000000-0005-0000-0000-0000141E0000}"/>
    <cellStyle name="Normal 17 15 2 4 5" xfId="7697" xr:uid="{00000000-0005-0000-0000-0000151E0000}"/>
    <cellStyle name="Normal 17 15 2 4 6" xfId="7698" xr:uid="{00000000-0005-0000-0000-0000161E0000}"/>
    <cellStyle name="Normal 17 15 2 5" xfId="7699" xr:uid="{00000000-0005-0000-0000-0000171E0000}"/>
    <cellStyle name="Normal 17 15 2 5 2" xfId="7700" xr:uid="{00000000-0005-0000-0000-0000181E0000}"/>
    <cellStyle name="Normal 17 15 2 5 3" xfId="7701" xr:uid="{00000000-0005-0000-0000-0000191E0000}"/>
    <cellStyle name="Normal 17 15 2 5 4" xfId="7702" xr:uid="{00000000-0005-0000-0000-00001A1E0000}"/>
    <cellStyle name="Normal 17 15 2 5 5" xfId="7703" xr:uid="{00000000-0005-0000-0000-00001B1E0000}"/>
    <cellStyle name="Normal 17 15 2 5 6" xfId="7704" xr:uid="{00000000-0005-0000-0000-00001C1E0000}"/>
    <cellStyle name="Normal 17 15 2 6" xfId="7705" xr:uid="{00000000-0005-0000-0000-00001D1E0000}"/>
    <cellStyle name="Normal 17 15 2 6 2" xfId="7706" xr:uid="{00000000-0005-0000-0000-00001E1E0000}"/>
    <cellStyle name="Normal 17 15 2 6 3" xfId="7707" xr:uid="{00000000-0005-0000-0000-00001F1E0000}"/>
    <cellStyle name="Normal 17 15 2 6 4" xfId="7708" xr:uid="{00000000-0005-0000-0000-0000201E0000}"/>
    <cellStyle name="Normal 17 15 2 6 5" xfId="7709" xr:uid="{00000000-0005-0000-0000-0000211E0000}"/>
    <cellStyle name="Normal 17 15 2 6 6" xfId="7710" xr:uid="{00000000-0005-0000-0000-0000221E0000}"/>
    <cellStyle name="Normal 17 15 2 7" xfId="7711" xr:uid="{00000000-0005-0000-0000-0000231E0000}"/>
    <cellStyle name="Normal 17 15 2 7 2" xfId="7712" xr:uid="{00000000-0005-0000-0000-0000241E0000}"/>
    <cellStyle name="Normal 17 15 2 7 3" xfId="7713" xr:uid="{00000000-0005-0000-0000-0000251E0000}"/>
    <cellStyle name="Normal 17 15 2 7 4" xfId="7714" xr:uid="{00000000-0005-0000-0000-0000261E0000}"/>
    <cellStyle name="Normal 17 15 2 7 5" xfId="7715" xr:uid="{00000000-0005-0000-0000-0000271E0000}"/>
    <cellStyle name="Normal 17 15 2 7 6" xfId="7716" xr:uid="{00000000-0005-0000-0000-0000281E0000}"/>
    <cellStyle name="Normal 17 15 2 8" xfId="7717" xr:uid="{00000000-0005-0000-0000-0000291E0000}"/>
    <cellStyle name="Normal 17 15 2 8 2" xfId="7718" xr:uid="{00000000-0005-0000-0000-00002A1E0000}"/>
    <cellStyle name="Normal 17 15 2 8 3" xfId="7719" xr:uid="{00000000-0005-0000-0000-00002B1E0000}"/>
    <cellStyle name="Normal 17 15 2 8 4" xfId="7720" xr:uid="{00000000-0005-0000-0000-00002C1E0000}"/>
    <cellStyle name="Normal 17 15 2 8 5" xfId="7721" xr:uid="{00000000-0005-0000-0000-00002D1E0000}"/>
    <cellStyle name="Normal 17 15 2 8 6" xfId="7722" xr:uid="{00000000-0005-0000-0000-00002E1E0000}"/>
    <cellStyle name="Normal 17 15 2 9" xfId="7723" xr:uid="{00000000-0005-0000-0000-00002F1E0000}"/>
    <cellStyle name="Normal 17 15 2 9 2" xfId="7724" xr:uid="{00000000-0005-0000-0000-0000301E0000}"/>
    <cellStyle name="Normal 17 15 2 9 3" xfId="7725" xr:uid="{00000000-0005-0000-0000-0000311E0000}"/>
    <cellStyle name="Normal 17 15 2 9 4" xfId="7726" xr:uid="{00000000-0005-0000-0000-0000321E0000}"/>
    <cellStyle name="Normal 17 15 2 9 5" xfId="7727" xr:uid="{00000000-0005-0000-0000-0000331E0000}"/>
    <cellStyle name="Normal 17 15 2 9 6" xfId="7728" xr:uid="{00000000-0005-0000-0000-0000341E0000}"/>
    <cellStyle name="Normal 17 15 3" xfId="7729" xr:uid="{00000000-0005-0000-0000-0000351E0000}"/>
    <cellStyle name="Normal 17 15 3 2" xfId="7730" xr:uid="{00000000-0005-0000-0000-0000361E0000}"/>
    <cellStyle name="Normal 17 15 3 3" xfId="7731" xr:uid="{00000000-0005-0000-0000-0000371E0000}"/>
    <cellStyle name="Normal 17 15 3 4" xfId="7732" xr:uid="{00000000-0005-0000-0000-0000381E0000}"/>
    <cellStyle name="Normal 17 15 3 5" xfId="7733" xr:uid="{00000000-0005-0000-0000-0000391E0000}"/>
    <cellStyle name="Normal 17 15 3 6" xfId="7734" xr:uid="{00000000-0005-0000-0000-00003A1E0000}"/>
    <cellStyle name="Normal 17 15 4" xfId="7735" xr:uid="{00000000-0005-0000-0000-00003B1E0000}"/>
    <cellStyle name="Normal 17 15 4 2" xfId="7736" xr:uid="{00000000-0005-0000-0000-00003C1E0000}"/>
    <cellStyle name="Normal 17 15 4 3" xfId="7737" xr:uid="{00000000-0005-0000-0000-00003D1E0000}"/>
    <cellStyle name="Normal 17 15 4 4" xfId="7738" xr:uid="{00000000-0005-0000-0000-00003E1E0000}"/>
    <cellStyle name="Normal 17 15 4 5" xfId="7739" xr:uid="{00000000-0005-0000-0000-00003F1E0000}"/>
    <cellStyle name="Normal 17 15 4 6" xfId="7740" xr:uid="{00000000-0005-0000-0000-0000401E0000}"/>
    <cellStyle name="Normal 17 15 5" xfId="7741" xr:uid="{00000000-0005-0000-0000-0000411E0000}"/>
    <cellStyle name="Normal 17 15 5 2" xfId="7742" xr:uid="{00000000-0005-0000-0000-0000421E0000}"/>
    <cellStyle name="Normal 17 15 5 3" xfId="7743" xr:uid="{00000000-0005-0000-0000-0000431E0000}"/>
    <cellStyle name="Normal 17 15 5 4" xfId="7744" xr:uid="{00000000-0005-0000-0000-0000441E0000}"/>
    <cellStyle name="Normal 17 15 5 5" xfId="7745" xr:uid="{00000000-0005-0000-0000-0000451E0000}"/>
    <cellStyle name="Normal 17 15 5 6" xfId="7746" xr:uid="{00000000-0005-0000-0000-0000461E0000}"/>
    <cellStyle name="Normal 17 15 6" xfId="7747" xr:uid="{00000000-0005-0000-0000-0000471E0000}"/>
    <cellStyle name="Normal 17 15 6 2" xfId="7748" xr:uid="{00000000-0005-0000-0000-0000481E0000}"/>
    <cellStyle name="Normal 17 15 6 3" xfId="7749" xr:uid="{00000000-0005-0000-0000-0000491E0000}"/>
    <cellStyle name="Normal 17 15 6 4" xfId="7750" xr:uid="{00000000-0005-0000-0000-00004A1E0000}"/>
    <cellStyle name="Normal 17 15 6 5" xfId="7751" xr:uid="{00000000-0005-0000-0000-00004B1E0000}"/>
    <cellStyle name="Normal 17 15 6 6" xfId="7752" xr:uid="{00000000-0005-0000-0000-00004C1E0000}"/>
    <cellStyle name="Normal 17 15 7" xfId="7753" xr:uid="{00000000-0005-0000-0000-00004D1E0000}"/>
    <cellStyle name="Normal 17 15 7 2" xfId="7754" xr:uid="{00000000-0005-0000-0000-00004E1E0000}"/>
    <cellStyle name="Normal 17 15 7 3" xfId="7755" xr:uid="{00000000-0005-0000-0000-00004F1E0000}"/>
    <cellStyle name="Normal 17 15 7 4" xfId="7756" xr:uid="{00000000-0005-0000-0000-0000501E0000}"/>
    <cellStyle name="Normal 17 15 7 5" xfId="7757" xr:uid="{00000000-0005-0000-0000-0000511E0000}"/>
    <cellStyle name="Normal 17 15 7 6" xfId="7758" xr:uid="{00000000-0005-0000-0000-0000521E0000}"/>
    <cellStyle name="Normal 17 15 8" xfId="7759" xr:uid="{00000000-0005-0000-0000-0000531E0000}"/>
    <cellStyle name="Normal 17 15 8 2" xfId="7760" xr:uid="{00000000-0005-0000-0000-0000541E0000}"/>
    <cellStyle name="Normal 17 15 8 3" xfId="7761" xr:uid="{00000000-0005-0000-0000-0000551E0000}"/>
    <cellStyle name="Normal 17 15 8 4" xfId="7762" xr:uid="{00000000-0005-0000-0000-0000561E0000}"/>
    <cellStyle name="Normal 17 15 8 5" xfId="7763" xr:uid="{00000000-0005-0000-0000-0000571E0000}"/>
    <cellStyle name="Normal 17 15 8 6" xfId="7764" xr:uid="{00000000-0005-0000-0000-0000581E0000}"/>
    <cellStyle name="Normal 17 15 9" xfId="7765" xr:uid="{00000000-0005-0000-0000-0000591E0000}"/>
    <cellStyle name="Normal 17 15 9 2" xfId="7766" xr:uid="{00000000-0005-0000-0000-00005A1E0000}"/>
    <cellStyle name="Normal 17 15 9 3" xfId="7767" xr:uid="{00000000-0005-0000-0000-00005B1E0000}"/>
    <cellStyle name="Normal 17 15 9 4" xfId="7768" xr:uid="{00000000-0005-0000-0000-00005C1E0000}"/>
    <cellStyle name="Normal 17 15 9 5" xfId="7769" xr:uid="{00000000-0005-0000-0000-00005D1E0000}"/>
    <cellStyle name="Normal 17 15 9 6" xfId="7770" xr:uid="{00000000-0005-0000-0000-00005E1E0000}"/>
    <cellStyle name="Normal 17 16" xfId="7771" xr:uid="{00000000-0005-0000-0000-00005F1E0000}"/>
    <cellStyle name="Normal 17 16 10" xfId="7772" xr:uid="{00000000-0005-0000-0000-0000601E0000}"/>
    <cellStyle name="Normal 17 16 10 2" xfId="7773" xr:uid="{00000000-0005-0000-0000-0000611E0000}"/>
    <cellStyle name="Normal 17 16 10 3" xfId="7774" xr:uid="{00000000-0005-0000-0000-0000621E0000}"/>
    <cellStyle name="Normal 17 16 10 4" xfId="7775" xr:uid="{00000000-0005-0000-0000-0000631E0000}"/>
    <cellStyle name="Normal 17 16 10 5" xfId="7776" xr:uid="{00000000-0005-0000-0000-0000641E0000}"/>
    <cellStyle name="Normal 17 16 10 6" xfId="7777" xr:uid="{00000000-0005-0000-0000-0000651E0000}"/>
    <cellStyle name="Normal 17 16 11" xfId="7778" xr:uid="{00000000-0005-0000-0000-0000661E0000}"/>
    <cellStyle name="Normal 17 16 12" xfId="7779" xr:uid="{00000000-0005-0000-0000-0000671E0000}"/>
    <cellStyle name="Normal 17 16 13" xfId="7780" xr:uid="{00000000-0005-0000-0000-0000681E0000}"/>
    <cellStyle name="Normal 17 16 14" xfId="7781" xr:uid="{00000000-0005-0000-0000-0000691E0000}"/>
    <cellStyle name="Normal 17 16 15" xfId="7782" xr:uid="{00000000-0005-0000-0000-00006A1E0000}"/>
    <cellStyle name="Normal 17 16 2" xfId="7783" xr:uid="{00000000-0005-0000-0000-00006B1E0000}"/>
    <cellStyle name="Normal 17 16 2 10" xfId="7784" xr:uid="{00000000-0005-0000-0000-00006C1E0000}"/>
    <cellStyle name="Normal 17 16 2 11" xfId="7785" xr:uid="{00000000-0005-0000-0000-00006D1E0000}"/>
    <cellStyle name="Normal 17 16 2 12" xfId="7786" xr:uid="{00000000-0005-0000-0000-00006E1E0000}"/>
    <cellStyle name="Normal 17 16 2 13" xfId="7787" xr:uid="{00000000-0005-0000-0000-00006F1E0000}"/>
    <cellStyle name="Normal 17 16 2 14" xfId="7788" xr:uid="{00000000-0005-0000-0000-0000701E0000}"/>
    <cellStyle name="Normal 17 16 2 2" xfId="7789" xr:uid="{00000000-0005-0000-0000-0000711E0000}"/>
    <cellStyle name="Normal 17 16 2 2 2" xfId="7790" xr:uid="{00000000-0005-0000-0000-0000721E0000}"/>
    <cellStyle name="Normal 17 16 2 2 3" xfId="7791" xr:uid="{00000000-0005-0000-0000-0000731E0000}"/>
    <cellStyle name="Normal 17 16 2 2 4" xfId="7792" xr:uid="{00000000-0005-0000-0000-0000741E0000}"/>
    <cellStyle name="Normal 17 16 2 2 5" xfId="7793" xr:uid="{00000000-0005-0000-0000-0000751E0000}"/>
    <cellStyle name="Normal 17 16 2 2 6" xfId="7794" xr:uid="{00000000-0005-0000-0000-0000761E0000}"/>
    <cellStyle name="Normal 17 16 2 3" xfId="7795" xr:uid="{00000000-0005-0000-0000-0000771E0000}"/>
    <cellStyle name="Normal 17 16 2 3 2" xfId="7796" xr:uid="{00000000-0005-0000-0000-0000781E0000}"/>
    <cellStyle name="Normal 17 16 2 3 3" xfId="7797" xr:uid="{00000000-0005-0000-0000-0000791E0000}"/>
    <cellStyle name="Normal 17 16 2 3 4" xfId="7798" xr:uid="{00000000-0005-0000-0000-00007A1E0000}"/>
    <cellStyle name="Normal 17 16 2 3 5" xfId="7799" xr:uid="{00000000-0005-0000-0000-00007B1E0000}"/>
    <cellStyle name="Normal 17 16 2 3 6" xfId="7800" xr:uid="{00000000-0005-0000-0000-00007C1E0000}"/>
    <cellStyle name="Normal 17 16 2 4" xfId="7801" xr:uid="{00000000-0005-0000-0000-00007D1E0000}"/>
    <cellStyle name="Normal 17 16 2 4 2" xfId="7802" xr:uid="{00000000-0005-0000-0000-00007E1E0000}"/>
    <cellStyle name="Normal 17 16 2 4 3" xfId="7803" xr:uid="{00000000-0005-0000-0000-00007F1E0000}"/>
    <cellStyle name="Normal 17 16 2 4 4" xfId="7804" xr:uid="{00000000-0005-0000-0000-0000801E0000}"/>
    <cellStyle name="Normal 17 16 2 4 5" xfId="7805" xr:uid="{00000000-0005-0000-0000-0000811E0000}"/>
    <cellStyle name="Normal 17 16 2 4 6" xfId="7806" xr:uid="{00000000-0005-0000-0000-0000821E0000}"/>
    <cellStyle name="Normal 17 16 2 5" xfId="7807" xr:uid="{00000000-0005-0000-0000-0000831E0000}"/>
    <cellStyle name="Normal 17 16 2 5 2" xfId="7808" xr:uid="{00000000-0005-0000-0000-0000841E0000}"/>
    <cellStyle name="Normal 17 16 2 5 3" xfId="7809" xr:uid="{00000000-0005-0000-0000-0000851E0000}"/>
    <cellStyle name="Normal 17 16 2 5 4" xfId="7810" xr:uid="{00000000-0005-0000-0000-0000861E0000}"/>
    <cellStyle name="Normal 17 16 2 5 5" xfId="7811" xr:uid="{00000000-0005-0000-0000-0000871E0000}"/>
    <cellStyle name="Normal 17 16 2 5 6" xfId="7812" xr:uid="{00000000-0005-0000-0000-0000881E0000}"/>
    <cellStyle name="Normal 17 16 2 6" xfId="7813" xr:uid="{00000000-0005-0000-0000-0000891E0000}"/>
    <cellStyle name="Normal 17 16 2 6 2" xfId="7814" xr:uid="{00000000-0005-0000-0000-00008A1E0000}"/>
    <cellStyle name="Normal 17 16 2 6 3" xfId="7815" xr:uid="{00000000-0005-0000-0000-00008B1E0000}"/>
    <cellStyle name="Normal 17 16 2 6 4" xfId="7816" xr:uid="{00000000-0005-0000-0000-00008C1E0000}"/>
    <cellStyle name="Normal 17 16 2 6 5" xfId="7817" xr:uid="{00000000-0005-0000-0000-00008D1E0000}"/>
    <cellStyle name="Normal 17 16 2 6 6" xfId="7818" xr:uid="{00000000-0005-0000-0000-00008E1E0000}"/>
    <cellStyle name="Normal 17 16 2 7" xfId="7819" xr:uid="{00000000-0005-0000-0000-00008F1E0000}"/>
    <cellStyle name="Normal 17 16 2 7 2" xfId="7820" xr:uid="{00000000-0005-0000-0000-0000901E0000}"/>
    <cellStyle name="Normal 17 16 2 7 3" xfId="7821" xr:uid="{00000000-0005-0000-0000-0000911E0000}"/>
    <cellStyle name="Normal 17 16 2 7 4" xfId="7822" xr:uid="{00000000-0005-0000-0000-0000921E0000}"/>
    <cellStyle name="Normal 17 16 2 7 5" xfId="7823" xr:uid="{00000000-0005-0000-0000-0000931E0000}"/>
    <cellStyle name="Normal 17 16 2 7 6" xfId="7824" xr:uid="{00000000-0005-0000-0000-0000941E0000}"/>
    <cellStyle name="Normal 17 16 2 8" xfId="7825" xr:uid="{00000000-0005-0000-0000-0000951E0000}"/>
    <cellStyle name="Normal 17 16 2 8 2" xfId="7826" xr:uid="{00000000-0005-0000-0000-0000961E0000}"/>
    <cellStyle name="Normal 17 16 2 8 3" xfId="7827" xr:uid="{00000000-0005-0000-0000-0000971E0000}"/>
    <cellStyle name="Normal 17 16 2 8 4" xfId="7828" xr:uid="{00000000-0005-0000-0000-0000981E0000}"/>
    <cellStyle name="Normal 17 16 2 8 5" xfId="7829" xr:uid="{00000000-0005-0000-0000-0000991E0000}"/>
    <cellStyle name="Normal 17 16 2 8 6" xfId="7830" xr:uid="{00000000-0005-0000-0000-00009A1E0000}"/>
    <cellStyle name="Normal 17 16 2 9" xfId="7831" xr:uid="{00000000-0005-0000-0000-00009B1E0000}"/>
    <cellStyle name="Normal 17 16 2 9 2" xfId="7832" xr:uid="{00000000-0005-0000-0000-00009C1E0000}"/>
    <cellStyle name="Normal 17 16 2 9 3" xfId="7833" xr:uid="{00000000-0005-0000-0000-00009D1E0000}"/>
    <cellStyle name="Normal 17 16 2 9 4" xfId="7834" xr:uid="{00000000-0005-0000-0000-00009E1E0000}"/>
    <cellStyle name="Normal 17 16 2 9 5" xfId="7835" xr:uid="{00000000-0005-0000-0000-00009F1E0000}"/>
    <cellStyle name="Normal 17 16 2 9 6" xfId="7836" xr:uid="{00000000-0005-0000-0000-0000A01E0000}"/>
    <cellStyle name="Normal 17 16 3" xfId="7837" xr:uid="{00000000-0005-0000-0000-0000A11E0000}"/>
    <cellStyle name="Normal 17 16 3 2" xfId="7838" xr:uid="{00000000-0005-0000-0000-0000A21E0000}"/>
    <cellStyle name="Normal 17 16 3 3" xfId="7839" xr:uid="{00000000-0005-0000-0000-0000A31E0000}"/>
    <cellStyle name="Normal 17 16 3 4" xfId="7840" xr:uid="{00000000-0005-0000-0000-0000A41E0000}"/>
    <cellStyle name="Normal 17 16 3 5" xfId="7841" xr:uid="{00000000-0005-0000-0000-0000A51E0000}"/>
    <cellStyle name="Normal 17 16 3 6" xfId="7842" xr:uid="{00000000-0005-0000-0000-0000A61E0000}"/>
    <cellStyle name="Normal 17 16 4" xfId="7843" xr:uid="{00000000-0005-0000-0000-0000A71E0000}"/>
    <cellStyle name="Normal 17 16 4 2" xfId="7844" xr:uid="{00000000-0005-0000-0000-0000A81E0000}"/>
    <cellStyle name="Normal 17 16 4 3" xfId="7845" xr:uid="{00000000-0005-0000-0000-0000A91E0000}"/>
    <cellStyle name="Normal 17 16 4 4" xfId="7846" xr:uid="{00000000-0005-0000-0000-0000AA1E0000}"/>
    <cellStyle name="Normal 17 16 4 5" xfId="7847" xr:uid="{00000000-0005-0000-0000-0000AB1E0000}"/>
    <cellStyle name="Normal 17 16 4 6" xfId="7848" xr:uid="{00000000-0005-0000-0000-0000AC1E0000}"/>
    <cellStyle name="Normal 17 16 5" xfId="7849" xr:uid="{00000000-0005-0000-0000-0000AD1E0000}"/>
    <cellStyle name="Normal 17 16 5 2" xfId="7850" xr:uid="{00000000-0005-0000-0000-0000AE1E0000}"/>
    <cellStyle name="Normal 17 16 5 3" xfId="7851" xr:uid="{00000000-0005-0000-0000-0000AF1E0000}"/>
    <cellStyle name="Normal 17 16 5 4" xfId="7852" xr:uid="{00000000-0005-0000-0000-0000B01E0000}"/>
    <cellStyle name="Normal 17 16 5 5" xfId="7853" xr:uid="{00000000-0005-0000-0000-0000B11E0000}"/>
    <cellStyle name="Normal 17 16 5 6" xfId="7854" xr:uid="{00000000-0005-0000-0000-0000B21E0000}"/>
    <cellStyle name="Normal 17 16 6" xfId="7855" xr:uid="{00000000-0005-0000-0000-0000B31E0000}"/>
    <cellStyle name="Normal 17 16 6 2" xfId="7856" xr:uid="{00000000-0005-0000-0000-0000B41E0000}"/>
    <cellStyle name="Normal 17 16 6 3" xfId="7857" xr:uid="{00000000-0005-0000-0000-0000B51E0000}"/>
    <cellStyle name="Normal 17 16 6 4" xfId="7858" xr:uid="{00000000-0005-0000-0000-0000B61E0000}"/>
    <cellStyle name="Normal 17 16 6 5" xfId="7859" xr:uid="{00000000-0005-0000-0000-0000B71E0000}"/>
    <cellStyle name="Normal 17 16 6 6" xfId="7860" xr:uid="{00000000-0005-0000-0000-0000B81E0000}"/>
    <cellStyle name="Normal 17 16 7" xfId="7861" xr:uid="{00000000-0005-0000-0000-0000B91E0000}"/>
    <cellStyle name="Normal 17 16 7 2" xfId="7862" xr:uid="{00000000-0005-0000-0000-0000BA1E0000}"/>
    <cellStyle name="Normal 17 16 7 3" xfId="7863" xr:uid="{00000000-0005-0000-0000-0000BB1E0000}"/>
    <cellStyle name="Normal 17 16 7 4" xfId="7864" xr:uid="{00000000-0005-0000-0000-0000BC1E0000}"/>
    <cellStyle name="Normal 17 16 7 5" xfId="7865" xr:uid="{00000000-0005-0000-0000-0000BD1E0000}"/>
    <cellStyle name="Normal 17 16 7 6" xfId="7866" xr:uid="{00000000-0005-0000-0000-0000BE1E0000}"/>
    <cellStyle name="Normal 17 16 8" xfId="7867" xr:uid="{00000000-0005-0000-0000-0000BF1E0000}"/>
    <cellStyle name="Normal 17 16 8 2" xfId="7868" xr:uid="{00000000-0005-0000-0000-0000C01E0000}"/>
    <cellStyle name="Normal 17 16 8 3" xfId="7869" xr:uid="{00000000-0005-0000-0000-0000C11E0000}"/>
    <cellStyle name="Normal 17 16 8 4" xfId="7870" xr:uid="{00000000-0005-0000-0000-0000C21E0000}"/>
    <cellStyle name="Normal 17 16 8 5" xfId="7871" xr:uid="{00000000-0005-0000-0000-0000C31E0000}"/>
    <cellStyle name="Normal 17 16 8 6" xfId="7872" xr:uid="{00000000-0005-0000-0000-0000C41E0000}"/>
    <cellStyle name="Normal 17 16 9" xfId="7873" xr:uid="{00000000-0005-0000-0000-0000C51E0000}"/>
    <cellStyle name="Normal 17 16 9 2" xfId="7874" xr:uid="{00000000-0005-0000-0000-0000C61E0000}"/>
    <cellStyle name="Normal 17 16 9 3" xfId="7875" xr:uid="{00000000-0005-0000-0000-0000C71E0000}"/>
    <cellStyle name="Normal 17 16 9 4" xfId="7876" xr:uid="{00000000-0005-0000-0000-0000C81E0000}"/>
    <cellStyle name="Normal 17 16 9 5" xfId="7877" xr:uid="{00000000-0005-0000-0000-0000C91E0000}"/>
    <cellStyle name="Normal 17 16 9 6" xfId="7878" xr:uid="{00000000-0005-0000-0000-0000CA1E0000}"/>
    <cellStyle name="Normal 17 17" xfId="7879" xr:uid="{00000000-0005-0000-0000-0000CB1E0000}"/>
    <cellStyle name="Normal 17 17 10" xfId="7880" xr:uid="{00000000-0005-0000-0000-0000CC1E0000}"/>
    <cellStyle name="Normal 17 17 10 2" xfId="7881" xr:uid="{00000000-0005-0000-0000-0000CD1E0000}"/>
    <cellStyle name="Normal 17 17 10 3" xfId="7882" xr:uid="{00000000-0005-0000-0000-0000CE1E0000}"/>
    <cellStyle name="Normal 17 17 10 4" xfId="7883" xr:uid="{00000000-0005-0000-0000-0000CF1E0000}"/>
    <cellStyle name="Normal 17 17 10 5" xfId="7884" xr:uid="{00000000-0005-0000-0000-0000D01E0000}"/>
    <cellStyle name="Normal 17 17 10 6" xfId="7885" xr:uid="{00000000-0005-0000-0000-0000D11E0000}"/>
    <cellStyle name="Normal 17 17 11" xfId="7886" xr:uid="{00000000-0005-0000-0000-0000D21E0000}"/>
    <cellStyle name="Normal 17 17 11 2" xfId="7887" xr:uid="{00000000-0005-0000-0000-0000D31E0000}"/>
    <cellStyle name="Normal 17 17 11 3" xfId="7888" xr:uid="{00000000-0005-0000-0000-0000D41E0000}"/>
    <cellStyle name="Normal 17 17 11 4" xfId="7889" xr:uid="{00000000-0005-0000-0000-0000D51E0000}"/>
    <cellStyle name="Normal 17 17 11 5" xfId="7890" xr:uid="{00000000-0005-0000-0000-0000D61E0000}"/>
    <cellStyle name="Normal 17 17 11 6" xfId="7891" xr:uid="{00000000-0005-0000-0000-0000D71E0000}"/>
    <cellStyle name="Normal 17 17 12" xfId="7892" xr:uid="{00000000-0005-0000-0000-0000D81E0000}"/>
    <cellStyle name="Normal 17 17 12 2" xfId="7893" xr:uid="{00000000-0005-0000-0000-0000D91E0000}"/>
    <cellStyle name="Normal 17 17 12 3" xfId="7894" xr:uid="{00000000-0005-0000-0000-0000DA1E0000}"/>
    <cellStyle name="Normal 17 17 12 4" xfId="7895" xr:uid="{00000000-0005-0000-0000-0000DB1E0000}"/>
    <cellStyle name="Normal 17 17 12 5" xfId="7896" xr:uid="{00000000-0005-0000-0000-0000DC1E0000}"/>
    <cellStyle name="Normal 17 17 12 6" xfId="7897" xr:uid="{00000000-0005-0000-0000-0000DD1E0000}"/>
    <cellStyle name="Normal 17 17 13" xfId="7898" xr:uid="{00000000-0005-0000-0000-0000DE1E0000}"/>
    <cellStyle name="Normal 17 17 14" xfId="7899" xr:uid="{00000000-0005-0000-0000-0000DF1E0000}"/>
    <cellStyle name="Normal 17 17 15" xfId="7900" xr:uid="{00000000-0005-0000-0000-0000E01E0000}"/>
    <cellStyle name="Normal 17 17 16" xfId="7901" xr:uid="{00000000-0005-0000-0000-0000E11E0000}"/>
    <cellStyle name="Normal 17 17 17" xfId="7902" xr:uid="{00000000-0005-0000-0000-0000E21E0000}"/>
    <cellStyle name="Normal 17 17 2" xfId="7903" xr:uid="{00000000-0005-0000-0000-0000E31E0000}"/>
    <cellStyle name="Normal 17 17 2 10" xfId="7904" xr:uid="{00000000-0005-0000-0000-0000E41E0000}"/>
    <cellStyle name="Normal 17 17 2 10 2" xfId="7905" xr:uid="{00000000-0005-0000-0000-0000E51E0000}"/>
    <cellStyle name="Normal 17 17 2 10 3" xfId="7906" xr:uid="{00000000-0005-0000-0000-0000E61E0000}"/>
    <cellStyle name="Normal 17 17 2 10 4" xfId="7907" xr:uid="{00000000-0005-0000-0000-0000E71E0000}"/>
    <cellStyle name="Normal 17 17 2 10 5" xfId="7908" xr:uid="{00000000-0005-0000-0000-0000E81E0000}"/>
    <cellStyle name="Normal 17 17 2 10 6" xfId="7909" xr:uid="{00000000-0005-0000-0000-0000E91E0000}"/>
    <cellStyle name="Normal 17 17 2 11" xfId="7910" xr:uid="{00000000-0005-0000-0000-0000EA1E0000}"/>
    <cellStyle name="Normal 17 17 2 12" xfId="7911" xr:uid="{00000000-0005-0000-0000-0000EB1E0000}"/>
    <cellStyle name="Normal 17 17 2 13" xfId="7912" xr:uid="{00000000-0005-0000-0000-0000EC1E0000}"/>
    <cellStyle name="Normal 17 17 2 14" xfId="7913" xr:uid="{00000000-0005-0000-0000-0000ED1E0000}"/>
    <cellStyle name="Normal 17 17 2 15" xfId="7914" xr:uid="{00000000-0005-0000-0000-0000EE1E0000}"/>
    <cellStyle name="Normal 17 17 2 2" xfId="7915" xr:uid="{00000000-0005-0000-0000-0000EF1E0000}"/>
    <cellStyle name="Normal 17 17 2 2 10" xfId="7916" xr:uid="{00000000-0005-0000-0000-0000F01E0000}"/>
    <cellStyle name="Normal 17 17 2 2 11" xfId="7917" xr:uid="{00000000-0005-0000-0000-0000F11E0000}"/>
    <cellStyle name="Normal 17 17 2 2 12" xfId="7918" xr:uid="{00000000-0005-0000-0000-0000F21E0000}"/>
    <cellStyle name="Normal 17 17 2 2 13" xfId="7919" xr:uid="{00000000-0005-0000-0000-0000F31E0000}"/>
    <cellStyle name="Normal 17 17 2 2 14" xfId="7920" xr:uid="{00000000-0005-0000-0000-0000F41E0000}"/>
    <cellStyle name="Normal 17 17 2 2 2" xfId="7921" xr:uid="{00000000-0005-0000-0000-0000F51E0000}"/>
    <cellStyle name="Normal 17 17 2 2 2 2" xfId="7922" xr:uid="{00000000-0005-0000-0000-0000F61E0000}"/>
    <cellStyle name="Normal 17 17 2 2 2 3" xfId="7923" xr:uid="{00000000-0005-0000-0000-0000F71E0000}"/>
    <cellStyle name="Normal 17 17 2 2 2 4" xfId="7924" xr:uid="{00000000-0005-0000-0000-0000F81E0000}"/>
    <cellStyle name="Normal 17 17 2 2 2 5" xfId="7925" xr:uid="{00000000-0005-0000-0000-0000F91E0000}"/>
    <cellStyle name="Normal 17 17 2 2 2 6" xfId="7926" xr:uid="{00000000-0005-0000-0000-0000FA1E0000}"/>
    <cellStyle name="Normal 17 17 2 2 3" xfId="7927" xr:uid="{00000000-0005-0000-0000-0000FB1E0000}"/>
    <cellStyle name="Normal 17 17 2 2 3 2" xfId="7928" xr:uid="{00000000-0005-0000-0000-0000FC1E0000}"/>
    <cellStyle name="Normal 17 17 2 2 3 3" xfId="7929" xr:uid="{00000000-0005-0000-0000-0000FD1E0000}"/>
    <cellStyle name="Normal 17 17 2 2 3 4" xfId="7930" xr:uid="{00000000-0005-0000-0000-0000FE1E0000}"/>
    <cellStyle name="Normal 17 17 2 2 3 5" xfId="7931" xr:uid="{00000000-0005-0000-0000-0000FF1E0000}"/>
    <cellStyle name="Normal 17 17 2 2 3 6" xfId="7932" xr:uid="{00000000-0005-0000-0000-0000001F0000}"/>
    <cellStyle name="Normal 17 17 2 2 4" xfId="7933" xr:uid="{00000000-0005-0000-0000-0000011F0000}"/>
    <cellStyle name="Normal 17 17 2 2 4 2" xfId="7934" xr:uid="{00000000-0005-0000-0000-0000021F0000}"/>
    <cellStyle name="Normal 17 17 2 2 4 3" xfId="7935" xr:uid="{00000000-0005-0000-0000-0000031F0000}"/>
    <cellStyle name="Normal 17 17 2 2 4 4" xfId="7936" xr:uid="{00000000-0005-0000-0000-0000041F0000}"/>
    <cellStyle name="Normal 17 17 2 2 4 5" xfId="7937" xr:uid="{00000000-0005-0000-0000-0000051F0000}"/>
    <cellStyle name="Normal 17 17 2 2 4 6" xfId="7938" xr:uid="{00000000-0005-0000-0000-0000061F0000}"/>
    <cellStyle name="Normal 17 17 2 2 5" xfId="7939" xr:uid="{00000000-0005-0000-0000-0000071F0000}"/>
    <cellStyle name="Normal 17 17 2 2 5 2" xfId="7940" xr:uid="{00000000-0005-0000-0000-0000081F0000}"/>
    <cellStyle name="Normal 17 17 2 2 5 3" xfId="7941" xr:uid="{00000000-0005-0000-0000-0000091F0000}"/>
    <cellStyle name="Normal 17 17 2 2 5 4" xfId="7942" xr:uid="{00000000-0005-0000-0000-00000A1F0000}"/>
    <cellStyle name="Normal 17 17 2 2 5 5" xfId="7943" xr:uid="{00000000-0005-0000-0000-00000B1F0000}"/>
    <cellStyle name="Normal 17 17 2 2 5 6" xfId="7944" xr:uid="{00000000-0005-0000-0000-00000C1F0000}"/>
    <cellStyle name="Normal 17 17 2 2 6" xfId="7945" xr:uid="{00000000-0005-0000-0000-00000D1F0000}"/>
    <cellStyle name="Normal 17 17 2 2 6 2" xfId="7946" xr:uid="{00000000-0005-0000-0000-00000E1F0000}"/>
    <cellStyle name="Normal 17 17 2 2 6 3" xfId="7947" xr:uid="{00000000-0005-0000-0000-00000F1F0000}"/>
    <cellStyle name="Normal 17 17 2 2 6 4" xfId="7948" xr:uid="{00000000-0005-0000-0000-0000101F0000}"/>
    <cellStyle name="Normal 17 17 2 2 6 5" xfId="7949" xr:uid="{00000000-0005-0000-0000-0000111F0000}"/>
    <cellStyle name="Normal 17 17 2 2 6 6" xfId="7950" xr:uid="{00000000-0005-0000-0000-0000121F0000}"/>
    <cellStyle name="Normal 17 17 2 2 7" xfId="7951" xr:uid="{00000000-0005-0000-0000-0000131F0000}"/>
    <cellStyle name="Normal 17 17 2 2 7 2" xfId="7952" xr:uid="{00000000-0005-0000-0000-0000141F0000}"/>
    <cellStyle name="Normal 17 17 2 2 7 3" xfId="7953" xr:uid="{00000000-0005-0000-0000-0000151F0000}"/>
    <cellStyle name="Normal 17 17 2 2 7 4" xfId="7954" xr:uid="{00000000-0005-0000-0000-0000161F0000}"/>
    <cellStyle name="Normal 17 17 2 2 7 5" xfId="7955" xr:uid="{00000000-0005-0000-0000-0000171F0000}"/>
    <cellStyle name="Normal 17 17 2 2 7 6" xfId="7956" xr:uid="{00000000-0005-0000-0000-0000181F0000}"/>
    <cellStyle name="Normal 17 17 2 2 8" xfId="7957" xr:uid="{00000000-0005-0000-0000-0000191F0000}"/>
    <cellStyle name="Normal 17 17 2 2 8 2" xfId="7958" xr:uid="{00000000-0005-0000-0000-00001A1F0000}"/>
    <cellStyle name="Normal 17 17 2 2 8 3" xfId="7959" xr:uid="{00000000-0005-0000-0000-00001B1F0000}"/>
    <cellStyle name="Normal 17 17 2 2 8 4" xfId="7960" xr:uid="{00000000-0005-0000-0000-00001C1F0000}"/>
    <cellStyle name="Normal 17 17 2 2 8 5" xfId="7961" xr:uid="{00000000-0005-0000-0000-00001D1F0000}"/>
    <cellStyle name="Normal 17 17 2 2 8 6" xfId="7962" xr:uid="{00000000-0005-0000-0000-00001E1F0000}"/>
    <cellStyle name="Normal 17 17 2 2 9" xfId="7963" xr:uid="{00000000-0005-0000-0000-00001F1F0000}"/>
    <cellStyle name="Normal 17 17 2 2 9 2" xfId="7964" xr:uid="{00000000-0005-0000-0000-0000201F0000}"/>
    <cellStyle name="Normal 17 17 2 2 9 3" xfId="7965" xr:uid="{00000000-0005-0000-0000-0000211F0000}"/>
    <cellStyle name="Normal 17 17 2 2 9 4" xfId="7966" xr:uid="{00000000-0005-0000-0000-0000221F0000}"/>
    <cellStyle name="Normal 17 17 2 2 9 5" xfId="7967" xr:uid="{00000000-0005-0000-0000-0000231F0000}"/>
    <cellStyle name="Normal 17 17 2 2 9 6" xfId="7968" xr:uid="{00000000-0005-0000-0000-0000241F0000}"/>
    <cellStyle name="Normal 17 17 2 3" xfId="7969" xr:uid="{00000000-0005-0000-0000-0000251F0000}"/>
    <cellStyle name="Normal 17 17 2 3 2" xfId="7970" xr:uid="{00000000-0005-0000-0000-0000261F0000}"/>
    <cellStyle name="Normal 17 17 2 3 3" xfId="7971" xr:uid="{00000000-0005-0000-0000-0000271F0000}"/>
    <cellStyle name="Normal 17 17 2 3 4" xfId="7972" xr:uid="{00000000-0005-0000-0000-0000281F0000}"/>
    <cellStyle name="Normal 17 17 2 3 5" xfId="7973" xr:uid="{00000000-0005-0000-0000-0000291F0000}"/>
    <cellStyle name="Normal 17 17 2 3 6" xfId="7974" xr:uid="{00000000-0005-0000-0000-00002A1F0000}"/>
    <cellStyle name="Normal 17 17 2 4" xfId="7975" xr:uid="{00000000-0005-0000-0000-00002B1F0000}"/>
    <cellStyle name="Normal 17 17 2 4 2" xfId="7976" xr:uid="{00000000-0005-0000-0000-00002C1F0000}"/>
    <cellStyle name="Normal 17 17 2 4 3" xfId="7977" xr:uid="{00000000-0005-0000-0000-00002D1F0000}"/>
    <cellStyle name="Normal 17 17 2 4 4" xfId="7978" xr:uid="{00000000-0005-0000-0000-00002E1F0000}"/>
    <cellStyle name="Normal 17 17 2 4 5" xfId="7979" xr:uid="{00000000-0005-0000-0000-00002F1F0000}"/>
    <cellStyle name="Normal 17 17 2 4 6" xfId="7980" xr:uid="{00000000-0005-0000-0000-0000301F0000}"/>
    <cellStyle name="Normal 17 17 2 5" xfId="7981" xr:uid="{00000000-0005-0000-0000-0000311F0000}"/>
    <cellStyle name="Normal 17 17 2 5 2" xfId="7982" xr:uid="{00000000-0005-0000-0000-0000321F0000}"/>
    <cellStyle name="Normal 17 17 2 5 3" xfId="7983" xr:uid="{00000000-0005-0000-0000-0000331F0000}"/>
    <cellStyle name="Normal 17 17 2 5 4" xfId="7984" xr:uid="{00000000-0005-0000-0000-0000341F0000}"/>
    <cellStyle name="Normal 17 17 2 5 5" xfId="7985" xr:uid="{00000000-0005-0000-0000-0000351F0000}"/>
    <cellStyle name="Normal 17 17 2 5 6" xfId="7986" xr:uid="{00000000-0005-0000-0000-0000361F0000}"/>
    <cellStyle name="Normal 17 17 2 6" xfId="7987" xr:uid="{00000000-0005-0000-0000-0000371F0000}"/>
    <cellStyle name="Normal 17 17 2 6 2" xfId="7988" xr:uid="{00000000-0005-0000-0000-0000381F0000}"/>
    <cellStyle name="Normal 17 17 2 6 3" xfId="7989" xr:uid="{00000000-0005-0000-0000-0000391F0000}"/>
    <cellStyle name="Normal 17 17 2 6 4" xfId="7990" xr:uid="{00000000-0005-0000-0000-00003A1F0000}"/>
    <cellStyle name="Normal 17 17 2 6 5" xfId="7991" xr:uid="{00000000-0005-0000-0000-00003B1F0000}"/>
    <cellStyle name="Normal 17 17 2 6 6" xfId="7992" xr:uid="{00000000-0005-0000-0000-00003C1F0000}"/>
    <cellStyle name="Normal 17 17 2 7" xfId="7993" xr:uid="{00000000-0005-0000-0000-00003D1F0000}"/>
    <cellStyle name="Normal 17 17 2 7 2" xfId="7994" xr:uid="{00000000-0005-0000-0000-00003E1F0000}"/>
    <cellStyle name="Normal 17 17 2 7 3" xfId="7995" xr:uid="{00000000-0005-0000-0000-00003F1F0000}"/>
    <cellStyle name="Normal 17 17 2 7 4" xfId="7996" xr:uid="{00000000-0005-0000-0000-0000401F0000}"/>
    <cellStyle name="Normal 17 17 2 7 5" xfId="7997" xr:uid="{00000000-0005-0000-0000-0000411F0000}"/>
    <cellStyle name="Normal 17 17 2 7 6" xfId="7998" xr:uid="{00000000-0005-0000-0000-0000421F0000}"/>
    <cellStyle name="Normal 17 17 2 8" xfId="7999" xr:uid="{00000000-0005-0000-0000-0000431F0000}"/>
    <cellStyle name="Normal 17 17 2 8 2" xfId="8000" xr:uid="{00000000-0005-0000-0000-0000441F0000}"/>
    <cellStyle name="Normal 17 17 2 8 3" xfId="8001" xr:uid="{00000000-0005-0000-0000-0000451F0000}"/>
    <cellStyle name="Normal 17 17 2 8 4" xfId="8002" xr:uid="{00000000-0005-0000-0000-0000461F0000}"/>
    <cellStyle name="Normal 17 17 2 8 5" xfId="8003" xr:uid="{00000000-0005-0000-0000-0000471F0000}"/>
    <cellStyle name="Normal 17 17 2 8 6" xfId="8004" xr:uid="{00000000-0005-0000-0000-0000481F0000}"/>
    <cellStyle name="Normal 17 17 2 9" xfId="8005" xr:uid="{00000000-0005-0000-0000-0000491F0000}"/>
    <cellStyle name="Normal 17 17 2 9 2" xfId="8006" xr:uid="{00000000-0005-0000-0000-00004A1F0000}"/>
    <cellStyle name="Normal 17 17 2 9 3" xfId="8007" xr:uid="{00000000-0005-0000-0000-00004B1F0000}"/>
    <cellStyle name="Normal 17 17 2 9 4" xfId="8008" xr:uid="{00000000-0005-0000-0000-00004C1F0000}"/>
    <cellStyle name="Normal 17 17 2 9 5" xfId="8009" xr:uid="{00000000-0005-0000-0000-00004D1F0000}"/>
    <cellStyle name="Normal 17 17 2 9 6" xfId="8010" xr:uid="{00000000-0005-0000-0000-00004E1F0000}"/>
    <cellStyle name="Normal 17 17 3" xfId="8011" xr:uid="{00000000-0005-0000-0000-00004F1F0000}"/>
    <cellStyle name="Normal 17 17 3 10" xfId="8012" xr:uid="{00000000-0005-0000-0000-0000501F0000}"/>
    <cellStyle name="Normal 17 17 3 10 10" xfId="8013" xr:uid="{00000000-0005-0000-0000-0000511F0000}"/>
    <cellStyle name="Normal 17 17 3 10 10 2" xfId="8014" xr:uid="{00000000-0005-0000-0000-0000521F0000}"/>
    <cellStyle name="Normal 17 17 3 10 10 3" xfId="8015" xr:uid="{00000000-0005-0000-0000-0000531F0000}"/>
    <cellStyle name="Normal 17 17 3 10 10 4" xfId="8016" xr:uid="{00000000-0005-0000-0000-0000541F0000}"/>
    <cellStyle name="Normal 17 17 3 10 10 5" xfId="8017" xr:uid="{00000000-0005-0000-0000-0000551F0000}"/>
    <cellStyle name="Normal 17 17 3 10 10 6" xfId="8018" xr:uid="{00000000-0005-0000-0000-0000561F0000}"/>
    <cellStyle name="Normal 17 17 3 10 11" xfId="8019" xr:uid="{00000000-0005-0000-0000-0000571F0000}"/>
    <cellStyle name="Normal 17 17 3 10 12" xfId="8020" xr:uid="{00000000-0005-0000-0000-0000581F0000}"/>
    <cellStyle name="Normal 17 17 3 10 13" xfId="8021" xr:uid="{00000000-0005-0000-0000-0000591F0000}"/>
    <cellStyle name="Normal 17 17 3 10 14" xfId="8022" xr:uid="{00000000-0005-0000-0000-00005A1F0000}"/>
    <cellStyle name="Normal 17 17 3 10 15" xfId="8023" xr:uid="{00000000-0005-0000-0000-00005B1F0000}"/>
    <cellStyle name="Normal 17 17 3 10 2" xfId="8024" xr:uid="{00000000-0005-0000-0000-00005C1F0000}"/>
    <cellStyle name="Normal 17 17 3 10 2 10" xfId="8025" xr:uid="{00000000-0005-0000-0000-00005D1F0000}"/>
    <cellStyle name="Normal 17 17 3 10 2 11" xfId="8026" xr:uid="{00000000-0005-0000-0000-00005E1F0000}"/>
    <cellStyle name="Normal 17 17 3 10 2 12" xfId="8027" xr:uid="{00000000-0005-0000-0000-00005F1F0000}"/>
    <cellStyle name="Normal 17 17 3 10 2 13" xfId="8028" xr:uid="{00000000-0005-0000-0000-0000601F0000}"/>
    <cellStyle name="Normal 17 17 3 10 2 14" xfId="8029" xr:uid="{00000000-0005-0000-0000-0000611F0000}"/>
    <cellStyle name="Normal 17 17 3 10 2 2" xfId="8030" xr:uid="{00000000-0005-0000-0000-0000621F0000}"/>
    <cellStyle name="Normal 17 17 3 10 2 2 2" xfId="8031" xr:uid="{00000000-0005-0000-0000-0000631F0000}"/>
    <cellStyle name="Normal 17 17 3 10 2 2 3" xfId="8032" xr:uid="{00000000-0005-0000-0000-0000641F0000}"/>
    <cellStyle name="Normal 17 17 3 10 2 2 4" xfId="8033" xr:uid="{00000000-0005-0000-0000-0000651F0000}"/>
    <cellStyle name="Normal 17 17 3 10 2 2 5" xfId="8034" xr:uid="{00000000-0005-0000-0000-0000661F0000}"/>
    <cellStyle name="Normal 17 17 3 10 2 2 6" xfId="8035" xr:uid="{00000000-0005-0000-0000-0000671F0000}"/>
    <cellStyle name="Normal 17 17 3 10 2 3" xfId="8036" xr:uid="{00000000-0005-0000-0000-0000681F0000}"/>
    <cellStyle name="Normal 17 17 3 10 2 3 2" xfId="8037" xr:uid="{00000000-0005-0000-0000-0000691F0000}"/>
    <cellStyle name="Normal 17 17 3 10 2 3 3" xfId="8038" xr:uid="{00000000-0005-0000-0000-00006A1F0000}"/>
    <cellStyle name="Normal 17 17 3 10 2 3 4" xfId="8039" xr:uid="{00000000-0005-0000-0000-00006B1F0000}"/>
    <cellStyle name="Normal 17 17 3 10 2 3 5" xfId="8040" xr:uid="{00000000-0005-0000-0000-00006C1F0000}"/>
    <cellStyle name="Normal 17 17 3 10 2 3 6" xfId="8041" xr:uid="{00000000-0005-0000-0000-00006D1F0000}"/>
    <cellStyle name="Normal 17 17 3 10 2 4" xfId="8042" xr:uid="{00000000-0005-0000-0000-00006E1F0000}"/>
    <cellStyle name="Normal 17 17 3 10 2 4 2" xfId="8043" xr:uid="{00000000-0005-0000-0000-00006F1F0000}"/>
    <cellStyle name="Normal 17 17 3 10 2 4 3" xfId="8044" xr:uid="{00000000-0005-0000-0000-0000701F0000}"/>
    <cellStyle name="Normal 17 17 3 10 2 4 4" xfId="8045" xr:uid="{00000000-0005-0000-0000-0000711F0000}"/>
    <cellStyle name="Normal 17 17 3 10 2 4 5" xfId="8046" xr:uid="{00000000-0005-0000-0000-0000721F0000}"/>
    <cellStyle name="Normal 17 17 3 10 2 4 6" xfId="8047" xr:uid="{00000000-0005-0000-0000-0000731F0000}"/>
    <cellStyle name="Normal 17 17 3 10 2 5" xfId="8048" xr:uid="{00000000-0005-0000-0000-0000741F0000}"/>
    <cellStyle name="Normal 17 17 3 10 2 5 2" xfId="8049" xr:uid="{00000000-0005-0000-0000-0000751F0000}"/>
    <cellStyle name="Normal 17 17 3 10 2 5 3" xfId="8050" xr:uid="{00000000-0005-0000-0000-0000761F0000}"/>
    <cellStyle name="Normal 17 17 3 10 2 5 4" xfId="8051" xr:uid="{00000000-0005-0000-0000-0000771F0000}"/>
    <cellStyle name="Normal 17 17 3 10 2 5 5" xfId="8052" xr:uid="{00000000-0005-0000-0000-0000781F0000}"/>
    <cellStyle name="Normal 17 17 3 10 2 5 6" xfId="8053" xr:uid="{00000000-0005-0000-0000-0000791F0000}"/>
    <cellStyle name="Normal 17 17 3 10 2 6" xfId="8054" xr:uid="{00000000-0005-0000-0000-00007A1F0000}"/>
    <cellStyle name="Normal 17 17 3 10 2 6 2" xfId="8055" xr:uid="{00000000-0005-0000-0000-00007B1F0000}"/>
    <cellStyle name="Normal 17 17 3 10 2 6 3" xfId="8056" xr:uid="{00000000-0005-0000-0000-00007C1F0000}"/>
    <cellStyle name="Normal 17 17 3 10 2 6 4" xfId="8057" xr:uid="{00000000-0005-0000-0000-00007D1F0000}"/>
    <cellStyle name="Normal 17 17 3 10 2 6 5" xfId="8058" xr:uid="{00000000-0005-0000-0000-00007E1F0000}"/>
    <cellStyle name="Normal 17 17 3 10 2 6 6" xfId="8059" xr:uid="{00000000-0005-0000-0000-00007F1F0000}"/>
    <cellStyle name="Normal 17 17 3 10 2 7" xfId="8060" xr:uid="{00000000-0005-0000-0000-0000801F0000}"/>
    <cellStyle name="Normal 17 17 3 10 2 7 2" xfId="8061" xr:uid="{00000000-0005-0000-0000-0000811F0000}"/>
    <cellStyle name="Normal 17 17 3 10 2 7 3" xfId="8062" xr:uid="{00000000-0005-0000-0000-0000821F0000}"/>
    <cellStyle name="Normal 17 17 3 10 2 7 4" xfId="8063" xr:uid="{00000000-0005-0000-0000-0000831F0000}"/>
    <cellStyle name="Normal 17 17 3 10 2 7 5" xfId="8064" xr:uid="{00000000-0005-0000-0000-0000841F0000}"/>
    <cellStyle name="Normal 17 17 3 10 2 7 6" xfId="8065" xr:uid="{00000000-0005-0000-0000-0000851F0000}"/>
    <cellStyle name="Normal 17 17 3 10 2 8" xfId="8066" xr:uid="{00000000-0005-0000-0000-0000861F0000}"/>
    <cellStyle name="Normal 17 17 3 10 2 8 2" xfId="8067" xr:uid="{00000000-0005-0000-0000-0000871F0000}"/>
    <cellStyle name="Normal 17 17 3 10 2 8 3" xfId="8068" xr:uid="{00000000-0005-0000-0000-0000881F0000}"/>
    <cellStyle name="Normal 17 17 3 10 2 8 4" xfId="8069" xr:uid="{00000000-0005-0000-0000-0000891F0000}"/>
    <cellStyle name="Normal 17 17 3 10 2 8 5" xfId="8070" xr:uid="{00000000-0005-0000-0000-00008A1F0000}"/>
    <cellStyle name="Normal 17 17 3 10 2 8 6" xfId="8071" xr:uid="{00000000-0005-0000-0000-00008B1F0000}"/>
    <cellStyle name="Normal 17 17 3 10 2 9" xfId="8072" xr:uid="{00000000-0005-0000-0000-00008C1F0000}"/>
    <cellStyle name="Normal 17 17 3 10 2 9 2" xfId="8073" xr:uid="{00000000-0005-0000-0000-00008D1F0000}"/>
    <cellStyle name="Normal 17 17 3 10 2 9 3" xfId="8074" xr:uid="{00000000-0005-0000-0000-00008E1F0000}"/>
    <cellStyle name="Normal 17 17 3 10 2 9 4" xfId="8075" xr:uid="{00000000-0005-0000-0000-00008F1F0000}"/>
    <cellStyle name="Normal 17 17 3 10 2 9 5" xfId="8076" xr:uid="{00000000-0005-0000-0000-0000901F0000}"/>
    <cellStyle name="Normal 17 17 3 10 2 9 6" xfId="8077" xr:uid="{00000000-0005-0000-0000-0000911F0000}"/>
    <cellStyle name="Normal 17 17 3 10 3" xfId="8078" xr:uid="{00000000-0005-0000-0000-0000921F0000}"/>
    <cellStyle name="Normal 17 17 3 10 3 2" xfId="8079" xr:uid="{00000000-0005-0000-0000-0000931F0000}"/>
    <cellStyle name="Normal 17 17 3 10 3 3" xfId="8080" xr:uid="{00000000-0005-0000-0000-0000941F0000}"/>
    <cellStyle name="Normal 17 17 3 10 3 4" xfId="8081" xr:uid="{00000000-0005-0000-0000-0000951F0000}"/>
    <cellStyle name="Normal 17 17 3 10 3 5" xfId="8082" xr:uid="{00000000-0005-0000-0000-0000961F0000}"/>
    <cellStyle name="Normal 17 17 3 10 3 6" xfId="8083" xr:uid="{00000000-0005-0000-0000-0000971F0000}"/>
    <cellStyle name="Normal 17 17 3 10 4" xfId="8084" xr:uid="{00000000-0005-0000-0000-0000981F0000}"/>
    <cellStyle name="Normal 17 17 3 10 4 2" xfId="8085" xr:uid="{00000000-0005-0000-0000-0000991F0000}"/>
    <cellStyle name="Normal 17 17 3 10 4 3" xfId="8086" xr:uid="{00000000-0005-0000-0000-00009A1F0000}"/>
    <cellStyle name="Normal 17 17 3 10 4 4" xfId="8087" xr:uid="{00000000-0005-0000-0000-00009B1F0000}"/>
    <cellStyle name="Normal 17 17 3 10 4 5" xfId="8088" xr:uid="{00000000-0005-0000-0000-00009C1F0000}"/>
    <cellStyle name="Normal 17 17 3 10 4 6" xfId="8089" xr:uid="{00000000-0005-0000-0000-00009D1F0000}"/>
    <cellStyle name="Normal 17 17 3 10 5" xfId="8090" xr:uid="{00000000-0005-0000-0000-00009E1F0000}"/>
    <cellStyle name="Normal 17 17 3 10 5 2" xfId="8091" xr:uid="{00000000-0005-0000-0000-00009F1F0000}"/>
    <cellStyle name="Normal 17 17 3 10 5 3" xfId="8092" xr:uid="{00000000-0005-0000-0000-0000A01F0000}"/>
    <cellStyle name="Normal 17 17 3 10 5 4" xfId="8093" xr:uid="{00000000-0005-0000-0000-0000A11F0000}"/>
    <cellStyle name="Normal 17 17 3 10 5 5" xfId="8094" xr:uid="{00000000-0005-0000-0000-0000A21F0000}"/>
    <cellStyle name="Normal 17 17 3 10 5 6" xfId="8095" xr:uid="{00000000-0005-0000-0000-0000A31F0000}"/>
    <cellStyle name="Normal 17 17 3 10 6" xfId="8096" xr:uid="{00000000-0005-0000-0000-0000A41F0000}"/>
    <cellStyle name="Normal 17 17 3 10 6 2" xfId="8097" xr:uid="{00000000-0005-0000-0000-0000A51F0000}"/>
    <cellStyle name="Normal 17 17 3 10 6 3" xfId="8098" xr:uid="{00000000-0005-0000-0000-0000A61F0000}"/>
    <cellStyle name="Normal 17 17 3 10 6 4" xfId="8099" xr:uid="{00000000-0005-0000-0000-0000A71F0000}"/>
    <cellStyle name="Normal 17 17 3 10 6 5" xfId="8100" xr:uid="{00000000-0005-0000-0000-0000A81F0000}"/>
    <cellStyle name="Normal 17 17 3 10 6 6" xfId="8101" xr:uid="{00000000-0005-0000-0000-0000A91F0000}"/>
    <cellStyle name="Normal 17 17 3 10 7" xfId="8102" xr:uid="{00000000-0005-0000-0000-0000AA1F0000}"/>
    <cellStyle name="Normal 17 17 3 10 7 2" xfId="8103" xr:uid="{00000000-0005-0000-0000-0000AB1F0000}"/>
    <cellStyle name="Normal 17 17 3 10 7 3" xfId="8104" xr:uid="{00000000-0005-0000-0000-0000AC1F0000}"/>
    <cellStyle name="Normal 17 17 3 10 7 4" xfId="8105" xr:uid="{00000000-0005-0000-0000-0000AD1F0000}"/>
    <cellStyle name="Normal 17 17 3 10 7 5" xfId="8106" xr:uid="{00000000-0005-0000-0000-0000AE1F0000}"/>
    <cellStyle name="Normal 17 17 3 10 7 6" xfId="8107" xr:uid="{00000000-0005-0000-0000-0000AF1F0000}"/>
    <cellStyle name="Normal 17 17 3 10 8" xfId="8108" xr:uid="{00000000-0005-0000-0000-0000B01F0000}"/>
    <cellStyle name="Normal 17 17 3 10 8 2" xfId="8109" xr:uid="{00000000-0005-0000-0000-0000B11F0000}"/>
    <cellStyle name="Normal 17 17 3 10 8 3" xfId="8110" xr:uid="{00000000-0005-0000-0000-0000B21F0000}"/>
    <cellStyle name="Normal 17 17 3 10 8 4" xfId="8111" xr:uid="{00000000-0005-0000-0000-0000B31F0000}"/>
    <cellStyle name="Normal 17 17 3 10 8 5" xfId="8112" xr:uid="{00000000-0005-0000-0000-0000B41F0000}"/>
    <cellStyle name="Normal 17 17 3 10 8 6" xfId="8113" xr:uid="{00000000-0005-0000-0000-0000B51F0000}"/>
    <cellStyle name="Normal 17 17 3 10 9" xfId="8114" xr:uid="{00000000-0005-0000-0000-0000B61F0000}"/>
    <cellStyle name="Normal 17 17 3 10 9 2" xfId="8115" xr:uid="{00000000-0005-0000-0000-0000B71F0000}"/>
    <cellStyle name="Normal 17 17 3 10 9 3" xfId="8116" xr:uid="{00000000-0005-0000-0000-0000B81F0000}"/>
    <cellStyle name="Normal 17 17 3 10 9 4" xfId="8117" xr:uid="{00000000-0005-0000-0000-0000B91F0000}"/>
    <cellStyle name="Normal 17 17 3 10 9 5" xfId="8118" xr:uid="{00000000-0005-0000-0000-0000BA1F0000}"/>
    <cellStyle name="Normal 17 17 3 10 9 6" xfId="8119" xr:uid="{00000000-0005-0000-0000-0000BB1F0000}"/>
    <cellStyle name="Normal 17 17 3 11" xfId="8120" xr:uid="{00000000-0005-0000-0000-0000BC1F0000}"/>
    <cellStyle name="Normal 17 17 3 11 10" xfId="8121" xr:uid="{00000000-0005-0000-0000-0000BD1F0000}"/>
    <cellStyle name="Normal 17 17 3 11 10 2" xfId="8122" xr:uid="{00000000-0005-0000-0000-0000BE1F0000}"/>
    <cellStyle name="Normal 17 17 3 11 10 3" xfId="8123" xr:uid="{00000000-0005-0000-0000-0000BF1F0000}"/>
    <cellStyle name="Normal 17 17 3 11 10 4" xfId="8124" xr:uid="{00000000-0005-0000-0000-0000C01F0000}"/>
    <cellStyle name="Normal 17 17 3 11 10 5" xfId="8125" xr:uid="{00000000-0005-0000-0000-0000C11F0000}"/>
    <cellStyle name="Normal 17 17 3 11 10 6" xfId="8126" xr:uid="{00000000-0005-0000-0000-0000C21F0000}"/>
    <cellStyle name="Normal 17 17 3 11 11" xfId="8127" xr:uid="{00000000-0005-0000-0000-0000C31F0000}"/>
    <cellStyle name="Normal 17 17 3 11 12" xfId="8128" xr:uid="{00000000-0005-0000-0000-0000C41F0000}"/>
    <cellStyle name="Normal 17 17 3 11 13" xfId="8129" xr:uid="{00000000-0005-0000-0000-0000C51F0000}"/>
    <cellStyle name="Normal 17 17 3 11 14" xfId="8130" xr:uid="{00000000-0005-0000-0000-0000C61F0000}"/>
    <cellStyle name="Normal 17 17 3 11 15" xfId="8131" xr:uid="{00000000-0005-0000-0000-0000C71F0000}"/>
    <cellStyle name="Normal 17 17 3 11 2" xfId="8132" xr:uid="{00000000-0005-0000-0000-0000C81F0000}"/>
    <cellStyle name="Normal 17 17 3 11 2 10" xfId="8133" xr:uid="{00000000-0005-0000-0000-0000C91F0000}"/>
    <cellStyle name="Normal 17 17 3 11 2 11" xfId="8134" xr:uid="{00000000-0005-0000-0000-0000CA1F0000}"/>
    <cellStyle name="Normal 17 17 3 11 2 12" xfId="8135" xr:uid="{00000000-0005-0000-0000-0000CB1F0000}"/>
    <cellStyle name="Normal 17 17 3 11 2 13" xfId="8136" xr:uid="{00000000-0005-0000-0000-0000CC1F0000}"/>
    <cellStyle name="Normal 17 17 3 11 2 14" xfId="8137" xr:uid="{00000000-0005-0000-0000-0000CD1F0000}"/>
    <cellStyle name="Normal 17 17 3 11 2 2" xfId="8138" xr:uid="{00000000-0005-0000-0000-0000CE1F0000}"/>
    <cellStyle name="Normal 17 17 3 11 2 2 2" xfId="8139" xr:uid="{00000000-0005-0000-0000-0000CF1F0000}"/>
    <cellStyle name="Normal 17 17 3 11 2 2 3" xfId="8140" xr:uid="{00000000-0005-0000-0000-0000D01F0000}"/>
    <cellStyle name="Normal 17 17 3 11 2 2 4" xfId="8141" xr:uid="{00000000-0005-0000-0000-0000D11F0000}"/>
    <cellStyle name="Normal 17 17 3 11 2 2 5" xfId="8142" xr:uid="{00000000-0005-0000-0000-0000D21F0000}"/>
    <cellStyle name="Normal 17 17 3 11 2 2 6" xfId="8143" xr:uid="{00000000-0005-0000-0000-0000D31F0000}"/>
    <cellStyle name="Normal 17 17 3 11 2 3" xfId="8144" xr:uid="{00000000-0005-0000-0000-0000D41F0000}"/>
    <cellStyle name="Normal 17 17 3 11 2 3 2" xfId="8145" xr:uid="{00000000-0005-0000-0000-0000D51F0000}"/>
    <cellStyle name="Normal 17 17 3 11 2 3 3" xfId="8146" xr:uid="{00000000-0005-0000-0000-0000D61F0000}"/>
    <cellStyle name="Normal 17 17 3 11 2 3 4" xfId="8147" xr:uid="{00000000-0005-0000-0000-0000D71F0000}"/>
    <cellStyle name="Normal 17 17 3 11 2 3 5" xfId="8148" xr:uid="{00000000-0005-0000-0000-0000D81F0000}"/>
    <cellStyle name="Normal 17 17 3 11 2 3 6" xfId="8149" xr:uid="{00000000-0005-0000-0000-0000D91F0000}"/>
    <cellStyle name="Normal 17 17 3 11 2 4" xfId="8150" xr:uid="{00000000-0005-0000-0000-0000DA1F0000}"/>
    <cellStyle name="Normal 17 17 3 11 2 4 2" xfId="8151" xr:uid="{00000000-0005-0000-0000-0000DB1F0000}"/>
    <cellStyle name="Normal 17 17 3 11 2 4 3" xfId="8152" xr:uid="{00000000-0005-0000-0000-0000DC1F0000}"/>
    <cellStyle name="Normal 17 17 3 11 2 4 4" xfId="8153" xr:uid="{00000000-0005-0000-0000-0000DD1F0000}"/>
    <cellStyle name="Normal 17 17 3 11 2 4 5" xfId="8154" xr:uid="{00000000-0005-0000-0000-0000DE1F0000}"/>
    <cellStyle name="Normal 17 17 3 11 2 4 6" xfId="8155" xr:uid="{00000000-0005-0000-0000-0000DF1F0000}"/>
    <cellStyle name="Normal 17 17 3 11 2 5" xfId="8156" xr:uid="{00000000-0005-0000-0000-0000E01F0000}"/>
    <cellStyle name="Normal 17 17 3 11 2 5 2" xfId="8157" xr:uid="{00000000-0005-0000-0000-0000E11F0000}"/>
    <cellStyle name="Normal 17 17 3 11 2 5 3" xfId="8158" xr:uid="{00000000-0005-0000-0000-0000E21F0000}"/>
    <cellStyle name="Normal 17 17 3 11 2 5 4" xfId="8159" xr:uid="{00000000-0005-0000-0000-0000E31F0000}"/>
    <cellStyle name="Normal 17 17 3 11 2 5 5" xfId="8160" xr:uid="{00000000-0005-0000-0000-0000E41F0000}"/>
    <cellStyle name="Normal 17 17 3 11 2 5 6" xfId="8161" xr:uid="{00000000-0005-0000-0000-0000E51F0000}"/>
    <cellStyle name="Normal 17 17 3 11 2 6" xfId="8162" xr:uid="{00000000-0005-0000-0000-0000E61F0000}"/>
    <cellStyle name="Normal 17 17 3 11 2 6 2" xfId="8163" xr:uid="{00000000-0005-0000-0000-0000E71F0000}"/>
    <cellStyle name="Normal 17 17 3 11 2 6 3" xfId="8164" xr:uid="{00000000-0005-0000-0000-0000E81F0000}"/>
    <cellStyle name="Normal 17 17 3 11 2 6 4" xfId="8165" xr:uid="{00000000-0005-0000-0000-0000E91F0000}"/>
    <cellStyle name="Normal 17 17 3 11 2 6 5" xfId="8166" xr:uid="{00000000-0005-0000-0000-0000EA1F0000}"/>
    <cellStyle name="Normal 17 17 3 11 2 6 6" xfId="8167" xr:uid="{00000000-0005-0000-0000-0000EB1F0000}"/>
    <cellStyle name="Normal 17 17 3 11 2 7" xfId="8168" xr:uid="{00000000-0005-0000-0000-0000EC1F0000}"/>
    <cellStyle name="Normal 17 17 3 11 2 7 2" xfId="8169" xr:uid="{00000000-0005-0000-0000-0000ED1F0000}"/>
    <cellStyle name="Normal 17 17 3 11 2 7 3" xfId="8170" xr:uid="{00000000-0005-0000-0000-0000EE1F0000}"/>
    <cellStyle name="Normal 17 17 3 11 2 7 4" xfId="8171" xr:uid="{00000000-0005-0000-0000-0000EF1F0000}"/>
    <cellStyle name="Normal 17 17 3 11 2 7 5" xfId="8172" xr:uid="{00000000-0005-0000-0000-0000F01F0000}"/>
    <cellStyle name="Normal 17 17 3 11 2 7 6" xfId="8173" xr:uid="{00000000-0005-0000-0000-0000F11F0000}"/>
    <cellStyle name="Normal 17 17 3 11 2 8" xfId="8174" xr:uid="{00000000-0005-0000-0000-0000F21F0000}"/>
    <cellStyle name="Normal 17 17 3 11 2 8 2" xfId="8175" xr:uid="{00000000-0005-0000-0000-0000F31F0000}"/>
    <cellStyle name="Normal 17 17 3 11 2 8 3" xfId="8176" xr:uid="{00000000-0005-0000-0000-0000F41F0000}"/>
    <cellStyle name="Normal 17 17 3 11 2 8 4" xfId="8177" xr:uid="{00000000-0005-0000-0000-0000F51F0000}"/>
    <cellStyle name="Normal 17 17 3 11 2 8 5" xfId="8178" xr:uid="{00000000-0005-0000-0000-0000F61F0000}"/>
    <cellStyle name="Normal 17 17 3 11 2 8 6" xfId="8179" xr:uid="{00000000-0005-0000-0000-0000F71F0000}"/>
    <cellStyle name="Normal 17 17 3 11 2 9" xfId="8180" xr:uid="{00000000-0005-0000-0000-0000F81F0000}"/>
    <cellStyle name="Normal 17 17 3 11 2 9 2" xfId="8181" xr:uid="{00000000-0005-0000-0000-0000F91F0000}"/>
    <cellStyle name="Normal 17 17 3 11 2 9 3" xfId="8182" xr:uid="{00000000-0005-0000-0000-0000FA1F0000}"/>
    <cellStyle name="Normal 17 17 3 11 2 9 4" xfId="8183" xr:uid="{00000000-0005-0000-0000-0000FB1F0000}"/>
    <cellStyle name="Normal 17 17 3 11 2 9 5" xfId="8184" xr:uid="{00000000-0005-0000-0000-0000FC1F0000}"/>
    <cellStyle name="Normal 17 17 3 11 2 9 6" xfId="8185" xr:uid="{00000000-0005-0000-0000-0000FD1F0000}"/>
    <cellStyle name="Normal 17 17 3 11 3" xfId="8186" xr:uid="{00000000-0005-0000-0000-0000FE1F0000}"/>
    <cellStyle name="Normal 17 17 3 11 3 2" xfId="8187" xr:uid="{00000000-0005-0000-0000-0000FF1F0000}"/>
    <cellStyle name="Normal 17 17 3 11 3 3" xfId="8188" xr:uid="{00000000-0005-0000-0000-000000200000}"/>
    <cellStyle name="Normal 17 17 3 11 3 4" xfId="8189" xr:uid="{00000000-0005-0000-0000-000001200000}"/>
    <cellStyle name="Normal 17 17 3 11 3 5" xfId="8190" xr:uid="{00000000-0005-0000-0000-000002200000}"/>
    <cellStyle name="Normal 17 17 3 11 3 6" xfId="8191" xr:uid="{00000000-0005-0000-0000-000003200000}"/>
    <cellStyle name="Normal 17 17 3 11 4" xfId="8192" xr:uid="{00000000-0005-0000-0000-000004200000}"/>
    <cellStyle name="Normal 17 17 3 11 4 2" xfId="8193" xr:uid="{00000000-0005-0000-0000-000005200000}"/>
    <cellStyle name="Normal 17 17 3 11 4 3" xfId="8194" xr:uid="{00000000-0005-0000-0000-000006200000}"/>
    <cellStyle name="Normal 17 17 3 11 4 4" xfId="8195" xr:uid="{00000000-0005-0000-0000-000007200000}"/>
    <cellStyle name="Normal 17 17 3 11 4 5" xfId="8196" xr:uid="{00000000-0005-0000-0000-000008200000}"/>
    <cellStyle name="Normal 17 17 3 11 4 6" xfId="8197" xr:uid="{00000000-0005-0000-0000-000009200000}"/>
    <cellStyle name="Normal 17 17 3 11 5" xfId="8198" xr:uid="{00000000-0005-0000-0000-00000A200000}"/>
    <cellStyle name="Normal 17 17 3 11 5 2" xfId="8199" xr:uid="{00000000-0005-0000-0000-00000B200000}"/>
    <cellStyle name="Normal 17 17 3 11 5 3" xfId="8200" xr:uid="{00000000-0005-0000-0000-00000C200000}"/>
    <cellStyle name="Normal 17 17 3 11 5 4" xfId="8201" xr:uid="{00000000-0005-0000-0000-00000D200000}"/>
    <cellStyle name="Normal 17 17 3 11 5 5" xfId="8202" xr:uid="{00000000-0005-0000-0000-00000E200000}"/>
    <cellStyle name="Normal 17 17 3 11 5 6" xfId="8203" xr:uid="{00000000-0005-0000-0000-00000F200000}"/>
    <cellStyle name="Normal 17 17 3 11 6" xfId="8204" xr:uid="{00000000-0005-0000-0000-000010200000}"/>
    <cellStyle name="Normal 17 17 3 11 6 2" xfId="8205" xr:uid="{00000000-0005-0000-0000-000011200000}"/>
    <cellStyle name="Normal 17 17 3 11 6 3" xfId="8206" xr:uid="{00000000-0005-0000-0000-000012200000}"/>
    <cellStyle name="Normal 17 17 3 11 6 4" xfId="8207" xr:uid="{00000000-0005-0000-0000-000013200000}"/>
    <cellStyle name="Normal 17 17 3 11 6 5" xfId="8208" xr:uid="{00000000-0005-0000-0000-000014200000}"/>
    <cellStyle name="Normal 17 17 3 11 6 6" xfId="8209" xr:uid="{00000000-0005-0000-0000-000015200000}"/>
    <cellStyle name="Normal 17 17 3 11 7" xfId="8210" xr:uid="{00000000-0005-0000-0000-000016200000}"/>
    <cellStyle name="Normal 17 17 3 11 7 2" xfId="8211" xr:uid="{00000000-0005-0000-0000-000017200000}"/>
    <cellStyle name="Normal 17 17 3 11 7 3" xfId="8212" xr:uid="{00000000-0005-0000-0000-000018200000}"/>
    <cellStyle name="Normal 17 17 3 11 7 4" xfId="8213" xr:uid="{00000000-0005-0000-0000-000019200000}"/>
    <cellStyle name="Normal 17 17 3 11 7 5" xfId="8214" xr:uid="{00000000-0005-0000-0000-00001A200000}"/>
    <cellStyle name="Normal 17 17 3 11 7 6" xfId="8215" xr:uid="{00000000-0005-0000-0000-00001B200000}"/>
    <cellStyle name="Normal 17 17 3 11 8" xfId="8216" xr:uid="{00000000-0005-0000-0000-00001C200000}"/>
    <cellStyle name="Normal 17 17 3 11 8 2" xfId="8217" xr:uid="{00000000-0005-0000-0000-00001D200000}"/>
    <cellStyle name="Normal 17 17 3 11 8 3" xfId="8218" xr:uid="{00000000-0005-0000-0000-00001E200000}"/>
    <cellStyle name="Normal 17 17 3 11 8 4" xfId="8219" xr:uid="{00000000-0005-0000-0000-00001F200000}"/>
    <cellStyle name="Normal 17 17 3 11 8 5" xfId="8220" xr:uid="{00000000-0005-0000-0000-000020200000}"/>
    <cellStyle name="Normal 17 17 3 11 8 6" xfId="8221" xr:uid="{00000000-0005-0000-0000-000021200000}"/>
    <cellStyle name="Normal 17 17 3 11 9" xfId="8222" xr:uid="{00000000-0005-0000-0000-000022200000}"/>
    <cellStyle name="Normal 17 17 3 11 9 2" xfId="8223" xr:uid="{00000000-0005-0000-0000-000023200000}"/>
    <cellStyle name="Normal 17 17 3 11 9 3" xfId="8224" xr:uid="{00000000-0005-0000-0000-000024200000}"/>
    <cellStyle name="Normal 17 17 3 11 9 4" xfId="8225" xr:uid="{00000000-0005-0000-0000-000025200000}"/>
    <cellStyle name="Normal 17 17 3 11 9 5" xfId="8226" xr:uid="{00000000-0005-0000-0000-000026200000}"/>
    <cellStyle name="Normal 17 17 3 11 9 6" xfId="8227" xr:uid="{00000000-0005-0000-0000-000027200000}"/>
    <cellStyle name="Normal 17 17 3 12" xfId="8228" xr:uid="{00000000-0005-0000-0000-000028200000}"/>
    <cellStyle name="Normal 17 17 3 12 10" xfId="8229" xr:uid="{00000000-0005-0000-0000-000029200000}"/>
    <cellStyle name="Normal 17 17 3 12 11" xfId="8230" xr:uid="{00000000-0005-0000-0000-00002A200000}"/>
    <cellStyle name="Normal 17 17 3 12 12" xfId="8231" xr:uid="{00000000-0005-0000-0000-00002B200000}"/>
    <cellStyle name="Normal 17 17 3 12 13" xfId="8232" xr:uid="{00000000-0005-0000-0000-00002C200000}"/>
    <cellStyle name="Normal 17 17 3 12 14" xfId="8233" xr:uid="{00000000-0005-0000-0000-00002D200000}"/>
    <cellStyle name="Normal 17 17 3 12 2" xfId="8234" xr:uid="{00000000-0005-0000-0000-00002E200000}"/>
    <cellStyle name="Normal 17 17 3 12 2 2" xfId="8235" xr:uid="{00000000-0005-0000-0000-00002F200000}"/>
    <cellStyle name="Normal 17 17 3 12 2 3" xfId="8236" xr:uid="{00000000-0005-0000-0000-000030200000}"/>
    <cellStyle name="Normal 17 17 3 12 2 4" xfId="8237" xr:uid="{00000000-0005-0000-0000-000031200000}"/>
    <cellStyle name="Normal 17 17 3 12 2 5" xfId="8238" xr:uid="{00000000-0005-0000-0000-000032200000}"/>
    <cellStyle name="Normal 17 17 3 12 2 6" xfId="8239" xr:uid="{00000000-0005-0000-0000-000033200000}"/>
    <cellStyle name="Normal 17 17 3 12 3" xfId="8240" xr:uid="{00000000-0005-0000-0000-000034200000}"/>
    <cellStyle name="Normal 17 17 3 12 3 2" xfId="8241" xr:uid="{00000000-0005-0000-0000-000035200000}"/>
    <cellStyle name="Normal 17 17 3 12 3 3" xfId="8242" xr:uid="{00000000-0005-0000-0000-000036200000}"/>
    <cellStyle name="Normal 17 17 3 12 3 4" xfId="8243" xr:uid="{00000000-0005-0000-0000-000037200000}"/>
    <cellStyle name="Normal 17 17 3 12 3 5" xfId="8244" xr:uid="{00000000-0005-0000-0000-000038200000}"/>
    <cellStyle name="Normal 17 17 3 12 3 6" xfId="8245" xr:uid="{00000000-0005-0000-0000-000039200000}"/>
    <cellStyle name="Normal 17 17 3 12 4" xfId="8246" xr:uid="{00000000-0005-0000-0000-00003A200000}"/>
    <cellStyle name="Normal 17 17 3 12 4 2" xfId="8247" xr:uid="{00000000-0005-0000-0000-00003B200000}"/>
    <cellStyle name="Normal 17 17 3 12 4 3" xfId="8248" xr:uid="{00000000-0005-0000-0000-00003C200000}"/>
    <cellStyle name="Normal 17 17 3 12 4 4" xfId="8249" xr:uid="{00000000-0005-0000-0000-00003D200000}"/>
    <cellStyle name="Normal 17 17 3 12 4 5" xfId="8250" xr:uid="{00000000-0005-0000-0000-00003E200000}"/>
    <cellStyle name="Normal 17 17 3 12 4 6" xfId="8251" xr:uid="{00000000-0005-0000-0000-00003F200000}"/>
    <cellStyle name="Normal 17 17 3 12 5" xfId="8252" xr:uid="{00000000-0005-0000-0000-000040200000}"/>
    <cellStyle name="Normal 17 17 3 12 5 2" xfId="8253" xr:uid="{00000000-0005-0000-0000-000041200000}"/>
    <cellStyle name="Normal 17 17 3 12 5 3" xfId="8254" xr:uid="{00000000-0005-0000-0000-000042200000}"/>
    <cellStyle name="Normal 17 17 3 12 5 4" xfId="8255" xr:uid="{00000000-0005-0000-0000-000043200000}"/>
    <cellStyle name="Normal 17 17 3 12 5 5" xfId="8256" xr:uid="{00000000-0005-0000-0000-000044200000}"/>
    <cellStyle name="Normal 17 17 3 12 5 6" xfId="8257" xr:uid="{00000000-0005-0000-0000-000045200000}"/>
    <cellStyle name="Normal 17 17 3 12 6" xfId="8258" xr:uid="{00000000-0005-0000-0000-000046200000}"/>
    <cellStyle name="Normal 17 17 3 12 6 2" xfId="8259" xr:uid="{00000000-0005-0000-0000-000047200000}"/>
    <cellStyle name="Normal 17 17 3 12 6 3" xfId="8260" xr:uid="{00000000-0005-0000-0000-000048200000}"/>
    <cellStyle name="Normal 17 17 3 12 6 4" xfId="8261" xr:uid="{00000000-0005-0000-0000-000049200000}"/>
    <cellStyle name="Normal 17 17 3 12 6 5" xfId="8262" xr:uid="{00000000-0005-0000-0000-00004A200000}"/>
    <cellStyle name="Normal 17 17 3 12 6 6" xfId="8263" xr:uid="{00000000-0005-0000-0000-00004B200000}"/>
    <cellStyle name="Normal 17 17 3 12 7" xfId="8264" xr:uid="{00000000-0005-0000-0000-00004C200000}"/>
    <cellStyle name="Normal 17 17 3 12 7 2" xfId="8265" xr:uid="{00000000-0005-0000-0000-00004D200000}"/>
    <cellStyle name="Normal 17 17 3 12 7 3" xfId="8266" xr:uid="{00000000-0005-0000-0000-00004E200000}"/>
    <cellStyle name="Normal 17 17 3 12 7 4" xfId="8267" xr:uid="{00000000-0005-0000-0000-00004F200000}"/>
    <cellStyle name="Normal 17 17 3 12 7 5" xfId="8268" xr:uid="{00000000-0005-0000-0000-000050200000}"/>
    <cellStyle name="Normal 17 17 3 12 7 6" xfId="8269" xr:uid="{00000000-0005-0000-0000-000051200000}"/>
    <cellStyle name="Normal 17 17 3 12 8" xfId="8270" xr:uid="{00000000-0005-0000-0000-000052200000}"/>
    <cellStyle name="Normal 17 17 3 12 8 2" xfId="8271" xr:uid="{00000000-0005-0000-0000-000053200000}"/>
    <cellStyle name="Normal 17 17 3 12 8 3" xfId="8272" xr:uid="{00000000-0005-0000-0000-000054200000}"/>
    <cellStyle name="Normal 17 17 3 12 8 4" xfId="8273" xr:uid="{00000000-0005-0000-0000-000055200000}"/>
    <cellStyle name="Normal 17 17 3 12 8 5" xfId="8274" xr:uid="{00000000-0005-0000-0000-000056200000}"/>
    <cellStyle name="Normal 17 17 3 12 8 6" xfId="8275" xr:uid="{00000000-0005-0000-0000-000057200000}"/>
    <cellStyle name="Normal 17 17 3 12 9" xfId="8276" xr:uid="{00000000-0005-0000-0000-000058200000}"/>
    <cellStyle name="Normal 17 17 3 12 9 2" xfId="8277" xr:uid="{00000000-0005-0000-0000-000059200000}"/>
    <cellStyle name="Normal 17 17 3 12 9 3" xfId="8278" xr:uid="{00000000-0005-0000-0000-00005A200000}"/>
    <cellStyle name="Normal 17 17 3 12 9 4" xfId="8279" xr:uid="{00000000-0005-0000-0000-00005B200000}"/>
    <cellStyle name="Normal 17 17 3 12 9 5" xfId="8280" xr:uid="{00000000-0005-0000-0000-00005C200000}"/>
    <cellStyle name="Normal 17 17 3 12 9 6" xfId="8281" xr:uid="{00000000-0005-0000-0000-00005D200000}"/>
    <cellStyle name="Normal 17 17 3 13" xfId="8282" xr:uid="{00000000-0005-0000-0000-00005E200000}"/>
    <cellStyle name="Normal 17 17 3 13 2" xfId="8283" xr:uid="{00000000-0005-0000-0000-00005F200000}"/>
    <cellStyle name="Normal 17 17 3 13 3" xfId="8284" xr:uid="{00000000-0005-0000-0000-000060200000}"/>
    <cellStyle name="Normal 17 17 3 13 4" xfId="8285" xr:uid="{00000000-0005-0000-0000-000061200000}"/>
    <cellStyle name="Normal 17 17 3 13 5" xfId="8286" xr:uid="{00000000-0005-0000-0000-000062200000}"/>
    <cellStyle name="Normal 17 17 3 13 6" xfId="8287" xr:uid="{00000000-0005-0000-0000-000063200000}"/>
    <cellStyle name="Normal 17 17 3 14" xfId="8288" xr:uid="{00000000-0005-0000-0000-000064200000}"/>
    <cellStyle name="Normal 17 17 3 14 2" xfId="8289" xr:uid="{00000000-0005-0000-0000-000065200000}"/>
    <cellStyle name="Normal 17 17 3 14 3" xfId="8290" xr:uid="{00000000-0005-0000-0000-000066200000}"/>
    <cellStyle name="Normal 17 17 3 14 4" xfId="8291" xr:uid="{00000000-0005-0000-0000-000067200000}"/>
    <cellStyle name="Normal 17 17 3 14 5" xfId="8292" xr:uid="{00000000-0005-0000-0000-000068200000}"/>
    <cellStyle name="Normal 17 17 3 14 6" xfId="8293" xr:uid="{00000000-0005-0000-0000-000069200000}"/>
    <cellStyle name="Normal 17 17 3 15" xfId="8294" xr:uid="{00000000-0005-0000-0000-00006A200000}"/>
    <cellStyle name="Normal 17 17 3 15 2" xfId="8295" xr:uid="{00000000-0005-0000-0000-00006B200000}"/>
    <cellStyle name="Normal 17 17 3 15 3" xfId="8296" xr:uid="{00000000-0005-0000-0000-00006C200000}"/>
    <cellStyle name="Normal 17 17 3 15 4" xfId="8297" xr:uid="{00000000-0005-0000-0000-00006D200000}"/>
    <cellStyle name="Normal 17 17 3 15 5" xfId="8298" xr:uid="{00000000-0005-0000-0000-00006E200000}"/>
    <cellStyle name="Normal 17 17 3 15 6" xfId="8299" xr:uid="{00000000-0005-0000-0000-00006F200000}"/>
    <cellStyle name="Normal 17 17 3 16" xfId="8300" xr:uid="{00000000-0005-0000-0000-000070200000}"/>
    <cellStyle name="Normal 17 17 3 16 2" xfId="8301" xr:uid="{00000000-0005-0000-0000-000071200000}"/>
    <cellStyle name="Normal 17 17 3 16 3" xfId="8302" xr:uid="{00000000-0005-0000-0000-000072200000}"/>
    <cellStyle name="Normal 17 17 3 16 4" xfId="8303" xr:uid="{00000000-0005-0000-0000-000073200000}"/>
    <cellStyle name="Normal 17 17 3 16 5" xfId="8304" xr:uid="{00000000-0005-0000-0000-000074200000}"/>
    <cellStyle name="Normal 17 17 3 16 6" xfId="8305" xr:uid="{00000000-0005-0000-0000-000075200000}"/>
    <cellStyle name="Normal 17 17 3 17" xfId="8306" xr:uid="{00000000-0005-0000-0000-000076200000}"/>
    <cellStyle name="Normal 17 17 3 17 2" xfId="8307" xr:uid="{00000000-0005-0000-0000-000077200000}"/>
    <cellStyle name="Normal 17 17 3 17 3" xfId="8308" xr:uid="{00000000-0005-0000-0000-000078200000}"/>
    <cellStyle name="Normal 17 17 3 17 4" xfId="8309" xr:uid="{00000000-0005-0000-0000-000079200000}"/>
    <cellStyle name="Normal 17 17 3 17 5" xfId="8310" xr:uid="{00000000-0005-0000-0000-00007A200000}"/>
    <cellStyle name="Normal 17 17 3 17 6" xfId="8311" xr:uid="{00000000-0005-0000-0000-00007B200000}"/>
    <cellStyle name="Normal 17 17 3 18" xfId="8312" xr:uid="{00000000-0005-0000-0000-00007C200000}"/>
    <cellStyle name="Normal 17 17 3 18 2" xfId="8313" xr:uid="{00000000-0005-0000-0000-00007D200000}"/>
    <cellStyle name="Normal 17 17 3 18 3" xfId="8314" xr:uid="{00000000-0005-0000-0000-00007E200000}"/>
    <cellStyle name="Normal 17 17 3 18 4" xfId="8315" xr:uid="{00000000-0005-0000-0000-00007F200000}"/>
    <cellStyle name="Normal 17 17 3 18 5" xfId="8316" xr:uid="{00000000-0005-0000-0000-000080200000}"/>
    <cellStyle name="Normal 17 17 3 18 6" xfId="8317" xr:uid="{00000000-0005-0000-0000-000081200000}"/>
    <cellStyle name="Normal 17 17 3 19" xfId="8318" xr:uid="{00000000-0005-0000-0000-000082200000}"/>
    <cellStyle name="Normal 17 17 3 19 2" xfId="8319" xr:uid="{00000000-0005-0000-0000-000083200000}"/>
    <cellStyle name="Normal 17 17 3 19 3" xfId="8320" xr:uid="{00000000-0005-0000-0000-000084200000}"/>
    <cellStyle name="Normal 17 17 3 19 4" xfId="8321" xr:uid="{00000000-0005-0000-0000-000085200000}"/>
    <cellStyle name="Normal 17 17 3 19 5" xfId="8322" xr:uid="{00000000-0005-0000-0000-000086200000}"/>
    <cellStyle name="Normal 17 17 3 19 6" xfId="8323" xr:uid="{00000000-0005-0000-0000-000087200000}"/>
    <cellStyle name="Normal 17 17 3 2" xfId="8324" xr:uid="{00000000-0005-0000-0000-000088200000}"/>
    <cellStyle name="Normal 17 17 3 2 10" xfId="8325" xr:uid="{00000000-0005-0000-0000-000089200000}"/>
    <cellStyle name="Normal 17 17 3 2 10 2" xfId="8326" xr:uid="{00000000-0005-0000-0000-00008A200000}"/>
    <cellStyle name="Normal 17 17 3 2 10 3" xfId="8327" xr:uid="{00000000-0005-0000-0000-00008B200000}"/>
    <cellStyle name="Normal 17 17 3 2 10 4" xfId="8328" xr:uid="{00000000-0005-0000-0000-00008C200000}"/>
    <cellStyle name="Normal 17 17 3 2 10 5" xfId="8329" xr:uid="{00000000-0005-0000-0000-00008D200000}"/>
    <cellStyle name="Normal 17 17 3 2 10 6" xfId="8330" xr:uid="{00000000-0005-0000-0000-00008E200000}"/>
    <cellStyle name="Normal 17 17 3 2 11" xfId="8331" xr:uid="{00000000-0005-0000-0000-00008F200000}"/>
    <cellStyle name="Normal 17 17 3 2 12" xfId="8332" xr:uid="{00000000-0005-0000-0000-000090200000}"/>
    <cellStyle name="Normal 17 17 3 2 13" xfId="8333" xr:uid="{00000000-0005-0000-0000-000091200000}"/>
    <cellStyle name="Normal 17 17 3 2 14" xfId="8334" xr:uid="{00000000-0005-0000-0000-000092200000}"/>
    <cellStyle name="Normal 17 17 3 2 15" xfId="8335" xr:uid="{00000000-0005-0000-0000-000093200000}"/>
    <cellStyle name="Normal 17 17 3 2 2" xfId="8336" xr:uid="{00000000-0005-0000-0000-000094200000}"/>
    <cellStyle name="Normal 17 17 3 2 2 10" xfId="8337" xr:uid="{00000000-0005-0000-0000-000095200000}"/>
    <cellStyle name="Normal 17 17 3 2 2 11" xfId="8338" xr:uid="{00000000-0005-0000-0000-000096200000}"/>
    <cellStyle name="Normal 17 17 3 2 2 12" xfId="8339" xr:uid="{00000000-0005-0000-0000-000097200000}"/>
    <cellStyle name="Normal 17 17 3 2 2 13" xfId="8340" xr:uid="{00000000-0005-0000-0000-000098200000}"/>
    <cellStyle name="Normal 17 17 3 2 2 14" xfId="8341" xr:uid="{00000000-0005-0000-0000-000099200000}"/>
    <cellStyle name="Normal 17 17 3 2 2 2" xfId="8342" xr:uid="{00000000-0005-0000-0000-00009A200000}"/>
    <cellStyle name="Normal 17 17 3 2 2 2 2" xfId="8343" xr:uid="{00000000-0005-0000-0000-00009B200000}"/>
    <cellStyle name="Normal 17 17 3 2 2 2 3" xfId="8344" xr:uid="{00000000-0005-0000-0000-00009C200000}"/>
    <cellStyle name="Normal 17 17 3 2 2 2 4" xfId="8345" xr:uid="{00000000-0005-0000-0000-00009D200000}"/>
    <cellStyle name="Normal 17 17 3 2 2 2 5" xfId="8346" xr:uid="{00000000-0005-0000-0000-00009E200000}"/>
    <cellStyle name="Normal 17 17 3 2 2 2 6" xfId="8347" xr:uid="{00000000-0005-0000-0000-00009F200000}"/>
    <cellStyle name="Normal 17 17 3 2 2 3" xfId="8348" xr:uid="{00000000-0005-0000-0000-0000A0200000}"/>
    <cellStyle name="Normal 17 17 3 2 2 3 2" xfId="8349" xr:uid="{00000000-0005-0000-0000-0000A1200000}"/>
    <cellStyle name="Normal 17 17 3 2 2 3 3" xfId="8350" xr:uid="{00000000-0005-0000-0000-0000A2200000}"/>
    <cellStyle name="Normal 17 17 3 2 2 3 4" xfId="8351" xr:uid="{00000000-0005-0000-0000-0000A3200000}"/>
    <cellStyle name="Normal 17 17 3 2 2 3 5" xfId="8352" xr:uid="{00000000-0005-0000-0000-0000A4200000}"/>
    <cellStyle name="Normal 17 17 3 2 2 3 6" xfId="8353" xr:uid="{00000000-0005-0000-0000-0000A5200000}"/>
    <cellStyle name="Normal 17 17 3 2 2 4" xfId="8354" xr:uid="{00000000-0005-0000-0000-0000A6200000}"/>
    <cellStyle name="Normal 17 17 3 2 2 4 2" xfId="8355" xr:uid="{00000000-0005-0000-0000-0000A7200000}"/>
    <cellStyle name="Normal 17 17 3 2 2 4 3" xfId="8356" xr:uid="{00000000-0005-0000-0000-0000A8200000}"/>
    <cellStyle name="Normal 17 17 3 2 2 4 4" xfId="8357" xr:uid="{00000000-0005-0000-0000-0000A9200000}"/>
    <cellStyle name="Normal 17 17 3 2 2 4 5" xfId="8358" xr:uid="{00000000-0005-0000-0000-0000AA200000}"/>
    <cellStyle name="Normal 17 17 3 2 2 4 6" xfId="8359" xr:uid="{00000000-0005-0000-0000-0000AB200000}"/>
    <cellStyle name="Normal 17 17 3 2 2 5" xfId="8360" xr:uid="{00000000-0005-0000-0000-0000AC200000}"/>
    <cellStyle name="Normal 17 17 3 2 2 5 2" xfId="8361" xr:uid="{00000000-0005-0000-0000-0000AD200000}"/>
    <cellStyle name="Normal 17 17 3 2 2 5 3" xfId="8362" xr:uid="{00000000-0005-0000-0000-0000AE200000}"/>
    <cellStyle name="Normal 17 17 3 2 2 5 4" xfId="8363" xr:uid="{00000000-0005-0000-0000-0000AF200000}"/>
    <cellStyle name="Normal 17 17 3 2 2 5 5" xfId="8364" xr:uid="{00000000-0005-0000-0000-0000B0200000}"/>
    <cellStyle name="Normal 17 17 3 2 2 5 6" xfId="8365" xr:uid="{00000000-0005-0000-0000-0000B1200000}"/>
    <cellStyle name="Normal 17 17 3 2 2 6" xfId="8366" xr:uid="{00000000-0005-0000-0000-0000B2200000}"/>
    <cellStyle name="Normal 17 17 3 2 2 6 2" xfId="8367" xr:uid="{00000000-0005-0000-0000-0000B3200000}"/>
    <cellStyle name="Normal 17 17 3 2 2 6 3" xfId="8368" xr:uid="{00000000-0005-0000-0000-0000B4200000}"/>
    <cellStyle name="Normal 17 17 3 2 2 6 4" xfId="8369" xr:uid="{00000000-0005-0000-0000-0000B5200000}"/>
    <cellStyle name="Normal 17 17 3 2 2 6 5" xfId="8370" xr:uid="{00000000-0005-0000-0000-0000B6200000}"/>
    <cellStyle name="Normal 17 17 3 2 2 6 6" xfId="8371" xr:uid="{00000000-0005-0000-0000-0000B7200000}"/>
    <cellStyle name="Normal 17 17 3 2 2 7" xfId="8372" xr:uid="{00000000-0005-0000-0000-0000B8200000}"/>
    <cellStyle name="Normal 17 17 3 2 2 7 2" xfId="8373" xr:uid="{00000000-0005-0000-0000-0000B9200000}"/>
    <cellStyle name="Normal 17 17 3 2 2 7 3" xfId="8374" xr:uid="{00000000-0005-0000-0000-0000BA200000}"/>
    <cellStyle name="Normal 17 17 3 2 2 7 4" xfId="8375" xr:uid="{00000000-0005-0000-0000-0000BB200000}"/>
    <cellStyle name="Normal 17 17 3 2 2 7 5" xfId="8376" xr:uid="{00000000-0005-0000-0000-0000BC200000}"/>
    <cellStyle name="Normal 17 17 3 2 2 7 6" xfId="8377" xr:uid="{00000000-0005-0000-0000-0000BD200000}"/>
    <cellStyle name="Normal 17 17 3 2 2 8" xfId="8378" xr:uid="{00000000-0005-0000-0000-0000BE200000}"/>
    <cellStyle name="Normal 17 17 3 2 2 8 2" xfId="8379" xr:uid="{00000000-0005-0000-0000-0000BF200000}"/>
    <cellStyle name="Normal 17 17 3 2 2 8 3" xfId="8380" xr:uid="{00000000-0005-0000-0000-0000C0200000}"/>
    <cellStyle name="Normal 17 17 3 2 2 8 4" xfId="8381" xr:uid="{00000000-0005-0000-0000-0000C1200000}"/>
    <cellStyle name="Normal 17 17 3 2 2 8 5" xfId="8382" xr:uid="{00000000-0005-0000-0000-0000C2200000}"/>
    <cellStyle name="Normal 17 17 3 2 2 8 6" xfId="8383" xr:uid="{00000000-0005-0000-0000-0000C3200000}"/>
    <cellStyle name="Normal 17 17 3 2 2 9" xfId="8384" xr:uid="{00000000-0005-0000-0000-0000C4200000}"/>
    <cellStyle name="Normal 17 17 3 2 2 9 2" xfId="8385" xr:uid="{00000000-0005-0000-0000-0000C5200000}"/>
    <cellStyle name="Normal 17 17 3 2 2 9 3" xfId="8386" xr:uid="{00000000-0005-0000-0000-0000C6200000}"/>
    <cellStyle name="Normal 17 17 3 2 2 9 4" xfId="8387" xr:uid="{00000000-0005-0000-0000-0000C7200000}"/>
    <cellStyle name="Normal 17 17 3 2 2 9 5" xfId="8388" xr:uid="{00000000-0005-0000-0000-0000C8200000}"/>
    <cellStyle name="Normal 17 17 3 2 2 9 6" xfId="8389" xr:uid="{00000000-0005-0000-0000-0000C9200000}"/>
    <cellStyle name="Normal 17 17 3 2 3" xfId="8390" xr:uid="{00000000-0005-0000-0000-0000CA200000}"/>
    <cellStyle name="Normal 17 17 3 2 3 2" xfId="8391" xr:uid="{00000000-0005-0000-0000-0000CB200000}"/>
    <cellStyle name="Normal 17 17 3 2 3 3" xfId="8392" xr:uid="{00000000-0005-0000-0000-0000CC200000}"/>
    <cellStyle name="Normal 17 17 3 2 3 4" xfId="8393" xr:uid="{00000000-0005-0000-0000-0000CD200000}"/>
    <cellStyle name="Normal 17 17 3 2 3 5" xfId="8394" xr:uid="{00000000-0005-0000-0000-0000CE200000}"/>
    <cellStyle name="Normal 17 17 3 2 3 6" xfId="8395" xr:uid="{00000000-0005-0000-0000-0000CF200000}"/>
    <cellStyle name="Normal 17 17 3 2 4" xfId="8396" xr:uid="{00000000-0005-0000-0000-0000D0200000}"/>
    <cellStyle name="Normal 17 17 3 2 4 2" xfId="8397" xr:uid="{00000000-0005-0000-0000-0000D1200000}"/>
    <cellStyle name="Normal 17 17 3 2 4 3" xfId="8398" xr:uid="{00000000-0005-0000-0000-0000D2200000}"/>
    <cellStyle name="Normal 17 17 3 2 4 4" xfId="8399" xr:uid="{00000000-0005-0000-0000-0000D3200000}"/>
    <cellStyle name="Normal 17 17 3 2 4 5" xfId="8400" xr:uid="{00000000-0005-0000-0000-0000D4200000}"/>
    <cellStyle name="Normal 17 17 3 2 4 6" xfId="8401" xr:uid="{00000000-0005-0000-0000-0000D5200000}"/>
    <cellStyle name="Normal 17 17 3 2 5" xfId="8402" xr:uid="{00000000-0005-0000-0000-0000D6200000}"/>
    <cellStyle name="Normal 17 17 3 2 5 2" xfId="8403" xr:uid="{00000000-0005-0000-0000-0000D7200000}"/>
    <cellStyle name="Normal 17 17 3 2 5 3" xfId="8404" xr:uid="{00000000-0005-0000-0000-0000D8200000}"/>
    <cellStyle name="Normal 17 17 3 2 5 4" xfId="8405" xr:uid="{00000000-0005-0000-0000-0000D9200000}"/>
    <cellStyle name="Normal 17 17 3 2 5 5" xfId="8406" xr:uid="{00000000-0005-0000-0000-0000DA200000}"/>
    <cellStyle name="Normal 17 17 3 2 5 6" xfId="8407" xr:uid="{00000000-0005-0000-0000-0000DB200000}"/>
    <cellStyle name="Normal 17 17 3 2 6" xfId="8408" xr:uid="{00000000-0005-0000-0000-0000DC200000}"/>
    <cellStyle name="Normal 17 17 3 2 6 2" xfId="8409" xr:uid="{00000000-0005-0000-0000-0000DD200000}"/>
    <cellStyle name="Normal 17 17 3 2 6 3" xfId="8410" xr:uid="{00000000-0005-0000-0000-0000DE200000}"/>
    <cellStyle name="Normal 17 17 3 2 6 4" xfId="8411" xr:uid="{00000000-0005-0000-0000-0000DF200000}"/>
    <cellStyle name="Normal 17 17 3 2 6 5" xfId="8412" xr:uid="{00000000-0005-0000-0000-0000E0200000}"/>
    <cellStyle name="Normal 17 17 3 2 6 6" xfId="8413" xr:uid="{00000000-0005-0000-0000-0000E1200000}"/>
    <cellStyle name="Normal 17 17 3 2 7" xfId="8414" xr:uid="{00000000-0005-0000-0000-0000E2200000}"/>
    <cellStyle name="Normal 17 17 3 2 7 2" xfId="8415" xr:uid="{00000000-0005-0000-0000-0000E3200000}"/>
    <cellStyle name="Normal 17 17 3 2 7 3" xfId="8416" xr:uid="{00000000-0005-0000-0000-0000E4200000}"/>
    <cellStyle name="Normal 17 17 3 2 7 4" xfId="8417" xr:uid="{00000000-0005-0000-0000-0000E5200000}"/>
    <cellStyle name="Normal 17 17 3 2 7 5" xfId="8418" xr:uid="{00000000-0005-0000-0000-0000E6200000}"/>
    <cellStyle name="Normal 17 17 3 2 7 6" xfId="8419" xr:uid="{00000000-0005-0000-0000-0000E7200000}"/>
    <cellStyle name="Normal 17 17 3 2 8" xfId="8420" xr:uid="{00000000-0005-0000-0000-0000E8200000}"/>
    <cellStyle name="Normal 17 17 3 2 8 2" xfId="8421" xr:uid="{00000000-0005-0000-0000-0000E9200000}"/>
    <cellStyle name="Normal 17 17 3 2 8 3" xfId="8422" xr:uid="{00000000-0005-0000-0000-0000EA200000}"/>
    <cellStyle name="Normal 17 17 3 2 8 4" xfId="8423" xr:uid="{00000000-0005-0000-0000-0000EB200000}"/>
    <cellStyle name="Normal 17 17 3 2 8 5" xfId="8424" xr:uid="{00000000-0005-0000-0000-0000EC200000}"/>
    <cellStyle name="Normal 17 17 3 2 8 6" xfId="8425" xr:uid="{00000000-0005-0000-0000-0000ED200000}"/>
    <cellStyle name="Normal 17 17 3 2 9" xfId="8426" xr:uid="{00000000-0005-0000-0000-0000EE200000}"/>
    <cellStyle name="Normal 17 17 3 2 9 2" xfId="8427" xr:uid="{00000000-0005-0000-0000-0000EF200000}"/>
    <cellStyle name="Normal 17 17 3 2 9 3" xfId="8428" xr:uid="{00000000-0005-0000-0000-0000F0200000}"/>
    <cellStyle name="Normal 17 17 3 2 9 4" xfId="8429" xr:uid="{00000000-0005-0000-0000-0000F1200000}"/>
    <cellStyle name="Normal 17 17 3 2 9 5" xfId="8430" xr:uid="{00000000-0005-0000-0000-0000F2200000}"/>
    <cellStyle name="Normal 17 17 3 2 9 6" xfId="8431" xr:uid="{00000000-0005-0000-0000-0000F3200000}"/>
    <cellStyle name="Normal 17 17 3 20" xfId="8432" xr:uid="{00000000-0005-0000-0000-0000F4200000}"/>
    <cellStyle name="Normal 17 17 3 20 2" xfId="8433" xr:uid="{00000000-0005-0000-0000-0000F5200000}"/>
    <cellStyle name="Normal 17 17 3 20 3" xfId="8434" xr:uid="{00000000-0005-0000-0000-0000F6200000}"/>
    <cellStyle name="Normal 17 17 3 20 4" xfId="8435" xr:uid="{00000000-0005-0000-0000-0000F7200000}"/>
    <cellStyle name="Normal 17 17 3 20 5" xfId="8436" xr:uid="{00000000-0005-0000-0000-0000F8200000}"/>
    <cellStyle name="Normal 17 17 3 20 6" xfId="8437" xr:uid="{00000000-0005-0000-0000-0000F9200000}"/>
    <cellStyle name="Normal 17 17 3 21" xfId="8438" xr:uid="{00000000-0005-0000-0000-0000FA200000}"/>
    <cellStyle name="Normal 17 17 3 22" xfId="8439" xr:uid="{00000000-0005-0000-0000-0000FB200000}"/>
    <cellStyle name="Normal 17 17 3 23" xfId="8440" xr:uid="{00000000-0005-0000-0000-0000FC200000}"/>
    <cellStyle name="Normal 17 17 3 24" xfId="8441" xr:uid="{00000000-0005-0000-0000-0000FD200000}"/>
    <cellStyle name="Normal 17 17 3 25" xfId="8442" xr:uid="{00000000-0005-0000-0000-0000FE200000}"/>
    <cellStyle name="Normal 17 17 3 3" xfId="8443" xr:uid="{00000000-0005-0000-0000-0000FF200000}"/>
    <cellStyle name="Normal 17 17 3 3 10" xfId="8444" xr:uid="{00000000-0005-0000-0000-000000210000}"/>
    <cellStyle name="Normal 17 17 3 3 10 2" xfId="8445" xr:uid="{00000000-0005-0000-0000-000001210000}"/>
    <cellStyle name="Normal 17 17 3 3 10 3" xfId="8446" xr:uid="{00000000-0005-0000-0000-000002210000}"/>
    <cellStyle name="Normal 17 17 3 3 10 4" xfId="8447" xr:uid="{00000000-0005-0000-0000-000003210000}"/>
    <cellStyle name="Normal 17 17 3 3 10 5" xfId="8448" xr:uid="{00000000-0005-0000-0000-000004210000}"/>
    <cellStyle name="Normal 17 17 3 3 10 6" xfId="8449" xr:uid="{00000000-0005-0000-0000-000005210000}"/>
    <cellStyle name="Normal 17 17 3 3 11" xfId="8450" xr:uid="{00000000-0005-0000-0000-000006210000}"/>
    <cellStyle name="Normal 17 17 3 3 12" xfId="8451" xr:uid="{00000000-0005-0000-0000-000007210000}"/>
    <cellStyle name="Normal 17 17 3 3 13" xfId="8452" xr:uid="{00000000-0005-0000-0000-000008210000}"/>
    <cellStyle name="Normal 17 17 3 3 14" xfId="8453" xr:uid="{00000000-0005-0000-0000-000009210000}"/>
    <cellStyle name="Normal 17 17 3 3 15" xfId="8454" xr:uid="{00000000-0005-0000-0000-00000A210000}"/>
    <cellStyle name="Normal 17 17 3 3 2" xfId="8455" xr:uid="{00000000-0005-0000-0000-00000B210000}"/>
    <cellStyle name="Normal 17 17 3 3 2 10" xfId="8456" xr:uid="{00000000-0005-0000-0000-00000C210000}"/>
    <cellStyle name="Normal 17 17 3 3 2 11" xfId="8457" xr:uid="{00000000-0005-0000-0000-00000D210000}"/>
    <cellStyle name="Normal 17 17 3 3 2 12" xfId="8458" xr:uid="{00000000-0005-0000-0000-00000E210000}"/>
    <cellStyle name="Normal 17 17 3 3 2 13" xfId="8459" xr:uid="{00000000-0005-0000-0000-00000F210000}"/>
    <cellStyle name="Normal 17 17 3 3 2 14" xfId="8460" xr:uid="{00000000-0005-0000-0000-000010210000}"/>
    <cellStyle name="Normal 17 17 3 3 2 2" xfId="8461" xr:uid="{00000000-0005-0000-0000-000011210000}"/>
    <cellStyle name="Normal 17 17 3 3 2 2 2" xfId="8462" xr:uid="{00000000-0005-0000-0000-000012210000}"/>
    <cellStyle name="Normal 17 17 3 3 2 2 3" xfId="8463" xr:uid="{00000000-0005-0000-0000-000013210000}"/>
    <cellStyle name="Normal 17 17 3 3 2 2 4" xfId="8464" xr:uid="{00000000-0005-0000-0000-000014210000}"/>
    <cellStyle name="Normal 17 17 3 3 2 2 5" xfId="8465" xr:uid="{00000000-0005-0000-0000-000015210000}"/>
    <cellStyle name="Normal 17 17 3 3 2 2 6" xfId="8466" xr:uid="{00000000-0005-0000-0000-000016210000}"/>
    <cellStyle name="Normal 17 17 3 3 2 3" xfId="8467" xr:uid="{00000000-0005-0000-0000-000017210000}"/>
    <cellStyle name="Normal 17 17 3 3 2 3 2" xfId="8468" xr:uid="{00000000-0005-0000-0000-000018210000}"/>
    <cellStyle name="Normal 17 17 3 3 2 3 3" xfId="8469" xr:uid="{00000000-0005-0000-0000-000019210000}"/>
    <cellStyle name="Normal 17 17 3 3 2 3 4" xfId="8470" xr:uid="{00000000-0005-0000-0000-00001A210000}"/>
    <cellStyle name="Normal 17 17 3 3 2 3 5" xfId="8471" xr:uid="{00000000-0005-0000-0000-00001B210000}"/>
    <cellStyle name="Normal 17 17 3 3 2 3 6" xfId="8472" xr:uid="{00000000-0005-0000-0000-00001C210000}"/>
    <cellStyle name="Normal 17 17 3 3 2 4" xfId="8473" xr:uid="{00000000-0005-0000-0000-00001D210000}"/>
    <cellStyle name="Normal 17 17 3 3 2 4 2" xfId="8474" xr:uid="{00000000-0005-0000-0000-00001E210000}"/>
    <cellStyle name="Normal 17 17 3 3 2 4 3" xfId="8475" xr:uid="{00000000-0005-0000-0000-00001F210000}"/>
    <cellStyle name="Normal 17 17 3 3 2 4 4" xfId="8476" xr:uid="{00000000-0005-0000-0000-000020210000}"/>
    <cellStyle name="Normal 17 17 3 3 2 4 5" xfId="8477" xr:uid="{00000000-0005-0000-0000-000021210000}"/>
    <cellStyle name="Normal 17 17 3 3 2 4 6" xfId="8478" xr:uid="{00000000-0005-0000-0000-000022210000}"/>
    <cellStyle name="Normal 17 17 3 3 2 5" xfId="8479" xr:uid="{00000000-0005-0000-0000-000023210000}"/>
    <cellStyle name="Normal 17 17 3 3 2 5 2" xfId="8480" xr:uid="{00000000-0005-0000-0000-000024210000}"/>
    <cellStyle name="Normal 17 17 3 3 2 5 3" xfId="8481" xr:uid="{00000000-0005-0000-0000-000025210000}"/>
    <cellStyle name="Normal 17 17 3 3 2 5 4" xfId="8482" xr:uid="{00000000-0005-0000-0000-000026210000}"/>
    <cellStyle name="Normal 17 17 3 3 2 5 5" xfId="8483" xr:uid="{00000000-0005-0000-0000-000027210000}"/>
    <cellStyle name="Normal 17 17 3 3 2 5 6" xfId="8484" xr:uid="{00000000-0005-0000-0000-000028210000}"/>
    <cellStyle name="Normal 17 17 3 3 2 6" xfId="8485" xr:uid="{00000000-0005-0000-0000-000029210000}"/>
    <cellStyle name="Normal 17 17 3 3 2 6 2" xfId="8486" xr:uid="{00000000-0005-0000-0000-00002A210000}"/>
    <cellStyle name="Normal 17 17 3 3 2 6 3" xfId="8487" xr:uid="{00000000-0005-0000-0000-00002B210000}"/>
    <cellStyle name="Normal 17 17 3 3 2 6 4" xfId="8488" xr:uid="{00000000-0005-0000-0000-00002C210000}"/>
    <cellStyle name="Normal 17 17 3 3 2 6 5" xfId="8489" xr:uid="{00000000-0005-0000-0000-00002D210000}"/>
    <cellStyle name="Normal 17 17 3 3 2 6 6" xfId="8490" xr:uid="{00000000-0005-0000-0000-00002E210000}"/>
    <cellStyle name="Normal 17 17 3 3 2 7" xfId="8491" xr:uid="{00000000-0005-0000-0000-00002F210000}"/>
    <cellStyle name="Normal 17 17 3 3 2 7 2" xfId="8492" xr:uid="{00000000-0005-0000-0000-000030210000}"/>
    <cellStyle name="Normal 17 17 3 3 2 7 3" xfId="8493" xr:uid="{00000000-0005-0000-0000-000031210000}"/>
    <cellStyle name="Normal 17 17 3 3 2 7 4" xfId="8494" xr:uid="{00000000-0005-0000-0000-000032210000}"/>
    <cellStyle name="Normal 17 17 3 3 2 7 5" xfId="8495" xr:uid="{00000000-0005-0000-0000-000033210000}"/>
    <cellStyle name="Normal 17 17 3 3 2 7 6" xfId="8496" xr:uid="{00000000-0005-0000-0000-000034210000}"/>
    <cellStyle name="Normal 17 17 3 3 2 8" xfId="8497" xr:uid="{00000000-0005-0000-0000-000035210000}"/>
    <cellStyle name="Normal 17 17 3 3 2 8 2" xfId="8498" xr:uid="{00000000-0005-0000-0000-000036210000}"/>
    <cellStyle name="Normal 17 17 3 3 2 8 3" xfId="8499" xr:uid="{00000000-0005-0000-0000-000037210000}"/>
    <cellStyle name="Normal 17 17 3 3 2 8 4" xfId="8500" xr:uid="{00000000-0005-0000-0000-000038210000}"/>
    <cellStyle name="Normal 17 17 3 3 2 8 5" xfId="8501" xr:uid="{00000000-0005-0000-0000-000039210000}"/>
    <cellStyle name="Normal 17 17 3 3 2 8 6" xfId="8502" xr:uid="{00000000-0005-0000-0000-00003A210000}"/>
    <cellStyle name="Normal 17 17 3 3 2 9" xfId="8503" xr:uid="{00000000-0005-0000-0000-00003B210000}"/>
    <cellStyle name="Normal 17 17 3 3 2 9 2" xfId="8504" xr:uid="{00000000-0005-0000-0000-00003C210000}"/>
    <cellStyle name="Normal 17 17 3 3 2 9 3" xfId="8505" xr:uid="{00000000-0005-0000-0000-00003D210000}"/>
    <cellStyle name="Normal 17 17 3 3 2 9 4" xfId="8506" xr:uid="{00000000-0005-0000-0000-00003E210000}"/>
    <cellStyle name="Normal 17 17 3 3 2 9 5" xfId="8507" xr:uid="{00000000-0005-0000-0000-00003F210000}"/>
    <cellStyle name="Normal 17 17 3 3 2 9 6" xfId="8508" xr:uid="{00000000-0005-0000-0000-000040210000}"/>
    <cellStyle name="Normal 17 17 3 3 3" xfId="8509" xr:uid="{00000000-0005-0000-0000-000041210000}"/>
    <cellStyle name="Normal 17 17 3 3 3 2" xfId="8510" xr:uid="{00000000-0005-0000-0000-000042210000}"/>
    <cellStyle name="Normal 17 17 3 3 3 3" xfId="8511" xr:uid="{00000000-0005-0000-0000-000043210000}"/>
    <cellStyle name="Normal 17 17 3 3 3 4" xfId="8512" xr:uid="{00000000-0005-0000-0000-000044210000}"/>
    <cellStyle name="Normal 17 17 3 3 3 5" xfId="8513" xr:uid="{00000000-0005-0000-0000-000045210000}"/>
    <cellStyle name="Normal 17 17 3 3 3 6" xfId="8514" xr:uid="{00000000-0005-0000-0000-000046210000}"/>
    <cellStyle name="Normal 17 17 3 3 4" xfId="8515" xr:uid="{00000000-0005-0000-0000-000047210000}"/>
    <cellStyle name="Normal 17 17 3 3 4 2" xfId="8516" xr:uid="{00000000-0005-0000-0000-000048210000}"/>
    <cellStyle name="Normal 17 17 3 3 4 3" xfId="8517" xr:uid="{00000000-0005-0000-0000-000049210000}"/>
    <cellStyle name="Normal 17 17 3 3 4 4" xfId="8518" xr:uid="{00000000-0005-0000-0000-00004A210000}"/>
    <cellStyle name="Normal 17 17 3 3 4 5" xfId="8519" xr:uid="{00000000-0005-0000-0000-00004B210000}"/>
    <cellStyle name="Normal 17 17 3 3 4 6" xfId="8520" xr:uid="{00000000-0005-0000-0000-00004C210000}"/>
    <cellStyle name="Normal 17 17 3 3 5" xfId="8521" xr:uid="{00000000-0005-0000-0000-00004D210000}"/>
    <cellStyle name="Normal 17 17 3 3 5 2" xfId="8522" xr:uid="{00000000-0005-0000-0000-00004E210000}"/>
    <cellStyle name="Normal 17 17 3 3 5 3" xfId="8523" xr:uid="{00000000-0005-0000-0000-00004F210000}"/>
    <cellStyle name="Normal 17 17 3 3 5 4" xfId="8524" xr:uid="{00000000-0005-0000-0000-000050210000}"/>
    <cellStyle name="Normal 17 17 3 3 5 5" xfId="8525" xr:uid="{00000000-0005-0000-0000-000051210000}"/>
    <cellStyle name="Normal 17 17 3 3 5 6" xfId="8526" xr:uid="{00000000-0005-0000-0000-000052210000}"/>
    <cellStyle name="Normal 17 17 3 3 6" xfId="8527" xr:uid="{00000000-0005-0000-0000-000053210000}"/>
    <cellStyle name="Normal 17 17 3 3 6 2" xfId="8528" xr:uid="{00000000-0005-0000-0000-000054210000}"/>
    <cellStyle name="Normal 17 17 3 3 6 3" xfId="8529" xr:uid="{00000000-0005-0000-0000-000055210000}"/>
    <cellStyle name="Normal 17 17 3 3 6 4" xfId="8530" xr:uid="{00000000-0005-0000-0000-000056210000}"/>
    <cellStyle name="Normal 17 17 3 3 6 5" xfId="8531" xr:uid="{00000000-0005-0000-0000-000057210000}"/>
    <cellStyle name="Normal 17 17 3 3 6 6" xfId="8532" xr:uid="{00000000-0005-0000-0000-000058210000}"/>
    <cellStyle name="Normal 17 17 3 3 7" xfId="8533" xr:uid="{00000000-0005-0000-0000-000059210000}"/>
    <cellStyle name="Normal 17 17 3 3 7 2" xfId="8534" xr:uid="{00000000-0005-0000-0000-00005A210000}"/>
    <cellStyle name="Normal 17 17 3 3 7 3" xfId="8535" xr:uid="{00000000-0005-0000-0000-00005B210000}"/>
    <cellStyle name="Normal 17 17 3 3 7 4" xfId="8536" xr:uid="{00000000-0005-0000-0000-00005C210000}"/>
    <cellStyle name="Normal 17 17 3 3 7 5" xfId="8537" xr:uid="{00000000-0005-0000-0000-00005D210000}"/>
    <cellStyle name="Normal 17 17 3 3 7 6" xfId="8538" xr:uid="{00000000-0005-0000-0000-00005E210000}"/>
    <cellStyle name="Normal 17 17 3 3 8" xfId="8539" xr:uid="{00000000-0005-0000-0000-00005F210000}"/>
    <cellStyle name="Normal 17 17 3 3 8 2" xfId="8540" xr:uid="{00000000-0005-0000-0000-000060210000}"/>
    <cellStyle name="Normal 17 17 3 3 8 3" xfId="8541" xr:uid="{00000000-0005-0000-0000-000061210000}"/>
    <cellStyle name="Normal 17 17 3 3 8 4" xfId="8542" xr:uid="{00000000-0005-0000-0000-000062210000}"/>
    <cellStyle name="Normal 17 17 3 3 8 5" xfId="8543" xr:uid="{00000000-0005-0000-0000-000063210000}"/>
    <cellStyle name="Normal 17 17 3 3 8 6" xfId="8544" xr:uid="{00000000-0005-0000-0000-000064210000}"/>
    <cellStyle name="Normal 17 17 3 3 9" xfId="8545" xr:uid="{00000000-0005-0000-0000-000065210000}"/>
    <cellStyle name="Normal 17 17 3 3 9 2" xfId="8546" xr:uid="{00000000-0005-0000-0000-000066210000}"/>
    <cellStyle name="Normal 17 17 3 3 9 3" xfId="8547" xr:uid="{00000000-0005-0000-0000-000067210000}"/>
    <cellStyle name="Normal 17 17 3 3 9 4" xfId="8548" xr:uid="{00000000-0005-0000-0000-000068210000}"/>
    <cellStyle name="Normal 17 17 3 3 9 5" xfId="8549" xr:uid="{00000000-0005-0000-0000-000069210000}"/>
    <cellStyle name="Normal 17 17 3 3 9 6" xfId="8550" xr:uid="{00000000-0005-0000-0000-00006A210000}"/>
    <cellStyle name="Normal 17 17 3 4" xfId="8551" xr:uid="{00000000-0005-0000-0000-00006B210000}"/>
    <cellStyle name="Normal 17 17 3 4 10" xfId="8552" xr:uid="{00000000-0005-0000-0000-00006C210000}"/>
    <cellStyle name="Normal 17 17 3 4 10 2" xfId="8553" xr:uid="{00000000-0005-0000-0000-00006D210000}"/>
    <cellStyle name="Normal 17 17 3 4 10 3" xfId="8554" xr:uid="{00000000-0005-0000-0000-00006E210000}"/>
    <cellStyle name="Normal 17 17 3 4 10 4" xfId="8555" xr:uid="{00000000-0005-0000-0000-00006F210000}"/>
    <cellStyle name="Normal 17 17 3 4 10 5" xfId="8556" xr:uid="{00000000-0005-0000-0000-000070210000}"/>
    <cellStyle name="Normal 17 17 3 4 10 6" xfId="8557" xr:uid="{00000000-0005-0000-0000-000071210000}"/>
    <cellStyle name="Normal 17 17 3 4 11" xfId="8558" xr:uid="{00000000-0005-0000-0000-000072210000}"/>
    <cellStyle name="Normal 17 17 3 4 12" xfId="8559" xr:uid="{00000000-0005-0000-0000-000073210000}"/>
    <cellStyle name="Normal 17 17 3 4 13" xfId="8560" xr:uid="{00000000-0005-0000-0000-000074210000}"/>
    <cellStyle name="Normal 17 17 3 4 14" xfId="8561" xr:uid="{00000000-0005-0000-0000-000075210000}"/>
    <cellStyle name="Normal 17 17 3 4 15" xfId="8562" xr:uid="{00000000-0005-0000-0000-000076210000}"/>
    <cellStyle name="Normal 17 17 3 4 2" xfId="8563" xr:uid="{00000000-0005-0000-0000-000077210000}"/>
    <cellStyle name="Normal 17 17 3 4 2 10" xfId="8564" xr:uid="{00000000-0005-0000-0000-000078210000}"/>
    <cellStyle name="Normal 17 17 3 4 2 11" xfId="8565" xr:uid="{00000000-0005-0000-0000-000079210000}"/>
    <cellStyle name="Normal 17 17 3 4 2 12" xfId="8566" xr:uid="{00000000-0005-0000-0000-00007A210000}"/>
    <cellStyle name="Normal 17 17 3 4 2 13" xfId="8567" xr:uid="{00000000-0005-0000-0000-00007B210000}"/>
    <cellStyle name="Normal 17 17 3 4 2 14" xfId="8568" xr:uid="{00000000-0005-0000-0000-00007C210000}"/>
    <cellStyle name="Normal 17 17 3 4 2 2" xfId="8569" xr:uid="{00000000-0005-0000-0000-00007D210000}"/>
    <cellStyle name="Normal 17 17 3 4 2 2 2" xfId="8570" xr:uid="{00000000-0005-0000-0000-00007E210000}"/>
    <cellStyle name="Normal 17 17 3 4 2 2 3" xfId="8571" xr:uid="{00000000-0005-0000-0000-00007F210000}"/>
    <cellStyle name="Normal 17 17 3 4 2 2 4" xfId="8572" xr:uid="{00000000-0005-0000-0000-000080210000}"/>
    <cellStyle name="Normal 17 17 3 4 2 2 5" xfId="8573" xr:uid="{00000000-0005-0000-0000-000081210000}"/>
    <cellStyle name="Normal 17 17 3 4 2 2 6" xfId="8574" xr:uid="{00000000-0005-0000-0000-000082210000}"/>
    <cellStyle name="Normal 17 17 3 4 2 3" xfId="8575" xr:uid="{00000000-0005-0000-0000-000083210000}"/>
    <cellStyle name="Normal 17 17 3 4 2 3 2" xfId="8576" xr:uid="{00000000-0005-0000-0000-000084210000}"/>
    <cellStyle name="Normal 17 17 3 4 2 3 3" xfId="8577" xr:uid="{00000000-0005-0000-0000-000085210000}"/>
    <cellStyle name="Normal 17 17 3 4 2 3 4" xfId="8578" xr:uid="{00000000-0005-0000-0000-000086210000}"/>
    <cellStyle name="Normal 17 17 3 4 2 3 5" xfId="8579" xr:uid="{00000000-0005-0000-0000-000087210000}"/>
    <cellStyle name="Normal 17 17 3 4 2 3 6" xfId="8580" xr:uid="{00000000-0005-0000-0000-000088210000}"/>
    <cellStyle name="Normal 17 17 3 4 2 4" xfId="8581" xr:uid="{00000000-0005-0000-0000-000089210000}"/>
    <cellStyle name="Normal 17 17 3 4 2 4 2" xfId="8582" xr:uid="{00000000-0005-0000-0000-00008A210000}"/>
    <cellStyle name="Normal 17 17 3 4 2 4 3" xfId="8583" xr:uid="{00000000-0005-0000-0000-00008B210000}"/>
    <cellStyle name="Normal 17 17 3 4 2 4 4" xfId="8584" xr:uid="{00000000-0005-0000-0000-00008C210000}"/>
    <cellStyle name="Normal 17 17 3 4 2 4 5" xfId="8585" xr:uid="{00000000-0005-0000-0000-00008D210000}"/>
    <cellStyle name="Normal 17 17 3 4 2 4 6" xfId="8586" xr:uid="{00000000-0005-0000-0000-00008E210000}"/>
    <cellStyle name="Normal 17 17 3 4 2 5" xfId="8587" xr:uid="{00000000-0005-0000-0000-00008F210000}"/>
    <cellStyle name="Normal 17 17 3 4 2 5 2" xfId="8588" xr:uid="{00000000-0005-0000-0000-000090210000}"/>
    <cellStyle name="Normal 17 17 3 4 2 5 3" xfId="8589" xr:uid="{00000000-0005-0000-0000-000091210000}"/>
    <cellStyle name="Normal 17 17 3 4 2 5 4" xfId="8590" xr:uid="{00000000-0005-0000-0000-000092210000}"/>
    <cellStyle name="Normal 17 17 3 4 2 5 5" xfId="8591" xr:uid="{00000000-0005-0000-0000-000093210000}"/>
    <cellStyle name="Normal 17 17 3 4 2 5 6" xfId="8592" xr:uid="{00000000-0005-0000-0000-000094210000}"/>
    <cellStyle name="Normal 17 17 3 4 2 6" xfId="8593" xr:uid="{00000000-0005-0000-0000-000095210000}"/>
    <cellStyle name="Normal 17 17 3 4 2 6 2" xfId="8594" xr:uid="{00000000-0005-0000-0000-000096210000}"/>
    <cellStyle name="Normal 17 17 3 4 2 6 3" xfId="8595" xr:uid="{00000000-0005-0000-0000-000097210000}"/>
    <cellStyle name="Normal 17 17 3 4 2 6 4" xfId="8596" xr:uid="{00000000-0005-0000-0000-000098210000}"/>
    <cellStyle name="Normal 17 17 3 4 2 6 5" xfId="8597" xr:uid="{00000000-0005-0000-0000-000099210000}"/>
    <cellStyle name="Normal 17 17 3 4 2 6 6" xfId="8598" xr:uid="{00000000-0005-0000-0000-00009A210000}"/>
    <cellStyle name="Normal 17 17 3 4 2 7" xfId="8599" xr:uid="{00000000-0005-0000-0000-00009B210000}"/>
    <cellStyle name="Normal 17 17 3 4 2 7 2" xfId="8600" xr:uid="{00000000-0005-0000-0000-00009C210000}"/>
    <cellStyle name="Normal 17 17 3 4 2 7 3" xfId="8601" xr:uid="{00000000-0005-0000-0000-00009D210000}"/>
    <cellStyle name="Normal 17 17 3 4 2 7 4" xfId="8602" xr:uid="{00000000-0005-0000-0000-00009E210000}"/>
    <cellStyle name="Normal 17 17 3 4 2 7 5" xfId="8603" xr:uid="{00000000-0005-0000-0000-00009F210000}"/>
    <cellStyle name="Normal 17 17 3 4 2 7 6" xfId="8604" xr:uid="{00000000-0005-0000-0000-0000A0210000}"/>
    <cellStyle name="Normal 17 17 3 4 2 8" xfId="8605" xr:uid="{00000000-0005-0000-0000-0000A1210000}"/>
    <cellStyle name="Normal 17 17 3 4 2 8 2" xfId="8606" xr:uid="{00000000-0005-0000-0000-0000A2210000}"/>
    <cellStyle name="Normal 17 17 3 4 2 8 3" xfId="8607" xr:uid="{00000000-0005-0000-0000-0000A3210000}"/>
    <cellStyle name="Normal 17 17 3 4 2 8 4" xfId="8608" xr:uid="{00000000-0005-0000-0000-0000A4210000}"/>
    <cellStyle name="Normal 17 17 3 4 2 8 5" xfId="8609" xr:uid="{00000000-0005-0000-0000-0000A5210000}"/>
    <cellStyle name="Normal 17 17 3 4 2 8 6" xfId="8610" xr:uid="{00000000-0005-0000-0000-0000A6210000}"/>
    <cellStyle name="Normal 17 17 3 4 2 9" xfId="8611" xr:uid="{00000000-0005-0000-0000-0000A7210000}"/>
    <cellStyle name="Normal 17 17 3 4 2 9 2" xfId="8612" xr:uid="{00000000-0005-0000-0000-0000A8210000}"/>
    <cellStyle name="Normal 17 17 3 4 2 9 3" xfId="8613" xr:uid="{00000000-0005-0000-0000-0000A9210000}"/>
    <cellStyle name="Normal 17 17 3 4 2 9 4" xfId="8614" xr:uid="{00000000-0005-0000-0000-0000AA210000}"/>
    <cellStyle name="Normal 17 17 3 4 2 9 5" xfId="8615" xr:uid="{00000000-0005-0000-0000-0000AB210000}"/>
    <cellStyle name="Normal 17 17 3 4 2 9 6" xfId="8616" xr:uid="{00000000-0005-0000-0000-0000AC210000}"/>
    <cellStyle name="Normal 17 17 3 4 3" xfId="8617" xr:uid="{00000000-0005-0000-0000-0000AD210000}"/>
    <cellStyle name="Normal 17 17 3 4 3 2" xfId="8618" xr:uid="{00000000-0005-0000-0000-0000AE210000}"/>
    <cellStyle name="Normal 17 17 3 4 3 3" xfId="8619" xr:uid="{00000000-0005-0000-0000-0000AF210000}"/>
    <cellStyle name="Normal 17 17 3 4 3 4" xfId="8620" xr:uid="{00000000-0005-0000-0000-0000B0210000}"/>
    <cellStyle name="Normal 17 17 3 4 3 5" xfId="8621" xr:uid="{00000000-0005-0000-0000-0000B1210000}"/>
    <cellStyle name="Normal 17 17 3 4 3 6" xfId="8622" xr:uid="{00000000-0005-0000-0000-0000B2210000}"/>
    <cellStyle name="Normal 17 17 3 4 4" xfId="8623" xr:uid="{00000000-0005-0000-0000-0000B3210000}"/>
    <cellStyle name="Normal 17 17 3 4 4 2" xfId="8624" xr:uid="{00000000-0005-0000-0000-0000B4210000}"/>
    <cellStyle name="Normal 17 17 3 4 4 3" xfId="8625" xr:uid="{00000000-0005-0000-0000-0000B5210000}"/>
    <cellStyle name="Normal 17 17 3 4 4 4" xfId="8626" xr:uid="{00000000-0005-0000-0000-0000B6210000}"/>
    <cellStyle name="Normal 17 17 3 4 4 5" xfId="8627" xr:uid="{00000000-0005-0000-0000-0000B7210000}"/>
    <cellStyle name="Normal 17 17 3 4 4 6" xfId="8628" xr:uid="{00000000-0005-0000-0000-0000B8210000}"/>
    <cellStyle name="Normal 17 17 3 4 5" xfId="8629" xr:uid="{00000000-0005-0000-0000-0000B9210000}"/>
    <cellStyle name="Normal 17 17 3 4 5 2" xfId="8630" xr:uid="{00000000-0005-0000-0000-0000BA210000}"/>
    <cellStyle name="Normal 17 17 3 4 5 3" xfId="8631" xr:uid="{00000000-0005-0000-0000-0000BB210000}"/>
    <cellStyle name="Normal 17 17 3 4 5 4" xfId="8632" xr:uid="{00000000-0005-0000-0000-0000BC210000}"/>
    <cellStyle name="Normal 17 17 3 4 5 5" xfId="8633" xr:uid="{00000000-0005-0000-0000-0000BD210000}"/>
    <cellStyle name="Normal 17 17 3 4 5 6" xfId="8634" xr:uid="{00000000-0005-0000-0000-0000BE210000}"/>
    <cellStyle name="Normal 17 17 3 4 6" xfId="8635" xr:uid="{00000000-0005-0000-0000-0000BF210000}"/>
    <cellStyle name="Normal 17 17 3 4 6 2" xfId="8636" xr:uid="{00000000-0005-0000-0000-0000C0210000}"/>
    <cellStyle name="Normal 17 17 3 4 6 3" xfId="8637" xr:uid="{00000000-0005-0000-0000-0000C1210000}"/>
    <cellStyle name="Normal 17 17 3 4 6 4" xfId="8638" xr:uid="{00000000-0005-0000-0000-0000C2210000}"/>
    <cellStyle name="Normal 17 17 3 4 6 5" xfId="8639" xr:uid="{00000000-0005-0000-0000-0000C3210000}"/>
    <cellStyle name="Normal 17 17 3 4 6 6" xfId="8640" xr:uid="{00000000-0005-0000-0000-0000C4210000}"/>
    <cellStyle name="Normal 17 17 3 4 7" xfId="8641" xr:uid="{00000000-0005-0000-0000-0000C5210000}"/>
    <cellStyle name="Normal 17 17 3 4 7 2" xfId="8642" xr:uid="{00000000-0005-0000-0000-0000C6210000}"/>
    <cellStyle name="Normal 17 17 3 4 7 3" xfId="8643" xr:uid="{00000000-0005-0000-0000-0000C7210000}"/>
    <cellStyle name="Normal 17 17 3 4 7 4" xfId="8644" xr:uid="{00000000-0005-0000-0000-0000C8210000}"/>
    <cellStyle name="Normal 17 17 3 4 7 5" xfId="8645" xr:uid="{00000000-0005-0000-0000-0000C9210000}"/>
    <cellStyle name="Normal 17 17 3 4 7 6" xfId="8646" xr:uid="{00000000-0005-0000-0000-0000CA210000}"/>
    <cellStyle name="Normal 17 17 3 4 8" xfId="8647" xr:uid="{00000000-0005-0000-0000-0000CB210000}"/>
    <cellStyle name="Normal 17 17 3 4 8 2" xfId="8648" xr:uid="{00000000-0005-0000-0000-0000CC210000}"/>
    <cellStyle name="Normal 17 17 3 4 8 3" xfId="8649" xr:uid="{00000000-0005-0000-0000-0000CD210000}"/>
    <cellStyle name="Normal 17 17 3 4 8 4" xfId="8650" xr:uid="{00000000-0005-0000-0000-0000CE210000}"/>
    <cellStyle name="Normal 17 17 3 4 8 5" xfId="8651" xr:uid="{00000000-0005-0000-0000-0000CF210000}"/>
    <cellStyle name="Normal 17 17 3 4 8 6" xfId="8652" xr:uid="{00000000-0005-0000-0000-0000D0210000}"/>
    <cellStyle name="Normal 17 17 3 4 9" xfId="8653" xr:uid="{00000000-0005-0000-0000-0000D1210000}"/>
    <cellStyle name="Normal 17 17 3 4 9 2" xfId="8654" xr:uid="{00000000-0005-0000-0000-0000D2210000}"/>
    <cellStyle name="Normal 17 17 3 4 9 3" xfId="8655" xr:uid="{00000000-0005-0000-0000-0000D3210000}"/>
    <cellStyle name="Normal 17 17 3 4 9 4" xfId="8656" xr:uid="{00000000-0005-0000-0000-0000D4210000}"/>
    <cellStyle name="Normal 17 17 3 4 9 5" xfId="8657" xr:uid="{00000000-0005-0000-0000-0000D5210000}"/>
    <cellStyle name="Normal 17 17 3 4 9 6" xfId="8658" xr:uid="{00000000-0005-0000-0000-0000D6210000}"/>
    <cellStyle name="Normal 17 17 3 5" xfId="8659" xr:uid="{00000000-0005-0000-0000-0000D7210000}"/>
    <cellStyle name="Normal 17 17 3 5 10" xfId="8660" xr:uid="{00000000-0005-0000-0000-0000D8210000}"/>
    <cellStyle name="Normal 17 17 3 5 10 2" xfId="8661" xr:uid="{00000000-0005-0000-0000-0000D9210000}"/>
    <cellStyle name="Normal 17 17 3 5 10 3" xfId="8662" xr:uid="{00000000-0005-0000-0000-0000DA210000}"/>
    <cellStyle name="Normal 17 17 3 5 10 4" xfId="8663" xr:uid="{00000000-0005-0000-0000-0000DB210000}"/>
    <cellStyle name="Normal 17 17 3 5 10 5" xfId="8664" xr:uid="{00000000-0005-0000-0000-0000DC210000}"/>
    <cellStyle name="Normal 17 17 3 5 10 6" xfId="8665" xr:uid="{00000000-0005-0000-0000-0000DD210000}"/>
    <cellStyle name="Normal 17 17 3 5 11" xfId="8666" xr:uid="{00000000-0005-0000-0000-0000DE210000}"/>
    <cellStyle name="Normal 17 17 3 5 12" xfId="8667" xr:uid="{00000000-0005-0000-0000-0000DF210000}"/>
    <cellStyle name="Normal 17 17 3 5 13" xfId="8668" xr:uid="{00000000-0005-0000-0000-0000E0210000}"/>
    <cellStyle name="Normal 17 17 3 5 14" xfId="8669" xr:uid="{00000000-0005-0000-0000-0000E1210000}"/>
    <cellStyle name="Normal 17 17 3 5 15" xfId="8670" xr:uid="{00000000-0005-0000-0000-0000E2210000}"/>
    <cellStyle name="Normal 17 17 3 5 2" xfId="8671" xr:uid="{00000000-0005-0000-0000-0000E3210000}"/>
    <cellStyle name="Normal 17 17 3 5 2 10" xfId="8672" xr:uid="{00000000-0005-0000-0000-0000E4210000}"/>
    <cellStyle name="Normal 17 17 3 5 2 11" xfId="8673" xr:uid="{00000000-0005-0000-0000-0000E5210000}"/>
    <cellStyle name="Normal 17 17 3 5 2 12" xfId="8674" xr:uid="{00000000-0005-0000-0000-0000E6210000}"/>
    <cellStyle name="Normal 17 17 3 5 2 13" xfId="8675" xr:uid="{00000000-0005-0000-0000-0000E7210000}"/>
    <cellStyle name="Normal 17 17 3 5 2 14" xfId="8676" xr:uid="{00000000-0005-0000-0000-0000E8210000}"/>
    <cellStyle name="Normal 17 17 3 5 2 2" xfId="8677" xr:uid="{00000000-0005-0000-0000-0000E9210000}"/>
    <cellStyle name="Normal 17 17 3 5 2 2 2" xfId="8678" xr:uid="{00000000-0005-0000-0000-0000EA210000}"/>
    <cellStyle name="Normal 17 17 3 5 2 2 3" xfId="8679" xr:uid="{00000000-0005-0000-0000-0000EB210000}"/>
    <cellStyle name="Normal 17 17 3 5 2 2 4" xfId="8680" xr:uid="{00000000-0005-0000-0000-0000EC210000}"/>
    <cellStyle name="Normal 17 17 3 5 2 2 5" xfId="8681" xr:uid="{00000000-0005-0000-0000-0000ED210000}"/>
    <cellStyle name="Normal 17 17 3 5 2 2 6" xfId="8682" xr:uid="{00000000-0005-0000-0000-0000EE210000}"/>
    <cellStyle name="Normal 17 17 3 5 2 3" xfId="8683" xr:uid="{00000000-0005-0000-0000-0000EF210000}"/>
    <cellStyle name="Normal 17 17 3 5 2 3 2" xfId="8684" xr:uid="{00000000-0005-0000-0000-0000F0210000}"/>
    <cellStyle name="Normal 17 17 3 5 2 3 3" xfId="8685" xr:uid="{00000000-0005-0000-0000-0000F1210000}"/>
    <cellStyle name="Normal 17 17 3 5 2 3 4" xfId="8686" xr:uid="{00000000-0005-0000-0000-0000F2210000}"/>
    <cellStyle name="Normal 17 17 3 5 2 3 5" xfId="8687" xr:uid="{00000000-0005-0000-0000-0000F3210000}"/>
    <cellStyle name="Normal 17 17 3 5 2 3 6" xfId="8688" xr:uid="{00000000-0005-0000-0000-0000F4210000}"/>
    <cellStyle name="Normal 17 17 3 5 2 4" xfId="8689" xr:uid="{00000000-0005-0000-0000-0000F5210000}"/>
    <cellStyle name="Normal 17 17 3 5 2 4 2" xfId="8690" xr:uid="{00000000-0005-0000-0000-0000F6210000}"/>
    <cellStyle name="Normal 17 17 3 5 2 4 3" xfId="8691" xr:uid="{00000000-0005-0000-0000-0000F7210000}"/>
    <cellStyle name="Normal 17 17 3 5 2 4 4" xfId="8692" xr:uid="{00000000-0005-0000-0000-0000F8210000}"/>
    <cellStyle name="Normal 17 17 3 5 2 4 5" xfId="8693" xr:uid="{00000000-0005-0000-0000-0000F9210000}"/>
    <cellStyle name="Normal 17 17 3 5 2 4 6" xfId="8694" xr:uid="{00000000-0005-0000-0000-0000FA210000}"/>
    <cellStyle name="Normal 17 17 3 5 2 5" xfId="8695" xr:uid="{00000000-0005-0000-0000-0000FB210000}"/>
    <cellStyle name="Normal 17 17 3 5 2 5 2" xfId="8696" xr:uid="{00000000-0005-0000-0000-0000FC210000}"/>
    <cellStyle name="Normal 17 17 3 5 2 5 3" xfId="8697" xr:uid="{00000000-0005-0000-0000-0000FD210000}"/>
    <cellStyle name="Normal 17 17 3 5 2 5 4" xfId="8698" xr:uid="{00000000-0005-0000-0000-0000FE210000}"/>
    <cellStyle name="Normal 17 17 3 5 2 5 5" xfId="8699" xr:uid="{00000000-0005-0000-0000-0000FF210000}"/>
    <cellStyle name="Normal 17 17 3 5 2 5 6" xfId="8700" xr:uid="{00000000-0005-0000-0000-000000220000}"/>
    <cellStyle name="Normal 17 17 3 5 2 6" xfId="8701" xr:uid="{00000000-0005-0000-0000-000001220000}"/>
    <cellStyle name="Normal 17 17 3 5 2 6 2" xfId="8702" xr:uid="{00000000-0005-0000-0000-000002220000}"/>
    <cellStyle name="Normal 17 17 3 5 2 6 3" xfId="8703" xr:uid="{00000000-0005-0000-0000-000003220000}"/>
    <cellStyle name="Normal 17 17 3 5 2 6 4" xfId="8704" xr:uid="{00000000-0005-0000-0000-000004220000}"/>
    <cellStyle name="Normal 17 17 3 5 2 6 5" xfId="8705" xr:uid="{00000000-0005-0000-0000-000005220000}"/>
    <cellStyle name="Normal 17 17 3 5 2 6 6" xfId="8706" xr:uid="{00000000-0005-0000-0000-000006220000}"/>
    <cellStyle name="Normal 17 17 3 5 2 7" xfId="8707" xr:uid="{00000000-0005-0000-0000-000007220000}"/>
    <cellStyle name="Normal 17 17 3 5 2 7 2" xfId="8708" xr:uid="{00000000-0005-0000-0000-000008220000}"/>
    <cellStyle name="Normal 17 17 3 5 2 7 3" xfId="8709" xr:uid="{00000000-0005-0000-0000-000009220000}"/>
    <cellStyle name="Normal 17 17 3 5 2 7 4" xfId="8710" xr:uid="{00000000-0005-0000-0000-00000A220000}"/>
    <cellStyle name="Normal 17 17 3 5 2 7 5" xfId="8711" xr:uid="{00000000-0005-0000-0000-00000B220000}"/>
    <cellStyle name="Normal 17 17 3 5 2 7 6" xfId="8712" xr:uid="{00000000-0005-0000-0000-00000C220000}"/>
    <cellStyle name="Normal 17 17 3 5 2 8" xfId="8713" xr:uid="{00000000-0005-0000-0000-00000D220000}"/>
    <cellStyle name="Normal 17 17 3 5 2 8 2" xfId="8714" xr:uid="{00000000-0005-0000-0000-00000E220000}"/>
    <cellStyle name="Normal 17 17 3 5 2 8 3" xfId="8715" xr:uid="{00000000-0005-0000-0000-00000F220000}"/>
    <cellStyle name="Normal 17 17 3 5 2 8 4" xfId="8716" xr:uid="{00000000-0005-0000-0000-000010220000}"/>
    <cellStyle name="Normal 17 17 3 5 2 8 5" xfId="8717" xr:uid="{00000000-0005-0000-0000-000011220000}"/>
    <cellStyle name="Normal 17 17 3 5 2 8 6" xfId="8718" xr:uid="{00000000-0005-0000-0000-000012220000}"/>
    <cellStyle name="Normal 17 17 3 5 2 9" xfId="8719" xr:uid="{00000000-0005-0000-0000-000013220000}"/>
    <cellStyle name="Normal 17 17 3 5 2 9 2" xfId="8720" xr:uid="{00000000-0005-0000-0000-000014220000}"/>
    <cellStyle name="Normal 17 17 3 5 2 9 3" xfId="8721" xr:uid="{00000000-0005-0000-0000-000015220000}"/>
    <cellStyle name="Normal 17 17 3 5 2 9 4" xfId="8722" xr:uid="{00000000-0005-0000-0000-000016220000}"/>
    <cellStyle name="Normal 17 17 3 5 2 9 5" xfId="8723" xr:uid="{00000000-0005-0000-0000-000017220000}"/>
    <cellStyle name="Normal 17 17 3 5 2 9 6" xfId="8724" xr:uid="{00000000-0005-0000-0000-000018220000}"/>
    <cellStyle name="Normal 17 17 3 5 3" xfId="8725" xr:uid="{00000000-0005-0000-0000-000019220000}"/>
    <cellStyle name="Normal 17 17 3 5 3 2" xfId="8726" xr:uid="{00000000-0005-0000-0000-00001A220000}"/>
    <cellStyle name="Normal 17 17 3 5 3 3" xfId="8727" xr:uid="{00000000-0005-0000-0000-00001B220000}"/>
    <cellStyle name="Normal 17 17 3 5 3 4" xfId="8728" xr:uid="{00000000-0005-0000-0000-00001C220000}"/>
    <cellStyle name="Normal 17 17 3 5 3 5" xfId="8729" xr:uid="{00000000-0005-0000-0000-00001D220000}"/>
    <cellStyle name="Normal 17 17 3 5 3 6" xfId="8730" xr:uid="{00000000-0005-0000-0000-00001E220000}"/>
    <cellStyle name="Normal 17 17 3 5 4" xfId="8731" xr:uid="{00000000-0005-0000-0000-00001F220000}"/>
    <cellStyle name="Normal 17 17 3 5 4 2" xfId="8732" xr:uid="{00000000-0005-0000-0000-000020220000}"/>
    <cellStyle name="Normal 17 17 3 5 4 3" xfId="8733" xr:uid="{00000000-0005-0000-0000-000021220000}"/>
    <cellStyle name="Normal 17 17 3 5 4 4" xfId="8734" xr:uid="{00000000-0005-0000-0000-000022220000}"/>
    <cellStyle name="Normal 17 17 3 5 4 5" xfId="8735" xr:uid="{00000000-0005-0000-0000-000023220000}"/>
    <cellStyle name="Normal 17 17 3 5 4 6" xfId="8736" xr:uid="{00000000-0005-0000-0000-000024220000}"/>
    <cellStyle name="Normal 17 17 3 5 5" xfId="8737" xr:uid="{00000000-0005-0000-0000-000025220000}"/>
    <cellStyle name="Normal 17 17 3 5 5 2" xfId="8738" xr:uid="{00000000-0005-0000-0000-000026220000}"/>
    <cellStyle name="Normal 17 17 3 5 5 3" xfId="8739" xr:uid="{00000000-0005-0000-0000-000027220000}"/>
    <cellStyle name="Normal 17 17 3 5 5 4" xfId="8740" xr:uid="{00000000-0005-0000-0000-000028220000}"/>
    <cellStyle name="Normal 17 17 3 5 5 5" xfId="8741" xr:uid="{00000000-0005-0000-0000-000029220000}"/>
    <cellStyle name="Normal 17 17 3 5 5 6" xfId="8742" xr:uid="{00000000-0005-0000-0000-00002A220000}"/>
    <cellStyle name="Normal 17 17 3 5 6" xfId="8743" xr:uid="{00000000-0005-0000-0000-00002B220000}"/>
    <cellStyle name="Normal 17 17 3 5 6 2" xfId="8744" xr:uid="{00000000-0005-0000-0000-00002C220000}"/>
    <cellStyle name="Normal 17 17 3 5 6 3" xfId="8745" xr:uid="{00000000-0005-0000-0000-00002D220000}"/>
    <cellStyle name="Normal 17 17 3 5 6 4" xfId="8746" xr:uid="{00000000-0005-0000-0000-00002E220000}"/>
    <cellStyle name="Normal 17 17 3 5 6 5" xfId="8747" xr:uid="{00000000-0005-0000-0000-00002F220000}"/>
    <cellStyle name="Normal 17 17 3 5 6 6" xfId="8748" xr:uid="{00000000-0005-0000-0000-000030220000}"/>
    <cellStyle name="Normal 17 17 3 5 7" xfId="8749" xr:uid="{00000000-0005-0000-0000-000031220000}"/>
    <cellStyle name="Normal 17 17 3 5 7 2" xfId="8750" xr:uid="{00000000-0005-0000-0000-000032220000}"/>
    <cellStyle name="Normal 17 17 3 5 7 3" xfId="8751" xr:uid="{00000000-0005-0000-0000-000033220000}"/>
    <cellStyle name="Normal 17 17 3 5 7 4" xfId="8752" xr:uid="{00000000-0005-0000-0000-000034220000}"/>
    <cellStyle name="Normal 17 17 3 5 7 5" xfId="8753" xr:uid="{00000000-0005-0000-0000-000035220000}"/>
    <cellStyle name="Normal 17 17 3 5 7 6" xfId="8754" xr:uid="{00000000-0005-0000-0000-000036220000}"/>
    <cellStyle name="Normal 17 17 3 5 8" xfId="8755" xr:uid="{00000000-0005-0000-0000-000037220000}"/>
    <cellStyle name="Normal 17 17 3 5 8 2" xfId="8756" xr:uid="{00000000-0005-0000-0000-000038220000}"/>
    <cellStyle name="Normal 17 17 3 5 8 3" xfId="8757" xr:uid="{00000000-0005-0000-0000-000039220000}"/>
    <cellStyle name="Normal 17 17 3 5 8 4" xfId="8758" xr:uid="{00000000-0005-0000-0000-00003A220000}"/>
    <cellStyle name="Normal 17 17 3 5 8 5" xfId="8759" xr:uid="{00000000-0005-0000-0000-00003B220000}"/>
    <cellStyle name="Normal 17 17 3 5 8 6" xfId="8760" xr:uid="{00000000-0005-0000-0000-00003C220000}"/>
    <cellStyle name="Normal 17 17 3 5 9" xfId="8761" xr:uid="{00000000-0005-0000-0000-00003D220000}"/>
    <cellStyle name="Normal 17 17 3 5 9 2" xfId="8762" xr:uid="{00000000-0005-0000-0000-00003E220000}"/>
    <cellStyle name="Normal 17 17 3 5 9 3" xfId="8763" xr:uid="{00000000-0005-0000-0000-00003F220000}"/>
    <cellStyle name="Normal 17 17 3 5 9 4" xfId="8764" xr:uid="{00000000-0005-0000-0000-000040220000}"/>
    <cellStyle name="Normal 17 17 3 5 9 5" xfId="8765" xr:uid="{00000000-0005-0000-0000-000041220000}"/>
    <cellStyle name="Normal 17 17 3 5 9 6" xfId="8766" xr:uid="{00000000-0005-0000-0000-000042220000}"/>
    <cellStyle name="Normal 17 17 3 6" xfId="8767" xr:uid="{00000000-0005-0000-0000-000043220000}"/>
    <cellStyle name="Normal 17 17 3 6 10" xfId="8768" xr:uid="{00000000-0005-0000-0000-000044220000}"/>
    <cellStyle name="Normal 17 17 3 6 10 2" xfId="8769" xr:uid="{00000000-0005-0000-0000-000045220000}"/>
    <cellStyle name="Normal 17 17 3 6 10 3" xfId="8770" xr:uid="{00000000-0005-0000-0000-000046220000}"/>
    <cellStyle name="Normal 17 17 3 6 10 4" xfId="8771" xr:uid="{00000000-0005-0000-0000-000047220000}"/>
    <cellStyle name="Normal 17 17 3 6 10 5" xfId="8772" xr:uid="{00000000-0005-0000-0000-000048220000}"/>
    <cellStyle name="Normal 17 17 3 6 10 6" xfId="8773" xr:uid="{00000000-0005-0000-0000-000049220000}"/>
    <cellStyle name="Normal 17 17 3 6 11" xfId="8774" xr:uid="{00000000-0005-0000-0000-00004A220000}"/>
    <cellStyle name="Normal 17 17 3 6 12" xfId="8775" xr:uid="{00000000-0005-0000-0000-00004B220000}"/>
    <cellStyle name="Normal 17 17 3 6 13" xfId="8776" xr:uid="{00000000-0005-0000-0000-00004C220000}"/>
    <cellStyle name="Normal 17 17 3 6 14" xfId="8777" xr:uid="{00000000-0005-0000-0000-00004D220000}"/>
    <cellStyle name="Normal 17 17 3 6 15" xfId="8778" xr:uid="{00000000-0005-0000-0000-00004E220000}"/>
    <cellStyle name="Normal 17 17 3 6 2" xfId="8779" xr:uid="{00000000-0005-0000-0000-00004F220000}"/>
    <cellStyle name="Normal 17 17 3 6 2 10" xfId="8780" xr:uid="{00000000-0005-0000-0000-000050220000}"/>
    <cellStyle name="Normal 17 17 3 6 2 11" xfId="8781" xr:uid="{00000000-0005-0000-0000-000051220000}"/>
    <cellStyle name="Normal 17 17 3 6 2 12" xfId="8782" xr:uid="{00000000-0005-0000-0000-000052220000}"/>
    <cellStyle name="Normal 17 17 3 6 2 13" xfId="8783" xr:uid="{00000000-0005-0000-0000-000053220000}"/>
    <cellStyle name="Normal 17 17 3 6 2 14" xfId="8784" xr:uid="{00000000-0005-0000-0000-000054220000}"/>
    <cellStyle name="Normal 17 17 3 6 2 2" xfId="8785" xr:uid="{00000000-0005-0000-0000-000055220000}"/>
    <cellStyle name="Normal 17 17 3 6 2 2 2" xfId="8786" xr:uid="{00000000-0005-0000-0000-000056220000}"/>
    <cellStyle name="Normal 17 17 3 6 2 2 3" xfId="8787" xr:uid="{00000000-0005-0000-0000-000057220000}"/>
    <cellStyle name="Normal 17 17 3 6 2 2 4" xfId="8788" xr:uid="{00000000-0005-0000-0000-000058220000}"/>
    <cellStyle name="Normal 17 17 3 6 2 2 5" xfId="8789" xr:uid="{00000000-0005-0000-0000-000059220000}"/>
    <cellStyle name="Normal 17 17 3 6 2 2 6" xfId="8790" xr:uid="{00000000-0005-0000-0000-00005A220000}"/>
    <cellStyle name="Normal 17 17 3 6 2 3" xfId="8791" xr:uid="{00000000-0005-0000-0000-00005B220000}"/>
    <cellStyle name="Normal 17 17 3 6 2 3 2" xfId="8792" xr:uid="{00000000-0005-0000-0000-00005C220000}"/>
    <cellStyle name="Normal 17 17 3 6 2 3 3" xfId="8793" xr:uid="{00000000-0005-0000-0000-00005D220000}"/>
    <cellStyle name="Normal 17 17 3 6 2 3 4" xfId="8794" xr:uid="{00000000-0005-0000-0000-00005E220000}"/>
    <cellStyle name="Normal 17 17 3 6 2 3 5" xfId="8795" xr:uid="{00000000-0005-0000-0000-00005F220000}"/>
    <cellStyle name="Normal 17 17 3 6 2 3 6" xfId="8796" xr:uid="{00000000-0005-0000-0000-000060220000}"/>
    <cellStyle name="Normal 17 17 3 6 2 4" xfId="8797" xr:uid="{00000000-0005-0000-0000-000061220000}"/>
    <cellStyle name="Normal 17 17 3 6 2 4 2" xfId="8798" xr:uid="{00000000-0005-0000-0000-000062220000}"/>
    <cellStyle name="Normal 17 17 3 6 2 4 3" xfId="8799" xr:uid="{00000000-0005-0000-0000-000063220000}"/>
    <cellStyle name="Normal 17 17 3 6 2 4 4" xfId="8800" xr:uid="{00000000-0005-0000-0000-000064220000}"/>
    <cellStyle name="Normal 17 17 3 6 2 4 5" xfId="8801" xr:uid="{00000000-0005-0000-0000-000065220000}"/>
    <cellStyle name="Normal 17 17 3 6 2 4 6" xfId="8802" xr:uid="{00000000-0005-0000-0000-000066220000}"/>
    <cellStyle name="Normal 17 17 3 6 2 5" xfId="8803" xr:uid="{00000000-0005-0000-0000-000067220000}"/>
    <cellStyle name="Normal 17 17 3 6 2 5 2" xfId="8804" xr:uid="{00000000-0005-0000-0000-000068220000}"/>
    <cellStyle name="Normal 17 17 3 6 2 5 3" xfId="8805" xr:uid="{00000000-0005-0000-0000-000069220000}"/>
    <cellStyle name="Normal 17 17 3 6 2 5 4" xfId="8806" xr:uid="{00000000-0005-0000-0000-00006A220000}"/>
    <cellStyle name="Normal 17 17 3 6 2 5 5" xfId="8807" xr:uid="{00000000-0005-0000-0000-00006B220000}"/>
    <cellStyle name="Normal 17 17 3 6 2 5 6" xfId="8808" xr:uid="{00000000-0005-0000-0000-00006C220000}"/>
    <cellStyle name="Normal 17 17 3 6 2 6" xfId="8809" xr:uid="{00000000-0005-0000-0000-00006D220000}"/>
    <cellStyle name="Normal 17 17 3 6 2 6 2" xfId="8810" xr:uid="{00000000-0005-0000-0000-00006E220000}"/>
    <cellStyle name="Normal 17 17 3 6 2 6 3" xfId="8811" xr:uid="{00000000-0005-0000-0000-00006F220000}"/>
    <cellStyle name="Normal 17 17 3 6 2 6 4" xfId="8812" xr:uid="{00000000-0005-0000-0000-000070220000}"/>
    <cellStyle name="Normal 17 17 3 6 2 6 5" xfId="8813" xr:uid="{00000000-0005-0000-0000-000071220000}"/>
    <cellStyle name="Normal 17 17 3 6 2 6 6" xfId="8814" xr:uid="{00000000-0005-0000-0000-000072220000}"/>
    <cellStyle name="Normal 17 17 3 6 2 7" xfId="8815" xr:uid="{00000000-0005-0000-0000-000073220000}"/>
    <cellStyle name="Normal 17 17 3 6 2 7 2" xfId="8816" xr:uid="{00000000-0005-0000-0000-000074220000}"/>
    <cellStyle name="Normal 17 17 3 6 2 7 3" xfId="8817" xr:uid="{00000000-0005-0000-0000-000075220000}"/>
    <cellStyle name="Normal 17 17 3 6 2 7 4" xfId="8818" xr:uid="{00000000-0005-0000-0000-000076220000}"/>
    <cellStyle name="Normal 17 17 3 6 2 7 5" xfId="8819" xr:uid="{00000000-0005-0000-0000-000077220000}"/>
    <cellStyle name="Normal 17 17 3 6 2 7 6" xfId="8820" xr:uid="{00000000-0005-0000-0000-000078220000}"/>
    <cellStyle name="Normal 17 17 3 6 2 8" xfId="8821" xr:uid="{00000000-0005-0000-0000-000079220000}"/>
    <cellStyle name="Normal 17 17 3 6 2 8 2" xfId="8822" xr:uid="{00000000-0005-0000-0000-00007A220000}"/>
    <cellStyle name="Normal 17 17 3 6 2 8 3" xfId="8823" xr:uid="{00000000-0005-0000-0000-00007B220000}"/>
    <cellStyle name="Normal 17 17 3 6 2 8 4" xfId="8824" xr:uid="{00000000-0005-0000-0000-00007C220000}"/>
    <cellStyle name="Normal 17 17 3 6 2 8 5" xfId="8825" xr:uid="{00000000-0005-0000-0000-00007D220000}"/>
    <cellStyle name="Normal 17 17 3 6 2 8 6" xfId="8826" xr:uid="{00000000-0005-0000-0000-00007E220000}"/>
    <cellStyle name="Normal 17 17 3 6 2 9" xfId="8827" xr:uid="{00000000-0005-0000-0000-00007F220000}"/>
    <cellStyle name="Normal 17 17 3 6 2 9 2" xfId="8828" xr:uid="{00000000-0005-0000-0000-000080220000}"/>
    <cellStyle name="Normal 17 17 3 6 2 9 3" xfId="8829" xr:uid="{00000000-0005-0000-0000-000081220000}"/>
    <cellStyle name="Normal 17 17 3 6 2 9 4" xfId="8830" xr:uid="{00000000-0005-0000-0000-000082220000}"/>
    <cellStyle name="Normal 17 17 3 6 2 9 5" xfId="8831" xr:uid="{00000000-0005-0000-0000-000083220000}"/>
    <cellStyle name="Normal 17 17 3 6 2 9 6" xfId="8832" xr:uid="{00000000-0005-0000-0000-000084220000}"/>
    <cellStyle name="Normal 17 17 3 6 3" xfId="8833" xr:uid="{00000000-0005-0000-0000-000085220000}"/>
    <cellStyle name="Normal 17 17 3 6 3 2" xfId="8834" xr:uid="{00000000-0005-0000-0000-000086220000}"/>
    <cellStyle name="Normal 17 17 3 6 3 3" xfId="8835" xr:uid="{00000000-0005-0000-0000-000087220000}"/>
    <cellStyle name="Normal 17 17 3 6 3 4" xfId="8836" xr:uid="{00000000-0005-0000-0000-000088220000}"/>
    <cellStyle name="Normal 17 17 3 6 3 5" xfId="8837" xr:uid="{00000000-0005-0000-0000-000089220000}"/>
    <cellStyle name="Normal 17 17 3 6 3 6" xfId="8838" xr:uid="{00000000-0005-0000-0000-00008A220000}"/>
    <cellStyle name="Normal 17 17 3 6 4" xfId="8839" xr:uid="{00000000-0005-0000-0000-00008B220000}"/>
    <cellStyle name="Normal 17 17 3 6 4 2" xfId="8840" xr:uid="{00000000-0005-0000-0000-00008C220000}"/>
    <cellStyle name="Normal 17 17 3 6 4 3" xfId="8841" xr:uid="{00000000-0005-0000-0000-00008D220000}"/>
    <cellStyle name="Normal 17 17 3 6 4 4" xfId="8842" xr:uid="{00000000-0005-0000-0000-00008E220000}"/>
    <cellStyle name="Normal 17 17 3 6 4 5" xfId="8843" xr:uid="{00000000-0005-0000-0000-00008F220000}"/>
    <cellStyle name="Normal 17 17 3 6 4 6" xfId="8844" xr:uid="{00000000-0005-0000-0000-000090220000}"/>
    <cellStyle name="Normal 17 17 3 6 5" xfId="8845" xr:uid="{00000000-0005-0000-0000-000091220000}"/>
    <cellStyle name="Normal 17 17 3 6 5 2" xfId="8846" xr:uid="{00000000-0005-0000-0000-000092220000}"/>
    <cellStyle name="Normal 17 17 3 6 5 3" xfId="8847" xr:uid="{00000000-0005-0000-0000-000093220000}"/>
    <cellStyle name="Normal 17 17 3 6 5 4" xfId="8848" xr:uid="{00000000-0005-0000-0000-000094220000}"/>
    <cellStyle name="Normal 17 17 3 6 5 5" xfId="8849" xr:uid="{00000000-0005-0000-0000-000095220000}"/>
    <cellStyle name="Normal 17 17 3 6 5 6" xfId="8850" xr:uid="{00000000-0005-0000-0000-000096220000}"/>
    <cellStyle name="Normal 17 17 3 6 6" xfId="8851" xr:uid="{00000000-0005-0000-0000-000097220000}"/>
    <cellStyle name="Normal 17 17 3 6 6 2" xfId="8852" xr:uid="{00000000-0005-0000-0000-000098220000}"/>
    <cellStyle name="Normal 17 17 3 6 6 3" xfId="8853" xr:uid="{00000000-0005-0000-0000-000099220000}"/>
    <cellStyle name="Normal 17 17 3 6 6 4" xfId="8854" xr:uid="{00000000-0005-0000-0000-00009A220000}"/>
    <cellStyle name="Normal 17 17 3 6 6 5" xfId="8855" xr:uid="{00000000-0005-0000-0000-00009B220000}"/>
    <cellStyle name="Normal 17 17 3 6 6 6" xfId="8856" xr:uid="{00000000-0005-0000-0000-00009C220000}"/>
    <cellStyle name="Normal 17 17 3 6 7" xfId="8857" xr:uid="{00000000-0005-0000-0000-00009D220000}"/>
    <cellStyle name="Normal 17 17 3 6 7 2" xfId="8858" xr:uid="{00000000-0005-0000-0000-00009E220000}"/>
    <cellStyle name="Normal 17 17 3 6 7 3" xfId="8859" xr:uid="{00000000-0005-0000-0000-00009F220000}"/>
    <cellStyle name="Normal 17 17 3 6 7 4" xfId="8860" xr:uid="{00000000-0005-0000-0000-0000A0220000}"/>
    <cellStyle name="Normal 17 17 3 6 7 5" xfId="8861" xr:uid="{00000000-0005-0000-0000-0000A1220000}"/>
    <cellStyle name="Normal 17 17 3 6 7 6" xfId="8862" xr:uid="{00000000-0005-0000-0000-0000A2220000}"/>
    <cellStyle name="Normal 17 17 3 6 8" xfId="8863" xr:uid="{00000000-0005-0000-0000-0000A3220000}"/>
    <cellStyle name="Normal 17 17 3 6 8 2" xfId="8864" xr:uid="{00000000-0005-0000-0000-0000A4220000}"/>
    <cellStyle name="Normal 17 17 3 6 8 3" xfId="8865" xr:uid="{00000000-0005-0000-0000-0000A5220000}"/>
    <cellStyle name="Normal 17 17 3 6 8 4" xfId="8866" xr:uid="{00000000-0005-0000-0000-0000A6220000}"/>
    <cellStyle name="Normal 17 17 3 6 8 5" xfId="8867" xr:uid="{00000000-0005-0000-0000-0000A7220000}"/>
    <cellStyle name="Normal 17 17 3 6 8 6" xfId="8868" xr:uid="{00000000-0005-0000-0000-0000A8220000}"/>
    <cellStyle name="Normal 17 17 3 6 9" xfId="8869" xr:uid="{00000000-0005-0000-0000-0000A9220000}"/>
    <cellStyle name="Normal 17 17 3 6 9 2" xfId="8870" xr:uid="{00000000-0005-0000-0000-0000AA220000}"/>
    <cellStyle name="Normal 17 17 3 6 9 3" xfId="8871" xr:uid="{00000000-0005-0000-0000-0000AB220000}"/>
    <cellStyle name="Normal 17 17 3 6 9 4" xfId="8872" xr:uid="{00000000-0005-0000-0000-0000AC220000}"/>
    <cellStyle name="Normal 17 17 3 6 9 5" xfId="8873" xr:uid="{00000000-0005-0000-0000-0000AD220000}"/>
    <cellStyle name="Normal 17 17 3 6 9 6" xfId="8874" xr:uid="{00000000-0005-0000-0000-0000AE220000}"/>
    <cellStyle name="Normal 17 17 3 7" xfId="8875" xr:uid="{00000000-0005-0000-0000-0000AF220000}"/>
    <cellStyle name="Normal 17 17 3 7 10" xfId="8876" xr:uid="{00000000-0005-0000-0000-0000B0220000}"/>
    <cellStyle name="Normal 17 17 3 7 10 2" xfId="8877" xr:uid="{00000000-0005-0000-0000-0000B1220000}"/>
    <cellStyle name="Normal 17 17 3 7 10 3" xfId="8878" xr:uid="{00000000-0005-0000-0000-0000B2220000}"/>
    <cellStyle name="Normal 17 17 3 7 10 4" xfId="8879" xr:uid="{00000000-0005-0000-0000-0000B3220000}"/>
    <cellStyle name="Normal 17 17 3 7 10 5" xfId="8880" xr:uid="{00000000-0005-0000-0000-0000B4220000}"/>
    <cellStyle name="Normal 17 17 3 7 10 6" xfId="8881" xr:uid="{00000000-0005-0000-0000-0000B5220000}"/>
    <cellStyle name="Normal 17 17 3 7 11" xfId="8882" xr:uid="{00000000-0005-0000-0000-0000B6220000}"/>
    <cellStyle name="Normal 17 17 3 7 12" xfId="8883" xr:uid="{00000000-0005-0000-0000-0000B7220000}"/>
    <cellStyle name="Normal 17 17 3 7 13" xfId="8884" xr:uid="{00000000-0005-0000-0000-0000B8220000}"/>
    <cellStyle name="Normal 17 17 3 7 14" xfId="8885" xr:uid="{00000000-0005-0000-0000-0000B9220000}"/>
    <cellStyle name="Normal 17 17 3 7 15" xfId="8886" xr:uid="{00000000-0005-0000-0000-0000BA220000}"/>
    <cellStyle name="Normal 17 17 3 7 2" xfId="8887" xr:uid="{00000000-0005-0000-0000-0000BB220000}"/>
    <cellStyle name="Normal 17 17 3 7 2 10" xfId="8888" xr:uid="{00000000-0005-0000-0000-0000BC220000}"/>
    <cellStyle name="Normal 17 17 3 7 2 11" xfId="8889" xr:uid="{00000000-0005-0000-0000-0000BD220000}"/>
    <cellStyle name="Normal 17 17 3 7 2 12" xfId="8890" xr:uid="{00000000-0005-0000-0000-0000BE220000}"/>
    <cellStyle name="Normal 17 17 3 7 2 13" xfId="8891" xr:uid="{00000000-0005-0000-0000-0000BF220000}"/>
    <cellStyle name="Normal 17 17 3 7 2 14" xfId="8892" xr:uid="{00000000-0005-0000-0000-0000C0220000}"/>
    <cellStyle name="Normal 17 17 3 7 2 2" xfId="8893" xr:uid="{00000000-0005-0000-0000-0000C1220000}"/>
    <cellStyle name="Normal 17 17 3 7 2 2 2" xfId="8894" xr:uid="{00000000-0005-0000-0000-0000C2220000}"/>
    <cellStyle name="Normal 17 17 3 7 2 2 3" xfId="8895" xr:uid="{00000000-0005-0000-0000-0000C3220000}"/>
    <cellStyle name="Normal 17 17 3 7 2 2 4" xfId="8896" xr:uid="{00000000-0005-0000-0000-0000C4220000}"/>
    <cellStyle name="Normal 17 17 3 7 2 2 5" xfId="8897" xr:uid="{00000000-0005-0000-0000-0000C5220000}"/>
    <cellStyle name="Normal 17 17 3 7 2 2 6" xfId="8898" xr:uid="{00000000-0005-0000-0000-0000C6220000}"/>
    <cellStyle name="Normal 17 17 3 7 2 3" xfId="8899" xr:uid="{00000000-0005-0000-0000-0000C7220000}"/>
    <cellStyle name="Normal 17 17 3 7 2 3 2" xfId="8900" xr:uid="{00000000-0005-0000-0000-0000C8220000}"/>
    <cellStyle name="Normal 17 17 3 7 2 3 3" xfId="8901" xr:uid="{00000000-0005-0000-0000-0000C9220000}"/>
    <cellStyle name="Normal 17 17 3 7 2 3 4" xfId="8902" xr:uid="{00000000-0005-0000-0000-0000CA220000}"/>
    <cellStyle name="Normal 17 17 3 7 2 3 5" xfId="8903" xr:uid="{00000000-0005-0000-0000-0000CB220000}"/>
    <cellStyle name="Normal 17 17 3 7 2 3 6" xfId="8904" xr:uid="{00000000-0005-0000-0000-0000CC220000}"/>
    <cellStyle name="Normal 17 17 3 7 2 4" xfId="8905" xr:uid="{00000000-0005-0000-0000-0000CD220000}"/>
    <cellStyle name="Normal 17 17 3 7 2 4 2" xfId="8906" xr:uid="{00000000-0005-0000-0000-0000CE220000}"/>
    <cellStyle name="Normal 17 17 3 7 2 4 3" xfId="8907" xr:uid="{00000000-0005-0000-0000-0000CF220000}"/>
    <cellStyle name="Normal 17 17 3 7 2 4 4" xfId="8908" xr:uid="{00000000-0005-0000-0000-0000D0220000}"/>
    <cellStyle name="Normal 17 17 3 7 2 4 5" xfId="8909" xr:uid="{00000000-0005-0000-0000-0000D1220000}"/>
    <cellStyle name="Normal 17 17 3 7 2 4 6" xfId="8910" xr:uid="{00000000-0005-0000-0000-0000D2220000}"/>
    <cellStyle name="Normal 17 17 3 7 2 5" xfId="8911" xr:uid="{00000000-0005-0000-0000-0000D3220000}"/>
    <cellStyle name="Normal 17 17 3 7 2 5 2" xfId="8912" xr:uid="{00000000-0005-0000-0000-0000D4220000}"/>
    <cellStyle name="Normal 17 17 3 7 2 5 3" xfId="8913" xr:uid="{00000000-0005-0000-0000-0000D5220000}"/>
    <cellStyle name="Normal 17 17 3 7 2 5 4" xfId="8914" xr:uid="{00000000-0005-0000-0000-0000D6220000}"/>
    <cellStyle name="Normal 17 17 3 7 2 5 5" xfId="8915" xr:uid="{00000000-0005-0000-0000-0000D7220000}"/>
    <cellStyle name="Normal 17 17 3 7 2 5 6" xfId="8916" xr:uid="{00000000-0005-0000-0000-0000D8220000}"/>
    <cellStyle name="Normal 17 17 3 7 2 6" xfId="8917" xr:uid="{00000000-0005-0000-0000-0000D9220000}"/>
    <cellStyle name="Normal 17 17 3 7 2 6 2" xfId="8918" xr:uid="{00000000-0005-0000-0000-0000DA220000}"/>
    <cellStyle name="Normal 17 17 3 7 2 6 3" xfId="8919" xr:uid="{00000000-0005-0000-0000-0000DB220000}"/>
    <cellStyle name="Normal 17 17 3 7 2 6 4" xfId="8920" xr:uid="{00000000-0005-0000-0000-0000DC220000}"/>
    <cellStyle name="Normal 17 17 3 7 2 6 5" xfId="8921" xr:uid="{00000000-0005-0000-0000-0000DD220000}"/>
    <cellStyle name="Normal 17 17 3 7 2 6 6" xfId="8922" xr:uid="{00000000-0005-0000-0000-0000DE220000}"/>
    <cellStyle name="Normal 17 17 3 7 2 7" xfId="8923" xr:uid="{00000000-0005-0000-0000-0000DF220000}"/>
    <cellStyle name="Normal 17 17 3 7 2 7 2" xfId="8924" xr:uid="{00000000-0005-0000-0000-0000E0220000}"/>
    <cellStyle name="Normal 17 17 3 7 2 7 3" xfId="8925" xr:uid="{00000000-0005-0000-0000-0000E1220000}"/>
    <cellStyle name="Normal 17 17 3 7 2 7 4" xfId="8926" xr:uid="{00000000-0005-0000-0000-0000E2220000}"/>
    <cellStyle name="Normal 17 17 3 7 2 7 5" xfId="8927" xr:uid="{00000000-0005-0000-0000-0000E3220000}"/>
    <cellStyle name="Normal 17 17 3 7 2 7 6" xfId="8928" xr:uid="{00000000-0005-0000-0000-0000E4220000}"/>
    <cellStyle name="Normal 17 17 3 7 2 8" xfId="8929" xr:uid="{00000000-0005-0000-0000-0000E5220000}"/>
    <cellStyle name="Normal 17 17 3 7 2 8 2" xfId="8930" xr:uid="{00000000-0005-0000-0000-0000E6220000}"/>
    <cellStyle name="Normal 17 17 3 7 2 8 3" xfId="8931" xr:uid="{00000000-0005-0000-0000-0000E7220000}"/>
    <cellStyle name="Normal 17 17 3 7 2 8 4" xfId="8932" xr:uid="{00000000-0005-0000-0000-0000E8220000}"/>
    <cellStyle name="Normal 17 17 3 7 2 8 5" xfId="8933" xr:uid="{00000000-0005-0000-0000-0000E9220000}"/>
    <cellStyle name="Normal 17 17 3 7 2 8 6" xfId="8934" xr:uid="{00000000-0005-0000-0000-0000EA220000}"/>
    <cellStyle name="Normal 17 17 3 7 2 9" xfId="8935" xr:uid="{00000000-0005-0000-0000-0000EB220000}"/>
    <cellStyle name="Normal 17 17 3 7 2 9 2" xfId="8936" xr:uid="{00000000-0005-0000-0000-0000EC220000}"/>
    <cellStyle name="Normal 17 17 3 7 2 9 3" xfId="8937" xr:uid="{00000000-0005-0000-0000-0000ED220000}"/>
    <cellStyle name="Normal 17 17 3 7 2 9 4" xfId="8938" xr:uid="{00000000-0005-0000-0000-0000EE220000}"/>
    <cellStyle name="Normal 17 17 3 7 2 9 5" xfId="8939" xr:uid="{00000000-0005-0000-0000-0000EF220000}"/>
    <cellStyle name="Normal 17 17 3 7 2 9 6" xfId="8940" xr:uid="{00000000-0005-0000-0000-0000F0220000}"/>
    <cellStyle name="Normal 17 17 3 7 3" xfId="8941" xr:uid="{00000000-0005-0000-0000-0000F1220000}"/>
    <cellStyle name="Normal 17 17 3 7 3 2" xfId="8942" xr:uid="{00000000-0005-0000-0000-0000F2220000}"/>
    <cellStyle name="Normal 17 17 3 7 3 3" xfId="8943" xr:uid="{00000000-0005-0000-0000-0000F3220000}"/>
    <cellStyle name="Normal 17 17 3 7 3 4" xfId="8944" xr:uid="{00000000-0005-0000-0000-0000F4220000}"/>
    <cellStyle name="Normal 17 17 3 7 3 5" xfId="8945" xr:uid="{00000000-0005-0000-0000-0000F5220000}"/>
    <cellStyle name="Normal 17 17 3 7 3 6" xfId="8946" xr:uid="{00000000-0005-0000-0000-0000F6220000}"/>
    <cellStyle name="Normal 17 17 3 7 4" xfId="8947" xr:uid="{00000000-0005-0000-0000-0000F7220000}"/>
    <cellStyle name="Normal 17 17 3 7 4 2" xfId="8948" xr:uid="{00000000-0005-0000-0000-0000F8220000}"/>
    <cellStyle name="Normal 17 17 3 7 4 3" xfId="8949" xr:uid="{00000000-0005-0000-0000-0000F9220000}"/>
    <cellStyle name="Normal 17 17 3 7 4 4" xfId="8950" xr:uid="{00000000-0005-0000-0000-0000FA220000}"/>
    <cellStyle name="Normal 17 17 3 7 4 5" xfId="8951" xr:uid="{00000000-0005-0000-0000-0000FB220000}"/>
    <cellStyle name="Normal 17 17 3 7 4 6" xfId="8952" xr:uid="{00000000-0005-0000-0000-0000FC220000}"/>
    <cellStyle name="Normal 17 17 3 7 5" xfId="8953" xr:uid="{00000000-0005-0000-0000-0000FD220000}"/>
    <cellStyle name="Normal 17 17 3 7 5 2" xfId="8954" xr:uid="{00000000-0005-0000-0000-0000FE220000}"/>
    <cellStyle name="Normal 17 17 3 7 5 3" xfId="8955" xr:uid="{00000000-0005-0000-0000-0000FF220000}"/>
    <cellStyle name="Normal 17 17 3 7 5 4" xfId="8956" xr:uid="{00000000-0005-0000-0000-000000230000}"/>
    <cellStyle name="Normal 17 17 3 7 5 5" xfId="8957" xr:uid="{00000000-0005-0000-0000-000001230000}"/>
    <cellStyle name="Normal 17 17 3 7 5 6" xfId="8958" xr:uid="{00000000-0005-0000-0000-000002230000}"/>
    <cellStyle name="Normal 17 17 3 7 6" xfId="8959" xr:uid="{00000000-0005-0000-0000-000003230000}"/>
    <cellStyle name="Normal 17 17 3 7 6 2" xfId="8960" xr:uid="{00000000-0005-0000-0000-000004230000}"/>
    <cellStyle name="Normal 17 17 3 7 6 3" xfId="8961" xr:uid="{00000000-0005-0000-0000-000005230000}"/>
    <cellStyle name="Normal 17 17 3 7 6 4" xfId="8962" xr:uid="{00000000-0005-0000-0000-000006230000}"/>
    <cellStyle name="Normal 17 17 3 7 6 5" xfId="8963" xr:uid="{00000000-0005-0000-0000-000007230000}"/>
    <cellStyle name="Normal 17 17 3 7 6 6" xfId="8964" xr:uid="{00000000-0005-0000-0000-000008230000}"/>
    <cellStyle name="Normal 17 17 3 7 7" xfId="8965" xr:uid="{00000000-0005-0000-0000-000009230000}"/>
    <cellStyle name="Normal 17 17 3 7 7 2" xfId="8966" xr:uid="{00000000-0005-0000-0000-00000A230000}"/>
    <cellStyle name="Normal 17 17 3 7 7 3" xfId="8967" xr:uid="{00000000-0005-0000-0000-00000B230000}"/>
    <cellStyle name="Normal 17 17 3 7 7 4" xfId="8968" xr:uid="{00000000-0005-0000-0000-00000C230000}"/>
    <cellStyle name="Normal 17 17 3 7 7 5" xfId="8969" xr:uid="{00000000-0005-0000-0000-00000D230000}"/>
    <cellStyle name="Normal 17 17 3 7 7 6" xfId="8970" xr:uid="{00000000-0005-0000-0000-00000E230000}"/>
    <cellStyle name="Normal 17 17 3 7 8" xfId="8971" xr:uid="{00000000-0005-0000-0000-00000F230000}"/>
    <cellStyle name="Normal 17 17 3 7 8 2" xfId="8972" xr:uid="{00000000-0005-0000-0000-000010230000}"/>
    <cellStyle name="Normal 17 17 3 7 8 3" xfId="8973" xr:uid="{00000000-0005-0000-0000-000011230000}"/>
    <cellStyle name="Normal 17 17 3 7 8 4" xfId="8974" xr:uid="{00000000-0005-0000-0000-000012230000}"/>
    <cellStyle name="Normal 17 17 3 7 8 5" xfId="8975" xr:uid="{00000000-0005-0000-0000-000013230000}"/>
    <cellStyle name="Normal 17 17 3 7 8 6" xfId="8976" xr:uid="{00000000-0005-0000-0000-000014230000}"/>
    <cellStyle name="Normal 17 17 3 7 9" xfId="8977" xr:uid="{00000000-0005-0000-0000-000015230000}"/>
    <cellStyle name="Normal 17 17 3 7 9 2" xfId="8978" xr:uid="{00000000-0005-0000-0000-000016230000}"/>
    <cellStyle name="Normal 17 17 3 7 9 3" xfId="8979" xr:uid="{00000000-0005-0000-0000-000017230000}"/>
    <cellStyle name="Normal 17 17 3 7 9 4" xfId="8980" xr:uid="{00000000-0005-0000-0000-000018230000}"/>
    <cellStyle name="Normal 17 17 3 7 9 5" xfId="8981" xr:uid="{00000000-0005-0000-0000-000019230000}"/>
    <cellStyle name="Normal 17 17 3 7 9 6" xfId="8982" xr:uid="{00000000-0005-0000-0000-00001A230000}"/>
    <cellStyle name="Normal 17 17 3 8" xfId="8983" xr:uid="{00000000-0005-0000-0000-00001B230000}"/>
    <cellStyle name="Normal 17 17 3 8 10" xfId="8984" xr:uid="{00000000-0005-0000-0000-00001C230000}"/>
    <cellStyle name="Normal 17 17 3 8 10 2" xfId="8985" xr:uid="{00000000-0005-0000-0000-00001D230000}"/>
    <cellStyle name="Normal 17 17 3 8 10 3" xfId="8986" xr:uid="{00000000-0005-0000-0000-00001E230000}"/>
    <cellStyle name="Normal 17 17 3 8 10 4" xfId="8987" xr:uid="{00000000-0005-0000-0000-00001F230000}"/>
    <cellStyle name="Normal 17 17 3 8 10 5" xfId="8988" xr:uid="{00000000-0005-0000-0000-000020230000}"/>
    <cellStyle name="Normal 17 17 3 8 10 6" xfId="8989" xr:uid="{00000000-0005-0000-0000-000021230000}"/>
    <cellStyle name="Normal 17 17 3 8 11" xfId="8990" xr:uid="{00000000-0005-0000-0000-000022230000}"/>
    <cellStyle name="Normal 17 17 3 8 12" xfId="8991" xr:uid="{00000000-0005-0000-0000-000023230000}"/>
    <cellStyle name="Normal 17 17 3 8 13" xfId="8992" xr:uid="{00000000-0005-0000-0000-000024230000}"/>
    <cellStyle name="Normal 17 17 3 8 14" xfId="8993" xr:uid="{00000000-0005-0000-0000-000025230000}"/>
    <cellStyle name="Normal 17 17 3 8 15" xfId="8994" xr:uid="{00000000-0005-0000-0000-000026230000}"/>
    <cellStyle name="Normal 17 17 3 8 2" xfId="8995" xr:uid="{00000000-0005-0000-0000-000027230000}"/>
    <cellStyle name="Normal 17 17 3 8 2 10" xfId="8996" xr:uid="{00000000-0005-0000-0000-000028230000}"/>
    <cellStyle name="Normal 17 17 3 8 2 11" xfId="8997" xr:uid="{00000000-0005-0000-0000-000029230000}"/>
    <cellStyle name="Normal 17 17 3 8 2 12" xfId="8998" xr:uid="{00000000-0005-0000-0000-00002A230000}"/>
    <cellStyle name="Normal 17 17 3 8 2 13" xfId="8999" xr:uid="{00000000-0005-0000-0000-00002B230000}"/>
    <cellStyle name="Normal 17 17 3 8 2 14" xfId="9000" xr:uid="{00000000-0005-0000-0000-00002C230000}"/>
    <cellStyle name="Normal 17 17 3 8 2 2" xfId="9001" xr:uid="{00000000-0005-0000-0000-00002D230000}"/>
    <cellStyle name="Normal 17 17 3 8 2 2 2" xfId="9002" xr:uid="{00000000-0005-0000-0000-00002E230000}"/>
    <cellStyle name="Normal 17 17 3 8 2 2 3" xfId="9003" xr:uid="{00000000-0005-0000-0000-00002F230000}"/>
    <cellStyle name="Normal 17 17 3 8 2 2 4" xfId="9004" xr:uid="{00000000-0005-0000-0000-000030230000}"/>
    <cellStyle name="Normal 17 17 3 8 2 2 5" xfId="9005" xr:uid="{00000000-0005-0000-0000-000031230000}"/>
    <cellStyle name="Normal 17 17 3 8 2 2 6" xfId="9006" xr:uid="{00000000-0005-0000-0000-000032230000}"/>
    <cellStyle name="Normal 17 17 3 8 2 3" xfId="9007" xr:uid="{00000000-0005-0000-0000-000033230000}"/>
    <cellStyle name="Normal 17 17 3 8 2 3 2" xfId="9008" xr:uid="{00000000-0005-0000-0000-000034230000}"/>
    <cellStyle name="Normal 17 17 3 8 2 3 3" xfId="9009" xr:uid="{00000000-0005-0000-0000-000035230000}"/>
    <cellStyle name="Normal 17 17 3 8 2 3 4" xfId="9010" xr:uid="{00000000-0005-0000-0000-000036230000}"/>
    <cellStyle name="Normal 17 17 3 8 2 3 5" xfId="9011" xr:uid="{00000000-0005-0000-0000-000037230000}"/>
    <cellStyle name="Normal 17 17 3 8 2 3 6" xfId="9012" xr:uid="{00000000-0005-0000-0000-000038230000}"/>
    <cellStyle name="Normal 17 17 3 8 2 4" xfId="9013" xr:uid="{00000000-0005-0000-0000-000039230000}"/>
    <cellStyle name="Normal 17 17 3 8 2 4 2" xfId="9014" xr:uid="{00000000-0005-0000-0000-00003A230000}"/>
    <cellStyle name="Normal 17 17 3 8 2 4 3" xfId="9015" xr:uid="{00000000-0005-0000-0000-00003B230000}"/>
    <cellStyle name="Normal 17 17 3 8 2 4 4" xfId="9016" xr:uid="{00000000-0005-0000-0000-00003C230000}"/>
    <cellStyle name="Normal 17 17 3 8 2 4 5" xfId="9017" xr:uid="{00000000-0005-0000-0000-00003D230000}"/>
    <cellStyle name="Normal 17 17 3 8 2 4 6" xfId="9018" xr:uid="{00000000-0005-0000-0000-00003E230000}"/>
    <cellStyle name="Normal 17 17 3 8 2 5" xfId="9019" xr:uid="{00000000-0005-0000-0000-00003F230000}"/>
    <cellStyle name="Normal 17 17 3 8 2 5 2" xfId="9020" xr:uid="{00000000-0005-0000-0000-000040230000}"/>
    <cellStyle name="Normal 17 17 3 8 2 5 3" xfId="9021" xr:uid="{00000000-0005-0000-0000-000041230000}"/>
    <cellStyle name="Normal 17 17 3 8 2 5 4" xfId="9022" xr:uid="{00000000-0005-0000-0000-000042230000}"/>
    <cellStyle name="Normal 17 17 3 8 2 5 5" xfId="9023" xr:uid="{00000000-0005-0000-0000-000043230000}"/>
    <cellStyle name="Normal 17 17 3 8 2 5 6" xfId="9024" xr:uid="{00000000-0005-0000-0000-000044230000}"/>
    <cellStyle name="Normal 17 17 3 8 2 6" xfId="9025" xr:uid="{00000000-0005-0000-0000-000045230000}"/>
    <cellStyle name="Normal 17 17 3 8 2 6 2" xfId="9026" xr:uid="{00000000-0005-0000-0000-000046230000}"/>
    <cellStyle name="Normal 17 17 3 8 2 6 3" xfId="9027" xr:uid="{00000000-0005-0000-0000-000047230000}"/>
    <cellStyle name="Normal 17 17 3 8 2 6 4" xfId="9028" xr:uid="{00000000-0005-0000-0000-000048230000}"/>
    <cellStyle name="Normal 17 17 3 8 2 6 5" xfId="9029" xr:uid="{00000000-0005-0000-0000-000049230000}"/>
    <cellStyle name="Normal 17 17 3 8 2 6 6" xfId="9030" xr:uid="{00000000-0005-0000-0000-00004A230000}"/>
    <cellStyle name="Normal 17 17 3 8 2 7" xfId="9031" xr:uid="{00000000-0005-0000-0000-00004B230000}"/>
    <cellStyle name="Normal 17 17 3 8 2 7 2" xfId="9032" xr:uid="{00000000-0005-0000-0000-00004C230000}"/>
    <cellStyle name="Normal 17 17 3 8 2 7 3" xfId="9033" xr:uid="{00000000-0005-0000-0000-00004D230000}"/>
    <cellStyle name="Normal 17 17 3 8 2 7 4" xfId="9034" xr:uid="{00000000-0005-0000-0000-00004E230000}"/>
    <cellStyle name="Normal 17 17 3 8 2 7 5" xfId="9035" xr:uid="{00000000-0005-0000-0000-00004F230000}"/>
    <cellStyle name="Normal 17 17 3 8 2 7 6" xfId="9036" xr:uid="{00000000-0005-0000-0000-000050230000}"/>
    <cellStyle name="Normal 17 17 3 8 2 8" xfId="9037" xr:uid="{00000000-0005-0000-0000-000051230000}"/>
    <cellStyle name="Normal 17 17 3 8 2 8 2" xfId="9038" xr:uid="{00000000-0005-0000-0000-000052230000}"/>
    <cellStyle name="Normal 17 17 3 8 2 8 3" xfId="9039" xr:uid="{00000000-0005-0000-0000-000053230000}"/>
    <cellStyle name="Normal 17 17 3 8 2 8 4" xfId="9040" xr:uid="{00000000-0005-0000-0000-000054230000}"/>
    <cellStyle name="Normal 17 17 3 8 2 8 5" xfId="9041" xr:uid="{00000000-0005-0000-0000-000055230000}"/>
    <cellStyle name="Normal 17 17 3 8 2 8 6" xfId="9042" xr:uid="{00000000-0005-0000-0000-000056230000}"/>
    <cellStyle name="Normal 17 17 3 8 2 9" xfId="9043" xr:uid="{00000000-0005-0000-0000-000057230000}"/>
    <cellStyle name="Normal 17 17 3 8 2 9 2" xfId="9044" xr:uid="{00000000-0005-0000-0000-000058230000}"/>
    <cellStyle name="Normal 17 17 3 8 2 9 3" xfId="9045" xr:uid="{00000000-0005-0000-0000-000059230000}"/>
    <cellStyle name="Normal 17 17 3 8 2 9 4" xfId="9046" xr:uid="{00000000-0005-0000-0000-00005A230000}"/>
    <cellStyle name="Normal 17 17 3 8 2 9 5" xfId="9047" xr:uid="{00000000-0005-0000-0000-00005B230000}"/>
    <cellStyle name="Normal 17 17 3 8 2 9 6" xfId="9048" xr:uid="{00000000-0005-0000-0000-00005C230000}"/>
    <cellStyle name="Normal 17 17 3 8 3" xfId="9049" xr:uid="{00000000-0005-0000-0000-00005D230000}"/>
    <cellStyle name="Normal 17 17 3 8 3 2" xfId="9050" xr:uid="{00000000-0005-0000-0000-00005E230000}"/>
    <cellStyle name="Normal 17 17 3 8 3 3" xfId="9051" xr:uid="{00000000-0005-0000-0000-00005F230000}"/>
    <cellStyle name="Normal 17 17 3 8 3 4" xfId="9052" xr:uid="{00000000-0005-0000-0000-000060230000}"/>
    <cellStyle name="Normal 17 17 3 8 3 5" xfId="9053" xr:uid="{00000000-0005-0000-0000-000061230000}"/>
    <cellStyle name="Normal 17 17 3 8 3 6" xfId="9054" xr:uid="{00000000-0005-0000-0000-000062230000}"/>
    <cellStyle name="Normal 17 17 3 8 4" xfId="9055" xr:uid="{00000000-0005-0000-0000-000063230000}"/>
    <cellStyle name="Normal 17 17 3 8 4 2" xfId="9056" xr:uid="{00000000-0005-0000-0000-000064230000}"/>
    <cellStyle name="Normal 17 17 3 8 4 3" xfId="9057" xr:uid="{00000000-0005-0000-0000-000065230000}"/>
    <cellStyle name="Normal 17 17 3 8 4 4" xfId="9058" xr:uid="{00000000-0005-0000-0000-000066230000}"/>
    <cellStyle name="Normal 17 17 3 8 4 5" xfId="9059" xr:uid="{00000000-0005-0000-0000-000067230000}"/>
    <cellStyle name="Normal 17 17 3 8 4 6" xfId="9060" xr:uid="{00000000-0005-0000-0000-000068230000}"/>
    <cellStyle name="Normal 17 17 3 8 5" xfId="9061" xr:uid="{00000000-0005-0000-0000-000069230000}"/>
    <cellStyle name="Normal 17 17 3 8 5 2" xfId="9062" xr:uid="{00000000-0005-0000-0000-00006A230000}"/>
    <cellStyle name="Normal 17 17 3 8 5 3" xfId="9063" xr:uid="{00000000-0005-0000-0000-00006B230000}"/>
    <cellStyle name="Normal 17 17 3 8 5 4" xfId="9064" xr:uid="{00000000-0005-0000-0000-00006C230000}"/>
    <cellStyle name="Normal 17 17 3 8 5 5" xfId="9065" xr:uid="{00000000-0005-0000-0000-00006D230000}"/>
    <cellStyle name="Normal 17 17 3 8 5 6" xfId="9066" xr:uid="{00000000-0005-0000-0000-00006E230000}"/>
    <cellStyle name="Normal 17 17 3 8 6" xfId="9067" xr:uid="{00000000-0005-0000-0000-00006F230000}"/>
    <cellStyle name="Normal 17 17 3 8 6 2" xfId="9068" xr:uid="{00000000-0005-0000-0000-000070230000}"/>
    <cellStyle name="Normal 17 17 3 8 6 3" xfId="9069" xr:uid="{00000000-0005-0000-0000-000071230000}"/>
    <cellStyle name="Normal 17 17 3 8 6 4" xfId="9070" xr:uid="{00000000-0005-0000-0000-000072230000}"/>
    <cellStyle name="Normal 17 17 3 8 6 5" xfId="9071" xr:uid="{00000000-0005-0000-0000-000073230000}"/>
    <cellStyle name="Normal 17 17 3 8 6 6" xfId="9072" xr:uid="{00000000-0005-0000-0000-000074230000}"/>
    <cellStyle name="Normal 17 17 3 8 7" xfId="9073" xr:uid="{00000000-0005-0000-0000-000075230000}"/>
    <cellStyle name="Normal 17 17 3 8 7 2" xfId="9074" xr:uid="{00000000-0005-0000-0000-000076230000}"/>
    <cellStyle name="Normal 17 17 3 8 7 3" xfId="9075" xr:uid="{00000000-0005-0000-0000-000077230000}"/>
    <cellStyle name="Normal 17 17 3 8 7 4" xfId="9076" xr:uid="{00000000-0005-0000-0000-000078230000}"/>
    <cellStyle name="Normal 17 17 3 8 7 5" xfId="9077" xr:uid="{00000000-0005-0000-0000-000079230000}"/>
    <cellStyle name="Normal 17 17 3 8 7 6" xfId="9078" xr:uid="{00000000-0005-0000-0000-00007A230000}"/>
    <cellStyle name="Normal 17 17 3 8 8" xfId="9079" xr:uid="{00000000-0005-0000-0000-00007B230000}"/>
    <cellStyle name="Normal 17 17 3 8 8 2" xfId="9080" xr:uid="{00000000-0005-0000-0000-00007C230000}"/>
    <cellStyle name="Normal 17 17 3 8 8 3" xfId="9081" xr:uid="{00000000-0005-0000-0000-00007D230000}"/>
    <cellStyle name="Normal 17 17 3 8 8 4" xfId="9082" xr:uid="{00000000-0005-0000-0000-00007E230000}"/>
    <cellStyle name="Normal 17 17 3 8 8 5" xfId="9083" xr:uid="{00000000-0005-0000-0000-00007F230000}"/>
    <cellStyle name="Normal 17 17 3 8 8 6" xfId="9084" xr:uid="{00000000-0005-0000-0000-000080230000}"/>
    <cellStyle name="Normal 17 17 3 8 9" xfId="9085" xr:uid="{00000000-0005-0000-0000-000081230000}"/>
    <cellStyle name="Normal 17 17 3 8 9 2" xfId="9086" xr:uid="{00000000-0005-0000-0000-000082230000}"/>
    <cellStyle name="Normal 17 17 3 8 9 3" xfId="9087" xr:uid="{00000000-0005-0000-0000-000083230000}"/>
    <cellStyle name="Normal 17 17 3 8 9 4" xfId="9088" xr:uid="{00000000-0005-0000-0000-000084230000}"/>
    <cellStyle name="Normal 17 17 3 8 9 5" xfId="9089" xr:uid="{00000000-0005-0000-0000-000085230000}"/>
    <cellStyle name="Normal 17 17 3 8 9 6" xfId="9090" xr:uid="{00000000-0005-0000-0000-000086230000}"/>
    <cellStyle name="Normal 17 17 3 9" xfId="9091" xr:uid="{00000000-0005-0000-0000-000087230000}"/>
    <cellStyle name="Normal 17 17 3 9 10" xfId="9092" xr:uid="{00000000-0005-0000-0000-000088230000}"/>
    <cellStyle name="Normal 17 17 3 9 10 2" xfId="9093" xr:uid="{00000000-0005-0000-0000-000089230000}"/>
    <cellStyle name="Normal 17 17 3 9 10 3" xfId="9094" xr:uid="{00000000-0005-0000-0000-00008A230000}"/>
    <cellStyle name="Normal 17 17 3 9 10 4" xfId="9095" xr:uid="{00000000-0005-0000-0000-00008B230000}"/>
    <cellStyle name="Normal 17 17 3 9 10 5" xfId="9096" xr:uid="{00000000-0005-0000-0000-00008C230000}"/>
    <cellStyle name="Normal 17 17 3 9 10 6" xfId="9097" xr:uid="{00000000-0005-0000-0000-00008D230000}"/>
    <cellStyle name="Normal 17 17 3 9 11" xfId="9098" xr:uid="{00000000-0005-0000-0000-00008E230000}"/>
    <cellStyle name="Normal 17 17 3 9 11 2" xfId="9099" xr:uid="{00000000-0005-0000-0000-00008F230000}"/>
    <cellStyle name="Normal 17 17 3 9 11 3" xfId="9100" xr:uid="{00000000-0005-0000-0000-000090230000}"/>
    <cellStyle name="Normal 17 17 3 9 11 4" xfId="9101" xr:uid="{00000000-0005-0000-0000-000091230000}"/>
    <cellStyle name="Normal 17 17 3 9 11 5" xfId="9102" xr:uid="{00000000-0005-0000-0000-000092230000}"/>
    <cellStyle name="Normal 17 17 3 9 11 6" xfId="9103" xr:uid="{00000000-0005-0000-0000-000093230000}"/>
    <cellStyle name="Normal 17 17 3 9 12" xfId="9104" xr:uid="{00000000-0005-0000-0000-000094230000}"/>
    <cellStyle name="Normal 17 17 3 9 12 2" xfId="9105" xr:uid="{00000000-0005-0000-0000-000095230000}"/>
    <cellStyle name="Normal 17 17 3 9 12 3" xfId="9106" xr:uid="{00000000-0005-0000-0000-000096230000}"/>
    <cellStyle name="Normal 17 17 3 9 12 4" xfId="9107" xr:uid="{00000000-0005-0000-0000-000097230000}"/>
    <cellStyle name="Normal 17 17 3 9 12 5" xfId="9108" xr:uid="{00000000-0005-0000-0000-000098230000}"/>
    <cellStyle name="Normal 17 17 3 9 12 6" xfId="9109" xr:uid="{00000000-0005-0000-0000-000099230000}"/>
    <cellStyle name="Normal 17 17 3 9 13" xfId="9110" xr:uid="{00000000-0005-0000-0000-00009A230000}"/>
    <cellStyle name="Normal 17 17 3 9 13 2" xfId="9111" xr:uid="{00000000-0005-0000-0000-00009B230000}"/>
    <cellStyle name="Normal 17 17 3 9 13 3" xfId="9112" xr:uid="{00000000-0005-0000-0000-00009C230000}"/>
    <cellStyle name="Normal 17 17 3 9 13 4" xfId="9113" xr:uid="{00000000-0005-0000-0000-00009D230000}"/>
    <cellStyle name="Normal 17 17 3 9 13 5" xfId="9114" xr:uid="{00000000-0005-0000-0000-00009E230000}"/>
    <cellStyle name="Normal 17 17 3 9 13 6" xfId="9115" xr:uid="{00000000-0005-0000-0000-00009F230000}"/>
    <cellStyle name="Normal 17 17 3 9 14" xfId="9116" xr:uid="{00000000-0005-0000-0000-0000A0230000}"/>
    <cellStyle name="Normal 17 17 3 9 14 2" xfId="9117" xr:uid="{00000000-0005-0000-0000-0000A1230000}"/>
    <cellStyle name="Normal 17 17 3 9 14 3" xfId="9118" xr:uid="{00000000-0005-0000-0000-0000A2230000}"/>
    <cellStyle name="Normal 17 17 3 9 14 4" xfId="9119" xr:uid="{00000000-0005-0000-0000-0000A3230000}"/>
    <cellStyle name="Normal 17 17 3 9 14 5" xfId="9120" xr:uid="{00000000-0005-0000-0000-0000A4230000}"/>
    <cellStyle name="Normal 17 17 3 9 14 6" xfId="9121" xr:uid="{00000000-0005-0000-0000-0000A5230000}"/>
    <cellStyle name="Normal 17 17 3 9 15" xfId="9122" xr:uid="{00000000-0005-0000-0000-0000A6230000}"/>
    <cellStyle name="Normal 17 17 3 9 15 2" xfId="9123" xr:uid="{00000000-0005-0000-0000-0000A7230000}"/>
    <cellStyle name="Normal 17 17 3 9 15 3" xfId="9124" xr:uid="{00000000-0005-0000-0000-0000A8230000}"/>
    <cellStyle name="Normal 17 17 3 9 15 4" xfId="9125" xr:uid="{00000000-0005-0000-0000-0000A9230000}"/>
    <cellStyle name="Normal 17 17 3 9 15 5" xfId="9126" xr:uid="{00000000-0005-0000-0000-0000AA230000}"/>
    <cellStyle name="Normal 17 17 3 9 15 6" xfId="9127" xr:uid="{00000000-0005-0000-0000-0000AB230000}"/>
    <cellStyle name="Normal 17 17 3 9 16" xfId="9128" xr:uid="{00000000-0005-0000-0000-0000AC230000}"/>
    <cellStyle name="Normal 17 17 3 9 17" xfId="9129" xr:uid="{00000000-0005-0000-0000-0000AD230000}"/>
    <cellStyle name="Normal 17 17 3 9 18" xfId="9130" xr:uid="{00000000-0005-0000-0000-0000AE230000}"/>
    <cellStyle name="Normal 17 17 3 9 19" xfId="9131" xr:uid="{00000000-0005-0000-0000-0000AF230000}"/>
    <cellStyle name="Normal 17 17 3 9 2" xfId="9132" xr:uid="{00000000-0005-0000-0000-0000B0230000}"/>
    <cellStyle name="Normal 17 17 3 9 2 10" xfId="9133" xr:uid="{00000000-0005-0000-0000-0000B1230000}"/>
    <cellStyle name="Normal 17 17 3 9 2 10 2" xfId="9134" xr:uid="{00000000-0005-0000-0000-0000B2230000}"/>
    <cellStyle name="Normal 17 17 3 9 2 10 3" xfId="9135" xr:uid="{00000000-0005-0000-0000-0000B3230000}"/>
    <cellStyle name="Normal 17 17 3 9 2 10 4" xfId="9136" xr:uid="{00000000-0005-0000-0000-0000B4230000}"/>
    <cellStyle name="Normal 17 17 3 9 2 10 5" xfId="9137" xr:uid="{00000000-0005-0000-0000-0000B5230000}"/>
    <cellStyle name="Normal 17 17 3 9 2 10 6" xfId="9138" xr:uid="{00000000-0005-0000-0000-0000B6230000}"/>
    <cellStyle name="Normal 17 17 3 9 2 11" xfId="9139" xr:uid="{00000000-0005-0000-0000-0000B7230000}"/>
    <cellStyle name="Normal 17 17 3 9 2 12" xfId="9140" xr:uid="{00000000-0005-0000-0000-0000B8230000}"/>
    <cellStyle name="Normal 17 17 3 9 2 13" xfId="9141" xr:uid="{00000000-0005-0000-0000-0000B9230000}"/>
    <cellStyle name="Normal 17 17 3 9 2 14" xfId="9142" xr:uid="{00000000-0005-0000-0000-0000BA230000}"/>
    <cellStyle name="Normal 17 17 3 9 2 15" xfId="9143" xr:uid="{00000000-0005-0000-0000-0000BB230000}"/>
    <cellStyle name="Normal 17 17 3 9 2 2" xfId="9144" xr:uid="{00000000-0005-0000-0000-0000BC230000}"/>
    <cellStyle name="Normal 17 17 3 9 2 2 10" xfId="9145" xr:uid="{00000000-0005-0000-0000-0000BD230000}"/>
    <cellStyle name="Normal 17 17 3 9 2 2 11" xfId="9146" xr:uid="{00000000-0005-0000-0000-0000BE230000}"/>
    <cellStyle name="Normal 17 17 3 9 2 2 12" xfId="9147" xr:uid="{00000000-0005-0000-0000-0000BF230000}"/>
    <cellStyle name="Normal 17 17 3 9 2 2 13" xfId="9148" xr:uid="{00000000-0005-0000-0000-0000C0230000}"/>
    <cellStyle name="Normal 17 17 3 9 2 2 14" xfId="9149" xr:uid="{00000000-0005-0000-0000-0000C1230000}"/>
    <cellStyle name="Normal 17 17 3 9 2 2 2" xfId="9150" xr:uid="{00000000-0005-0000-0000-0000C2230000}"/>
    <cellStyle name="Normal 17 17 3 9 2 2 2 2" xfId="9151" xr:uid="{00000000-0005-0000-0000-0000C3230000}"/>
    <cellStyle name="Normal 17 17 3 9 2 2 2 3" xfId="9152" xr:uid="{00000000-0005-0000-0000-0000C4230000}"/>
    <cellStyle name="Normal 17 17 3 9 2 2 2 4" xfId="9153" xr:uid="{00000000-0005-0000-0000-0000C5230000}"/>
    <cellStyle name="Normal 17 17 3 9 2 2 2 5" xfId="9154" xr:uid="{00000000-0005-0000-0000-0000C6230000}"/>
    <cellStyle name="Normal 17 17 3 9 2 2 2 6" xfId="9155" xr:uid="{00000000-0005-0000-0000-0000C7230000}"/>
    <cellStyle name="Normal 17 17 3 9 2 2 3" xfId="9156" xr:uid="{00000000-0005-0000-0000-0000C8230000}"/>
    <cellStyle name="Normal 17 17 3 9 2 2 3 2" xfId="9157" xr:uid="{00000000-0005-0000-0000-0000C9230000}"/>
    <cellStyle name="Normal 17 17 3 9 2 2 3 3" xfId="9158" xr:uid="{00000000-0005-0000-0000-0000CA230000}"/>
    <cellStyle name="Normal 17 17 3 9 2 2 3 4" xfId="9159" xr:uid="{00000000-0005-0000-0000-0000CB230000}"/>
    <cellStyle name="Normal 17 17 3 9 2 2 3 5" xfId="9160" xr:uid="{00000000-0005-0000-0000-0000CC230000}"/>
    <cellStyle name="Normal 17 17 3 9 2 2 3 6" xfId="9161" xr:uid="{00000000-0005-0000-0000-0000CD230000}"/>
    <cellStyle name="Normal 17 17 3 9 2 2 4" xfId="9162" xr:uid="{00000000-0005-0000-0000-0000CE230000}"/>
    <cellStyle name="Normal 17 17 3 9 2 2 4 2" xfId="9163" xr:uid="{00000000-0005-0000-0000-0000CF230000}"/>
    <cellStyle name="Normal 17 17 3 9 2 2 4 3" xfId="9164" xr:uid="{00000000-0005-0000-0000-0000D0230000}"/>
    <cellStyle name="Normal 17 17 3 9 2 2 4 4" xfId="9165" xr:uid="{00000000-0005-0000-0000-0000D1230000}"/>
    <cellStyle name="Normal 17 17 3 9 2 2 4 5" xfId="9166" xr:uid="{00000000-0005-0000-0000-0000D2230000}"/>
    <cellStyle name="Normal 17 17 3 9 2 2 4 6" xfId="9167" xr:uid="{00000000-0005-0000-0000-0000D3230000}"/>
    <cellStyle name="Normal 17 17 3 9 2 2 5" xfId="9168" xr:uid="{00000000-0005-0000-0000-0000D4230000}"/>
    <cellStyle name="Normal 17 17 3 9 2 2 5 2" xfId="9169" xr:uid="{00000000-0005-0000-0000-0000D5230000}"/>
    <cellStyle name="Normal 17 17 3 9 2 2 5 3" xfId="9170" xr:uid="{00000000-0005-0000-0000-0000D6230000}"/>
    <cellStyle name="Normal 17 17 3 9 2 2 5 4" xfId="9171" xr:uid="{00000000-0005-0000-0000-0000D7230000}"/>
    <cellStyle name="Normal 17 17 3 9 2 2 5 5" xfId="9172" xr:uid="{00000000-0005-0000-0000-0000D8230000}"/>
    <cellStyle name="Normal 17 17 3 9 2 2 5 6" xfId="9173" xr:uid="{00000000-0005-0000-0000-0000D9230000}"/>
    <cellStyle name="Normal 17 17 3 9 2 2 6" xfId="9174" xr:uid="{00000000-0005-0000-0000-0000DA230000}"/>
    <cellStyle name="Normal 17 17 3 9 2 2 6 2" xfId="9175" xr:uid="{00000000-0005-0000-0000-0000DB230000}"/>
    <cellStyle name="Normal 17 17 3 9 2 2 6 3" xfId="9176" xr:uid="{00000000-0005-0000-0000-0000DC230000}"/>
    <cellStyle name="Normal 17 17 3 9 2 2 6 4" xfId="9177" xr:uid="{00000000-0005-0000-0000-0000DD230000}"/>
    <cellStyle name="Normal 17 17 3 9 2 2 6 5" xfId="9178" xr:uid="{00000000-0005-0000-0000-0000DE230000}"/>
    <cellStyle name="Normal 17 17 3 9 2 2 6 6" xfId="9179" xr:uid="{00000000-0005-0000-0000-0000DF230000}"/>
    <cellStyle name="Normal 17 17 3 9 2 2 7" xfId="9180" xr:uid="{00000000-0005-0000-0000-0000E0230000}"/>
    <cellStyle name="Normal 17 17 3 9 2 2 7 2" xfId="9181" xr:uid="{00000000-0005-0000-0000-0000E1230000}"/>
    <cellStyle name="Normal 17 17 3 9 2 2 7 3" xfId="9182" xr:uid="{00000000-0005-0000-0000-0000E2230000}"/>
    <cellStyle name="Normal 17 17 3 9 2 2 7 4" xfId="9183" xr:uid="{00000000-0005-0000-0000-0000E3230000}"/>
    <cellStyle name="Normal 17 17 3 9 2 2 7 5" xfId="9184" xr:uid="{00000000-0005-0000-0000-0000E4230000}"/>
    <cellStyle name="Normal 17 17 3 9 2 2 7 6" xfId="9185" xr:uid="{00000000-0005-0000-0000-0000E5230000}"/>
    <cellStyle name="Normal 17 17 3 9 2 2 8" xfId="9186" xr:uid="{00000000-0005-0000-0000-0000E6230000}"/>
    <cellStyle name="Normal 17 17 3 9 2 2 8 2" xfId="9187" xr:uid="{00000000-0005-0000-0000-0000E7230000}"/>
    <cellStyle name="Normal 17 17 3 9 2 2 8 3" xfId="9188" xr:uid="{00000000-0005-0000-0000-0000E8230000}"/>
    <cellStyle name="Normal 17 17 3 9 2 2 8 4" xfId="9189" xr:uid="{00000000-0005-0000-0000-0000E9230000}"/>
    <cellStyle name="Normal 17 17 3 9 2 2 8 5" xfId="9190" xr:uid="{00000000-0005-0000-0000-0000EA230000}"/>
    <cellStyle name="Normal 17 17 3 9 2 2 8 6" xfId="9191" xr:uid="{00000000-0005-0000-0000-0000EB230000}"/>
    <cellStyle name="Normal 17 17 3 9 2 2 9" xfId="9192" xr:uid="{00000000-0005-0000-0000-0000EC230000}"/>
    <cellStyle name="Normal 17 17 3 9 2 2 9 2" xfId="9193" xr:uid="{00000000-0005-0000-0000-0000ED230000}"/>
    <cellStyle name="Normal 17 17 3 9 2 2 9 3" xfId="9194" xr:uid="{00000000-0005-0000-0000-0000EE230000}"/>
    <cellStyle name="Normal 17 17 3 9 2 2 9 4" xfId="9195" xr:uid="{00000000-0005-0000-0000-0000EF230000}"/>
    <cellStyle name="Normal 17 17 3 9 2 2 9 5" xfId="9196" xr:uid="{00000000-0005-0000-0000-0000F0230000}"/>
    <cellStyle name="Normal 17 17 3 9 2 2 9 6" xfId="9197" xr:uid="{00000000-0005-0000-0000-0000F1230000}"/>
    <cellStyle name="Normal 17 17 3 9 2 3" xfId="9198" xr:uid="{00000000-0005-0000-0000-0000F2230000}"/>
    <cellStyle name="Normal 17 17 3 9 2 3 2" xfId="9199" xr:uid="{00000000-0005-0000-0000-0000F3230000}"/>
    <cellStyle name="Normal 17 17 3 9 2 3 3" xfId="9200" xr:uid="{00000000-0005-0000-0000-0000F4230000}"/>
    <cellStyle name="Normal 17 17 3 9 2 3 4" xfId="9201" xr:uid="{00000000-0005-0000-0000-0000F5230000}"/>
    <cellStyle name="Normal 17 17 3 9 2 3 5" xfId="9202" xr:uid="{00000000-0005-0000-0000-0000F6230000}"/>
    <cellStyle name="Normal 17 17 3 9 2 3 6" xfId="9203" xr:uid="{00000000-0005-0000-0000-0000F7230000}"/>
    <cellStyle name="Normal 17 17 3 9 2 4" xfId="9204" xr:uid="{00000000-0005-0000-0000-0000F8230000}"/>
    <cellStyle name="Normal 17 17 3 9 2 4 2" xfId="9205" xr:uid="{00000000-0005-0000-0000-0000F9230000}"/>
    <cellStyle name="Normal 17 17 3 9 2 4 3" xfId="9206" xr:uid="{00000000-0005-0000-0000-0000FA230000}"/>
    <cellStyle name="Normal 17 17 3 9 2 4 4" xfId="9207" xr:uid="{00000000-0005-0000-0000-0000FB230000}"/>
    <cellStyle name="Normal 17 17 3 9 2 4 5" xfId="9208" xr:uid="{00000000-0005-0000-0000-0000FC230000}"/>
    <cellStyle name="Normal 17 17 3 9 2 4 6" xfId="9209" xr:uid="{00000000-0005-0000-0000-0000FD230000}"/>
    <cellStyle name="Normal 17 17 3 9 2 5" xfId="9210" xr:uid="{00000000-0005-0000-0000-0000FE230000}"/>
    <cellStyle name="Normal 17 17 3 9 2 5 2" xfId="9211" xr:uid="{00000000-0005-0000-0000-0000FF230000}"/>
    <cellStyle name="Normal 17 17 3 9 2 5 3" xfId="9212" xr:uid="{00000000-0005-0000-0000-000000240000}"/>
    <cellStyle name="Normal 17 17 3 9 2 5 4" xfId="9213" xr:uid="{00000000-0005-0000-0000-000001240000}"/>
    <cellStyle name="Normal 17 17 3 9 2 5 5" xfId="9214" xr:uid="{00000000-0005-0000-0000-000002240000}"/>
    <cellStyle name="Normal 17 17 3 9 2 5 6" xfId="9215" xr:uid="{00000000-0005-0000-0000-000003240000}"/>
    <cellStyle name="Normal 17 17 3 9 2 6" xfId="9216" xr:uid="{00000000-0005-0000-0000-000004240000}"/>
    <cellStyle name="Normal 17 17 3 9 2 6 2" xfId="9217" xr:uid="{00000000-0005-0000-0000-000005240000}"/>
    <cellStyle name="Normal 17 17 3 9 2 6 3" xfId="9218" xr:uid="{00000000-0005-0000-0000-000006240000}"/>
    <cellStyle name="Normal 17 17 3 9 2 6 4" xfId="9219" xr:uid="{00000000-0005-0000-0000-000007240000}"/>
    <cellStyle name="Normal 17 17 3 9 2 6 5" xfId="9220" xr:uid="{00000000-0005-0000-0000-000008240000}"/>
    <cellStyle name="Normal 17 17 3 9 2 6 6" xfId="9221" xr:uid="{00000000-0005-0000-0000-000009240000}"/>
    <cellStyle name="Normal 17 17 3 9 2 7" xfId="9222" xr:uid="{00000000-0005-0000-0000-00000A240000}"/>
    <cellStyle name="Normal 17 17 3 9 2 7 2" xfId="9223" xr:uid="{00000000-0005-0000-0000-00000B240000}"/>
    <cellStyle name="Normal 17 17 3 9 2 7 3" xfId="9224" xr:uid="{00000000-0005-0000-0000-00000C240000}"/>
    <cellStyle name="Normal 17 17 3 9 2 7 4" xfId="9225" xr:uid="{00000000-0005-0000-0000-00000D240000}"/>
    <cellStyle name="Normal 17 17 3 9 2 7 5" xfId="9226" xr:uid="{00000000-0005-0000-0000-00000E240000}"/>
    <cellStyle name="Normal 17 17 3 9 2 7 6" xfId="9227" xr:uid="{00000000-0005-0000-0000-00000F240000}"/>
    <cellStyle name="Normal 17 17 3 9 2 8" xfId="9228" xr:uid="{00000000-0005-0000-0000-000010240000}"/>
    <cellStyle name="Normal 17 17 3 9 2 8 2" xfId="9229" xr:uid="{00000000-0005-0000-0000-000011240000}"/>
    <cellStyle name="Normal 17 17 3 9 2 8 3" xfId="9230" xr:uid="{00000000-0005-0000-0000-000012240000}"/>
    <cellStyle name="Normal 17 17 3 9 2 8 4" xfId="9231" xr:uid="{00000000-0005-0000-0000-000013240000}"/>
    <cellStyle name="Normal 17 17 3 9 2 8 5" xfId="9232" xr:uid="{00000000-0005-0000-0000-000014240000}"/>
    <cellStyle name="Normal 17 17 3 9 2 8 6" xfId="9233" xr:uid="{00000000-0005-0000-0000-000015240000}"/>
    <cellStyle name="Normal 17 17 3 9 2 9" xfId="9234" xr:uid="{00000000-0005-0000-0000-000016240000}"/>
    <cellStyle name="Normal 17 17 3 9 2 9 2" xfId="9235" xr:uid="{00000000-0005-0000-0000-000017240000}"/>
    <cellStyle name="Normal 17 17 3 9 2 9 3" xfId="9236" xr:uid="{00000000-0005-0000-0000-000018240000}"/>
    <cellStyle name="Normal 17 17 3 9 2 9 4" xfId="9237" xr:uid="{00000000-0005-0000-0000-000019240000}"/>
    <cellStyle name="Normal 17 17 3 9 2 9 5" xfId="9238" xr:uid="{00000000-0005-0000-0000-00001A240000}"/>
    <cellStyle name="Normal 17 17 3 9 2 9 6" xfId="9239" xr:uid="{00000000-0005-0000-0000-00001B240000}"/>
    <cellStyle name="Normal 17 17 3 9 20" xfId="9240" xr:uid="{00000000-0005-0000-0000-00001C240000}"/>
    <cellStyle name="Normal 17 17 3 9 3" xfId="9241" xr:uid="{00000000-0005-0000-0000-00001D240000}"/>
    <cellStyle name="Normal 17 17 3 9 3 10" xfId="9242" xr:uid="{00000000-0005-0000-0000-00001E240000}"/>
    <cellStyle name="Normal 17 17 3 9 3 10 2" xfId="9243" xr:uid="{00000000-0005-0000-0000-00001F240000}"/>
    <cellStyle name="Normal 17 17 3 9 3 10 3" xfId="9244" xr:uid="{00000000-0005-0000-0000-000020240000}"/>
    <cellStyle name="Normal 17 17 3 9 3 10 4" xfId="9245" xr:uid="{00000000-0005-0000-0000-000021240000}"/>
    <cellStyle name="Normal 17 17 3 9 3 10 5" xfId="9246" xr:uid="{00000000-0005-0000-0000-000022240000}"/>
    <cellStyle name="Normal 17 17 3 9 3 10 6" xfId="9247" xr:uid="{00000000-0005-0000-0000-000023240000}"/>
    <cellStyle name="Normal 17 17 3 9 3 11" xfId="9248" xr:uid="{00000000-0005-0000-0000-000024240000}"/>
    <cellStyle name="Normal 17 17 3 9 3 12" xfId="9249" xr:uid="{00000000-0005-0000-0000-000025240000}"/>
    <cellStyle name="Normal 17 17 3 9 3 13" xfId="9250" xr:uid="{00000000-0005-0000-0000-000026240000}"/>
    <cellStyle name="Normal 17 17 3 9 3 14" xfId="9251" xr:uid="{00000000-0005-0000-0000-000027240000}"/>
    <cellStyle name="Normal 17 17 3 9 3 15" xfId="9252" xr:uid="{00000000-0005-0000-0000-000028240000}"/>
    <cellStyle name="Normal 17 17 3 9 3 2" xfId="9253" xr:uid="{00000000-0005-0000-0000-000029240000}"/>
    <cellStyle name="Normal 17 17 3 9 3 2 10" xfId="9254" xr:uid="{00000000-0005-0000-0000-00002A240000}"/>
    <cellStyle name="Normal 17 17 3 9 3 2 11" xfId="9255" xr:uid="{00000000-0005-0000-0000-00002B240000}"/>
    <cellStyle name="Normal 17 17 3 9 3 2 12" xfId="9256" xr:uid="{00000000-0005-0000-0000-00002C240000}"/>
    <cellStyle name="Normal 17 17 3 9 3 2 13" xfId="9257" xr:uid="{00000000-0005-0000-0000-00002D240000}"/>
    <cellStyle name="Normal 17 17 3 9 3 2 14" xfId="9258" xr:uid="{00000000-0005-0000-0000-00002E240000}"/>
    <cellStyle name="Normal 17 17 3 9 3 2 2" xfId="9259" xr:uid="{00000000-0005-0000-0000-00002F240000}"/>
    <cellStyle name="Normal 17 17 3 9 3 2 2 2" xfId="9260" xr:uid="{00000000-0005-0000-0000-000030240000}"/>
    <cellStyle name="Normal 17 17 3 9 3 2 2 3" xfId="9261" xr:uid="{00000000-0005-0000-0000-000031240000}"/>
    <cellStyle name="Normal 17 17 3 9 3 2 2 4" xfId="9262" xr:uid="{00000000-0005-0000-0000-000032240000}"/>
    <cellStyle name="Normal 17 17 3 9 3 2 2 5" xfId="9263" xr:uid="{00000000-0005-0000-0000-000033240000}"/>
    <cellStyle name="Normal 17 17 3 9 3 2 2 6" xfId="9264" xr:uid="{00000000-0005-0000-0000-000034240000}"/>
    <cellStyle name="Normal 17 17 3 9 3 2 3" xfId="9265" xr:uid="{00000000-0005-0000-0000-000035240000}"/>
    <cellStyle name="Normal 17 17 3 9 3 2 3 2" xfId="9266" xr:uid="{00000000-0005-0000-0000-000036240000}"/>
    <cellStyle name="Normal 17 17 3 9 3 2 3 3" xfId="9267" xr:uid="{00000000-0005-0000-0000-000037240000}"/>
    <cellStyle name="Normal 17 17 3 9 3 2 3 4" xfId="9268" xr:uid="{00000000-0005-0000-0000-000038240000}"/>
    <cellStyle name="Normal 17 17 3 9 3 2 3 5" xfId="9269" xr:uid="{00000000-0005-0000-0000-000039240000}"/>
    <cellStyle name="Normal 17 17 3 9 3 2 3 6" xfId="9270" xr:uid="{00000000-0005-0000-0000-00003A240000}"/>
    <cellStyle name="Normal 17 17 3 9 3 2 4" xfId="9271" xr:uid="{00000000-0005-0000-0000-00003B240000}"/>
    <cellStyle name="Normal 17 17 3 9 3 2 4 2" xfId="9272" xr:uid="{00000000-0005-0000-0000-00003C240000}"/>
    <cellStyle name="Normal 17 17 3 9 3 2 4 3" xfId="9273" xr:uid="{00000000-0005-0000-0000-00003D240000}"/>
    <cellStyle name="Normal 17 17 3 9 3 2 4 4" xfId="9274" xr:uid="{00000000-0005-0000-0000-00003E240000}"/>
    <cellStyle name="Normal 17 17 3 9 3 2 4 5" xfId="9275" xr:uid="{00000000-0005-0000-0000-00003F240000}"/>
    <cellStyle name="Normal 17 17 3 9 3 2 4 6" xfId="9276" xr:uid="{00000000-0005-0000-0000-000040240000}"/>
    <cellStyle name="Normal 17 17 3 9 3 2 5" xfId="9277" xr:uid="{00000000-0005-0000-0000-000041240000}"/>
    <cellStyle name="Normal 17 17 3 9 3 2 5 2" xfId="9278" xr:uid="{00000000-0005-0000-0000-000042240000}"/>
    <cellStyle name="Normal 17 17 3 9 3 2 5 3" xfId="9279" xr:uid="{00000000-0005-0000-0000-000043240000}"/>
    <cellStyle name="Normal 17 17 3 9 3 2 5 4" xfId="9280" xr:uid="{00000000-0005-0000-0000-000044240000}"/>
    <cellStyle name="Normal 17 17 3 9 3 2 5 5" xfId="9281" xr:uid="{00000000-0005-0000-0000-000045240000}"/>
    <cellStyle name="Normal 17 17 3 9 3 2 5 6" xfId="9282" xr:uid="{00000000-0005-0000-0000-000046240000}"/>
    <cellStyle name="Normal 17 17 3 9 3 2 6" xfId="9283" xr:uid="{00000000-0005-0000-0000-000047240000}"/>
    <cellStyle name="Normal 17 17 3 9 3 2 6 2" xfId="9284" xr:uid="{00000000-0005-0000-0000-000048240000}"/>
    <cellStyle name="Normal 17 17 3 9 3 2 6 3" xfId="9285" xr:uid="{00000000-0005-0000-0000-000049240000}"/>
    <cellStyle name="Normal 17 17 3 9 3 2 6 4" xfId="9286" xr:uid="{00000000-0005-0000-0000-00004A240000}"/>
    <cellStyle name="Normal 17 17 3 9 3 2 6 5" xfId="9287" xr:uid="{00000000-0005-0000-0000-00004B240000}"/>
    <cellStyle name="Normal 17 17 3 9 3 2 6 6" xfId="9288" xr:uid="{00000000-0005-0000-0000-00004C240000}"/>
    <cellStyle name="Normal 17 17 3 9 3 2 7" xfId="9289" xr:uid="{00000000-0005-0000-0000-00004D240000}"/>
    <cellStyle name="Normal 17 17 3 9 3 2 7 2" xfId="9290" xr:uid="{00000000-0005-0000-0000-00004E240000}"/>
    <cellStyle name="Normal 17 17 3 9 3 2 7 3" xfId="9291" xr:uid="{00000000-0005-0000-0000-00004F240000}"/>
    <cellStyle name="Normal 17 17 3 9 3 2 7 4" xfId="9292" xr:uid="{00000000-0005-0000-0000-000050240000}"/>
    <cellStyle name="Normal 17 17 3 9 3 2 7 5" xfId="9293" xr:uid="{00000000-0005-0000-0000-000051240000}"/>
    <cellStyle name="Normal 17 17 3 9 3 2 7 6" xfId="9294" xr:uid="{00000000-0005-0000-0000-000052240000}"/>
    <cellStyle name="Normal 17 17 3 9 3 2 8" xfId="9295" xr:uid="{00000000-0005-0000-0000-000053240000}"/>
    <cellStyle name="Normal 17 17 3 9 3 2 8 2" xfId="9296" xr:uid="{00000000-0005-0000-0000-000054240000}"/>
    <cellStyle name="Normal 17 17 3 9 3 2 8 3" xfId="9297" xr:uid="{00000000-0005-0000-0000-000055240000}"/>
    <cellStyle name="Normal 17 17 3 9 3 2 8 4" xfId="9298" xr:uid="{00000000-0005-0000-0000-000056240000}"/>
    <cellStyle name="Normal 17 17 3 9 3 2 8 5" xfId="9299" xr:uid="{00000000-0005-0000-0000-000057240000}"/>
    <cellStyle name="Normal 17 17 3 9 3 2 8 6" xfId="9300" xr:uid="{00000000-0005-0000-0000-000058240000}"/>
    <cellStyle name="Normal 17 17 3 9 3 2 9" xfId="9301" xr:uid="{00000000-0005-0000-0000-000059240000}"/>
    <cellStyle name="Normal 17 17 3 9 3 2 9 2" xfId="9302" xr:uid="{00000000-0005-0000-0000-00005A240000}"/>
    <cellStyle name="Normal 17 17 3 9 3 2 9 3" xfId="9303" xr:uid="{00000000-0005-0000-0000-00005B240000}"/>
    <cellStyle name="Normal 17 17 3 9 3 2 9 4" xfId="9304" xr:uid="{00000000-0005-0000-0000-00005C240000}"/>
    <cellStyle name="Normal 17 17 3 9 3 2 9 5" xfId="9305" xr:uid="{00000000-0005-0000-0000-00005D240000}"/>
    <cellStyle name="Normal 17 17 3 9 3 2 9 6" xfId="9306" xr:uid="{00000000-0005-0000-0000-00005E240000}"/>
    <cellStyle name="Normal 17 17 3 9 3 3" xfId="9307" xr:uid="{00000000-0005-0000-0000-00005F240000}"/>
    <cellStyle name="Normal 17 17 3 9 3 3 2" xfId="9308" xr:uid="{00000000-0005-0000-0000-000060240000}"/>
    <cellStyle name="Normal 17 17 3 9 3 3 3" xfId="9309" xr:uid="{00000000-0005-0000-0000-000061240000}"/>
    <cellStyle name="Normal 17 17 3 9 3 3 4" xfId="9310" xr:uid="{00000000-0005-0000-0000-000062240000}"/>
    <cellStyle name="Normal 17 17 3 9 3 3 5" xfId="9311" xr:uid="{00000000-0005-0000-0000-000063240000}"/>
    <cellStyle name="Normal 17 17 3 9 3 3 6" xfId="9312" xr:uid="{00000000-0005-0000-0000-000064240000}"/>
    <cellStyle name="Normal 17 17 3 9 3 4" xfId="9313" xr:uid="{00000000-0005-0000-0000-000065240000}"/>
    <cellStyle name="Normal 17 17 3 9 3 4 2" xfId="9314" xr:uid="{00000000-0005-0000-0000-000066240000}"/>
    <cellStyle name="Normal 17 17 3 9 3 4 3" xfId="9315" xr:uid="{00000000-0005-0000-0000-000067240000}"/>
    <cellStyle name="Normal 17 17 3 9 3 4 4" xfId="9316" xr:uid="{00000000-0005-0000-0000-000068240000}"/>
    <cellStyle name="Normal 17 17 3 9 3 4 5" xfId="9317" xr:uid="{00000000-0005-0000-0000-000069240000}"/>
    <cellStyle name="Normal 17 17 3 9 3 4 6" xfId="9318" xr:uid="{00000000-0005-0000-0000-00006A240000}"/>
    <cellStyle name="Normal 17 17 3 9 3 5" xfId="9319" xr:uid="{00000000-0005-0000-0000-00006B240000}"/>
    <cellStyle name="Normal 17 17 3 9 3 5 2" xfId="9320" xr:uid="{00000000-0005-0000-0000-00006C240000}"/>
    <cellStyle name="Normal 17 17 3 9 3 5 3" xfId="9321" xr:uid="{00000000-0005-0000-0000-00006D240000}"/>
    <cellStyle name="Normal 17 17 3 9 3 5 4" xfId="9322" xr:uid="{00000000-0005-0000-0000-00006E240000}"/>
    <cellStyle name="Normal 17 17 3 9 3 5 5" xfId="9323" xr:uid="{00000000-0005-0000-0000-00006F240000}"/>
    <cellStyle name="Normal 17 17 3 9 3 5 6" xfId="9324" xr:uid="{00000000-0005-0000-0000-000070240000}"/>
    <cellStyle name="Normal 17 17 3 9 3 6" xfId="9325" xr:uid="{00000000-0005-0000-0000-000071240000}"/>
    <cellStyle name="Normal 17 17 3 9 3 6 2" xfId="9326" xr:uid="{00000000-0005-0000-0000-000072240000}"/>
    <cellStyle name="Normal 17 17 3 9 3 6 3" xfId="9327" xr:uid="{00000000-0005-0000-0000-000073240000}"/>
    <cellStyle name="Normal 17 17 3 9 3 6 4" xfId="9328" xr:uid="{00000000-0005-0000-0000-000074240000}"/>
    <cellStyle name="Normal 17 17 3 9 3 6 5" xfId="9329" xr:uid="{00000000-0005-0000-0000-000075240000}"/>
    <cellStyle name="Normal 17 17 3 9 3 6 6" xfId="9330" xr:uid="{00000000-0005-0000-0000-000076240000}"/>
    <cellStyle name="Normal 17 17 3 9 3 7" xfId="9331" xr:uid="{00000000-0005-0000-0000-000077240000}"/>
    <cellStyle name="Normal 17 17 3 9 3 7 2" xfId="9332" xr:uid="{00000000-0005-0000-0000-000078240000}"/>
    <cellStyle name="Normal 17 17 3 9 3 7 3" xfId="9333" xr:uid="{00000000-0005-0000-0000-000079240000}"/>
    <cellStyle name="Normal 17 17 3 9 3 7 4" xfId="9334" xr:uid="{00000000-0005-0000-0000-00007A240000}"/>
    <cellStyle name="Normal 17 17 3 9 3 7 5" xfId="9335" xr:uid="{00000000-0005-0000-0000-00007B240000}"/>
    <cellStyle name="Normal 17 17 3 9 3 7 6" xfId="9336" xr:uid="{00000000-0005-0000-0000-00007C240000}"/>
    <cellStyle name="Normal 17 17 3 9 3 8" xfId="9337" xr:uid="{00000000-0005-0000-0000-00007D240000}"/>
    <cellStyle name="Normal 17 17 3 9 3 8 2" xfId="9338" xr:uid="{00000000-0005-0000-0000-00007E240000}"/>
    <cellStyle name="Normal 17 17 3 9 3 8 3" xfId="9339" xr:uid="{00000000-0005-0000-0000-00007F240000}"/>
    <cellStyle name="Normal 17 17 3 9 3 8 4" xfId="9340" xr:uid="{00000000-0005-0000-0000-000080240000}"/>
    <cellStyle name="Normal 17 17 3 9 3 8 5" xfId="9341" xr:uid="{00000000-0005-0000-0000-000081240000}"/>
    <cellStyle name="Normal 17 17 3 9 3 8 6" xfId="9342" xr:uid="{00000000-0005-0000-0000-000082240000}"/>
    <cellStyle name="Normal 17 17 3 9 3 9" xfId="9343" xr:uid="{00000000-0005-0000-0000-000083240000}"/>
    <cellStyle name="Normal 17 17 3 9 3 9 2" xfId="9344" xr:uid="{00000000-0005-0000-0000-000084240000}"/>
    <cellStyle name="Normal 17 17 3 9 3 9 3" xfId="9345" xr:uid="{00000000-0005-0000-0000-000085240000}"/>
    <cellStyle name="Normal 17 17 3 9 3 9 4" xfId="9346" xr:uid="{00000000-0005-0000-0000-000086240000}"/>
    <cellStyle name="Normal 17 17 3 9 3 9 5" xfId="9347" xr:uid="{00000000-0005-0000-0000-000087240000}"/>
    <cellStyle name="Normal 17 17 3 9 3 9 6" xfId="9348" xr:uid="{00000000-0005-0000-0000-000088240000}"/>
    <cellStyle name="Normal 17 17 3 9 4" xfId="9349" xr:uid="{00000000-0005-0000-0000-000089240000}"/>
    <cellStyle name="Normal 17 17 3 9 4 10" xfId="9350" xr:uid="{00000000-0005-0000-0000-00008A240000}"/>
    <cellStyle name="Normal 17 17 3 9 4 10 2" xfId="9351" xr:uid="{00000000-0005-0000-0000-00008B240000}"/>
    <cellStyle name="Normal 17 17 3 9 4 10 3" xfId="9352" xr:uid="{00000000-0005-0000-0000-00008C240000}"/>
    <cellStyle name="Normal 17 17 3 9 4 10 4" xfId="9353" xr:uid="{00000000-0005-0000-0000-00008D240000}"/>
    <cellStyle name="Normal 17 17 3 9 4 10 5" xfId="9354" xr:uid="{00000000-0005-0000-0000-00008E240000}"/>
    <cellStyle name="Normal 17 17 3 9 4 10 6" xfId="9355" xr:uid="{00000000-0005-0000-0000-00008F240000}"/>
    <cellStyle name="Normal 17 17 3 9 4 11" xfId="9356" xr:uid="{00000000-0005-0000-0000-000090240000}"/>
    <cellStyle name="Normal 17 17 3 9 4 12" xfId="9357" xr:uid="{00000000-0005-0000-0000-000091240000}"/>
    <cellStyle name="Normal 17 17 3 9 4 13" xfId="9358" xr:uid="{00000000-0005-0000-0000-000092240000}"/>
    <cellStyle name="Normal 17 17 3 9 4 14" xfId="9359" xr:uid="{00000000-0005-0000-0000-000093240000}"/>
    <cellStyle name="Normal 17 17 3 9 4 15" xfId="9360" xr:uid="{00000000-0005-0000-0000-000094240000}"/>
    <cellStyle name="Normal 17 17 3 9 4 2" xfId="9361" xr:uid="{00000000-0005-0000-0000-000095240000}"/>
    <cellStyle name="Normal 17 17 3 9 4 2 10" xfId="9362" xr:uid="{00000000-0005-0000-0000-000096240000}"/>
    <cellStyle name="Normal 17 17 3 9 4 2 11" xfId="9363" xr:uid="{00000000-0005-0000-0000-000097240000}"/>
    <cellStyle name="Normal 17 17 3 9 4 2 12" xfId="9364" xr:uid="{00000000-0005-0000-0000-000098240000}"/>
    <cellStyle name="Normal 17 17 3 9 4 2 13" xfId="9365" xr:uid="{00000000-0005-0000-0000-000099240000}"/>
    <cellStyle name="Normal 17 17 3 9 4 2 14" xfId="9366" xr:uid="{00000000-0005-0000-0000-00009A240000}"/>
    <cellStyle name="Normal 17 17 3 9 4 2 2" xfId="9367" xr:uid="{00000000-0005-0000-0000-00009B240000}"/>
    <cellStyle name="Normal 17 17 3 9 4 2 2 2" xfId="9368" xr:uid="{00000000-0005-0000-0000-00009C240000}"/>
    <cellStyle name="Normal 17 17 3 9 4 2 2 3" xfId="9369" xr:uid="{00000000-0005-0000-0000-00009D240000}"/>
    <cellStyle name="Normal 17 17 3 9 4 2 2 4" xfId="9370" xr:uid="{00000000-0005-0000-0000-00009E240000}"/>
    <cellStyle name="Normal 17 17 3 9 4 2 2 5" xfId="9371" xr:uid="{00000000-0005-0000-0000-00009F240000}"/>
    <cellStyle name="Normal 17 17 3 9 4 2 2 6" xfId="9372" xr:uid="{00000000-0005-0000-0000-0000A0240000}"/>
    <cellStyle name="Normal 17 17 3 9 4 2 3" xfId="9373" xr:uid="{00000000-0005-0000-0000-0000A1240000}"/>
    <cellStyle name="Normal 17 17 3 9 4 2 3 2" xfId="9374" xr:uid="{00000000-0005-0000-0000-0000A2240000}"/>
    <cellStyle name="Normal 17 17 3 9 4 2 3 3" xfId="9375" xr:uid="{00000000-0005-0000-0000-0000A3240000}"/>
    <cellStyle name="Normal 17 17 3 9 4 2 3 4" xfId="9376" xr:uid="{00000000-0005-0000-0000-0000A4240000}"/>
    <cellStyle name="Normal 17 17 3 9 4 2 3 5" xfId="9377" xr:uid="{00000000-0005-0000-0000-0000A5240000}"/>
    <cellStyle name="Normal 17 17 3 9 4 2 3 6" xfId="9378" xr:uid="{00000000-0005-0000-0000-0000A6240000}"/>
    <cellStyle name="Normal 17 17 3 9 4 2 4" xfId="9379" xr:uid="{00000000-0005-0000-0000-0000A7240000}"/>
    <cellStyle name="Normal 17 17 3 9 4 2 4 2" xfId="9380" xr:uid="{00000000-0005-0000-0000-0000A8240000}"/>
    <cellStyle name="Normal 17 17 3 9 4 2 4 3" xfId="9381" xr:uid="{00000000-0005-0000-0000-0000A9240000}"/>
    <cellStyle name="Normal 17 17 3 9 4 2 4 4" xfId="9382" xr:uid="{00000000-0005-0000-0000-0000AA240000}"/>
    <cellStyle name="Normal 17 17 3 9 4 2 4 5" xfId="9383" xr:uid="{00000000-0005-0000-0000-0000AB240000}"/>
    <cellStyle name="Normal 17 17 3 9 4 2 4 6" xfId="9384" xr:uid="{00000000-0005-0000-0000-0000AC240000}"/>
    <cellStyle name="Normal 17 17 3 9 4 2 5" xfId="9385" xr:uid="{00000000-0005-0000-0000-0000AD240000}"/>
    <cellStyle name="Normal 17 17 3 9 4 2 5 2" xfId="9386" xr:uid="{00000000-0005-0000-0000-0000AE240000}"/>
    <cellStyle name="Normal 17 17 3 9 4 2 5 3" xfId="9387" xr:uid="{00000000-0005-0000-0000-0000AF240000}"/>
    <cellStyle name="Normal 17 17 3 9 4 2 5 4" xfId="9388" xr:uid="{00000000-0005-0000-0000-0000B0240000}"/>
    <cellStyle name="Normal 17 17 3 9 4 2 5 5" xfId="9389" xr:uid="{00000000-0005-0000-0000-0000B1240000}"/>
    <cellStyle name="Normal 17 17 3 9 4 2 5 6" xfId="9390" xr:uid="{00000000-0005-0000-0000-0000B2240000}"/>
    <cellStyle name="Normal 17 17 3 9 4 2 6" xfId="9391" xr:uid="{00000000-0005-0000-0000-0000B3240000}"/>
    <cellStyle name="Normal 17 17 3 9 4 2 6 2" xfId="9392" xr:uid="{00000000-0005-0000-0000-0000B4240000}"/>
    <cellStyle name="Normal 17 17 3 9 4 2 6 3" xfId="9393" xr:uid="{00000000-0005-0000-0000-0000B5240000}"/>
    <cellStyle name="Normal 17 17 3 9 4 2 6 4" xfId="9394" xr:uid="{00000000-0005-0000-0000-0000B6240000}"/>
    <cellStyle name="Normal 17 17 3 9 4 2 6 5" xfId="9395" xr:uid="{00000000-0005-0000-0000-0000B7240000}"/>
    <cellStyle name="Normal 17 17 3 9 4 2 6 6" xfId="9396" xr:uid="{00000000-0005-0000-0000-0000B8240000}"/>
    <cellStyle name="Normal 17 17 3 9 4 2 7" xfId="9397" xr:uid="{00000000-0005-0000-0000-0000B9240000}"/>
    <cellStyle name="Normal 17 17 3 9 4 2 7 2" xfId="9398" xr:uid="{00000000-0005-0000-0000-0000BA240000}"/>
    <cellStyle name="Normal 17 17 3 9 4 2 7 3" xfId="9399" xr:uid="{00000000-0005-0000-0000-0000BB240000}"/>
    <cellStyle name="Normal 17 17 3 9 4 2 7 4" xfId="9400" xr:uid="{00000000-0005-0000-0000-0000BC240000}"/>
    <cellStyle name="Normal 17 17 3 9 4 2 7 5" xfId="9401" xr:uid="{00000000-0005-0000-0000-0000BD240000}"/>
    <cellStyle name="Normal 17 17 3 9 4 2 7 6" xfId="9402" xr:uid="{00000000-0005-0000-0000-0000BE240000}"/>
    <cellStyle name="Normal 17 17 3 9 4 2 8" xfId="9403" xr:uid="{00000000-0005-0000-0000-0000BF240000}"/>
    <cellStyle name="Normal 17 17 3 9 4 2 8 2" xfId="9404" xr:uid="{00000000-0005-0000-0000-0000C0240000}"/>
    <cellStyle name="Normal 17 17 3 9 4 2 8 3" xfId="9405" xr:uid="{00000000-0005-0000-0000-0000C1240000}"/>
    <cellStyle name="Normal 17 17 3 9 4 2 8 4" xfId="9406" xr:uid="{00000000-0005-0000-0000-0000C2240000}"/>
    <cellStyle name="Normal 17 17 3 9 4 2 8 5" xfId="9407" xr:uid="{00000000-0005-0000-0000-0000C3240000}"/>
    <cellStyle name="Normal 17 17 3 9 4 2 8 6" xfId="9408" xr:uid="{00000000-0005-0000-0000-0000C4240000}"/>
    <cellStyle name="Normal 17 17 3 9 4 2 9" xfId="9409" xr:uid="{00000000-0005-0000-0000-0000C5240000}"/>
    <cellStyle name="Normal 17 17 3 9 4 2 9 2" xfId="9410" xr:uid="{00000000-0005-0000-0000-0000C6240000}"/>
    <cellStyle name="Normal 17 17 3 9 4 2 9 3" xfId="9411" xr:uid="{00000000-0005-0000-0000-0000C7240000}"/>
    <cellStyle name="Normal 17 17 3 9 4 2 9 4" xfId="9412" xr:uid="{00000000-0005-0000-0000-0000C8240000}"/>
    <cellStyle name="Normal 17 17 3 9 4 2 9 5" xfId="9413" xr:uid="{00000000-0005-0000-0000-0000C9240000}"/>
    <cellStyle name="Normal 17 17 3 9 4 2 9 6" xfId="9414" xr:uid="{00000000-0005-0000-0000-0000CA240000}"/>
    <cellStyle name="Normal 17 17 3 9 4 3" xfId="9415" xr:uid="{00000000-0005-0000-0000-0000CB240000}"/>
    <cellStyle name="Normal 17 17 3 9 4 3 2" xfId="9416" xr:uid="{00000000-0005-0000-0000-0000CC240000}"/>
    <cellStyle name="Normal 17 17 3 9 4 3 3" xfId="9417" xr:uid="{00000000-0005-0000-0000-0000CD240000}"/>
    <cellStyle name="Normal 17 17 3 9 4 3 4" xfId="9418" xr:uid="{00000000-0005-0000-0000-0000CE240000}"/>
    <cellStyle name="Normal 17 17 3 9 4 3 5" xfId="9419" xr:uid="{00000000-0005-0000-0000-0000CF240000}"/>
    <cellStyle name="Normal 17 17 3 9 4 3 6" xfId="9420" xr:uid="{00000000-0005-0000-0000-0000D0240000}"/>
    <cellStyle name="Normal 17 17 3 9 4 4" xfId="9421" xr:uid="{00000000-0005-0000-0000-0000D1240000}"/>
    <cellStyle name="Normal 17 17 3 9 4 4 2" xfId="9422" xr:uid="{00000000-0005-0000-0000-0000D2240000}"/>
    <cellStyle name="Normal 17 17 3 9 4 4 3" xfId="9423" xr:uid="{00000000-0005-0000-0000-0000D3240000}"/>
    <cellStyle name="Normal 17 17 3 9 4 4 4" xfId="9424" xr:uid="{00000000-0005-0000-0000-0000D4240000}"/>
    <cellStyle name="Normal 17 17 3 9 4 4 5" xfId="9425" xr:uid="{00000000-0005-0000-0000-0000D5240000}"/>
    <cellStyle name="Normal 17 17 3 9 4 4 6" xfId="9426" xr:uid="{00000000-0005-0000-0000-0000D6240000}"/>
    <cellStyle name="Normal 17 17 3 9 4 5" xfId="9427" xr:uid="{00000000-0005-0000-0000-0000D7240000}"/>
    <cellStyle name="Normal 17 17 3 9 4 5 2" xfId="9428" xr:uid="{00000000-0005-0000-0000-0000D8240000}"/>
    <cellStyle name="Normal 17 17 3 9 4 5 3" xfId="9429" xr:uid="{00000000-0005-0000-0000-0000D9240000}"/>
    <cellStyle name="Normal 17 17 3 9 4 5 4" xfId="9430" xr:uid="{00000000-0005-0000-0000-0000DA240000}"/>
    <cellStyle name="Normal 17 17 3 9 4 5 5" xfId="9431" xr:uid="{00000000-0005-0000-0000-0000DB240000}"/>
    <cellStyle name="Normal 17 17 3 9 4 5 6" xfId="9432" xr:uid="{00000000-0005-0000-0000-0000DC240000}"/>
    <cellStyle name="Normal 17 17 3 9 4 6" xfId="9433" xr:uid="{00000000-0005-0000-0000-0000DD240000}"/>
    <cellStyle name="Normal 17 17 3 9 4 6 2" xfId="9434" xr:uid="{00000000-0005-0000-0000-0000DE240000}"/>
    <cellStyle name="Normal 17 17 3 9 4 6 3" xfId="9435" xr:uid="{00000000-0005-0000-0000-0000DF240000}"/>
    <cellStyle name="Normal 17 17 3 9 4 6 4" xfId="9436" xr:uid="{00000000-0005-0000-0000-0000E0240000}"/>
    <cellStyle name="Normal 17 17 3 9 4 6 5" xfId="9437" xr:uid="{00000000-0005-0000-0000-0000E1240000}"/>
    <cellStyle name="Normal 17 17 3 9 4 6 6" xfId="9438" xr:uid="{00000000-0005-0000-0000-0000E2240000}"/>
    <cellStyle name="Normal 17 17 3 9 4 7" xfId="9439" xr:uid="{00000000-0005-0000-0000-0000E3240000}"/>
    <cellStyle name="Normal 17 17 3 9 4 7 2" xfId="9440" xr:uid="{00000000-0005-0000-0000-0000E4240000}"/>
    <cellStyle name="Normal 17 17 3 9 4 7 3" xfId="9441" xr:uid="{00000000-0005-0000-0000-0000E5240000}"/>
    <cellStyle name="Normal 17 17 3 9 4 7 4" xfId="9442" xr:uid="{00000000-0005-0000-0000-0000E6240000}"/>
    <cellStyle name="Normal 17 17 3 9 4 7 5" xfId="9443" xr:uid="{00000000-0005-0000-0000-0000E7240000}"/>
    <cellStyle name="Normal 17 17 3 9 4 7 6" xfId="9444" xr:uid="{00000000-0005-0000-0000-0000E8240000}"/>
    <cellStyle name="Normal 17 17 3 9 4 8" xfId="9445" xr:uid="{00000000-0005-0000-0000-0000E9240000}"/>
    <cellStyle name="Normal 17 17 3 9 4 8 2" xfId="9446" xr:uid="{00000000-0005-0000-0000-0000EA240000}"/>
    <cellStyle name="Normal 17 17 3 9 4 8 3" xfId="9447" xr:uid="{00000000-0005-0000-0000-0000EB240000}"/>
    <cellStyle name="Normal 17 17 3 9 4 8 4" xfId="9448" xr:uid="{00000000-0005-0000-0000-0000EC240000}"/>
    <cellStyle name="Normal 17 17 3 9 4 8 5" xfId="9449" xr:uid="{00000000-0005-0000-0000-0000ED240000}"/>
    <cellStyle name="Normal 17 17 3 9 4 8 6" xfId="9450" xr:uid="{00000000-0005-0000-0000-0000EE240000}"/>
    <cellStyle name="Normal 17 17 3 9 4 9" xfId="9451" xr:uid="{00000000-0005-0000-0000-0000EF240000}"/>
    <cellStyle name="Normal 17 17 3 9 4 9 2" xfId="9452" xr:uid="{00000000-0005-0000-0000-0000F0240000}"/>
    <cellStyle name="Normal 17 17 3 9 4 9 3" xfId="9453" xr:uid="{00000000-0005-0000-0000-0000F1240000}"/>
    <cellStyle name="Normal 17 17 3 9 4 9 4" xfId="9454" xr:uid="{00000000-0005-0000-0000-0000F2240000}"/>
    <cellStyle name="Normal 17 17 3 9 4 9 5" xfId="9455" xr:uid="{00000000-0005-0000-0000-0000F3240000}"/>
    <cellStyle name="Normal 17 17 3 9 4 9 6" xfId="9456" xr:uid="{00000000-0005-0000-0000-0000F4240000}"/>
    <cellStyle name="Normal 17 17 3 9 5" xfId="9457" xr:uid="{00000000-0005-0000-0000-0000F5240000}"/>
    <cellStyle name="Normal 17 17 3 9 5 10" xfId="9458" xr:uid="{00000000-0005-0000-0000-0000F6240000}"/>
    <cellStyle name="Normal 17 17 3 9 5 10 2" xfId="9459" xr:uid="{00000000-0005-0000-0000-0000F7240000}"/>
    <cellStyle name="Normal 17 17 3 9 5 10 3" xfId="9460" xr:uid="{00000000-0005-0000-0000-0000F8240000}"/>
    <cellStyle name="Normal 17 17 3 9 5 10 4" xfId="9461" xr:uid="{00000000-0005-0000-0000-0000F9240000}"/>
    <cellStyle name="Normal 17 17 3 9 5 10 5" xfId="9462" xr:uid="{00000000-0005-0000-0000-0000FA240000}"/>
    <cellStyle name="Normal 17 17 3 9 5 10 6" xfId="9463" xr:uid="{00000000-0005-0000-0000-0000FB240000}"/>
    <cellStyle name="Normal 17 17 3 9 5 11" xfId="9464" xr:uid="{00000000-0005-0000-0000-0000FC240000}"/>
    <cellStyle name="Normal 17 17 3 9 5 12" xfId="9465" xr:uid="{00000000-0005-0000-0000-0000FD240000}"/>
    <cellStyle name="Normal 17 17 3 9 5 13" xfId="9466" xr:uid="{00000000-0005-0000-0000-0000FE240000}"/>
    <cellStyle name="Normal 17 17 3 9 5 14" xfId="9467" xr:uid="{00000000-0005-0000-0000-0000FF240000}"/>
    <cellStyle name="Normal 17 17 3 9 5 15" xfId="9468" xr:uid="{00000000-0005-0000-0000-000000250000}"/>
    <cellStyle name="Normal 17 17 3 9 5 2" xfId="9469" xr:uid="{00000000-0005-0000-0000-000001250000}"/>
    <cellStyle name="Normal 17 17 3 9 5 2 10" xfId="9470" xr:uid="{00000000-0005-0000-0000-000002250000}"/>
    <cellStyle name="Normal 17 17 3 9 5 2 11" xfId="9471" xr:uid="{00000000-0005-0000-0000-000003250000}"/>
    <cellStyle name="Normal 17 17 3 9 5 2 12" xfId="9472" xr:uid="{00000000-0005-0000-0000-000004250000}"/>
    <cellStyle name="Normal 17 17 3 9 5 2 13" xfId="9473" xr:uid="{00000000-0005-0000-0000-000005250000}"/>
    <cellStyle name="Normal 17 17 3 9 5 2 14" xfId="9474" xr:uid="{00000000-0005-0000-0000-000006250000}"/>
    <cellStyle name="Normal 17 17 3 9 5 2 2" xfId="9475" xr:uid="{00000000-0005-0000-0000-000007250000}"/>
    <cellStyle name="Normal 17 17 3 9 5 2 2 2" xfId="9476" xr:uid="{00000000-0005-0000-0000-000008250000}"/>
    <cellStyle name="Normal 17 17 3 9 5 2 2 3" xfId="9477" xr:uid="{00000000-0005-0000-0000-000009250000}"/>
    <cellStyle name="Normal 17 17 3 9 5 2 2 4" xfId="9478" xr:uid="{00000000-0005-0000-0000-00000A250000}"/>
    <cellStyle name="Normal 17 17 3 9 5 2 2 5" xfId="9479" xr:uid="{00000000-0005-0000-0000-00000B250000}"/>
    <cellStyle name="Normal 17 17 3 9 5 2 2 6" xfId="9480" xr:uid="{00000000-0005-0000-0000-00000C250000}"/>
    <cellStyle name="Normal 17 17 3 9 5 2 3" xfId="9481" xr:uid="{00000000-0005-0000-0000-00000D250000}"/>
    <cellStyle name="Normal 17 17 3 9 5 2 3 2" xfId="9482" xr:uid="{00000000-0005-0000-0000-00000E250000}"/>
    <cellStyle name="Normal 17 17 3 9 5 2 3 3" xfId="9483" xr:uid="{00000000-0005-0000-0000-00000F250000}"/>
    <cellStyle name="Normal 17 17 3 9 5 2 3 4" xfId="9484" xr:uid="{00000000-0005-0000-0000-000010250000}"/>
    <cellStyle name="Normal 17 17 3 9 5 2 3 5" xfId="9485" xr:uid="{00000000-0005-0000-0000-000011250000}"/>
    <cellStyle name="Normal 17 17 3 9 5 2 3 6" xfId="9486" xr:uid="{00000000-0005-0000-0000-000012250000}"/>
    <cellStyle name="Normal 17 17 3 9 5 2 4" xfId="9487" xr:uid="{00000000-0005-0000-0000-000013250000}"/>
    <cellStyle name="Normal 17 17 3 9 5 2 4 2" xfId="9488" xr:uid="{00000000-0005-0000-0000-000014250000}"/>
    <cellStyle name="Normal 17 17 3 9 5 2 4 3" xfId="9489" xr:uid="{00000000-0005-0000-0000-000015250000}"/>
    <cellStyle name="Normal 17 17 3 9 5 2 4 4" xfId="9490" xr:uid="{00000000-0005-0000-0000-000016250000}"/>
    <cellStyle name="Normal 17 17 3 9 5 2 4 5" xfId="9491" xr:uid="{00000000-0005-0000-0000-000017250000}"/>
    <cellStyle name="Normal 17 17 3 9 5 2 4 6" xfId="9492" xr:uid="{00000000-0005-0000-0000-000018250000}"/>
    <cellStyle name="Normal 17 17 3 9 5 2 5" xfId="9493" xr:uid="{00000000-0005-0000-0000-000019250000}"/>
    <cellStyle name="Normal 17 17 3 9 5 2 5 2" xfId="9494" xr:uid="{00000000-0005-0000-0000-00001A250000}"/>
    <cellStyle name="Normal 17 17 3 9 5 2 5 3" xfId="9495" xr:uid="{00000000-0005-0000-0000-00001B250000}"/>
    <cellStyle name="Normal 17 17 3 9 5 2 5 4" xfId="9496" xr:uid="{00000000-0005-0000-0000-00001C250000}"/>
    <cellStyle name="Normal 17 17 3 9 5 2 5 5" xfId="9497" xr:uid="{00000000-0005-0000-0000-00001D250000}"/>
    <cellStyle name="Normal 17 17 3 9 5 2 5 6" xfId="9498" xr:uid="{00000000-0005-0000-0000-00001E250000}"/>
    <cellStyle name="Normal 17 17 3 9 5 2 6" xfId="9499" xr:uid="{00000000-0005-0000-0000-00001F250000}"/>
    <cellStyle name="Normal 17 17 3 9 5 2 6 2" xfId="9500" xr:uid="{00000000-0005-0000-0000-000020250000}"/>
    <cellStyle name="Normal 17 17 3 9 5 2 6 3" xfId="9501" xr:uid="{00000000-0005-0000-0000-000021250000}"/>
    <cellStyle name="Normal 17 17 3 9 5 2 6 4" xfId="9502" xr:uid="{00000000-0005-0000-0000-000022250000}"/>
    <cellStyle name="Normal 17 17 3 9 5 2 6 5" xfId="9503" xr:uid="{00000000-0005-0000-0000-000023250000}"/>
    <cellStyle name="Normal 17 17 3 9 5 2 6 6" xfId="9504" xr:uid="{00000000-0005-0000-0000-000024250000}"/>
    <cellStyle name="Normal 17 17 3 9 5 2 7" xfId="9505" xr:uid="{00000000-0005-0000-0000-000025250000}"/>
    <cellStyle name="Normal 17 17 3 9 5 2 7 2" xfId="9506" xr:uid="{00000000-0005-0000-0000-000026250000}"/>
    <cellStyle name="Normal 17 17 3 9 5 2 7 3" xfId="9507" xr:uid="{00000000-0005-0000-0000-000027250000}"/>
    <cellStyle name="Normal 17 17 3 9 5 2 7 4" xfId="9508" xr:uid="{00000000-0005-0000-0000-000028250000}"/>
    <cellStyle name="Normal 17 17 3 9 5 2 7 5" xfId="9509" xr:uid="{00000000-0005-0000-0000-000029250000}"/>
    <cellStyle name="Normal 17 17 3 9 5 2 7 6" xfId="9510" xr:uid="{00000000-0005-0000-0000-00002A250000}"/>
    <cellStyle name="Normal 17 17 3 9 5 2 8" xfId="9511" xr:uid="{00000000-0005-0000-0000-00002B250000}"/>
    <cellStyle name="Normal 17 17 3 9 5 2 8 2" xfId="9512" xr:uid="{00000000-0005-0000-0000-00002C250000}"/>
    <cellStyle name="Normal 17 17 3 9 5 2 8 3" xfId="9513" xr:uid="{00000000-0005-0000-0000-00002D250000}"/>
    <cellStyle name="Normal 17 17 3 9 5 2 8 4" xfId="9514" xr:uid="{00000000-0005-0000-0000-00002E250000}"/>
    <cellStyle name="Normal 17 17 3 9 5 2 8 5" xfId="9515" xr:uid="{00000000-0005-0000-0000-00002F250000}"/>
    <cellStyle name="Normal 17 17 3 9 5 2 8 6" xfId="9516" xr:uid="{00000000-0005-0000-0000-000030250000}"/>
    <cellStyle name="Normal 17 17 3 9 5 2 9" xfId="9517" xr:uid="{00000000-0005-0000-0000-000031250000}"/>
    <cellStyle name="Normal 17 17 3 9 5 2 9 2" xfId="9518" xr:uid="{00000000-0005-0000-0000-000032250000}"/>
    <cellStyle name="Normal 17 17 3 9 5 2 9 3" xfId="9519" xr:uid="{00000000-0005-0000-0000-000033250000}"/>
    <cellStyle name="Normal 17 17 3 9 5 2 9 4" xfId="9520" xr:uid="{00000000-0005-0000-0000-000034250000}"/>
    <cellStyle name="Normal 17 17 3 9 5 2 9 5" xfId="9521" xr:uid="{00000000-0005-0000-0000-000035250000}"/>
    <cellStyle name="Normal 17 17 3 9 5 2 9 6" xfId="9522" xr:uid="{00000000-0005-0000-0000-000036250000}"/>
    <cellStyle name="Normal 17 17 3 9 5 3" xfId="9523" xr:uid="{00000000-0005-0000-0000-000037250000}"/>
    <cellStyle name="Normal 17 17 3 9 5 3 2" xfId="9524" xr:uid="{00000000-0005-0000-0000-000038250000}"/>
    <cellStyle name="Normal 17 17 3 9 5 3 3" xfId="9525" xr:uid="{00000000-0005-0000-0000-000039250000}"/>
    <cellStyle name="Normal 17 17 3 9 5 3 4" xfId="9526" xr:uid="{00000000-0005-0000-0000-00003A250000}"/>
    <cellStyle name="Normal 17 17 3 9 5 3 5" xfId="9527" xr:uid="{00000000-0005-0000-0000-00003B250000}"/>
    <cellStyle name="Normal 17 17 3 9 5 3 6" xfId="9528" xr:uid="{00000000-0005-0000-0000-00003C250000}"/>
    <cellStyle name="Normal 17 17 3 9 5 4" xfId="9529" xr:uid="{00000000-0005-0000-0000-00003D250000}"/>
    <cellStyle name="Normal 17 17 3 9 5 4 2" xfId="9530" xr:uid="{00000000-0005-0000-0000-00003E250000}"/>
    <cellStyle name="Normal 17 17 3 9 5 4 3" xfId="9531" xr:uid="{00000000-0005-0000-0000-00003F250000}"/>
    <cellStyle name="Normal 17 17 3 9 5 4 4" xfId="9532" xr:uid="{00000000-0005-0000-0000-000040250000}"/>
    <cellStyle name="Normal 17 17 3 9 5 4 5" xfId="9533" xr:uid="{00000000-0005-0000-0000-000041250000}"/>
    <cellStyle name="Normal 17 17 3 9 5 4 6" xfId="9534" xr:uid="{00000000-0005-0000-0000-000042250000}"/>
    <cellStyle name="Normal 17 17 3 9 5 5" xfId="9535" xr:uid="{00000000-0005-0000-0000-000043250000}"/>
    <cellStyle name="Normal 17 17 3 9 5 5 2" xfId="9536" xr:uid="{00000000-0005-0000-0000-000044250000}"/>
    <cellStyle name="Normal 17 17 3 9 5 5 3" xfId="9537" xr:uid="{00000000-0005-0000-0000-000045250000}"/>
    <cellStyle name="Normal 17 17 3 9 5 5 4" xfId="9538" xr:uid="{00000000-0005-0000-0000-000046250000}"/>
    <cellStyle name="Normal 17 17 3 9 5 5 5" xfId="9539" xr:uid="{00000000-0005-0000-0000-000047250000}"/>
    <cellStyle name="Normal 17 17 3 9 5 5 6" xfId="9540" xr:uid="{00000000-0005-0000-0000-000048250000}"/>
    <cellStyle name="Normal 17 17 3 9 5 6" xfId="9541" xr:uid="{00000000-0005-0000-0000-000049250000}"/>
    <cellStyle name="Normal 17 17 3 9 5 6 2" xfId="9542" xr:uid="{00000000-0005-0000-0000-00004A250000}"/>
    <cellStyle name="Normal 17 17 3 9 5 6 3" xfId="9543" xr:uid="{00000000-0005-0000-0000-00004B250000}"/>
    <cellStyle name="Normal 17 17 3 9 5 6 4" xfId="9544" xr:uid="{00000000-0005-0000-0000-00004C250000}"/>
    <cellStyle name="Normal 17 17 3 9 5 6 5" xfId="9545" xr:uid="{00000000-0005-0000-0000-00004D250000}"/>
    <cellStyle name="Normal 17 17 3 9 5 6 6" xfId="9546" xr:uid="{00000000-0005-0000-0000-00004E250000}"/>
    <cellStyle name="Normal 17 17 3 9 5 7" xfId="9547" xr:uid="{00000000-0005-0000-0000-00004F250000}"/>
    <cellStyle name="Normal 17 17 3 9 5 7 2" xfId="9548" xr:uid="{00000000-0005-0000-0000-000050250000}"/>
    <cellStyle name="Normal 17 17 3 9 5 7 3" xfId="9549" xr:uid="{00000000-0005-0000-0000-000051250000}"/>
    <cellStyle name="Normal 17 17 3 9 5 7 4" xfId="9550" xr:uid="{00000000-0005-0000-0000-000052250000}"/>
    <cellStyle name="Normal 17 17 3 9 5 7 5" xfId="9551" xr:uid="{00000000-0005-0000-0000-000053250000}"/>
    <cellStyle name="Normal 17 17 3 9 5 7 6" xfId="9552" xr:uid="{00000000-0005-0000-0000-000054250000}"/>
    <cellStyle name="Normal 17 17 3 9 5 8" xfId="9553" xr:uid="{00000000-0005-0000-0000-000055250000}"/>
    <cellStyle name="Normal 17 17 3 9 5 8 2" xfId="9554" xr:uid="{00000000-0005-0000-0000-000056250000}"/>
    <cellStyle name="Normal 17 17 3 9 5 8 3" xfId="9555" xr:uid="{00000000-0005-0000-0000-000057250000}"/>
    <cellStyle name="Normal 17 17 3 9 5 8 4" xfId="9556" xr:uid="{00000000-0005-0000-0000-000058250000}"/>
    <cellStyle name="Normal 17 17 3 9 5 8 5" xfId="9557" xr:uid="{00000000-0005-0000-0000-000059250000}"/>
    <cellStyle name="Normal 17 17 3 9 5 8 6" xfId="9558" xr:uid="{00000000-0005-0000-0000-00005A250000}"/>
    <cellStyle name="Normal 17 17 3 9 5 9" xfId="9559" xr:uid="{00000000-0005-0000-0000-00005B250000}"/>
    <cellStyle name="Normal 17 17 3 9 5 9 2" xfId="9560" xr:uid="{00000000-0005-0000-0000-00005C250000}"/>
    <cellStyle name="Normal 17 17 3 9 5 9 3" xfId="9561" xr:uid="{00000000-0005-0000-0000-00005D250000}"/>
    <cellStyle name="Normal 17 17 3 9 5 9 4" xfId="9562" xr:uid="{00000000-0005-0000-0000-00005E250000}"/>
    <cellStyle name="Normal 17 17 3 9 5 9 5" xfId="9563" xr:uid="{00000000-0005-0000-0000-00005F250000}"/>
    <cellStyle name="Normal 17 17 3 9 5 9 6" xfId="9564" xr:uid="{00000000-0005-0000-0000-000060250000}"/>
    <cellStyle name="Normal 17 17 3 9 6" xfId="9565" xr:uid="{00000000-0005-0000-0000-000061250000}"/>
    <cellStyle name="Normal 17 17 3 9 6 10" xfId="9566" xr:uid="{00000000-0005-0000-0000-000062250000}"/>
    <cellStyle name="Normal 17 17 3 9 6 10 2" xfId="9567" xr:uid="{00000000-0005-0000-0000-000063250000}"/>
    <cellStyle name="Normal 17 17 3 9 6 10 3" xfId="9568" xr:uid="{00000000-0005-0000-0000-000064250000}"/>
    <cellStyle name="Normal 17 17 3 9 6 10 4" xfId="9569" xr:uid="{00000000-0005-0000-0000-000065250000}"/>
    <cellStyle name="Normal 17 17 3 9 6 10 5" xfId="9570" xr:uid="{00000000-0005-0000-0000-000066250000}"/>
    <cellStyle name="Normal 17 17 3 9 6 10 6" xfId="9571" xr:uid="{00000000-0005-0000-0000-000067250000}"/>
    <cellStyle name="Normal 17 17 3 9 6 11" xfId="9572" xr:uid="{00000000-0005-0000-0000-000068250000}"/>
    <cellStyle name="Normal 17 17 3 9 6 12" xfId="9573" xr:uid="{00000000-0005-0000-0000-000069250000}"/>
    <cellStyle name="Normal 17 17 3 9 6 13" xfId="9574" xr:uid="{00000000-0005-0000-0000-00006A250000}"/>
    <cellStyle name="Normal 17 17 3 9 6 14" xfId="9575" xr:uid="{00000000-0005-0000-0000-00006B250000}"/>
    <cellStyle name="Normal 17 17 3 9 6 15" xfId="9576" xr:uid="{00000000-0005-0000-0000-00006C250000}"/>
    <cellStyle name="Normal 17 17 3 9 6 2" xfId="9577" xr:uid="{00000000-0005-0000-0000-00006D250000}"/>
    <cellStyle name="Normal 17 17 3 9 6 2 10" xfId="9578" xr:uid="{00000000-0005-0000-0000-00006E250000}"/>
    <cellStyle name="Normal 17 17 3 9 6 2 11" xfId="9579" xr:uid="{00000000-0005-0000-0000-00006F250000}"/>
    <cellStyle name="Normal 17 17 3 9 6 2 12" xfId="9580" xr:uid="{00000000-0005-0000-0000-000070250000}"/>
    <cellStyle name="Normal 17 17 3 9 6 2 13" xfId="9581" xr:uid="{00000000-0005-0000-0000-000071250000}"/>
    <cellStyle name="Normal 17 17 3 9 6 2 14" xfId="9582" xr:uid="{00000000-0005-0000-0000-000072250000}"/>
    <cellStyle name="Normal 17 17 3 9 6 2 2" xfId="9583" xr:uid="{00000000-0005-0000-0000-000073250000}"/>
    <cellStyle name="Normal 17 17 3 9 6 2 2 2" xfId="9584" xr:uid="{00000000-0005-0000-0000-000074250000}"/>
    <cellStyle name="Normal 17 17 3 9 6 2 2 3" xfId="9585" xr:uid="{00000000-0005-0000-0000-000075250000}"/>
    <cellStyle name="Normal 17 17 3 9 6 2 2 4" xfId="9586" xr:uid="{00000000-0005-0000-0000-000076250000}"/>
    <cellStyle name="Normal 17 17 3 9 6 2 2 5" xfId="9587" xr:uid="{00000000-0005-0000-0000-000077250000}"/>
    <cellStyle name="Normal 17 17 3 9 6 2 2 6" xfId="9588" xr:uid="{00000000-0005-0000-0000-000078250000}"/>
    <cellStyle name="Normal 17 17 3 9 6 2 3" xfId="9589" xr:uid="{00000000-0005-0000-0000-000079250000}"/>
    <cellStyle name="Normal 17 17 3 9 6 2 3 2" xfId="9590" xr:uid="{00000000-0005-0000-0000-00007A250000}"/>
    <cellStyle name="Normal 17 17 3 9 6 2 3 3" xfId="9591" xr:uid="{00000000-0005-0000-0000-00007B250000}"/>
    <cellStyle name="Normal 17 17 3 9 6 2 3 4" xfId="9592" xr:uid="{00000000-0005-0000-0000-00007C250000}"/>
    <cellStyle name="Normal 17 17 3 9 6 2 3 5" xfId="9593" xr:uid="{00000000-0005-0000-0000-00007D250000}"/>
    <cellStyle name="Normal 17 17 3 9 6 2 3 6" xfId="9594" xr:uid="{00000000-0005-0000-0000-00007E250000}"/>
    <cellStyle name="Normal 17 17 3 9 6 2 4" xfId="9595" xr:uid="{00000000-0005-0000-0000-00007F250000}"/>
    <cellStyle name="Normal 17 17 3 9 6 2 4 2" xfId="9596" xr:uid="{00000000-0005-0000-0000-000080250000}"/>
    <cellStyle name="Normal 17 17 3 9 6 2 4 3" xfId="9597" xr:uid="{00000000-0005-0000-0000-000081250000}"/>
    <cellStyle name="Normal 17 17 3 9 6 2 4 4" xfId="9598" xr:uid="{00000000-0005-0000-0000-000082250000}"/>
    <cellStyle name="Normal 17 17 3 9 6 2 4 5" xfId="9599" xr:uid="{00000000-0005-0000-0000-000083250000}"/>
    <cellStyle name="Normal 17 17 3 9 6 2 4 6" xfId="9600" xr:uid="{00000000-0005-0000-0000-000084250000}"/>
    <cellStyle name="Normal 17 17 3 9 6 2 5" xfId="9601" xr:uid="{00000000-0005-0000-0000-000085250000}"/>
    <cellStyle name="Normal 17 17 3 9 6 2 5 2" xfId="9602" xr:uid="{00000000-0005-0000-0000-000086250000}"/>
    <cellStyle name="Normal 17 17 3 9 6 2 5 3" xfId="9603" xr:uid="{00000000-0005-0000-0000-000087250000}"/>
    <cellStyle name="Normal 17 17 3 9 6 2 5 4" xfId="9604" xr:uid="{00000000-0005-0000-0000-000088250000}"/>
    <cellStyle name="Normal 17 17 3 9 6 2 5 5" xfId="9605" xr:uid="{00000000-0005-0000-0000-000089250000}"/>
    <cellStyle name="Normal 17 17 3 9 6 2 5 6" xfId="9606" xr:uid="{00000000-0005-0000-0000-00008A250000}"/>
    <cellStyle name="Normal 17 17 3 9 6 2 6" xfId="9607" xr:uid="{00000000-0005-0000-0000-00008B250000}"/>
    <cellStyle name="Normal 17 17 3 9 6 2 6 2" xfId="9608" xr:uid="{00000000-0005-0000-0000-00008C250000}"/>
    <cellStyle name="Normal 17 17 3 9 6 2 6 3" xfId="9609" xr:uid="{00000000-0005-0000-0000-00008D250000}"/>
    <cellStyle name="Normal 17 17 3 9 6 2 6 4" xfId="9610" xr:uid="{00000000-0005-0000-0000-00008E250000}"/>
    <cellStyle name="Normal 17 17 3 9 6 2 6 5" xfId="9611" xr:uid="{00000000-0005-0000-0000-00008F250000}"/>
    <cellStyle name="Normal 17 17 3 9 6 2 6 6" xfId="9612" xr:uid="{00000000-0005-0000-0000-000090250000}"/>
    <cellStyle name="Normal 17 17 3 9 6 2 7" xfId="9613" xr:uid="{00000000-0005-0000-0000-000091250000}"/>
    <cellStyle name="Normal 17 17 3 9 6 2 7 2" xfId="9614" xr:uid="{00000000-0005-0000-0000-000092250000}"/>
    <cellStyle name="Normal 17 17 3 9 6 2 7 3" xfId="9615" xr:uid="{00000000-0005-0000-0000-000093250000}"/>
    <cellStyle name="Normal 17 17 3 9 6 2 7 4" xfId="9616" xr:uid="{00000000-0005-0000-0000-000094250000}"/>
    <cellStyle name="Normal 17 17 3 9 6 2 7 5" xfId="9617" xr:uid="{00000000-0005-0000-0000-000095250000}"/>
    <cellStyle name="Normal 17 17 3 9 6 2 7 6" xfId="9618" xr:uid="{00000000-0005-0000-0000-000096250000}"/>
    <cellStyle name="Normal 17 17 3 9 6 2 8" xfId="9619" xr:uid="{00000000-0005-0000-0000-000097250000}"/>
    <cellStyle name="Normal 17 17 3 9 6 2 8 2" xfId="9620" xr:uid="{00000000-0005-0000-0000-000098250000}"/>
    <cellStyle name="Normal 17 17 3 9 6 2 8 3" xfId="9621" xr:uid="{00000000-0005-0000-0000-000099250000}"/>
    <cellStyle name="Normal 17 17 3 9 6 2 8 4" xfId="9622" xr:uid="{00000000-0005-0000-0000-00009A250000}"/>
    <cellStyle name="Normal 17 17 3 9 6 2 8 5" xfId="9623" xr:uid="{00000000-0005-0000-0000-00009B250000}"/>
    <cellStyle name="Normal 17 17 3 9 6 2 8 6" xfId="9624" xr:uid="{00000000-0005-0000-0000-00009C250000}"/>
    <cellStyle name="Normal 17 17 3 9 6 2 9" xfId="9625" xr:uid="{00000000-0005-0000-0000-00009D250000}"/>
    <cellStyle name="Normal 17 17 3 9 6 2 9 2" xfId="9626" xr:uid="{00000000-0005-0000-0000-00009E250000}"/>
    <cellStyle name="Normal 17 17 3 9 6 2 9 3" xfId="9627" xr:uid="{00000000-0005-0000-0000-00009F250000}"/>
    <cellStyle name="Normal 17 17 3 9 6 2 9 4" xfId="9628" xr:uid="{00000000-0005-0000-0000-0000A0250000}"/>
    <cellStyle name="Normal 17 17 3 9 6 2 9 5" xfId="9629" xr:uid="{00000000-0005-0000-0000-0000A1250000}"/>
    <cellStyle name="Normal 17 17 3 9 6 2 9 6" xfId="9630" xr:uid="{00000000-0005-0000-0000-0000A2250000}"/>
    <cellStyle name="Normal 17 17 3 9 6 3" xfId="9631" xr:uid="{00000000-0005-0000-0000-0000A3250000}"/>
    <cellStyle name="Normal 17 17 3 9 6 3 2" xfId="9632" xr:uid="{00000000-0005-0000-0000-0000A4250000}"/>
    <cellStyle name="Normal 17 17 3 9 6 3 3" xfId="9633" xr:uid="{00000000-0005-0000-0000-0000A5250000}"/>
    <cellStyle name="Normal 17 17 3 9 6 3 4" xfId="9634" xr:uid="{00000000-0005-0000-0000-0000A6250000}"/>
    <cellStyle name="Normal 17 17 3 9 6 3 5" xfId="9635" xr:uid="{00000000-0005-0000-0000-0000A7250000}"/>
    <cellStyle name="Normal 17 17 3 9 6 3 6" xfId="9636" xr:uid="{00000000-0005-0000-0000-0000A8250000}"/>
    <cellStyle name="Normal 17 17 3 9 6 4" xfId="9637" xr:uid="{00000000-0005-0000-0000-0000A9250000}"/>
    <cellStyle name="Normal 17 17 3 9 6 4 2" xfId="9638" xr:uid="{00000000-0005-0000-0000-0000AA250000}"/>
    <cellStyle name="Normal 17 17 3 9 6 4 3" xfId="9639" xr:uid="{00000000-0005-0000-0000-0000AB250000}"/>
    <cellStyle name="Normal 17 17 3 9 6 4 4" xfId="9640" xr:uid="{00000000-0005-0000-0000-0000AC250000}"/>
    <cellStyle name="Normal 17 17 3 9 6 4 5" xfId="9641" xr:uid="{00000000-0005-0000-0000-0000AD250000}"/>
    <cellStyle name="Normal 17 17 3 9 6 4 6" xfId="9642" xr:uid="{00000000-0005-0000-0000-0000AE250000}"/>
    <cellStyle name="Normal 17 17 3 9 6 5" xfId="9643" xr:uid="{00000000-0005-0000-0000-0000AF250000}"/>
    <cellStyle name="Normal 17 17 3 9 6 5 2" xfId="9644" xr:uid="{00000000-0005-0000-0000-0000B0250000}"/>
    <cellStyle name="Normal 17 17 3 9 6 5 3" xfId="9645" xr:uid="{00000000-0005-0000-0000-0000B1250000}"/>
    <cellStyle name="Normal 17 17 3 9 6 5 4" xfId="9646" xr:uid="{00000000-0005-0000-0000-0000B2250000}"/>
    <cellStyle name="Normal 17 17 3 9 6 5 5" xfId="9647" xr:uid="{00000000-0005-0000-0000-0000B3250000}"/>
    <cellStyle name="Normal 17 17 3 9 6 5 6" xfId="9648" xr:uid="{00000000-0005-0000-0000-0000B4250000}"/>
    <cellStyle name="Normal 17 17 3 9 6 6" xfId="9649" xr:uid="{00000000-0005-0000-0000-0000B5250000}"/>
    <cellStyle name="Normal 17 17 3 9 6 6 2" xfId="9650" xr:uid="{00000000-0005-0000-0000-0000B6250000}"/>
    <cellStyle name="Normal 17 17 3 9 6 6 3" xfId="9651" xr:uid="{00000000-0005-0000-0000-0000B7250000}"/>
    <cellStyle name="Normal 17 17 3 9 6 6 4" xfId="9652" xr:uid="{00000000-0005-0000-0000-0000B8250000}"/>
    <cellStyle name="Normal 17 17 3 9 6 6 5" xfId="9653" xr:uid="{00000000-0005-0000-0000-0000B9250000}"/>
    <cellStyle name="Normal 17 17 3 9 6 6 6" xfId="9654" xr:uid="{00000000-0005-0000-0000-0000BA250000}"/>
    <cellStyle name="Normal 17 17 3 9 6 7" xfId="9655" xr:uid="{00000000-0005-0000-0000-0000BB250000}"/>
    <cellStyle name="Normal 17 17 3 9 6 7 2" xfId="9656" xr:uid="{00000000-0005-0000-0000-0000BC250000}"/>
    <cellStyle name="Normal 17 17 3 9 6 7 3" xfId="9657" xr:uid="{00000000-0005-0000-0000-0000BD250000}"/>
    <cellStyle name="Normal 17 17 3 9 6 7 4" xfId="9658" xr:uid="{00000000-0005-0000-0000-0000BE250000}"/>
    <cellStyle name="Normal 17 17 3 9 6 7 5" xfId="9659" xr:uid="{00000000-0005-0000-0000-0000BF250000}"/>
    <cellStyle name="Normal 17 17 3 9 6 7 6" xfId="9660" xr:uid="{00000000-0005-0000-0000-0000C0250000}"/>
    <cellStyle name="Normal 17 17 3 9 6 8" xfId="9661" xr:uid="{00000000-0005-0000-0000-0000C1250000}"/>
    <cellStyle name="Normal 17 17 3 9 6 8 2" xfId="9662" xr:uid="{00000000-0005-0000-0000-0000C2250000}"/>
    <cellStyle name="Normal 17 17 3 9 6 8 3" xfId="9663" xr:uid="{00000000-0005-0000-0000-0000C3250000}"/>
    <cellStyle name="Normal 17 17 3 9 6 8 4" xfId="9664" xr:uid="{00000000-0005-0000-0000-0000C4250000}"/>
    <cellStyle name="Normal 17 17 3 9 6 8 5" xfId="9665" xr:uid="{00000000-0005-0000-0000-0000C5250000}"/>
    <cellStyle name="Normal 17 17 3 9 6 8 6" xfId="9666" xr:uid="{00000000-0005-0000-0000-0000C6250000}"/>
    <cellStyle name="Normal 17 17 3 9 6 9" xfId="9667" xr:uid="{00000000-0005-0000-0000-0000C7250000}"/>
    <cellStyle name="Normal 17 17 3 9 6 9 2" xfId="9668" xr:uid="{00000000-0005-0000-0000-0000C8250000}"/>
    <cellStyle name="Normal 17 17 3 9 6 9 3" xfId="9669" xr:uid="{00000000-0005-0000-0000-0000C9250000}"/>
    <cellStyle name="Normal 17 17 3 9 6 9 4" xfId="9670" xr:uid="{00000000-0005-0000-0000-0000CA250000}"/>
    <cellStyle name="Normal 17 17 3 9 6 9 5" xfId="9671" xr:uid="{00000000-0005-0000-0000-0000CB250000}"/>
    <cellStyle name="Normal 17 17 3 9 6 9 6" xfId="9672" xr:uid="{00000000-0005-0000-0000-0000CC250000}"/>
    <cellStyle name="Normal 17 17 3 9 7" xfId="9673" xr:uid="{00000000-0005-0000-0000-0000CD250000}"/>
    <cellStyle name="Normal 17 17 3 9 7 10" xfId="9674" xr:uid="{00000000-0005-0000-0000-0000CE250000}"/>
    <cellStyle name="Normal 17 17 3 9 7 11" xfId="9675" xr:uid="{00000000-0005-0000-0000-0000CF250000}"/>
    <cellStyle name="Normal 17 17 3 9 7 12" xfId="9676" xr:uid="{00000000-0005-0000-0000-0000D0250000}"/>
    <cellStyle name="Normal 17 17 3 9 7 13" xfId="9677" xr:uid="{00000000-0005-0000-0000-0000D1250000}"/>
    <cellStyle name="Normal 17 17 3 9 7 14" xfId="9678" xr:uid="{00000000-0005-0000-0000-0000D2250000}"/>
    <cellStyle name="Normal 17 17 3 9 7 2" xfId="9679" xr:uid="{00000000-0005-0000-0000-0000D3250000}"/>
    <cellStyle name="Normal 17 17 3 9 7 2 2" xfId="9680" xr:uid="{00000000-0005-0000-0000-0000D4250000}"/>
    <cellStyle name="Normal 17 17 3 9 7 2 3" xfId="9681" xr:uid="{00000000-0005-0000-0000-0000D5250000}"/>
    <cellStyle name="Normal 17 17 3 9 7 2 4" xfId="9682" xr:uid="{00000000-0005-0000-0000-0000D6250000}"/>
    <cellStyle name="Normal 17 17 3 9 7 2 5" xfId="9683" xr:uid="{00000000-0005-0000-0000-0000D7250000}"/>
    <cellStyle name="Normal 17 17 3 9 7 2 6" xfId="9684" xr:uid="{00000000-0005-0000-0000-0000D8250000}"/>
    <cellStyle name="Normal 17 17 3 9 7 3" xfId="9685" xr:uid="{00000000-0005-0000-0000-0000D9250000}"/>
    <cellStyle name="Normal 17 17 3 9 7 3 2" xfId="9686" xr:uid="{00000000-0005-0000-0000-0000DA250000}"/>
    <cellStyle name="Normal 17 17 3 9 7 3 3" xfId="9687" xr:uid="{00000000-0005-0000-0000-0000DB250000}"/>
    <cellStyle name="Normal 17 17 3 9 7 3 4" xfId="9688" xr:uid="{00000000-0005-0000-0000-0000DC250000}"/>
    <cellStyle name="Normal 17 17 3 9 7 3 5" xfId="9689" xr:uid="{00000000-0005-0000-0000-0000DD250000}"/>
    <cellStyle name="Normal 17 17 3 9 7 3 6" xfId="9690" xr:uid="{00000000-0005-0000-0000-0000DE250000}"/>
    <cellStyle name="Normal 17 17 3 9 7 4" xfId="9691" xr:uid="{00000000-0005-0000-0000-0000DF250000}"/>
    <cellStyle name="Normal 17 17 3 9 7 4 2" xfId="9692" xr:uid="{00000000-0005-0000-0000-0000E0250000}"/>
    <cellStyle name="Normal 17 17 3 9 7 4 3" xfId="9693" xr:uid="{00000000-0005-0000-0000-0000E1250000}"/>
    <cellStyle name="Normal 17 17 3 9 7 4 4" xfId="9694" xr:uid="{00000000-0005-0000-0000-0000E2250000}"/>
    <cellStyle name="Normal 17 17 3 9 7 4 5" xfId="9695" xr:uid="{00000000-0005-0000-0000-0000E3250000}"/>
    <cellStyle name="Normal 17 17 3 9 7 4 6" xfId="9696" xr:uid="{00000000-0005-0000-0000-0000E4250000}"/>
    <cellStyle name="Normal 17 17 3 9 7 5" xfId="9697" xr:uid="{00000000-0005-0000-0000-0000E5250000}"/>
    <cellStyle name="Normal 17 17 3 9 7 5 2" xfId="9698" xr:uid="{00000000-0005-0000-0000-0000E6250000}"/>
    <cellStyle name="Normal 17 17 3 9 7 5 3" xfId="9699" xr:uid="{00000000-0005-0000-0000-0000E7250000}"/>
    <cellStyle name="Normal 17 17 3 9 7 5 4" xfId="9700" xr:uid="{00000000-0005-0000-0000-0000E8250000}"/>
    <cellStyle name="Normal 17 17 3 9 7 5 5" xfId="9701" xr:uid="{00000000-0005-0000-0000-0000E9250000}"/>
    <cellStyle name="Normal 17 17 3 9 7 5 6" xfId="9702" xr:uid="{00000000-0005-0000-0000-0000EA250000}"/>
    <cellStyle name="Normal 17 17 3 9 7 6" xfId="9703" xr:uid="{00000000-0005-0000-0000-0000EB250000}"/>
    <cellStyle name="Normal 17 17 3 9 7 6 2" xfId="9704" xr:uid="{00000000-0005-0000-0000-0000EC250000}"/>
    <cellStyle name="Normal 17 17 3 9 7 6 3" xfId="9705" xr:uid="{00000000-0005-0000-0000-0000ED250000}"/>
    <cellStyle name="Normal 17 17 3 9 7 6 4" xfId="9706" xr:uid="{00000000-0005-0000-0000-0000EE250000}"/>
    <cellStyle name="Normal 17 17 3 9 7 6 5" xfId="9707" xr:uid="{00000000-0005-0000-0000-0000EF250000}"/>
    <cellStyle name="Normal 17 17 3 9 7 6 6" xfId="9708" xr:uid="{00000000-0005-0000-0000-0000F0250000}"/>
    <cellStyle name="Normal 17 17 3 9 7 7" xfId="9709" xr:uid="{00000000-0005-0000-0000-0000F1250000}"/>
    <cellStyle name="Normal 17 17 3 9 7 7 2" xfId="9710" xr:uid="{00000000-0005-0000-0000-0000F2250000}"/>
    <cellStyle name="Normal 17 17 3 9 7 7 3" xfId="9711" xr:uid="{00000000-0005-0000-0000-0000F3250000}"/>
    <cellStyle name="Normal 17 17 3 9 7 7 4" xfId="9712" xr:uid="{00000000-0005-0000-0000-0000F4250000}"/>
    <cellStyle name="Normal 17 17 3 9 7 7 5" xfId="9713" xr:uid="{00000000-0005-0000-0000-0000F5250000}"/>
    <cellStyle name="Normal 17 17 3 9 7 7 6" xfId="9714" xr:uid="{00000000-0005-0000-0000-0000F6250000}"/>
    <cellStyle name="Normal 17 17 3 9 7 8" xfId="9715" xr:uid="{00000000-0005-0000-0000-0000F7250000}"/>
    <cellStyle name="Normal 17 17 3 9 7 8 2" xfId="9716" xr:uid="{00000000-0005-0000-0000-0000F8250000}"/>
    <cellStyle name="Normal 17 17 3 9 7 8 3" xfId="9717" xr:uid="{00000000-0005-0000-0000-0000F9250000}"/>
    <cellStyle name="Normal 17 17 3 9 7 8 4" xfId="9718" xr:uid="{00000000-0005-0000-0000-0000FA250000}"/>
    <cellStyle name="Normal 17 17 3 9 7 8 5" xfId="9719" xr:uid="{00000000-0005-0000-0000-0000FB250000}"/>
    <cellStyle name="Normal 17 17 3 9 7 8 6" xfId="9720" xr:uid="{00000000-0005-0000-0000-0000FC250000}"/>
    <cellStyle name="Normal 17 17 3 9 7 9" xfId="9721" xr:uid="{00000000-0005-0000-0000-0000FD250000}"/>
    <cellStyle name="Normal 17 17 3 9 7 9 2" xfId="9722" xr:uid="{00000000-0005-0000-0000-0000FE250000}"/>
    <cellStyle name="Normal 17 17 3 9 7 9 3" xfId="9723" xr:uid="{00000000-0005-0000-0000-0000FF250000}"/>
    <cellStyle name="Normal 17 17 3 9 7 9 4" xfId="9724" xr:uid="{00000000-0005-0000-0000-000000260000}"/>
    <cellStyle name="Normal 17 17 3 9 7 9 5" xfId="9725" xr:uid="{00000000-0005-0000-0000-000001260000}"/>
    <cellStyle name="Normal 17 17 3 9 7 9 6" xfId="9726" xr:uid="{00000000-0005-0000-0000-000002260000}"/>
    <cellStyle name="Normal 17 17 3 9 8" xfId="9727" xr:uid="{00000000-0005-0000-0000-000003260000}"/>
    <cellStyle name="Normal 17 17 3 9 8 2" xfId="9728" xr:uid="{00000000-0005-0000-0000-000004260000}"/>
    <cellStyle name="Normal 17 17 3 9 8 3" xfId="9729" xr:uid="{00000000-0005-0000-0000-000005260000}"/>
    <cellStyle name="Normal 17 17 3 9 8 4" xfId="9730" xr:uid="{00000000-0005-0000-0000-000006260000}"/>
    <cellStyle name="Normal 17 17 3 9 8 5" xfId="9731" xr:uid="{00000000-0005-0000-0000-000007260000}"/>
    <cellStyle name="Normal 17 17 3 9 8 6" xfId="9732" xr:uid="{00000000-0005-0000-0000-000008260000}"/>
    <cellStyle name="Normal 17 17 3 9 9" xfId="9733" xr:uid="{00000000-0005-0000-0000-000009260000}"/>
    <cellStyle name="Normal 17 17 3 9 9 2" xfId="9734" xr:uid="{00000000-0005-0000-0000-00000A260000}"/>
    <cellStyle name="Normal 17 17 3 9 9 3" xfId="9735" xr:uid="{00000000-0005-0000-0000-00000B260000}"/>
    <cellStyle name="Normal 17 17 3 9 9 4" xfId="9736" xr:uid="{00000000-0005-0000-0000-00000C260000}"/>
    <cellStyle name="Normal 17 17 3 9 9 5" xfId="9737" xr:uid="{00000000-0005-0000-0000-00000D260000}"/>
    <cellStyle name="Normal 17 17 3 9 9 6" xfId="9738" xr:uid="{00000000-0005-0000-0000-00000E260000}"/>
    <cellStyle name="Normal 17 17 4" xfId="9739" xr:uid="{00000000-0005-0000-0000-00000F260000}"/>
    <cellStyle name="Normal 17 17 4 10" xfId="9740" xr:uid="{00000000-0005-0000-0000-000010260000}"/>
    <cellStyle name="Normal 17 17 4 11" xfId="9741" xr:uid="{00000000-0005-0000-0000-000011260000}"/>
    <cellStyle name="Normal 17 17 4 12" xfId="9742" xr:uid="{00000000-0005-0000-0000-000012260000}"/>
    <cellStyle name="Normal 17 17 4 13" xfId="9743" xr:uid="{00000000-0005-0000-0000-000013260000}"/>
    <cellStyle name="Normal 17 17 4 14" xfId="9744" xr:uid="{00000000-0005-0000-0000-000014260000}"/>
    <cellStyle name="Normal 17 17 4 2" xfId="9745" xr:uid="{00000000-0005-0000-0000-000015260000}"/>
    <cellStyle name="Normal 17 17 4 2 2" xfId="9746" xr:uid="{00000000-0005-0000-0000-000016260000}"/>
    <cellStyle name="Normal 17 17 4 2 3" xfId="9747" xr:uid="{00000000-0005-0000-0000-000017260000}"/>
    <cellStyle name="Normal 17 17 4 2 4" xfId="9748" xr:uid="{00000000-0005-0000-0000-000018260000}"/>
    <cellStyle name="Normal 17 17 4 2 5" xfId="9749" xr:uid="{00000000-0005-0000-0000-000019260000}"/>
    <cellStyle name="Normal 17 17 4 2 6" xfId="9750" xr:uid="{00000000-0005-0000-0000-00001A260000}"/>
    <cellStyle name="Normal 17 17 4 3" xfId="9751" xr:uid="{00000000-0005-0000-0000-00001B260000}"/>
    <cellStyle name="Normal 17 17 4 3 2" xfId="9752" xr:uid="{00000000-0005-0000-0000-00001C260000}"/>
    <cellStyle name="Normal 17 17 4 3 3" xfId="9753" xr:uid="{00000000-0005-0000-0000-00001D260000}"/>
    <cellStyle name="Normal 17 17 4 3 4" xfId="9754" xr:uid="{00000000-0005-0000-0000-00001E260000}"/>
    <cellStyle name="Normal 17 17 4 3 5" xfId="9755" xr:uid="{00000000-0005-0000-0000-00001F260000}"/>
    <cellStyle name="Normal 17 17 4 3 6" xfId="9756" xr:uid="{00000000-0005-0000-0000-000020260000}"/>
    <cellStyle name="Normal 17 17 4 4" xfId="9757" xr:uid="{00000000-0005-0000-0000-000021260000}"/>
    <cellStyle name="Normal 17 17 4 4 2" xfId="9758" xr:uid="{00000000-0005-0000-0000-000022260000}"/>
    <cellStyle name="Normal 17 17 4 4 3" xfId="9759" xr:uid="{00000000-0005-0000-0000-000023260000}"/>
    <cellStyle name="Normal 17 17 4 4 4" xfId="9760" xr:uid="{00000000-0005-0000-0000-000024260000}"/>
    <cellStyle name="Normal 17 17 4 4 5" xfId="9761" xr:uid="{00000000-0005-0000-0000-000025260000}"/>
    <cellStyle name="Normal 17 17 4 4 6" xfId="9762" xr:uid="{00000000-0005-0000-0000-000026260000}"/>
    <cellStyle name="Normal 17 17 4 5" xfId="9763" xr:uid="{00000000-0005-0000-0000-000027260000}"/>
    <cellStyle name="Normal 17 17 4 5 2" xfId="9764" xr:uid="{00000000-0005-0000-0000-000028260000}"/>
    <cellStyle name="Normal 17 17 4 5 3" xfId="9765" xr:uid="{00000000-0005-0000-0000-000029260000}"/>
    <cellStyle name="Normal 17 17 4 5 4" xfId="9766" xr:uid="{00000000-0005-0000-0000-00002A260000}"/>
    <cellStyle name="Normal 17 17 4 5 5" xfId="9767" xr:uid="{00000000-0005-0000-0000-00002B260000}"/>
    <cellStyle name="Normal 17 17 4 5 6" xfId="9768" xr:uid="{00000000-0005-0000-0000-00002C260000}"/>
    <cellStyle name="Normal 17 17 4 6" xfId="9769" xr:uid="{00000000-0005-0000-0000-00002D260000}"/>
    <cellStyle name="Normal 17 17 4 6 2" xfId="9770" xr:uid="{00000000-0005-0000-0000-00002E260000}"/>
    <cellStyle name="Normal 17 17 4 6 3" xfId="9771" xr:uid="{00000000-0005-0000-0000-00002F260000}"/>
    <cellStyle name="Normal 17 17 4 6 4" xfId="9772" xr:uid="{00000000-0005-0000-0000-000030260000}"/>
    <cellStyle name="Normal 17 17 4 6 5" xfId="9773" xr:uid="{00000000-0005-0000-0000-000031260000}"/>
    <cellStyle name="Normal 17 17 4 6 6" xfId="9774" xr:uid="{00000000-0005-0000-0000-000032260000}"/>
    <cellStyle name="Normal 17 17 4 7" xfId="9775" xr:uid="{00000000-0005-0000-0000-000033260000}"/>
    <cellStyle name="Normal 17 17 4 7 2" xfId="9776" xr:uid="{00000000-0005-0000-0000-000034260000}"/>
    <cellStyle name="Normal 17 17 4 7 3" xfId="9777" xr:uid="{00000000-0005-0000-0000-000035260000}"/>
    <cellStyle name="Normal 17 17 4 7 4" xfId="9778" xr:uid="{00000000-0005-0000-0000-000036260000}"/>
    <cellStyle name="Normal 17 17 4 7 5" xfId="9779" xr:uid="{00000000-0005-0000-0000-000037260000}"/>
    <cellStyle name="Normal 17 17 4 7 6" xfId="9780" xr:uid="{00000000-0005-0000-0000-000038260000}"/>
    <cellStyle name="Normal 17 17 4 8" xfId="9781" xr:uid="{00000000-0005-0000-0000-000039260000}"/>
    <cellStyle name="Normal 17 17 4 8 2" xfId="9782" xr:uid="{00000000-0005-0000-0000-00003A260000}"/>
    <cellStyle name="Normal 17 17 4 8 3" xfId="9783" xr:uid="{00000000-0005-0000-0000-00003B260000}"/>
    <cellStyle name="Normal 17 17 4 8 4" xfId="9784" xr:uid="{00000000-0005-0000-0000-00003C260000}"/>
    <cellStyle name="Normal 17 17 4 8 5" xfId="9785" xr:uid="{00000000-0005-0000-0000-00003D260000}"/>
    <cellStyle name="Normal 17 17 4 8 6" xfId="9786" xr:uid="{00000000-0005-0000-0000-00003E260000}"/>
    <cellStyle name="Normal 17 17 4 9" xfId="9787" xr:uid="{00000000-0005-0000-0000-00003F260000}"/>
    <cellStyle name="Normal 17 17 4 9 2" xfId="9788" xr:uid="{00000000-0005-0000-0000-000040260000}"/>
    <cellStyle name="Normal 17 17 4 9 3" xfId="9789" xr:uid="{00000000-0005-0000-0000-000041260000}"/>
    <cellStyle name="Normal 17 17 4 9 4" xfId="9790" xr:uid="{00000000-0005-0000-0000-000042260000}"/>
    <cellStyle name="Normal 17 17 4 9 5" xfId="9791" xr:uid="{00000000-0005-0000-0000-000043260000}"/>
    <cellStyle name="Normal 17 17 4 9 6" xfId="9792" xr:uid="{00000000-0005-0000-0000-000044260000}"/>
    <cellStyle name="Normal 17 17 5" xfId="9793" xr:uid="{00000000-0005-0000-0000-000045260000}"/>
    <cellStyle name="Normal 17 17 5 2" xfId="9794" xr:uid="{00000000-0005-0000-0000-000046260000}"/>
    <cellStyle name="Normal 17 17 5 3" xfId="9795" xr:uid="{00000000-0005-0000-0000-000047260000}"/>
    <cellStyle name="Normal 17 17 5 4" xfId="9796" xr:uid="{00000000-0005-0000-0000-000048260000}"/>
    <cellStyle name="Normal 17 17 5 5" xfId="9797" xr:uid="{00000000-0005-0000-0000-000049260000}"/>
    <cellStyle name="Normal 17 17 5 6" xfId="9798" xr:uid="{00000000-0005-0000-0000-00004A260000}"/>
    <cellStyle name="Normal 17 17 6" xfId="9799" xr:uid="{00000000-0005-0000-0000-00004B260000}"/>
    <cellStyle name="Normal 17 17 6 2" xfId="9800" xr:uid="{00000000-0005-0000-0000-00004C260000}"/>
    <cellStyle name="Normal 17 17 6 3" xfId="9801" xr:uid="{00000000-0005-0000-0000-00004D260000}"/>
    <cellStyle name="Normal 17 17 6 4" xfId="9802" xr:uid="{00000000-0005-0000-0000-00004E260000}"/>
    <cellStyle name="Normal 17 17 6 5" xfId="9803" xr:uid="{00000000-0005-0000-0000-00004F260000}"/>
    <cellStyle name="Normal 17 17 6 6" xfId="9804" xr:uid="{00000000-0005-0000-0000-000050260000}"/>
    <cellStyle name="Normal 17 17 7" xfId="9805" xr:uid="{00000000-0005-0000-0000-000051260000}"/>
    <cellStyle name="Normal 17 17 7 2" xfId="9806" xr:uid="{00000000-0005-0000-0000-000052260000}"/>
    <cellStyle name="Normal 17 17 7 3" xfId="9807" xr:uid="{00000000-0005-0000-0000-000053260000}"/>
    <cellStyle name="Normal 17 17 7 4" xfId="9808" xr:uid="{00000000-0005-0000-0000-000054260000}"/>
    <cellStyle name="Normal 17 17 7 5" xfId="9809" xr:uid="{00000000-0005-0000-0000-000055260000}"/>
    <cellStyle name="Normal 17 17 7 6" xfId="9810" xr:uid="{00000000-0005-0000-0000-000056260000}"/>
    <cellStyle name="Normal 17 17 8" xfId="9811" xr:uid="{00000000-0005-0000-0000-000057260000}"/>
    <cellStyle name="Normal 17 17 8 2" xfId="9812" xr:uid="{00000000-0005-0000-0000-000058260000}"/>
    <cellStyle name="Normal 17 17 8 3" xfId="9813" xr:uid="{00000000-0005-0000-0000-000059260000}"/>
    <cellStyle name="Normal 17 17 8 4" xfId="9814" xr:uid="{00000000-0005-0000-0000-00005A260000}"/>
    <cellStyle name="Normal 17 17 8 5" xfId="9815" xr:uid="{00000000-0005-0000-0000-00005B260000}"/>
    <cellStyle name="Normal 17 17 8 6" xfId="9816" xr:uid="{00000000-0005-0000-0000-00005C260000}"/>
    <cellStyle name="Normal 17 17 9" xfId="9817" xr:uid="{00000000-0005-0000-0000-00005D260000}"/>
    <cellStyle name="Normal 17 17 9 2" xfId="9818" xr:uid="{00000000-0005-0000-0000-00005E260000}"/>
    <cellStyle name="Normal 17 17 9 3" xfId="9819" xr:uid="{00000000-0005-0000-0000-00005F260000}"/>
    <cellStyle name="Normal 17 17 9 4" xfId="9820" xr:uid="{00000000-0005-0000-0000-000060260000}"/>
    <cellStyle name="Normal 17 17 9 5" xfId="9821" xr:uid="{00000000-0005-0000-0000-000061260000}"/>
    <cellStyle name="Normal 17 17 9 6" xfId="9822" xr:uid="{00000000-0005-0000-0000-000062260000}"/>
    <cellStyle name="Normal 17 18" xfId="9823" xr:uid="{00000000-0005-0000-0000-000063260000}"/>
    <cellStyle name="Normal 17 18 10" xfId="9824" xr:uid="{00000000-0005-0000-0000-000064260000}"/>
    <cellStyle name="Normal 17 18 10 2" xfId="9825" xr:uid="{00000000-0005-0000-0000-000065260000}"/>
    <cellStyle name="Normal 17 18 10 3" xfId="9826" xr:uid="{00000000-0005-0000-0000-000066260000}"/>
    <cellStyle name="Normal 17 18 10 4" xfId="9827" xr:uid="{00000000-0005-0000-0000-000067260000}"/>
    <cellStyle name="Normal 17 18 10 5" xfId="9828" xr:uid="{00000000-0005-0000-0000-000068260000}"/>
    <cellStyle name="Normal 17 18 10 6" xfId="9829" xr:uid="{00000000-0005-0000-0000-000069260000}"/>
    <cellStyle name="Normal 17 18 11" xfId="9830" xr:uid="{00000000-0005-0000-0000-00006A260000}"/>
    <cellStyle name="Normal 17 18 12" xfId="9831" xr:uid="{00000000-0005-0000-0000-00006B260000}"/>
    <cellStyle name="Normal 17 18 13" xfId="9832" xr:uid="{00000000-0005-0000-0000-00006C260000}"/>
    <cellStyle name="Normal 17 18 14" xfId="9833" xr:uid="{00000000-0005-0000-0000-00006D260000}"/>
    <cellStyle name="Normal 17 18 15" xfId="9834" xr:uid="{00000000-0005-0000-0000-00006E260000}"/>
    <cellStyle name="Normal 17 18 2" xfId="9835" xr:uid="{00000000-0005-0000-0000-00006F260000}"/>
    <cellStyle name="Normal 17 18 2 10" xfId="9836" xr:uid="{00000000-0005-0000-0000-000070260000}"/>
    <cellStyle name="Normal 17 18 2 11" xfId="9837" xr:uid="{00000000-0005-0000-0000-000071260000}"/>
    <cellStyle name="Normal 17 18 2 12" xfId="9838" xr:uid="{00000000-0005-0000-0000-000072260000}"/>
    <cellStyle name="Normal 17 18 2 13" xfId="9839" xr:uid="{00000000-0005-0000-0000-000073260000}"/>
    <cellStyle name="Normal 17 18 2 14" xfId="9840" xr:uid="{00000000-0005-0000-0000-000074260000}"/>
    <cellStyle name="Normal 17 18 2 2" xfId="9841" xr:uid="{00000000-0005-0000-0000-000075260000}"/>
    <cellStyle name="Normal 17 18 2 2 2" xfId="9842" xr:uid="{00000000-0005-0000-0000-000076260000}"/>
    <cellStyle name="Normal 17 18 2 2 3" xfId="9843" xr:uid="{00000000-0005-0000-0000-000077260000}"/>
    <cellStyle name="Normal 17 18 2 2 4" xfId="9844" xr:uid="{00000000-0005-0000-0000-000078260000}"/>
    <cellStyle name="Normal 17 18 2 2 5" xfId="9845" xr:uid="{00000000-0005-0000-0000-000079260000}"/>
    <cellStyle name="Normal 17 18 2 2 6" xfId="9846" xr:uid="{00000000-0005-0000-0000-00007A260000}"/>
    <cellStyle name="Normal 17 18 2 3" xfId="9847" xr:uid="{00000000-0005-0000-0000-00007B260000}"/>
    <cellStyle name="Normal 17 18 2 3 2" xfId="9848" xr:uid="{00000000-0005-0000-0000-00007C260000}"/>
    <cellStyle name="Normal 17 18 2 3 3" xfId="9849" xr:uid="{00000000-0005-0000-0000-00007D260000}"/>
    <cellStyle name="Normal 17 18 2 3 4" xfId="9850" xr:uid="{00000000-0005-0000-0000-00007E260000}"/>
    <cellStyle name="Normal 17 18 2 3 5" xfId="9851" xr:uid="{00000000-0005-0000-0000-00007F260000}"/>
    <cellStyle name="Normal 17 18 2 3 6" xfId="9852" xr:uid="{00000000-0005-0000-0000-000080260000}"/>
    <cellStyle name="Normal 17 18 2 4" xfId="9853" xr:uid="{00000000-0005-0000-0000-000081260000}"/>
    <cellStyle name="Normal 17 18 2 4 2" xfId="9854" xr:uid="{00000000-0005-0000-0000-000082260000}"/>
    <cellStyle name="Normal 17 18 2 4 3" xfId="9855" xr:uid="{00000000-0005-0000-0000-000083260000}"/>
    <cellStyle name="Normal 17 18 2 4 4" xfId="9856" xr:uid="{00000000-0005-0000-0000-000084260000}"/>
    <cellStyle name="Normal 17 18 2 4 5" xfId="9857" xr:uid="{00000000-0005-0000-0000-000085260000}"/>
    <cellStyle name="Normal 17 18 2 4 6" xfId="9858" xr:uid="{00000000-0005-0000-0000-000086260000}"/>
    <cellStyle name="Normal 17 18 2 5" xfId="9859" xr:uid="{00000000-0005-0000-0000-000087260000}"/>
    <cellStyle name="Normal 17 18 2 5 2" xfId="9860" xr:uid="{00000000-0005-0000-0000-000088260000}"/>
    <cellStyle name="Normal 17 18 2 5 3" xfId="9861" xr:uid="{00000000-0005-0000-0000-000089260000}"/>
    <cellStyle name="Normal 17 18 2 5 4" xfId="9862" xr:uid="{00000000-0005-0000-0000-00008A260000}"/>
    <cellStyle name="Normal 17 18 2 5 5" xfId="9863" xr:uid="{00000000-0005-0000-0000-00008B260000}"/>
    <cellStyle name="Normal 17 18 2 5 6" xfId="9864" xr:uid="{00000000-0005-0000-0000-00008C260000}"/>
    <cellStyle name="Normal 17 18 2 6" xfId="9865" xr:uid="{00000000-0005-0000-0000-00008D260000}"/>
    <cellStyle name="Normal 17 18 2 6 2" xfId="9866" xr:uid="{00000000-0005-0000-0000-00008E260000}"/>
    <cellStyle name="Normal 17 18 2 6 3" xfId="9867" xr:uid="{00000000-0005-0000-0000-00008F260000}"/>
    <cellStyle name="Normal 17 18 2 6 4" xfId="9868" xr:uid="{00000000-0005-0000-0000-000090260000}"/>
    <cellStyle name="Normal 17 18 2 6 5" xfId="9869" xr:uid="{00000000-0005-0000-0000-000091260000}"/>
    <cellStyle name="Normal 17 18 2 6 6" xfId="9870" xr:uid="{00000000-0005-0000-0000-000092260000}"/>
    <cellStyle name="Normal 17 18 2 7" xfId="9871" xr:uid="{00000000-0005-0000-0000-000093260000}"/>
    <cellStyle name="Normal 17 18 2 7 2" xfId="9872" xr:uid="{00000000-0005-0000-0000-000094260000}"/>
    <cellStyle name="Normal 17 18 2 7 3" xfId="9873" xr:uid="{00000000-0005-0000-0000-000095260000}"/>
    <cellStyle name="Normal 17 18 2 7 4" xfId="9874" xr:uid="{00000000-0005-0000-0000-000096260000}"/>
    <cellStyle name="Normal 17 18 2 7 5" xfId="9875" xr:uid="{00000000-0005-0000-0000-000097260000}"/>
    <cellStyle name="Normal 17 18 2 7 6" xfId="9876" xr:uid="{00000000-0005-0000-0000-000098260000}"/>
    <cellStyle name="Normal 17 18 2 8" xfId="9877" xr:uid="{00000000-0005-0000-0000-000099260000}"/>
    <cellStyle name="Normal 17 18 2 8 2" xfId="9878" xr:uid="{00000000-0005-0000-0000-00009A260000}"/>
    <cellStyle name="Normal 17 18 2 8 3" xfId="9879" xr:uid="{00000000-0005-0000-0000-00009B260000}"/>
    <cellStyle name="Normal 17 18 2 8 4" xfId="9880" xr:uid="{00000000-0005-0000-0000-00009C260000}"/>
    <cellStyle name="Normal 17 18 2 8 5" xfId="9881" xr:uid="{00000000-0005-0000-0000-00009D260000}"/>
    <cellStyle name="Normal 17 18 2 8 6" xfId="9882" xr:uid="{00000000-0005-0000-0000-00009E260000}"/>
    <cellStyle name="Normal 17 18 2 9" xfId="9883" xr:uid="{00000000-0005-0000-0000-00009F260000}"/>
    <cellStyle name="Normal 17 18 2 9 2" xfId="9884" xr:uid="{00000000-0005-0000-0000-0000A0260000}"/>
    <cellStyle name="Normal 17 18 2 9 3" xfId="9885" xr:uid="{00000000-0005-0000-0000-0000A1260000}"/>
    <cellStyle name="Normal 17 18 2 9 4" xfId="9886" xr:uid="{00000000-0005-0000-0000-0000A2260000}"/>
    <cellStyle name="Normal 17 18 2 9 5" xfId="9887" xr:uid="{00000000-0005-0000-0000-0000A3260000}"/>
    <cellStyle name="Normal 17 18 2 9 6" xfId="9888" xr:uid="{00000000-0005-0000-0000-0000A4260000}"/>
    <cellStyle name="Normal 17 18 3" xfId="9889" xr:uid="{00000000-0005-0000-0000-0000A5260000}"/>
    <cellStyle name="Normal 17 18 3 2" xfId="9890" xr:uid="{00000000-0005-0000-0000-0000A6260000}"/>
    <cellStyle name="Normal 17 18 3 3" xfId="9891" xr:uid="{00000000-0005-0000-0000-0000A7260000}"/>
    <cellStyle name="Normal 17 18 3 4" xfId="9892" xr:uid="{00000000-0005-0000-0000-0000A8260000}"/>
    <cellStyle name="Normal 17 18 3 5" xfId="9893" xr:uid="{00000000-0005-0000-0000-0000A9260000}"/>
    <cellStyle name="Normal 17 18 3 6" xfId="9894" xr:uid="{00000000-0005-0000-0000-0000AA260000}"/>
    <cellStyle name="Normal 17 18 4" xfId="9895" xr:uid="{00000000-0005-0000-0000-0000AB260000}"/>
    <cellStyle name="Normal 17 18 4 2" xfId="9896" xr:uid="{00000000-0005-0000-0000-0000AC260000}"/>
    <cellStyle name="Normal 17 18 4 3" xfId="9897" xr:uid="{00000000-0005-0000-0000-0000AD260000}"/>
    <cellStyle name="Normal 17 18 4 4" xfId="9898" xr:uid="{00000000-0005-0000-0000-0000AE260000}"/>
    <cellStyle name="Normal 17 18 4 5" xfId="9899" xr:uid="{00000000-0005-0000-0000-0000AF260000}"/>
    <cellStyle name="Normal 17 18 4 6" xfId="9900" xr:uid="{00000000-0005-0000-0000-0000B0260000}"/>
    <cellStyle name="Normal 17 18 5" xfId="9901" xr:uid="{00000000-0005-0000-0000-0000B1260000}"/>
    <cellStyle name="Normal 17 18 5 2" xfId="9902" xr:uid="{00000000-0005-0000-0000-0000B2260000}"/>
    <cellStyle name="Normal 17 18 5 3" xfId="9903" xr:uid="{00000000-0005-0000-0000-0000B3260000}"/>
    <cellStyle name="Normal 17 18 5 4" xfId="9904" xr:uid="{00000000-0005-0000-0000-0000B4260000}"/>
    <cellStyle name="Normal 17 18 5 5" xfId="9905" xr:uid="{00000000-0005-0000-0000-0000B5260000}"/>
    <cellStyle name="Normal 17 18 5 6" xfId="9906" xr:uid="{00000000-0005-0000-0000-0000B6260000}"/>
    <cellStyle name="Normal 17 18 6" xfId="9907" xr:uid="{00000000-0005-0000-0000-0000B7260000}"/>
    <cellStyle name="Normal 17 18 6 2" xfId="9908" xr:uid="{00000000-0005-0000-0000-0000B8260000}"/>
    <cellStyle name="Normal 17 18 6 3" xfId="9909" xr:uid="{00000000-0005-0000-0000-0000B9260000}"/>
    <cellStyle name="Normal 17 18 6 4" xfId="9910" xr:uid="{00000000-0005-0000-0000-0000BA260000}"/>
    <cellStyle name="Normal 17 18 6 5" xfId="9911" xr:uid="{00000000-0005-0000-0000-0000BB260000}"/>
    <cellStyle name="Normal 17 18 6 6" xfId="9912" xr:uid="{00000000-0005-0000-0000-0000BC260000}"/>
    <cellStyle name="Normal 17 18 7" xfId="9913" xr:uid="{00000000-0005-0000-0000-0000BD260000}"/>
    <cellStyle name="Normal 17 18 7 2" xfId="9914" xr:uid="{00000000-0005-0000-0000-0000BE260000}"/>
    <cellStyle name="Normal 17 18 7 3" xfId="9915" xr:uid="{00000000-0005-0000-0000-0000BF260000}"/>
    <cellStyle name="Normal 17 18 7 4" xfId="9916" xr:uid="{00000000-0005-0000-0000-0000C0260000}"/>
    <cellStyle name="Normal 17 18 7 5" xfId="9917" xr:uid="{00000000-0005-0000-0000-0000C1260000}"/>
    <cellStyle name="Normal 17 18 7 6" xfId="9918" xr:uid="{00000000-0005-0000-0000-0000C2260000}"/>
    <cellStyle name="Normal 17 18 8" xfId="9919" xr:uid="{00000000-0005-0000-0000-0000C3260000}"/>
    <cellStyle name="Normal 17 18 8 2" xfId="9920" xr:uid="{00000000-0005-0000-0000-0000C4260000}"/>
    <cellStyle name="Normal 17 18 8 3" xfId="9921" xr:uid="{00000000-0005-0000-0000-0000C5260000}"/>
    <cellStyle name="Normal 17 18 8 4" xfId="9922" xr:uid="{00000000-0005-0000-0000-0000C6260000}"/>
    <cellStyle name="Normal 17 18 8 5" xfId="9923" xr:uid="{00000000-0005-0000-0000-0000C7260000}"/>
    <cellStyle name="Normal 17 18 8 6" xfId="9924" xr:uid="{00000000-0005-0000-0000-0000C8260000}"/>
    <cellStyle name="Normal 17 18 9" xfId="9925" xr:uid="{00000000-0005-0000-0000-0000C9260000}"/>
    <cellStyle name="Normal 17 18 9 2" xfId="9926" xr:uid="{00000000-0005-0000-0000-0000CA260000}"/>
    <cellStyle name="Normal 17 18 9 3" xfId="9927" xr:uid="{00000000-0005-0000-0000-0000CB260000}"/>
    <cellStyle name="Normal 17 18 9 4" xfId="9928" xr:uid="{00000000-0005-0000-0000-0000CC260000}"/>
    <cellStyle name="Normal 17 18 9 5" xfId="9929" xr:uid="{00000000-0005-0000-0000-0000CD260000}"/>
    <cellStyle name="Normal 17 18 9 6" xfId="9930" xr:uid="{00000000-0005-0000-0000-0000CE260000}"/>
    <cellStyle name="Normal 17 19" xfId="9931" xr:uid="{00000000-0005-0000-0000-0000CF260000}"/>
    <cellStyle name="Normal 17 19 10" xfId="9932" xr:uid="{00000000-0005-0000-0000-0000D0260000}"/>
    <cellStyle name="Normal 17 19 11" xfId="9933" xr:uid="{00000000-0005-0000-0000-0000D1260000}"/>
    <cellStyle name="Normal 17 19 12" xfId="9934" xr:uid="{00000000-0005-0000-0000-0000D2260000}"/>
    <cellStyle name="Normal 17 19 13" xfId="9935" xr:uid="{00000000-0005-0000-0000-0000D3260000}"/>
    <cellStyle name="Normal 17 19 14" xfId="9936" xr:uid="{00000000-0005-0000-0000-0000D4260000}"/>
    <cellStyle name="Normal 17 19 2" xfId="9937" xr:uid="{00000000-0005-0000-0000-0000D5260000}"/>
    <cellStyle name="Normal 17 19 2 2" xfId="9938" xr:uid="{00000000-0005-0000-0000-0000D6260000}"/>
    <cellStyle name="Normal 17 19 2 3" xfId="9939" xr:uid="{00000000-0005-0000-0000-0000D7260000}"/>
    <cellStyle name="Normal 17 19 2 4" xfId="9940" xr:uid="{00000000-0005-0000-0000-0000D8260000}"/>
    <cellStyle name="Normal 17 19 2 5" xfId="9941" xr:uid="{00000000-0005-0000-0000-0000D9260000}"/>
    <cellStyle name="Normal 17 19 2 6" xfId="9942" xr:uid="{00000000-0005-0000-0000-0000DA260000}"/>
    <cellStyle name="Normal 17 19 3" xfId="9943" xr:uid="{00000000-0005-0000-0000-0000DB260000}"/>
    <cellStyle name="Normal 17 19 3 2" xfId="9944" xr:uid="{00000000-0005-0000-0000-0000DC260000}"/>
    <cellStyle name="Normal 17 19 3 3" xfId="9945" xr:uid="{00000000-0005-0000-0000-0000DD260000}"/>
    <cellStyle name="Normal 17 19 3 4" xfId="9946" xr:uid="{00000000-0005-0000-0000-0000DE260000}"/>
    <cellStyle name="Normal 17 19 3 5" xfId="9947" xr:uid="{00000000-0005-0000-0000-0000DF260000}"/>
    <cellStyle name="Normal 17 19 3 6" xfId="9948" xr:uid="{00000000-0005-0000-0000-0000E0260000}"/>
    <cellStyle name="Normal 17 19 4" xfId="9949" xr:uid="{00000000-0005-0000-0000-0000E1260000}"/>
    <cellStyle name="Normal 17 19 4 2" xfId="9950" xr:uid="{00000000-0005-0000-0000-0000E2260000}"/>
    <cellStyle name="Normal 17 19 4 3" xfId="9951" xr:uid="{00000000-0005-0000-0000-0000E3260000}"/>
    <cellStyle name="Normal 17 19 4 4" xfId="9952" xr:uid="{00000000-0005-0000-0000-0000E4260000}"/>
    <cellStyle name="Normal 17 19 4 5" xfId="9953" xr:uid="{00000000-0005-0000-0000-0000E5260000}"/>
    <cellStyle name="Normal 17 19 4 6" xfId="9954" xr:uid="{00000000-0005-0000-0000-0000E6260000}"/>
    <cellStyle name="Normal 17 19 5" xfId="9955" xr:uid="{00000000-0005-0000-0000-0000E7260000}"/>
    <cellStyle name="Normal 17 19 5 2" xfId="9956" xr:uid="{00000000-0005-0000-0000-0000E8260000}"/>
    <cellStyle name="Normal 17 19 5 3" xfId="9957" xr:uid="{00000000-0005-0000-0000-0000E9260000}"/>
    <cellStyle name="Normal 17 19 5 4" xfId="9958" xr:uid="{00000000-0005-0000-0000-0000EA260000}"/>
    <cellStyle name="Normal 17 19 5 5" xfId="9959" xr:uid="{00000000-0005-0000-0000-0000EB260000}"/>
    <cellStyle name="Normal 17 19 5 6" xfId="9960" xr:uid="{00000000-0005-0000-0000-0000EC260000}"/>
    <cellStyle name="Normal 17 19 6" xfId="9961" xr:uid="{00000000-0005-0000-0000-0000ED260000}"/>
    <cellStyle name="Normal 17 19 6 2" xfId="9962" xr:uid="{00000000-0005-0000-0000-0000EE260000}"/>
    <cellStyle name="Normal 17 19 6 3" xfId="9963" xr:uid="{00000000-0005-0000-0000-0000EF260000}"/>
    <cellStyle name="Normal 17 19 6 4" xfId="9964" xr:uid="{00000000-0005-0000-0000-0000F0260000}"/>
    <cellStyle name="Normal 17 19 6 5" xfId="9965" xr:uid="{00000000-0005-0000-0000-0000F1260000}"/>
    <cellStyle name="Normal 17 19 6 6" xfId="9966" xr:uid="{00000000-0005-0000-0000-0000F2260000}"/>
    <cellStyle name="Normal 17 19 7" xfId="9967" xr:uid="{00000000-0005-0000-0000-0000F3260000}"/>
    <cellStyle name="Normal 17 19 7 2" xfId="9968" xr:uid="{00000000-0005-0000-0000-0000F4260000}"/>
    <cellStyle name="Normal 17 19 7 3" xfId="9969" xr:uid="{00000000-0005-0000-0000-0000F5260000}"/>
    <cellStyle name="Normal 17 19 7 4" xfId="9970" xr:uid="{00000000-0005-0000-0000-0000F6260000}"/>
    <cellStyle name="Normal 17 19 7 5" xfId="9971" xr:uid="{00000000-0005-0000-0000-0000F7260000}"/>
    <cellStyle name="Normal 17 19 7 6" xfId="9972" xr:uid="{00000000-0005-0000-0000-0000F8260000}"/>
    <cellStyle name="Normal 17 19 8" xfId="9973" xr:uid="{00000000-0005-0000-0000-0000F9260000}"/>
    <cellStyle name="Normal 17 19 8 2" xfId="9974" xr:uid="{00000000-0005-0000-0000-0000FA260000}"/>
    <cellStyle name="Normal 17 19 8 3" xfId="9975" xr:uid="{00000000-0005-0000-0000-0000FB260000}"/>
    <cellStyle name="Normal 17 19 8 4" xfId="9976" xr:uid="{00000000-0005-0000-0000-0000FC260000}"/>
    <cellStyle name="Normal 17 19 8 5" xfId="9977" xr:uid="{00000000-0005-0000-0000-0000FD260000}"/>
    <cellStyle name="Normal 17 19 8 6" xfId="9978" xr:uid="{00000000-0005-0000-0000-0000FE260000}"/>
    <cellStyle name="Normal 17 19 9" xfId="9979" xr:uid="{00000000-0005-0000-0000-0000FF260000}"/>
    <cellStyle name="Normal 17 19 9 2" xfId="9980" xr:uid="{00000000-0005-0000-0000-000000270000}"/>
    <cellStyle name="Normal 17 19 9 3" xfId="9981" xr:uid="{00000000-0005-0000-0000-000001270000}"/>
    <cellStyle name="Normal 17 19 9 4" xfId="9982" xr:uid="{00000000-0005-0000-0000-000002270000}"/>
    <cellStyle name="Normal 17 19 9 5" xfId="9983" xr:uid="{00000000-0005-0000-0000-000003270000}"/>
    <cellStyle name="Normal 17 19 9 6" xfId="9984" xr:uid="{00000000-0005-0000-0000-000004270000}"/>
    <cellStyle name="Normal 17 2" xfId="9985" xr:uid="{00000000-0005-0000-0000-000005270000}"/>
    <cellStyle name="Normal 17 2 10" xfId="9986" xr:uid="{00000000-0005-0000-0000-000006270000}"/>
    <cellStyle name="Normal 17 2 10 2" xfId="9987" xr:uid="{00000000-0005-0000-0000-000007270000}"/>
    <cellStyle name="Normal 17 2 10 3" xfId="9988" xr:uid="{00000000-0005-0000-0000-000008270000}"/>
    <cellStyle name="Normal 17 2 10 4" xfId="9989" xr:uid="{00000000-0005-0000-0000-000009270000}"/>
    <cellStyle name="Normal 17 2 10 5" xfId="9990" xr:uid="{00000000-0005-0000-0000-00000A270000}"/>
    <cellStyle name="Normal 17 2 10 6" xfId="9991" xr:uid="{00000000-0005-0000-0000-00000B270000}"/>
    <cellStyle name="Normal 17 2 11" xfId="9992" xr:uid="{00000000-0005-0000-0000-00000C270000}"/>
    <cellStyle name="Normal 17 2 12" xfId="9993" xr:uid="{00000000-0005-0000-0000-00000D270000}"/>
    <cellStyle name="Normal 17 2 13" xfId="9994" xr:uid="{00000000-0005-0000-0000-00000E270000}"/>
    <cellStyle name="Normal 17 2 14" xfId="9995" xr:uid="{00000000-0005-0000-0000-00000F270000}"/>
    <cellStyle name="Normal 17 2 15" xfId="9996" xr:uid="{00000000-0005-0000-0000-000010270000}"/>
    <cellStyle name="Normal 17 2 2" xfId="9997" xr:uid="{00000000-0005-0000-0000-000011270000}"/>
    <cellStyle name="Normal 17 2 2 10" xfId="9998" xr:uid="{00000000-0005-0000-0000-000012270000}"/>
    <cellStyle name="Normal 17 2 2 11" xfId="9999" xr:uid="{00000000-0005-0000-0000-000013270000}"/>
    <cellStyle name="Normal 17 2 2 12" xfId="10000" xr:uid="{00000000-0005-0000-0000-000014270000}"/>
    <cellStyle name="Normal 17 2 2 13" xfId="10001" xr:uid="{00000000-0005-0000-0000-000015270000}"/>
    <cellStyle name="Normal 17 2 2 14" xfId="10002" xr:uid="{00000000-0005-0000-0000-000016270000}"/>
    <cellStyle name="Normal 17 2 2 2" xfId="10003" xr:uid="{00000000-0005-0000-0000-000017270000}"/>
    <cellStyle name="Normal 17 2 2 2 2" xfId="10004" xr:uid="{00000000-0005-0000-0000-000018270000}"/>
    <cellStyle name="Normal 17 2 2 2 3" xfId="10005" xr:uid="{00000000-0005-0000-0000-000019270000}"/>
    <cellStyle name="Normal 17 2 2 2 4" xfId="10006" xr:uid="{00000000-0005-0000-0000-00001A270000}"/>
    <cellStyle name="Normal 17 2 2 2 5" xfId="10007" xr:uid="{00000000-0005-0000-0000-00001B270000}"/>
    <cellStyle name="Normal 17 2 2 2 6" xfId="10008" xr:uid="{00000000-0005-0000-0000-00001C270000}"/>
    <cellStyle name="Normal 17 2 2 3" xfId="10009" xr:uid="{00000000-0005-0000-0000-00001D270000}"/>
    <cellStyle name="Normal 17 2 2 3 2" xfId="10010" xr:uid="{00000000-0005-0000-0000-00001E270000}"/>
    <cellStyle name="Normal 17 2 2 3 3" xfId="10011" xr:uid="{00000000-0005-0000-0000-00001F270000}"/>
    <cellStyle name="Normal 17 2 2 3 4" xfId="10012" xr:uid="{00000000-0005-0000-0000-000020270000}"/>
    <cellStyle name="Normal 17 2 2 3 5" xfId="10013" xr:uid="{00000000-0005-0000-0000-000021270000}"/>
    <cellStyle name="Normal 17 2 2 3 6" xfId="10014" xr:uid="{00000000-0005-0000-0000-000022270000}"/>
    <cellStyle name="Normal 17 2 2 4" xfId="10015" xr:uid="{00000000-0005-0000-0000-000023270000}"/>
    <cellStyle name="Normal 17 2 2 4 2" xfId="10016" xr:uid="{00000000-0005-0000-0000-000024270000}"/>
    <cellStyle name="Normal 17 2 2 4 3" xfId="10017" xr:uid="{00000000-0005-0000-0000-000025270000}"/>
    <cellStyle name="Normal 17 2 2 4 4" xfId="10018" xr:uid="{00000000-0005-0000-0000-000026270000}"/>
    <cellStyle name="Normal 17 2 2 4 5" xfId="10019" xr:uid="{00000000-0005-0000-0000-000027270000}"/>
    <cellStyle name="Normal 17 2 2 4 6" xfId="10020" xr:uid="{00000000-0005-0000-0000-000028270000}"/>
    <cellStyle name="Normal 17 2 2 5" xfId="10021" xr:uid="{00000000-0005-0000-0000-000029270000}"/>
    <cellStyle name="Normal 17 2 2 5 2" xfId="10022" xr:uid="{00000000-0005-0000-0000-00002A270000}"/>
    <cellStyle name="Normal 17 2 2 5 3" xfId="10023" xr:uid="{00000000-0005-0000-0000-00002B270000}"/>
    <cellStyle name="Normal 17 2 2 5 4" xfId="10024" xr:uid="{00000000-0005-0000-0000-00002C270000}"/>
    <cellStyle name="Normal 17 2 2 5 5" xfId="10025" xr:uid="{00000000-0005-0000-0000-00002D270000}"/>
    <cellStyle name="Normal 17 2 2 5 6" xfId="10026" xr:uid="{00000000-0005-0000-0000-00002E270000}"/>
    <cellStyle name="Normal 17 2 2 6" xfId="10027" xr:uid="{00000000-0005-0000-0000-00002F270000}"/>
    <cellStyle name="Normal 17 2 2 6 2" xfId="10028" xr:uid="{00000000-0005-0000-0000-000030270000}"/>
    <cellStyle name="Normal 17 2 2 6 3" xfId="10029" xr:uid="{00000000-0005-0000-0000-000031270000}"/>
    <cellStyle name="Normal 17 2 2 6 4" xfId="10030" xr:uid="{00000000-0005-0000-0000-000032270000}"/>
    <cellStyle name="Normal 17 2 2 6 5" xfId="10031" xr:uid="{00000000-0005-0000-0000-000033270000}"/>
    <cellStyle name="Normal 17 2 2 6 6" xfId="10032" xr:uid="{00000000-0005-0000-0000-000034270000}"/>
    <cellStyle name="Normal 17 2 2 7" xfId="10033" xr:uid="{00000000-0005-0000-0000-000035270000}"/>
    <cellStyle name="Normal 17 2 2 7 2" xfId="10034" xr:uid="{00000000-0005-0000-0000-000036270000}"/>
    <cellStyle name="Normal 17 2 2 7 3" xfId="10035" xr:uid="{00000000-0005-0000-0000-000037270000}"/>
    <cellStyle name="Normal 17 2 2 7 4" xfId="10036" xr:uid="{00000000-0005-0000-0000-000038270000}"/>
    <cellStyle name="Normal 17 2 2 7 5" xfId="10037" xr:uid="{00000000-0005-0000-0000-000039270000}"/>
    <cellStyle name="Normal 17 2 2 7 6" xfId="10038" xr:uid="{00000000-0005-0000-0000-00003A270000}"/>
    <cellStyle name="Normal 17 2 2 8" xfId="10039" xr:uid="{00000000-0005-0000-0000-00003B270000}"/>
    <cellStyle name="Normal 17 2 2 8 2" xfId="10040" xr:uid="{00000000-0005-0000-0000-00003C270000}"/>
    <cellStyle name="Normal 17 2 2 8 3" xfId="10041" xr:uid="{00000000-0005-0000-0000-00003D270000}"/>
    <cellStyle name="Normal 17 2 2 8 4" xfId="10042" xr:uid="{00000000-0005-0000-0000-00003E270000}"/>
    <cellStyle name="Normal 17 2 2 8 5" xfId="10043" xr:uid="{00000000-0005-0000-0000-00003F270000}"/>
    <cellStyle name="Normal 17 2 2 8 6" xfId="10044" xr:uid="{00000000-0005-0000-0000-000040270000}"/>
    <cellStyle name="Normal 17 2 2 9" xfId="10045" xr:uid="{00000000-0005-0000-0000-000041270000}"/>
    <cellStyle name="Normal 17 2 2 9 2" xfId="10046" xr:uid="{00000000-0005-0000-0000-000042270000}"/>
    <cellStyle name="Normal 17 2 2 9 3" xfId="10047" xr:uid="{00000000-0005-0000-0000-000043270000}"/>
    <cellStyle name="Normal 17 2 2 9 4" xfId="10048" xr:uid="{00000000-0005-0000-0000-000044270000}"/>
    <cellStyle name="Normal 17 2 2 9 5" xfId="10049" xr:uid="{00000000-0005-0000-0000-000045270000}"/>
    <cellStyle name="Normal 17 2 2 9 6" xfId="10050" xr:uid="{00000000-0005-0000-0000-000046270000}"/>
    <cellStyle name="Normal 17 2 3" xfId="10051" xr:uid="{00000000-0005-0000-0000-000047270000}"/>
    <cellStyle name="Normal 17 2 3 2" xfId="10052" xr:uid="{00000000-0005-0000-0000-000048270000}"/>
    <cellStyle name="Normal 17 2 3 3" xfId="10053" xr:uid="{00000000-0005-0000-0000-000049270000}"/>
    <cellStyle name="Normal 17 2 3 4" xfId="10054" xr:uid="{00000000-0005-0000-0000-00004A270000}"/>
    <cellStyle name="Normal 17 2 3 5" xfId="10055" xr:uid="{00000000-0005-0000-0000-00004B270000}"/>
    <cellStyle name="Normal 17 2 3 6" xfId="10056" xr:uid="{00000000-0005-0000-0000-00004C270000}"/>
    <cellStyle name="Normal 17 2 4" xfId="10057" xr:uid="{00000000-0005-0000-0000-00004D270000}"/>
    <cellStyle name="Normal 17 2 4 2" xfId="10058" xr:uid="{00000000-0005-0000-0000-00004E270000}"/>
    <cellStyle name="Normal 17 2 4 3" xfId="10059" xr:uid="{00000000-0005-0000-0000-00004F270000}"/>
    <cellStyle name="Normal 17 2 4 4" xfId="10060" xr:uid="{00000000-0005-0000-0000-000050270000}"/>
    <cellStyle name="Normal 17 2 4 5" xfId="10061" xr:uid="{00000000-0005-0000-0000-000051270000}"/>
    <cellStyle name="Normal 17 2 4 6" xfId="10062" xr:uid="{00000000-0005-0000-0000-000052270000}"/>
    <cellStyle name="Normal 17 2 5" xfId="10063" xr:uid="{00000000-0005-0000-0000-000053270000}"/>
    <cellStyle name="Normal 17 2 5 2" xfId="10064" xr:uid="{00000000-0005-0000-0000-000054270000}"/>
    <cellStyle name="Normal 17 2 5 3" xfId="10065" xr:uid="{00000000-0005-0000-0000-000055270000}"/>
    <cellStyle name="Normal 17 2 5 4" xfId="10066" xr:uid="{00000000-0005-0000-0000-000056270000}"/>
    <cellStyle name="Normal 17 2 5 5" xfId="10067" xr:uid="{00000000-0005-0000-0000-000057270000}"/>
    <cellStyle name="Normal 17 2 5 6" xfId="10068" xr:uid="{00000000-0005-0000-0000-000058270000}"/>
    <cellStyle name="Normal 17 2 6" xfId="10069" xr:uid="{00000000-0005-0000-0000-000059270000}"/>
    <cellStyle name="Normal 17 2 6 2" xfId="10070" xr:uid="{00000000-0005-0000-0000-00005A270000}"/>
    <cellStyle name="Normal 17 2 6 3" xfId="10071" xr:uid="{00000000-0005-0000-0000-00005B270000}"/>
    <cellStyle name="Normal 17 2 6 4" xfId="10072" xr:uid="{00000000-0005-0000-0000-00005C270000}"/>
    <cellStyle name="Normal 17 2 6 5" xfId="10073" xr:uid="{00000000-0005-0000-0000-00005D270000}"/>
    <cellStyle name="Normal 17 2 6 6" xfId="10074" xr:uid="{00000000-0005-0000-0000-00005E270000}"/>
    <cellStyle name="Normal 17 2 7" xfId="10075" xr:uid="{00000000-0005-0000-0000-00005F270000}"/>
    <cellStyle name="Normal 17 2 7 2" xfId="10076" xr:uid="{00000000-0005-0000-0000-000060270000}"/>
    <cellStyle name="Normal 17 2 7 3" xfId="10077" xr:uid="{00000000-0005-0000-0000-000061270000}"/>
    <cellStyle name="Normal 17 2 7 4" xfId="10078" xr:uid="{00000000-0005-0000-0000-000062270000}"/>
    <cellStyle name="Normal 17 2 7 5" xfId="10079" xr:uid="{00000000-0005-0000-0000-000063270000}"/>
    <cellStyle name="Normal 17 2 7 6" xfId="10080" xr:uid="{00000000-0005-0000-0000-000064270000}"/>
    <cellStyle name="Normal 17 2 8" xfId="10081" xr:uid="{00000000-0005-0000-0000-000065270000}"/>
    <cellStyle name="Normal 17 2 8 2" xfId="10082" xr:uid="{00000000-0005-0000-0000-000066270000}"/>
    <cellStyle name="Normal 17 2 8 3" xfId="10083" xr:uid="{00000000-0005-0000-0000-000067270000}"/>
    <cellStyle name="Normal 17 2 8 4" xfId="10084" xr:uid="{00000000-0005-0000-0000-000068270000}"/>
    <cellStyle name="Normal 17 2 8 5" xfId="10085" xr:uid="{00000000-0005-0000-0000-000069270000}"/>
    <cellStyle name="Normal 17 2 8 6" xfId="10086" xr:uid="{00000000-0005-0000-0000-00006A270000}"/>
    <cellStyle name="Normal 17 2 9" xfId="10087" xr:uid="{00000000-0005-0000-0000-00006B270000}"/>
    <cellStyle name="Normal 17 2 9 2" xfId="10088" xr:uid="{00000000-0005-0000-0000-00006C270000}"/>
    <cellStyle name="Normal 17 2 9 3" xfId="10089" xr:uid="{00000000-0005-0000-0000-00006D270000}"/>
    <cellStyle name="Normal 17 2 9 4" xfId="10090" xr:uid="{00000000-0005-0000-0000-00006E270000}"/>
    <cellStyle name="Normal 17 2 9 5" xfId="10091" xr:uid="{00000000-0005-0000-0000-00006F270000}"/>
    <cellStyle name="Normal 17 2 9 6" xfId="10092" xr:uid="{00000000-0005-0000-0000-000070270000}"/>
    <cellStyle name="Normal 17 20" xfId="10093" xr:uid="{00000000-0005-0000-0000-000071270000}"/>
    <cellStyle name="Normal 17 20 2" xfId="10094" xr:uid="{00000000-0005-0000-0000-000072270000}"/>
    <cellStyle name="Normal 17 20 3" xfId="10095" xr:uid="{00000000-0005-0000-0000-000073270000}"/>
    <cellStyle name="Normal 17 20 4" xfId="10096" xr:uid="{00000000-0005-0000-0000-000074270000}"/>
    <cellStyle name="Normal 17 20 5" xfId="10097" xr:uid="{00000000-0005-0000-0000-000075270000}"/>
    <cellStyle name="Normal 17 20 6" xfId="10098" xr:uid="{00000000-0005-0000-0000-000076270000}"/>
    <cellStyle name="Normal 17 21" xfId="10099" xr:uid="{00000000-0005-0000-0000-000077270000}"/>
    <cellStyle name="Normal 17 21 2" xfId="10100" xr:uid="{00000000-0005-0000-0000-000078270000}"/>
    <cellStyle name="Normal 17 21 3" xfId="10101" xr:uid="{00000000-0005-0000-0000-000079270000}"/>
    <cellStyle name="Normal 17 21 4" xfId="10102" xr:uid="{00000000-0005-0000-0000-00007A270000}"/>
    <cellStyle name="Normal 17 21 5" xfId="10103" xr:uid="{00000000-0005-0000-0000-00007B270000}"/>
    <cellStyle name="Normal 17 21 6" xfId="10104" xr:uid="{00000000-0005-0000-0000-00007C270000}"/>
    <cellStyle name="Normal 17 22" xfId="10105" xr:uid="{00000000-0005-0000-0000-00007D270000}"/>
    <cellStyle name="Normal 17 22 2" xfId="10106" xr:uid="{00000000-0005-0000-0000-00007E270000}"/>
    <cellStyle name="Normal 17 22 3" xfId="10107" xr:uid="{00000000-0005-0000-0000-00007F270000}"/>
    <cellStyle name="Normal 17 22 4" xfId="10108" xr:uid="{00000000-0005-0000-0000-000080270000}"/>
    <cellStyle name="Normal 17 22 5" xfId="10109" xr:uid="{00000000-0005-0000-0000-000081270000}"/>
    <cellStyle name="Normal 17 22 6" xfId="10110" xr:uid="{00000000-0005-0000-0000-000082270000}"/>
    <cellStyle name="Normal 17 23" xfId="10111" xr:uid="{00000000-0005-0000-0000-000083270000}"/>
    <cellStyle name="Normal 17 23 2" xfId="10112" xr:uid="{00000000-0005-0000-0000-000084270000}"/>
    <cellStyle name="Normal 17 23 3" xfId="10113" xr:uid="{00000000-0005-0000-0000-000085270000}"/>
    <cellStyle name="Normal 17 23 4" xfId="10114" xr:uid="{00000000-0005-0000-0000-000086270000}"/>
    <cellStyle name="Normal 17 23 5" xfId="10115" xr:uid="{00000000-0005-0000-0000-000087270000}"/>
    <cellStyle name="Normal 17 23 6" xfId="10116" xr:uid="{00000000-0005-0000-0000-000088270000}"/>
    <cellStyle name="Normal 17 24" xfId="10117" xr:uid="{00000000-0005-0000-0000-000089270000}"/>
    <cellStyle name="Normal 17 24 2" xfId="10118" xr:uid="{00000000-0005-0000-0000-00008A270000}"/>
    <cellStyle name="Normal 17 24 3" xfId="10119" xr:uid="{00000000-0005-0000-0000-00008B270000}"/>
    <cellStyle name="Normal 17 24 4" xfId="10120" xr:uid="{00000000-0005-0000-0000-00008C270000}"/>
    <cellStyle name="Normal 17 24 5" xfId="10121" xr:uid="{00000000-0005-0000-0000-00008D270000}"/>
    <cellStyle name="Normal 17 24 6" xfId="10122" xr:uid="{00000000-0005-0000-0000-00008E270000}"/>
    <cellStyle name="Normal 17 25" xfId="10123" xr:uid="{00000000-0005-0000-0000-00008F270000}"/>
    <cellStyle name="Normal 17 25 2" xfId="10124" xr:uid="{00000000-0005-0000-0000-000090270000}"/>
    <cellStyle name="Normal 17 25 3" xfId="10125" xr:uid="{00000000-0005-0000-0000-000091270000}"/>
    <cellStyle name="Normal 17 25 4" xfId="10126" xr:uid="{00000000-0005-0000-0000-000092270000}"/>
    <cellStyle name="Normal 17 25 5" xfId="10127" xr:uid="{00000000-0005-0000-0000-000093270000}"/>
    <cellStyle name="Normal 17 25 6" xfId="10128" xr:uid="{00000000-0005-0000-0000-000094270000}"/>
    <cellStyle name="Normal 17 26" xfId="10129" xr:uid="{00000000-0005-0000-0000-000095270000}"/>
    <cellStyle name="Normal 17 26 2" xfId="10130" xr:uid="{00000000-0005-0000-0000-000096270000}"/>
    <cellStyle name="Normal 17 26 3" xfId="10131" xr:uid="{00000000-0005-0000-0000-000097270000}"/>
    <cellStyle name="Normal 17 26 4" xfId="10132" xr:uid="{00000000-0005-0000-0000-000098270000}"/>
    <cellStyle name="Normal 17 26 5" xfId="10133" xr:uid="{00000000-0005-0000-0000-000099270000}"/>
    <cellStyle name="Normal 17 26 6" xfId="10134" xr:uid="{00000000-0005-0000-0000-00009A270000}"/>
    <cellStyle name="Normal 17 27" xfId="10135" xr:uid="{00000000-0005-0000-0000-00009B270000}"/>
    <cellStyle name="Normal 17 27 2" xfId="10136" xr:uid="{00000000-0005-0000-0000-00009C270000}"/>
    <cellStyle name="Normal 17 27 3" xfId="10137" xr:uid="{00000000-0005-0000-0000-00009D270000}"/>
    <cellStyle name="Normal 17 27 4" xfId="10138" xr:uid="{00000000-0005-0000-0000-00009E270000}"/>
    <cellStyle name="Normal 17 27 5" xfId="10139" xr:uid="{00000000-0005-0000-0000-00009F270000}"/>
    <cellStyle name="Normal 17 27 6" xfId="10140" xr:uid="{00000000-0005-0000-0000-0000A0270000}"/>
    <cellStyle name="Normal 17 28" xfId="10141" xr:uid="{00000000-0005-0000-0000-0000A1270000}"/>
    <cellStyle name="Normal 17 29" xfId="10142" xr:uid="{00000000-0005-0000-0000-0000A2270000}"/>
    <cellStyle name="Normal 17 3" xfId="10143" xr:uid="{00000000-0005-0000-0000-0000A3270000}"/>
    <cellStyle name="Normal 17 3 10" xfId="10144" xr:uid="{00000000-0005-0000-0000-0000A4270000}"/>
    <cellStyle name="Normal 17 3 10 2" xfId="10145" xr:uid="{00000000-0005-0000-0000-0000A5270000}"/>
    <cellStyle name="Normal 17 3 10 3" xfId="10146" xr:uid="{00000000-0005-0000-0000-0000A6270000}"/>
    <cellStyle name="Normal 17 3 10 4" xfId="10147" xr:uid="{00000000-0005-0000-0000-0000A7270000}"/>
    <cellStyle name="Normal 17 3 10 5" xfId="10148" xr:uid="{00000000-0005-0000-0000-0000A8270000}"/>
    <cellStyle name="Normal 17 3 10 6" xfId="10149" xr:uid="{00000000-0005-0000-0000-0000A9270000}"/>
    <cellStyle name="Normal 17 3 11" xfId="10150" xr:uid="{00000000-0005-0000-0000-0000AA270000}"/>
    <cellStyle name="Normal 17 3 12" xfId="10151" xr:uid="{00000000-0005-0000-0000-0000AB270000}"/>
    <cellStyle name="Normal 17 3 13" xfId="10152" xr:uid="{00000000-0005-0000-0000-0000AC270000}"/>
    <cellStyle name="Normal 17 3 14" xfId="10153" xr:uid="{00000000-0005-0000-0000-0000AD270000}"/>
    <cellStyle name="Normal 17 3 15" xfId="10154" xr:uid="{00000000-0005-0000-0000-0000AE270000}"/>
    <cellStyle name="Normal 17 3 2" xfId="10155" xr:uid="{00000000-0005-0000-0000-0000AF270000}"/>
    <cellStyle name="Normal 17 3 2 10" xfId="10156" xr:uid="{00000000-0005-0000-0000-0000B0270000}"/>
    <cellStyle name="Normal 17 3 2 11" xfId="10157" xr:uid="{00000000-0005-0000-0000-0000B1270000}"/>
    <cellStyle name="Normal 17 3 2 12" xfId="10158" xr:uid="{00000000-0005-0000-0000-0000B2270000}"/>
    <cellStyle name="Normal 17 3 2 13" xfId="10159" xr:uid="{00000000-0005-0000-0000-0000B3270000}"/>
    <cellStyle name="Normal 17 3 2 14" xfId="10160" xr:uid="{00000000-0005-0000-0000-0000B4270000}"/>
    <cellStyle name="Normal 17 3 2 2" xfId="10161" xr:uid="{00000000-0005-0000-0000-0000B5270000}"/>
    <cellStyle name="Normal 17 3 2 2 2" xfId="10162" xr:uid="{00000000-0005-0000-0000-0000B6270000}"/>
    <cellStyle name="Normal 17 3 2 2 3" xfId="10163" xr:uid="{00000000-0005-0000-0000-0000B7270000}"/>
    <cellStyle name="Normal 17 3 2 2 4" xfId="10164" xr:uid="{00000000-0005-0000-0000-0000B8270000}"/>
    <cellStyle name="Normal 17 3 2 2 5" xfId="10165" xr:uid="{00000000-0005-0000-0000-0000B9270000}"/>
    <cellStyle name="Normal 17 3 2 2 6" xfId="10166" xr:uid="{00000000-0005-0000-0000-0000BA270000}"/>
    <cellStyle name="Normal 17 3 2 3" xfId="10167" xr:uid="{00000000-0005-0000-0000-0000BB270000}"/>
    <cellStyle name="Normal 17 3 2 3 2" xfId="10168" xr:uid="{00000000-0005-0000-0000-0000BC270000}"/>
    <cellStyle name="Normal 17 3 2 3 3" xfId="10169" xr:uid="{00000000-0005-0000-0000-0000BD270000}"/>
    <cellStyle name="Normal 17 3 2 3 4" xfId="10170" xr:uid="{00000000-0005-0000-0000-0000BE270000}"/>
    <cellStyle name="Normal 17 3 2 3 5" xfId="10171" xr:uid="{00000000-0005-0000-0000-0000BF270000}"/>
    <cellStyle name="Normal 17 3 2 3 6" xfId="10172" xr:uid="{00000000-0005-0000-0000-0000C0270000}"/>
    <cellStyle name="Normal 17 3 2 4" xfId="10173" xr:uid="{00000000-0005-0000-0000-0000C1270000}"/>
    <cellStyle name="Normal 17 3 2 4 2" xfId="10174" xr:uid="{00000000-0005-0000-0000-0000C2270000}"/>
    <cellStyle name="Normal 17 3 2 4 3" xfId="10175" xr:uid="{00000000-0005-0000-0000-0000C3270000}"/>
    <cellStyle name="Normal 17 3 2 4 4" xfId="10176" xr:uid="{00000000-0005-0000-0000-0000C4270000}"/>
    <cellStyle name="Normal 17 3 2 4 5" xfId="10177" xr:uid="{00000000-0005-0000-0000-0000C5270000}"/>
    <cellStyle name="Normal 17 3 2 4 6" xfId="10178" xr:uid="{00000000-0005-0000-0000-0000C6270000}"/>
    <cellStyle name="Normal 17 3 2 5" xfId="10179" xr:uid="{00000000-0005-0000-0000-0000C7270000}"/>
    <cellStyle name="Normal 17 3 2 5 2" xfId="10180" xr:uid="{00000000-0005-0000-0000-0000C8270000}"/>
    <cellStyle name="Normal 17 3 2 5 3" xfId="10181" xr:uid="{00000000-0005-0000-0000-0000C9270000}"/>
    <cellStyle name="Normal 17 3 2 5 4" xfId="10182" xr:uid="{00000000-0005-0000-0000-0000CA270000}"/>
    <cellStyle name="Normal 17 3 2 5 5" xfId="10183" xr:uid="{00000000-0005-0000-0000-0000CB270000}"/>
    <cellStyle name="Normal 17 3 2 5 6" xfId="10184" xr:uid="{00000000-0005-0000-0000-0000CC270000}"/>
    <cellStyle name="Normal 17 3 2 6" xfId="10185" xr:uid="{00000000-0005-0000-0000-0000CD270000}"/>
    <cellStyle name="Normal 17 3 2 6 2" xfId="10186" xr:uid="{00000000-0005-0000-0000-0000CE270000}"/>
    <cellStyle name="Normal 17 3 2 6 3" xfId="10187" xr:uid="{00000000-0005-0000-0000-0000CF270000}"/>
    <cellStyle name="Normal 17 3 2 6 4" xfId="10188" xr:uid="{00000000-0005-0000-0000-0000D0270000}"/>
    <cellStyle name="Normal 17 3 2 6 5" xfId="10189" xr:uid="{00000000-0005-0000-0000-0000D1270000}"/>
    <cellStyle name="Normal 17 3 2 6 6" xfId="10190" xr:uid="{00000000-0005-0000-0000-0000D2270000}"/>
    <cellStyle name="Normal 17 3 2 7" xfId="10191" xr:uid="{00000000-0005-0000-0000-0000D3270000}"/>
    <cellStyle name="Normal 17 3 2 7 2" xfId="10192" xr:uid="{00000000-0005-0000-0000-0000D4270000}"/>
    <cellStyle name="Normal 17 3 2 7 3" xfId="10193" xr:uid="{00000000-0005-0000-0000-0000D5270000}"/>
    <cellStyle name="Normal 17 3 2 7 4" xfId="10194" xr:uid="{00000000-0005-0000-0000-0000D6270000}"/>
    <cellStyle name="Normal 17 3 2 7 5" xfId="10195" xr:uid="{00000000-0005-0000-0000-0000D7270000}"/>
    <cellStyle name="Normal 17 3 2 7 6" xfId="10196" xr:uid="{00000000-0005-0000-0000-0000D8270000}"/>
    <cellStyle name="Normal 17 3 2 8" xfId="10197" xr:uid="{00000000-0005-0000-0000-0000D9270000}"/>
    <cellStyle name="Normal 17 3 2 8 2" xfId="10198" xr:uid="{00000000-0005-0000-0000-0000DA270000}"/>
    <cellStyle name="Normal 17 3 2 8 3" xfId="10199" xr:uid="{00000000-0005-0000-0000-0000DB270000}"/>
    <cellStyle name="Normal 17 3 2 8 4" xfId="10200" xr:uid="{00000000-0005-0000-0000-0000DC270000}"/>
    <cellStyle name="Normal 17 3 2 8 5" xfId="10201" xr:uid="{00000000-0005-0000-0000-0000DD270000}"/>
    <cellStyle name="Normal 17 3 2 8 6" xfId="10202" xr:uid="{00000000-0005-0000-0000-0000DE270000}"/>
    <cellStyle name="Normal 17 3 2 9" xfId="10203" xr:uid="{00000000-0005-0000-0000-0000DF270000}"/>
    <cellStyle name="Normal 17 3 2 9 2" xfId="10204" xr:uid="{00000000-0005-0000-0000-0000E0270000}"/>
    <cellStyle name="Normal 17 3 2 9 3" xfId="10205" xr:uid="{00000000-0005-0000-0000-0000E1270000}"/>
    <cellStyle name="Normal 17 3 2 9 4" xfId="10206" xr:uid="{00000000-0005-0000-0000-0000E2270000}"/>
    <cellStyle name="Normal 17 3 2 9 5" xfId="10207" xr:uid="{00000000-0005-0000-0000-0000E3270000}"/>
    <cellStyle name="Normal 17 3 2 9 6" xfId="10208" xr:uid="{00000000-0005-0000-0000-0000E4270000}"/>
    <cellStyle name="Normal 17 3 3" xfId="10209" xr:uid="{00000000-0005-0000-0000-0000E5270000}"/>
    <cellStyle name="Normal 17 3 3 2" xfId="10210" xr:uid="{00000000-0005-0000-0000-0000E6270000}"/>
    <cellStyle name="Normal 17 3 3 3" xfId="10211" xr:uid="{00000000-0005-0000-0000-0000E7270000}"/>
    <cellStyle name="Normal 17 3 3 4" xfId="10212" xr:uid="{00000000-0005-0000-0000-0000E8270000}"/>
    <cellStyle name="Normal 17 3 3 5" xfId="10213" xr:uid="{00000000-0005-0000-0000-0000E9270000}"/>
    <cellStyle name="Normal 17 3 3 6" xfId="10214" xr:uid="{00000000-0005-0000-0000-0000EA270000}"/>
    <cellStyle name="Normal 17 3 4" xfId="10215" xr:uid="{00000000-0005-0000-0000-0000EB270000}"/>
    <cellStyle name="Normal 17 3 4 2" xfId="10216" xr:uid="{00000000-0005-0000-0000-0000EC270000}"/>
    <cellStyle name="Normal 17 3 4 3" xfId="10217" xr:uid="{00000000-0005-0000-0000-0000ED270000}"/>
    <cellStyle name="Normal 17 3 4 4" xfId="10218" xr:uid="{00000000-0005-0000-0000-0000EE270000}"/>
    <cellStyle name="Normal 17 3 4 5" xfId="10219" xr:uid="{00000000-0005-0000-0000-0000EF270000}"/>
    <cellStyle name="Normal 17 3 4 6" xfId="10220" xr:uid="{00000000-0005-0000-0000-0000F0270000}"/>
    <cellStyle name="Normal 17 3 5" xfId="10221" xr:uid="{00000000-0005-0000-0000-0000F1270000}"/>
    <cellStyle name="Normal 17 3 5 2" xfId="10222" xr:uid="{00000000-0005-0000-0000-0000F2270000}"/>
    <cellStyle name="Normal 17 3 5 3" xfId="10223" xr:uid="{00000000-0005-0000-0000-0000F3270000}"/>
    <cellStyle name="Normal 17 3 5 4" xfId="10224" xr:uid="{00000000-0005-0000-0000-0000F4270000}"/>
    <cellStyle name="Normal 17 3 5 5" xfId="10225" xr:uid="{00000000-0005-0000-0000-0000F5270000}"/>
    <cellStyle name="Normal 17 3 5 6" xfId="10226" xr:uid="{00000000-0005-0000-0000-0000F6270000}"/>
    <cellStyle name="Normal 17 3 6" xfId="10227" xr:uid="{00000000-0005-0000-0000-0000F7270000}"/>
    <cellStyle name="Normal 17 3 6 2" xfId="10228" xr:uid="{00000000-0005-0000-0000-0000F8270000}"/>
    <cellStyle name="Normal 17 3 6 3" xfId="10229" xr:uid="{00000000-0005-0000-0000-0000F9270000}"/>
    <cellStyle name="Normal 17 3 6 4" xfId="10230" xr:uid="{00000000-0005-0000-0000-0000FA270000}"/>
    <cellStyle name="Normal 17 3 6 5" xfId="10231" xr:uid="{00000000-0005-0000-0000-0000FB270000}"/>
    <cellStyle name="Normal 17 3 6 6" xfId="10232" xr:uid="{00000000-0005-0000-0000-0000FC270000}"/>
    <cellStyle name="Normal 17 3 7" xfId="10233" xr:uid="{00000000-0005-0000-0000-0000FD270000}"/>
    <cellStyle name="Normal 17 3 7 2" xfId="10234" xr:uid="{00000000-0005-0000-0000-0000FE270000}"/>
    <cellStyle name="Normal 17 3 7 3" xfId="10235" xr:uid="{00000000-0005-0000-0000-0000FF270000}"/>
    <cellStyle name="Normal 17 3 7 4" xfId="10236" xr:uid="{00000000-0005-0000-0000-000000280000}"/>
    <cellStyle name="Normal 17 3 7 5" xfId="10237" xr:uid="{00000000-0005-0000-0000-000001280000}"/>
    <cellStyle name="Normal 17 3 7 6" xfId="10238" xr:uid="{00000000-0005-0000-0000-000002280000}"/>
    <cellStyle name="Normal 17 3 8" xfId="10239" xr:uid="{00000000-0005-0000-0000-000003280000}"/>
    <cellStyle name="Normal 17 3 8 2" xfId="10240" xr:uid="{00000000-0005-0000-0000-000004280000}"/>
    <cellStyle name="Normal 17 3 8 3" xfId="10241" xr:uid="{00000000-0005-0000-0000-000005280000}"/>
    <cellStyle name="Normal 17 3 8 4" xfId="10242" xr:uid="{00000000-0005-0000-0000-000006280000}"/>
    <cellStyle name="Normal 17 3 8 5" xfId="10243" xr:uid="{00000000-0005-0000-0000-000007280000}"/>
    <cellStyle name="Normal 17 3 8 6" xfId="10244" xr:uid="{00000000-0005-0000-0000-000008280000}"/>
    <cellStyle name="Normal 17 3 9" xfId="10245" xr:uid="{00000000-0005-0000-0000-000009280000}"/>
    <cellStyle name="Normal 17 3 9 2" xfId="10246" xr:uid="{00000000-0005-0000-0000-00000A280000}"/>
    <cellStyle name="Normal 17 3 9 3" xfId="10247" xr:uid="{00000000-0005-0000-0000-00000B280000}"/>
    <cellStyle name="Normal 17 3 9 4" xfId="10248" xr:uid="{00000000-0005-0000-0000-00000C280000}"/>
    <cellStyle name="Normal 17 3 9 5" xfId="10249" xr:uid="{00000000-0005-0000-0000-00000D280000}"/>
    <cellStyle name="Normal 17 3 9 6" xfId="10250" xr:uid="{00000000-0005-0000-0000-00000E280000}"/>
    <cellStyle name="Normal 17 30" xfId="10251" xr:uid="{00000000-0005-0000-0000-00000F280000}"/>
    <cellStyle name="Normal 17 31" xfId="10252" xr:uid="{00000000-0005-0000-0000-000010280000}"/>
    <cellStyle name="Normal 17 32" xfId="10253" xr:uid="{00000000-0005-0000-0000-000011280000}"/>
    <cellStyle name="Normal 17 4" xfId="10254" xr:uid="{00000000-0005-0000-0000-000012280000}"/>
    <cellStyle name="Normal 17 4 10" xfId="10255" xr:uid="{00000000-0005-0000-0000-000013280000}"/>
    <cellStyle name="Normal 17 4 10 2" xfId="10256" xr:uid="{00000000-0005-0000-0000-000014280000}"/>
    <cellStyle name="Normal 17 4 10 3" xfId="10257" xr:uid="{00000000-0005-0000-0000-000015280000}"/>
    <cellStyle name="Normal 17 4 10 4" xfId="10258" xr:uid="{00000000-0005-0000-0000-000016280000}"/>
    <cellStyle name="Normal 17 4 10 5" xfId="10259" xr:uid="{00000000-0005-0000-0000-000017280000}"/>
    <cellStyle name="Normal 17 4 10 6" xfId="10260" xr:uid="{00000000-0005-0000-0000-000018280000}"/>
    <cellStyle name="Normal 17 4 11" xfId="10261" xr:uid="{00000000-0005-0000-0000-000019280000}"/>
    <cellStyle name="Normal 17 4 12" xfId="10262" xr:uid="{00000000-0005-0000-0000-00001A280000}"/>
    <cellStyle name="Normal 17 4 13" xfId="10263" xr:uid="{00000000-0005-0000-0000-00001B280000}"/>
    <cellStyle name="Normal 17 4 14" xfId="10264" xr:uid="{00000000-0005-0000-0000-00001C280000}"/>
    <cellStyle name="Normal 17 4 15" xfId="10265" xr:uid="{00000000-0005-0000-0000-00001D280000}"/>
    <cellStyle name="Normal 17 4 2" xfId="10266" xr:uid="{00000000-0005-0000-0000-00001E280000}"/>
    <cellStyle name="Normal 17 4 2 10" xfId="10267" xr:uid="{00000000-0005-0000-0000-00001F280000}"/>
    <cellStyle name="Normal 17 4 2 11" xfId="10268" xr:uid="{00000000-0005-0000-0000-000020280000}"/>
    <cellStyle name="Normal 17 4 2 12" xfId="10269" xr:uid="{00000000-0005-0000-0000-000021280000}"/>
    <cellStyle name="Normal 17 4 2 13" xfId="10270" xr:uid="{00000000-0005-0000-0000-000022280000}"/>
    <cellStyle name="Normal 17 4 2 14" xfId="10271" xr:uid="{00000000-0005-0000-0000-000023280000}"/>
    <cellStyle name="Normal 17 4 2 2" xfId="10272" xr:uid="{00000000-0005-0000-0000-000024280000}"/>
    <cellStyle name="Normal 17 4 2 2 2" xfId="10273" xr:uid="{00000000-0005-0000-0000-000025280000}"/>
    <cellStyle name="Normal 17 4 2 2 3" xfId="10274" xr:uid="{00000000-0005-0000-0000-000026280000}"/>
    <cellStyle name="Normal 17 4 2 2 4" xfId="10275" xr:uid="{00000000-0005-0000-0000-000027280000}"/>
    <cellStyle name="Normal 17 4 2 2 5" xfId="10276" xr:uid="{00000000-0005-0000-0000-000028280000}"/>
    <cellStyle name="Normal 17 4 2 2 6" xfId="10277" xr:uid="{00000000-0005-0000-0000-000029280000}"/>
    <cellStyle name="Normal 17 4 2 3" xfId="10278" xr:uid="{00000000-0005-0000-0000-00002A280000}"/>
    <cellStyle name="Normal 17 4 2 3 2" xfId="10279" xr:uid="{00000000-0005-0000-0000-00002B280000}"/>
    <cellStyle name="Normal 17 4 2 3 3" xfId="10280" xr:uid="{00000000-0005-0000-0000-00002C280000}"/>
    <cellStyle name="Normal 17 4 2 3 4" xfId="10281" xr:uid="{00000000-0005-0000-0000-00002D280000}"/>
    <cellStyle name="Normal 17 4 2 3 5" xfId="10282" xr:uid="{00000000-0005-0000-0000-00002E280000}"/>
    <cellStyle name="Normal 17 4 2 3 6" xfId="10283" xr:uid="{00000000-0005-0000-0000-00002F280000}"/>
    <cellStyle name="Normal 17 4 2 4" xfId="10284" xr:uid="{00000000-0005-0000-0000-000030280000}"/>
    <cellStyle name="Normal 17 4 2 4 2" xfId="10285" xr:uid="{00000000-0005-0000-0000-000031280000}"/>
    <cellStyle name="Normal 17 4 2 4 3" xfId="10286" xr:uid="{00000000-0005-0000-0000-000032280000}"/>
    <cellStyle name="Normal 17 4 2 4 4" xfId="10287" xr:uid="{00000000-0005-0000-0000-000033280000}"/>
    <cellStyle name="Normal 17 4 2 4 5" xfId="10288" xr:uid="{00000000-0005-0000-0000-000034280000}"/>
    <cellStyle name="Normal 17 4 2 4 6" xfId="10289" xr:uid="{00000000-0005-0000-0000-000035280000}"/>
    <cellStyle name="Normal 17 4 2 5" xfId="10290" xr:uid="{00000000-0005-0000-0000-000036280000}"/>
    <cellStyle name="Normal 17 4 2 5 2" xfId="10291" xr:uid="{00000000-0005-0000-0000-000037280000}"/>
    <cellStyle name="Normal 17 4 2 5 3" xfId="10292" xr:uid="{00000000-0005-0000-0000-000038280000}"/>
    <cellStyle name="Normal 17 4 2 5 4" xfId="10293" xr:uid="{00000000-0005-0000-0000-000039280000}"/>
    <cellStyle name="Normal 17 4 2 5 5" xfId="10294" xr:uid="{00000000-0005-0000-0000-00003A280000}"/>
    <cellStyle name="Normal 17 4 2 5 6" xfId="10295" xr:uid="{00000000-0005-0000-0000-00003B280000}"/>
    <cellStyle name="Normal 17 4 2 6" xfId="10296" xr:uid="{00000000-0005-0000-0000-00003C280000}"/>
    <cellStyle name="Normal 17 4 2 6 2" xfId="10297" xr:uid="{00000000-0005-0000-0000-00003D280000}"/>
    <cellStyle name="Normal 17 4 2 6 3" xfId="10298" xr:uid="{00000000-0005-0000-0000-00003E280000}"/>
    <cellStyle name="Normal 17 4 2 6 4" xfId="10299" xr:uid="{00000000-0005-0000-0000-00003F280000}"/>
    <cellStyle name="Normal 17 4 2 6 5" xfId="10300" xr:uid="{00000000-0005-0000-0000-000040280000}"/>
    <cellStyle name="Normal 17 4 2 6 6" xfId="10301" xr:uid="{00000000-0005-0000-0000-000041280000}"/>
    <cellStyle name="Normal 17 4 2 7" xfId="10302" xr:uid="{00000000-0005-0000-0000-000042280000}"/>
    <cellStyle name="Normal 17 4 2 7 2" xfId="10303" xr:uid="{00000000-0005-0000-0000-000043280000}"/>
    <cellStyle name="Normal 17 4 2 7 3" xfId="10304" xr:uid="{00000000-0005-0000-0000-000044280000}"/>
    <cellStyle name="Normal 17 4 2 7 4" xfId="10305" xr:uid="{00000000-0005-0000-0000-000045280000}"/>
    <cellStyle name="Normal 17 4 2 7 5" xfId="10306" xr:uid="{00000000-0005-0000-0000-000046280000}"/>
    <cellStyle name="Normal 17 4 2 7 6" xfId="10307" xr:uid="{00000000-0005-0000-0000-000047280000}"/>
    <cellStyle name="Normal 17 4 2 8" xfId="10308" xr:uid="{00000000-0005-0000-0000-000048280000}"/>
    <cellStyle name="Normal 17 4 2 8 2" xfId="10309" xr:uid="{00000000-0005-0000-0000-000049280000}"/>
    <cellStyle name="Normal 17 4 2 8 3" xfId="10310" xr:uid="{00000000-0005-0000-0000-00004A280000}"/>
    <cellStyle name="Normal 17 4 2 8 4" xfId="10311" xr:uid="{00000000-0005-0000-0000-00004B280000}"/>
    <cellStyle name="Normal 17 4 2 8 5" xfId="10312" xr:uid="{00000000-0005-0000-0000-00004C280000}"/>
    <cellStyle name="Normal 17 4 2 8 6" xfId="10313" xr:uid="{00000000-0005-0000-0000-00004D280000}"/>
    <cellStyle name="Normal 17 4 2 9" xfId="10314" xr:uid="{00000000-0005-0000-0000-00004E280000}"/>
    <cellStyle name="Normal 17 4 2 9 2" xfId="10315" xr:uid="{00000000-0005-0000-0000-00004F280000}"/>
    <cellStyle name="Normal 17 4 2 9 3" xfId="10316" xr:uid="{00000000-0005-0000-0000-000050280000}"/>
    <cellStyle name="Normal 17 4 2 9 4" xfId="10317" xr:uid="{00000000-0005-0000-0000-000051280000}"/>
    <cellStyle name="Normal 17 4 2 9 5" xfId="10318" xr:uid="{00000000-0005-0000-0000-000052280000}"/>
    <cellStyle name="Normal 17 4 2 9 6" xfId="10319" xr:uid="{00000000-0005-0000-0000-000053280000}"/>
    <cellStyle name="Normal 17 4 3" xfId="10320" xr:uid="{00000000-0005-0000-0000-000054280000}"/>
    <cellStyle name="Normal 17 4 3 2" xfId="10321" xr:uid="{00000000-0005-0000-0000-000055280000}"/>
    <cellStyle name="Normal 17 4 3 3" xfId="10322" xr:uid="{00000000-0005-0000-0000-000056280000}"/>
    <cellStyle name="Normal 17 4 3 4" xfId="10323" xr:uid="{00000000-0005-0000-0000-000057280000}"/>
    <cellStyle name="Normal 17 4 3 5" xfId="10324" xr:uid="{00000000-0005-0000-0000-000058280000}"/>
    <cellStyle name="Normal 17 4 3 6" xfId="10325" xr:uid="{00000000-0005-0000-0000-000059280000}"/>
    <cellStyle name="Normal 17 4 4" xfId="10326" xr:uid="{00000000-0005-0000-0000-00005A280000}"/>
    <cellStyle name="Normal 17 4 4 2" xfId="10327" xr:uid="{00000000-0005-0000-0000-00005B280000}"/>
    <cellStyle name="Normal 17 4 4 3" xfId="10328" xr:uid="{00000000-0005-0000-0000-00005C280000}"/>
    <cellStyle name="Normal 17 4 4 4" xfId="10329" xr:uid="{00000000-0005-0000-0000-00005D280000}"/>
    <cellStyle name="Normal 17 4 4 5" xfId="10330" xr:uid="{00000000-0005-0000-0000-00005E280000}"/>
    <cellStyle name="Normal 17 4 4 6" xfId="10331" xr:uid="{00000000-0005-0000-0000-00005F280000}"/>
    <cellStyle name="Normal 17 4 5" xfId="10332" xr:uid="{00000000-0005-0000-0000-000060280000}"/>
    <cellStyle name="Normal 17 4 5 2" xfId="10333" xr:uid="{00000000-0005-0000-0000-000061280000}"/>
    <cellStyle name="Normal 17 4 5 3" xfId="10334" xr:uid="{00000000-0005-0000-0000-000062280000}"/>
    <cellStyle name="Normal 17 4 5 4" xfId="10335" xr:uid="{00000000-0005-0000-0000-000063280000}"/>
    <cellStyle name="Normal 17 4 5 5" xfId="10336" xr:uid="{00000000-0005-0000-0000-000064280000}"/>
    <cellStyle name="Normal 17 4 5 6" xfId="10337" xr:uid="{00000000-0005-0000-0000-000065280000}"/>
    <cellStyle name="Normal 17 4 6" xfId="10338" xr:uid="{00000000-0005-0000-0000-000066280000}"/>
    <cellStyle name="Normal 17 4 6 2" xfId="10339" xr:uid="{00000000-0005-0000-0000-000067280000}"/>
    <cellStyle name="Normal 17 4 6 3" xfId="10340" xr:uid="{00000000-0005-0000-0000-000068280000}"/>
    <cellStyle name="Normal 17 4 6 4" xfId="10341" xr:uid="{00000000-0005-0000-0000-000069280000}"/>
    <cellStyle name="Normal 17 4 6 5" xfId="10342" xr:uid="{00000000-0005-0000-0000-00006A280000}"/>
    <cellStyle name="Normal 17 4 6 6" xfId="10343" xr:uid="{00000000-0005-0000-0000-00006B280000}"/>
    <cellStyle name="Normal 17 4 7" xfId="10344" xr:uid="{00000000-0005-0000-0000-00006C280000}"/>
    <cellStyle name="Normal 17 4 7 2" xfId="10345" xr:uid="{00000000-0005-0000-0000-00006D280000}"/>
    <cellStyle name="Normal 17 4 7 3" xfId="10346" xr:uid="{00000000-0005-0000-0000-00006E280000}"/>
    <cellStyle name="Normal 17 4 7 4" xfId="10347" xr:uid="{00000000-0005-0000-0000-00006F280000}"/>
    <cellStyle name="Normal 17 4 7 5" xfId="10348" xr:uid="{00000000-0005-0000-0000-000070280000}"/>
    <cellStyle name="Normal 17 4 7 6" xfId="10349" xr:uid="{00000000-0005-0000-0000-000071280000}"/>
    <cellStyle name="Normal 17 4 8" xfId="10350" xr:uid="{00000000-0005-0000-0000-000072280000}"/>
    <cellStyle name="Normal 17 4 8 2" xfId="10351" xr:uid="{00000000-0005-0000-0000-000073280000}"/>
    <cellStyle name="Normal 17 4 8 3" xfId="10352" xr:uid="{00000000-0005-0000-0000-000074280000}"/>
    <cellStyle name="Normal 17 4 8 4" xfId="10353" xr:uid="{00000000-0005-0000-0000-000075280000}"/>
    <cellStyle name="Normal 17 4 8 5" xfId="10354" xr:uid="{00000000-0005-0000-0000-000076280000}"/>
    <cellStyle name="Normal 17 4 8 6" xfId="10355" xr:uid="{00000000-0005-0000-0000-000077280000}"/>
    <cellStyle name="Normal 17 4 9" xfId="10356" xr:uid="{00000000-0005-0000-0000-000078280000}"/>
    <cellStyle name="Normal 17 4 9 2" xfId="10357" xr:uid="{00000000-0005-0000-0000-000079280000}"/>
    <cellStyle name="Normal 17 4 9 3" xfId="10358" xr:uid="{00000000-0005-0000-0000-00007A280000}"/>
    <cellStyle name="Normal 17 4 9 4" xfId="10359" xr:uid="{00000000-0005-0000-0000-00007B280000}"/>
    <cellStyle name="Normal 17 4 9 5" xfId="10360" xr:uid="{00000000-0005-0000-0000-00007C280000}"/>
    <cellStyle name="Normal 17 4 9 6" xfId="10361" xr:uid="{00000000-0005-0000-0000-00007D280000}"/>
    <cellStyle name="Normal 17 5" xfId="10362" xr:uid="{00000000-0005-0000-0000-00007E280000}"/>
    <cellStyle name="Normal 17 5 10" xfId="10363" xr:uid="{00000000-0005-0000-0000-00007F280000}"/>
    <cellStyle name="Normal 17 5 10 2" xfId="10364" xr:uid="{00000000-0005-0000-0000-000080280000}"/>
    <cellStyle name="Normal 17 5 10 3" xfId="10365" xr:uid="{00000000-0005-0000-0000-000081280000}"/>
    <cellStyle name="Normal 17 5 10 4" xfId="10366" xr:uid="{00000000-0005-0000-0000-000082280000}"/>
    <cellStyle name="Normal 17 5 10 5" xfId="10367" xr:uid="{00000000-0005-0000-0000-000083280000}"/>
    <cellStyle name="Normal 17 5 10 6" xfId="10368" xr:uid="{00000000-0005-0000-0000-000084280000}"/>
    <cellStyle name="Normal 17 5 11" xfId="10369" xr:uid="{00000000-0005-0000-0000-000085280000}"/>
    <cellStyle name="Normal 17 5 12" xfId="10370" xr:uid="{00000000-0005-0000-0000-000086280000}"/>
    <cellStyle name="Normal 17 5 13" xfId="10371" xr:uid="{00000000-0005-0000-0000-000087280000}"/>
    <cellStyle name="Normal 17 5 14" xfId="10372" xr:uid="{00000000-0005-0000-0000-000088280000}"/>
    <cellStyle name="Normal 17 5 15" xfId="10373" xr:uid="{00000000-0005-0000-0000-000089280000}"/>
    <cellStyle name="Normal 17 5 2" xfId="10374" xr:uid="{00000000-0005-0000-0000-00008A280000}"/>
    <cellStyle name="Normal 17 5 2 10" xfId="10375" xr:uid="{00000000-0005-0000-0000-00008B280000}"/>
    <cellStyle name="Normal 17 5 2 11" xfId="10376" xr:uid="{00000000-0005-0000-0000-00008C280000}"/>
    <cellStyle name="Normal 17 5 2 12" xfId="10377" xr:uid="{00000000-0005-0000-0000-00008D280000}"/>
    <cellStyle name="Normal 17 5 2 13" xfId="10378" xr:uid="{00000000-0005-0000-0000-00008E280000}"/>
    <cellStyle name="Normal 17 5 2 14" xfId="10379" xr:uid="{00000000-0005-0000-0000-00008F280000}"/>
    <cellStyle name="Normal 17 5 2 2" xfId="10380" xr:uid="{00000000-0005-0000-0000-000090280000}"/>
    <cellStyle name="Normal 17 5 2 2 2" xfId="10381" xr:uid="{00000000-0005-0000-0000-000091280000}"/>
    <cellStyle name="Normal 17 5 2 2 3" xfId="10382" xr:uid="{00000000-0005-0000-0000-000092280000}"/>
    <cellStyle name="Normal 17 5 2 2 4" xfId="10383" xr:uid="{00000000-0005-0000-0000-000093280000}"/>
    <cellStyle name="Normal 17 5 2 2 5" xfId="10384" xr:uid="{00000000-0005-0000-0000-000094280000}"/>
    <cellStyle name="Normal 17 5 2 2 6" xfId="10385" xr:uid="{00000000-0005-0000-0000-000095280000}"/>
    <cellStyle name="Normal 17 5 2 3" xfId="10386" xr:uid="{00000000-0005-0000-0000-000096280000}"/>
    <cellStyle name="Normal 17 5 2 3 2" xfId="10387" xr:uid="{00000000-0005-0000-0000-000097280000}"/>
    <cellStyle name="Normal 17 5 2 3 3" xfId="10388" xr:uid="{00000000-0005-0000-0000-000098280000}"/>
    <cellStyle name="Normal 17 5 2 3 4" xfId="10389" xr:uid="{00000000-0005-0000-0000-000099280000}"/>
    <cellStyle name="Normal 17 5 2 3 5" xfId="10390" xr:uid="{00000000-0005-0000-0000-00009A280000}"/>
    <cellStyle name="Normal 17 5 2 3 6" xfId="10391" xr:uid="{00000000-0005-0000-0000-00009B280000}"/>
    <cellStyle name="Normal 17 5 2 4" xfId="10392" xr:uid="{00000000-0005-0000-0000-00009C280000}"/>
    <cellStyle name="Normal 17 5 2 4 2" xfId="10393" xr:uid="{00000000-0005-0000-0000-00009D280000}"/>
    <cellStyle name="Normal 17 5 2 4 3" xfId="10394" xr:uid="{00000000-0005-0000-0000-00009E280000}"/>
    <cellStyle name="Normal 17 5 2 4 4" xfId="10395" xr:uid="{00000000-0005-0000-0000-00009F280000}"/>
    <cellStyle name="Normal 17 5 2 4 5" xfId="10396" xr:uid="{00000000-0005-0000-0000-0000A0280000}"/>
    <cellStyle name="Normal 17 5 2 4 6" xfId="10397" xr:uid="{00000000-0005-0000-0000-0000A1280000}"/>
    <cellStyle name="Normal 17 5 2 5" xfId="10398" xr:uid="{00000000-0005-0000-0000-0000A2280000}"/>
    <cellStyle name="Normal 17 5 2 5 2" xfId="10399" xr:uid="{00000000-0005-0000-0000-0000A3280000}"/>
    <cellStyle name="Normal 17 5 2 5 3" xfId="10400" xr:uid="{00000000-0005-0000-0000-0000A4280000}"/>
    <cellStyle name="Normal 17 5 2 5 4" xfId="10401" xr:uid="{00000000-0005-0000-0000-0000A5280000}"/>
    <cellStyle name="Normal 17 5 2 5 5" xfId="10402" xr:uid="{00000000-0005-0000-0000-0000A6280000}"/>
    <cellStyle name="Normal 17 5 2 5 6" xfId="10403" xr:uid="{00000000-0005-0000-0000-0000A7280000}"/>
    <cellStyle name="Normal 17 5 2 6" xfId="10404" xr:uid="{00000000-0005-0000-0000-0000A8280000}"/>
    <cellStyle name="Normal 17 5 2 6 2" xfId="10405" xr:uid="{00000000-0005-0000-0000-0000A9280000}"/>
    <cellStyle name="Normal 17 5 2 6 3" xfId="10406" xr:uid="{00000000-0005-0000-0000-0000AA280000}"/>
    <cellStyle name="Normal 17 5 2 6 4" xfId="10407" xr:uid="{00000000-0005-0000-0000-0000AB280000}"/>
    <cellStyle name="Normal 17 5 2 6 5" xfId="10408" xr:uid="{00000000-0005-0000-0000-0000AC280000}"/>
    <cellStyle name="Normal 17 5 2 6 6" xfId="10409" xr:uid="{00000000-0005-0000-0000-0000AD280000}"/>
    <cellStyle name="Normal 17 5 2 7" xfId="10410" xr:uid="{00000000-0005-0000-0000-0000AE280000}"/>
    <cellStyle name="Normal 17 5 2 7 2" xfId="10411" xr:uid="{00000000-0005-0000-0000-0000AF280000}"/>
    <cellStyle name="Normal 17 5 2 7 3" xfId="10412" xr:uid="{00000000-0005-0000-0000-0000B0280000}"/>
    <cellStyle name="Normal 17 5 2 7 4" xfId="10413" xr:uid="{00000000-0005-0000-0000-0000B1280000}"/>
    <cellStyle name="Normal 17 5 2 7 5" xfId="10414" xr:uid="{00000000-0005-0000-0000-0000B2280000}"/>
    <cellStyle name="Normal 17 5 2 7 6" xfId="10415" xr:uid="{00000000-0005-0000-0000-0000B3280000}"/>
    <cellStyle name="Normal 17 5 2 8" xfId="10416" xr:uid="{00000000-0005-0000-0000-0000B4280000}"/>
    <cellStyle name="Normal 17 5 2 8 2" xfId="10417" xr:uid="{00000000-0005-0000-0000-0000B5280000}"/>
    <cellStyle name="Normal 17 5 2 8 3" xfId="10418" xr:uid="{00000000-0005-0000-0000-0000B6280000}"/>
    <cellStyle name="Normal 17 5 2 8 4" xfId="10419" xr:uid="{00000000-0005-0000-0000-0000B7280000}"/>
    <cellStyle name="Normal 17 5 2 8 5" xfId="10420" xr:uid="{00000000-0005-0000-0000-0000B8280000}"/>
    <cellStyle name="Normal 17 5 2 8 6" xfId="10421" xr:uid="{00000000-0005-0000-0000-0000B9280000}"/>
    <cellStyle name="Normal 17 5 2 9" xfId="10422" xr:uid="{00000000-0005-0000-0000-0000BA280000}"/>
    <cellStyle name="Normal 17 5 2 9 2" xfId="10423" xr:uid="{00000000-0005-0000-0000-0000BB280000}"/>
    <cellStyle name="Normal 17 5 2 9 3" xfId="10424" xr:uid="{00000000-0005-0000-0000-0000BC280000}"/>
    <cellStyle name="Normal 17 5 2 9 4" xfId="10425" xr:uid="{00000000-0005-0000-0000-0000BD280000}"/>
    <cellStyle name="Normal 17 5 2 9 5" xfId="10426" xr:uid="{00000000-0005-0000-0000-0000BE280000}"/>
    <cellStyle name="Normal 17 5 2 9 6" xfId="10427" xr:uid="{00000000-0005-0000-0000-0000BF280000}"/>
    <cellStyle name="Normal 17 5 3" xfId="10428" xr:uid="{00000000-0005-0000-0000-0000C0280000}"/>
    <cellStyle name="Normal 17 5 3 2" xfId="10429" xr:uid="{00000000-0005-0000-0000-0000C1280000}"/>
    <cellStyle name="Normal 17 5 3 3" xfId="10430" xr:uid="{00000000-0005-0000-0000-0000C2280000}"/>
    <cellStyle name="Normal 17 5 3 4" xfId="10431" xr:uid="{00000000-0005-0000-0000-0000C3280000}"/>
    <cellStyle name="Normal 17 5 3 5" xfId="10432" xr:uid="{00000000-0005-0000-0000-0000C4280000}"/>
    <cellStyle name="Normal 17 5 3 6" xfId="10433" xr:uid="{00000000-0005-0000-0000-0000C5280000}"/>
    <cellStyle name="Normal 17 5 4" xfId="10434" xr:uid="{00000000-0005-0000-0000-0000C6280000}"/>
    <cellStyle name="Normal 17 5 4 2" xfId="10435" xr:uid="{00000000-0005-0000-0000-0000C7280000}"/>
    <cellStyle name="Normal 17 5 4 3" xfId="10436" xr:uid="{00000000-0005-0000-0000-0000C8280000}"/>
    <cellStyle name="Normal 17 5 4 4" xfId="10437" xr:uid="{00000000-0005-0000-0000-0000C9280000}"/>
    <cellStyle name="Normal 17 5 4 5" xfId="10438" xr:uid="{00000000-0005-0000-0000-0000CA280000}"/>
    <cellStyle name="Normal 17 5 4 6" xfId="10439" xr:uid="{00000000-0005-0000-0000-0000CB280000}"/>
    <cellStyle name="Normal 17 5 5" xfId="10440" xr:uid="{00000000-0005-0000-0000-0000CC280000}"/>
    <cellStyle name="Normal 17 5 5 2" xfId="10441" xr:uid="{00000000-0005-0000-0000-0000CD280000}"/>
    <cellStyle name="Normal 17 5 5 3" xfId="10442" xr:uid="{00000000-0005-0000-0000-0000CE280000}"/>
    <cellStyle name="Normal 17 5 5 4" xfId="10443" xr:uid="{00000000-0005-0000-0000-0000CF280000}"/>
    <cellStyle name="Normal 17 5 5 5" xfId="10444" xr:uid="{00000000-0005-0000-0000-0000D0280000}"/>
    <cellStyle name="Normal 17 5 5 6" xfId="10445" xr:uid="{00000000-0005-0000-0000-0000D1280000}"/>
    <cellStyle name="Normal 17 5 6" xfId="10446" xr:uid="{00000000-0005-0000-0000-0000D2280000}"/>
    <cellStyle name="Normal 17 5 6 2" xfId="10447" xr:uid="{00000000-0005-0000-0000-0000D3280000}"/>
    <cellStyle name="Normal 17 5 6 3" xfId="10448" xr:uid="{00000000-0005-0000-0000-0000D4280000}"/>
    <cellStyle name="Normal 17 5 6 4" xfId="10449" xr:uid="{00000000-0005-0000-0000-0000D5280000}"/>
    <cellStyle name="Normal 17 5 6 5" xfId="10450" xr:uid="{00000000-0005-0000-0000-0000D6280000}"/>
    <cellStyle name="Normal 17 5 6 6" xfId="10451" xr:uid="{00000000-0005-0000-0000-0000D7280000}"/>
    <cellStyle name="Normal 17 5 7" xfId="10452" xr:uid="{00000000-0005-0000-0000-0000D8280000}"/>
    <cellStyle name="Normal 17 5 7 2" xfId="10453" xr:uid="{00000000-0005-0000-0000-0000D9280000}"/>
    <cellStyle name="Normal 17 5 7 3" xfId="10454" xr:uid="{00000000-0005-0000-0000-0000DA280000}"/>
    <cellStyle name="Normal 17 5 7 4" xfId="10455" xr:uid="{00000000-0005-0000-0000-0000DB280000}"/>
    <cellStyle name="Normal 17 5 7 5" xfId="10456" xr:uid="{00000000-0005-0000-0000-0000DC280000}"/>
    <cellStyle name="Normal 17 5 7 6" xfId="10457" xr:uid="{00000000-0005-0000-0000-0000DD280000}"/>
    <cellStyle name="Normal 17 5 8" xfId="10458" xr:uid="{00000000-0005-0000-0000-0000DE280000}"/>
    <cellStyle name="Normal 17 5 8 2" xfId="10459" xr:uid="{00000000-0005-0000-0000-0000DF280000}"/>
    <cellStyle name="Normal 17 5 8 3" xfId="10460" xr:uid="{00000000-0005-0000-0000-0000E0280000}"/>
    <cellStyle name="Normal 17 5 8 4" xfId="10461" xr:uid="{00000000-0005-0000-0000-0000E1280000}"/>
    <cellStyle name="Normal 17 5 8 5" xfId="10462" xr:uid="{00000000-0005-0000-0000-0000E2280000}"/>
    <cellStyle name="Normal 17 5 8 6" xfId="10463" xr:uid="{00000000-0005-0000-0000-0000E3280000}"/>
    <cellStyle name="Normal 17 5 9" xfId="10464" xr:uid="{00000000-0005-0000-0000-0000E4280000}"/>
    <cellStyle name="Normal 17 5 9 2" xfId="10465" xr:uid="{00000000-0005-0000-0000-0000E5280000}"/>
    <cellStyle name="Normal 17 5 9 3" xfId="10466" xr:uid="{00000000-0005-0000-0000-0000E6280000}"/>
    <cellStyle name="Normal 17 5 9 4" xfId="10467" xr:uid="{00000000-0005-0000-0000-0000E7280000}"/>
    <cellStyle name="Normal 17 5 9 5" xfId="10468" xr:uid="{00000000-0005-0000-0000-0000E8280000}"/>
    <cellStyle name="Normal 17 5 9 6" xfId="10469" xr:uid="{00000000-0005-0000-0000-0000E9280000}"/>
    <cellStyle name="Normal 17 6" xfId="10470" xr:uid="{00000000-0005-0000-0000-0000EA280000}"/>
    <cellStyle name="Normal 17 6 10" xfId="10471" xr:uid="{00000000-0005-0000-0000-0000EB280000}"/>
    <cellStyle name="Normal 17 6 10 2" xfId="10472" xr:uid="{00000000-0005-0000-0000-0000EC280000}"/>
    <cellStyle name="Normal 17 6 10 3" xfId="10473" xr:uid="{00000000-0005-0000-0000-0000ED280000}"/>
    <cellStyle name="Normal 17 6 10 4" xfId="10474" xr:uid="{00000000-0005-0000-0000-0000EE280000}"/>
    <cellStyle name="Normal 17 6 10 5" xfId="10475" xr:uid="{00000000-0005-0000-0000-0000EF280000}"/>
    <cellStyle name="Normal 17 6 10 6" xfId="10476" xr:uid="{00000000-0005-0000-0000-0000F0280000}"/>
    <cellStyle name="Normal 17 6 11" xfId="10477" xr:uid="{00000000-0005-0000-0000-0000F1280000}"/>
    <cellStyle name="Normal 17 6 12" xfId="10478" xr:uid="{00000000-0005-0000-0000-0000F2280000}"/>
    <cellStyle name="Normal 17 6 13" xfId="10479" xr:uid="{00000000-0005-0000-0000-0000F3280000}"/>
    <cellStyle name="Normal 17 6 14" xfId="10480" xr:uid="{00000000-0005-0000-0000-0000F4280000}"/>
    <cellStyle name="Normal 17 6 15" xfId="10481" xr:uid="{00000000-0005-0000-0000-0000F5280000}"/>
    <cellStyle name="Normal 17 6 2" xfId="10482" xr:uid="{00000000-0005-0000-0000-0000F6280000}"/>
    <cellStyle name="Normal 17 6 2 10" xfId="10483" xr:uid="{00000000-0005-0000-0000-0000F7280000}"/>
    <cellStyle name="Normal 17 6 2 11" xfId="10484" xr:uid="{00000000-0005-0000-0000-0000F8280000}"/>
    <cellStyle name="Normal 17 6 2 12" xfId="10485" xr:uid="{00000000-0005-0000-0000-0000F9280000}"/>
    <cellStyle name="Normal 17 6 2 13" xfId="10486" xr:uid="{00000000-0005-0000-0000-0000FA280000}"/>
    <cellStyle name="Normal 17 6 2 14" xfId="10487" xr:uid="{00000000-0005-0000-0000-0000FB280000}"/>
    <cellStyle name="Normal 17 6 2 2" xfId="10488" xr:uid="{00000000-0005-0000-0000-0000FC280000}"/>
    <cellStyle name="Normal 17 6 2 2 2" xfId="10489" xr:uid="{00000000-0005-0000-0000-0000FD280000}"/>
    <cellStyle name="Normal 17 6 2 2 3" xfId="10490" xr:uid="{00000000-0005-0000-0000-0000FE280000}"/>
    <cellStyle name="Normal 17 6 2 2 4" xfId="10491" xr:uid="{00000000-0005-0000-0000-0000FF280000}"/>
    <cellStyle name="Normal 17 6 2 2 5" xfId="10492" xr:uid="{00000000-0005-0000-0000-000000290000}"/>
    <cellStyle name="Normal 17 6 2 2 6" xfId="10493" xr:uid="{00000000-0005-0000-0000-000001290000}"/>
    <cellStyle name="Normal 17 6 2 3" xfId="10494" xr:uid="{00000000-0005-0000-0000-000002290000}"/>
    <cellStyle name="Normal 17 6 2 3 2" xfId="10495" xr:uid="{00000000-0005-0000-0000-000003290000}"/>
    <cellStyle name="Normal 17 6 2 3 3" xfId="10496" xr:uid="{00000000-0005-0000-0000-000004290000}"/>
    <cellStyle name="Normal 17 6 2 3 4" xfId="10497" xr:uid="{00000000-0005-0000-0000-000005290000}"/>
    <cellStyle name="Normal 17 6 2 3 5" xfId="10498" xr:uid="{00000000-0005-0000-0000-000006290000}"/>
    <cellStyle name="Normal 17 6 2 3 6" xfId="10499" xr:uid="{00000000-0005-0000-0000-000007290000}"/>
    <cellStyle name="Normal 17 6 2 4" xfId="10500" xr:uid="{00000000-0005-0000-0000-000008290000}"/>
    <cellStyle name="Normal 17 6 2 4 2" xfId="10501" xr:uid="{00000000-0005-0000-0000-000009290000}"/>
    <cellStyle name="Normal 17 6 2 4 3" xfId="10502" xr:uid="{00000000-0005-0000-0000-00000A290000}"/>
    <cellStyle name="Normal 17 6 2 4 4" xfId="10503" xr:uid="{00000000-0005-0000-0000-00000B290000}"/>
    <cellStyle name="Normal 17 6 2 4 5" xfId="10504" xr:uid="{00000000-0005-0000-0000-00000C290000}"/>
    <cellStyle name="Normal 17 6 2 4 6" xfId="10505" xr:uid="{00000000-0005-0000-0000-00000D290000}"/>
    <cellStyle name="Normal 17 6 2 5" xfId="10506" xr:uid="{00000000-0005-0000-0000-00000E290000}"/>
    <cellStyle name="Normal 17 6 2 5 2" xfId="10507" xr:uid="{00000000-0005-0000-0000-00000F290000}"/>
    <cellStyle name="Normal 17 6 2 5 3" xfId="10508" xr:uid="{00000000-0005-0000-0000-000010290000}"/>
    <cellStyle name="Normal 17 6 2 5 4" xfId="10509" xr:uid="{00000000-0005-0000-0000-000011290000}"/>
    <cellStyle name="Normal 17 6 2 5 5" xfId="10510" xr:uid="{00000000-0005-0000-0000-000012290000}"/>
    <cellStyle name="Normal 17 6 2 5 6" xfId="10511" xr:uid="{00000000-0005-0000-0000-000013290000}"/>
    <cellStyle name="Normal 17 6 2 6" xfId="10512" xr:uid="{00000000-0005-0000-0000-000014290000}"/>
    <cellStyle name="Normal 17 6 2 6 2" xfId="10513" xr:uid="{00000000-0005-0000-0000-000015290000}"/>
    <cellStyle name="Normal 17 6 2 6 3" xfId="10514" xr:uid="{00000000-0005-0000-0000-000016290000}"/>
    <cellStyle name="Normal 17 6 2 6 4" xfId="10515" xr:uid="{00000000-0005-0000-0000-000017290000}"/>
    <cellStyle name="Normal 17 6 2 6 5" xfId="10516" xr:uid="{00000000-0005-0000-0000-000018290000}"/>
    <cellStyle name="Normal 17 6 2 6 6" xfId="10517" xr:uid="{00000000-0005-0000-0000-000019290000}"/>
    <cellStyle name="Normal 17 6 2 7" xfId="10518" xr:uid="{00000000-0005-0000-0000-00001A290000}"/>
    <cellStyle name="Normal 17 6 2 7 2" xfId="10519" xr:uid="{00000000-0005-0000-0000-00001B290000}"/>
    <cellStyle name="Normal 17 6 2 7 3" xfId="10520" xr:uid="{00000000-0005-0000-0000-00001C290000}"/>
    <cellStyle name="Normal 17 6 2 7 4" xfId="10521" xr:uid="{00000000-0005-0000-0000-00001D290000}"/>
    <cellStyle name="Normal 17 6 2 7 5" xfId="10522" xr:uid="{00000000-0005-0000-0000-00001E290000}"/>
    <cellStyle name="Normal 17 6 2 7 6" xfId="10523" xr:uid="{00000000-0005-0000-0000-00001F290000}"/>
    <cellStyle name="Normal 17 6 2 8" xfId="10524" xr:uid="{00000000-0005-0000-0000-000020290000}"/>
    <cellStyle name="Normal 17 6 2 8 2" xfId="10525" xr:uid="{00000000-0005-0000-0000-000021290000}"/>
    <cellStyle name="Normal 17 6 2 8 3" xfId="10526" xr:uid="{00000000-0005-0000-0000-000022290000}"/>
    <cellStyle name="Normal 17 6 2 8 4" xfId="10527" xr:uid="{00000000-0005-0000-0000-000023290000}"/>
    <cellStyle name="Normal 17 6 2 8 5" xfId="10528" xr:uid="{00000000-0005-0000-0000-000024290000}"/>
    <cellStyle name="Normal 17 6 2 8 6" xfId="10529" xr:uid="{00000000-0005-0000-0000-000025290000}"/>
    <cellStyle name="Normal 17 6 2 9" xfId="10530" xr:uid="{00000000-0005-0000-0000-000026290000}"/>
    <cellStyle name="Normal 17 6 2 9 2" xfId="10531" xr:uid="{00000000-0005-0000-0000-000027290000}"/>
    <cellStyle name="Normal 17 6 2 9 3" xfId="10532" xr:uid="{00000000-0005-0000-0000-000028290000}"/>
    <cellStyle name="Normal 17 6 2 9 4" xfId="10533" xr:uid="{00000000-0005-0000-0000-000029290000}"/>
    <cellStyle name="Normal 17 6 2 9 5" xfId="10534" xr:uid="{00000000-0005-0000-0000-00002A290000}"/>
    <cellStyle name="Normal 17 6 2 9 6" xfId="10535" xr:uid="{00000000-0005-0000-0000-00002B290000}"/>
    <cellStyle name="Normal 17 6 3" xfId="10536" xr:uid="{00000000-0005-0000-0000-00002C290000}"/>
    <cellStyle name="Normal 17 6 3 2" xfId="10537" xr:uid="{00000000-0005-0000-0000-00002D290000}"/>
    <cellStyle name="Normal 17 6 3 3" xfId="10538" xr:uid="{00000000-0005-0000-0000-00002E290000}"/>
    <cellStyle name="Normal 17 6 3 4" xfId="10539" xr:uid="{00000000-0005-0000-0000-00002F290000}"/>
    <cellStyle name="Normal 17 6 3 5" xfId="10540" xr:uid="{00000000-0005-0000-0000-000030290000}"/>
    <cellStyle name="Normal 17 6 3 6" xfId="10541" xr:uid="{00000000-0005-0000-0000-000031290000}"/>
    <cellStyle name="Normal 17 6 4" xfId="10542" xr:uid="{00000000-0005-0000-0000-000032290000}"/>
    <cellStyle name="Normal 17 6 4 2" xfId="10543" xr:uid="{00000000-0005-0000-0000-000033290000}"/>
    <cellStyle name="Normal 17 6 4 3" xfId="10544" xr:uid="{00000000-0005-0000-0000-000034290000}"/>
    <cellStyle name="Normal 17 6 4 4" xfId="10545" xr:uid="{00000000-0005-0000-0000-000035290000}"/>
    <cellStyle name="Normal 17 6 4 5" xfId="10546" xr:uid="{00000000-0005-0000-0000-000036290000}"/>
    <cellStyle name="Normal 17 6 4 6" xfId="10547" xr:uid="{00000000-0005-0000-0000-000037290000}"/>
    <cellStyle name="Normal 17 6 5" xfId="10548" xr:uid="{00000000-0005-0000-0000-000038290000}"/>
    <cellStyle name="Normal 17 6 5 2" xfId="10549" xr:uid="{00000000-0005-0000-0000-000039290000}"/>
    <cellStyle name="Normal 17 6 5 3" xfId="10550" xr:uid="{00000000-0005-0000-0000-00003A290000}"/>
    <cellStyle name="Normal 17 6 5 4" xfId="10551" xr:uid="{00000000-0005-0000-0000-00003B290000}"/>
    <cellStyle name="Normal 17 6 5 5" xfId="10552" xr:uid="{00000000-0005-0000-0000-00003C290000}"/>
    <cellStyle name="Normal 17 6 5 6" xfId="10553" xr:uid="{00000000-0005-0000-0000-00003D290000}"/>
    <cellStyle name="Normal 17 6 6" xfId="10554" xr:uid="{00000000-0005-0000-0000-00003E290000}"/>
    <cellStyle name="Normal 17 6 6 2" xfId="10555" xr:uid="{00000000-0005-0000-0000-00003F290000}"/>
    <cellStyle name="Normal 17 6 6 3" xfId="10556" xr:uid="{00000000-0005-0000-0000-000040290000}"/>
    <cellStyle name="Normal 17 6 6 4" xfId="10557" xr:uid="{00000000-0005-0000-0000-000041290000}"/>
    <cellStyle name="Normal 17 6 6 5" xfId="10558" xr:uid="{00000000-0005-0000-0000-000042290000}"/>
    <cellStyle name="Normal 17 6 6 6" xfId="10559" xr:uid="{00000000-0005-0000-0000-000043290000}"/>
    <cellStyle name="Normal 17 6 7" xfId="10560" xr:uid="{00000000-0005-0000-0000-000044290000}"/>
    <cellStyle name="Normal 17 6 7 2" xfId="10561" xr:uid="{00000000-0005-0000-0000-000045290000}"/>
    <cellStyle name="Normal 17 6 7 3" xfId="10562" xr:uid="{00000000-0005-0000-0000-000046290000}"/>
    <cellStyle name="Normal 17 6 7 4" xfId="10563" xr:uid="{00000000-0005-0000-0000-000047290000}"/>
    <cellStyle name="Normal 17 6 7 5" xfId="10564" xr:uid="{00000000-0005-0000-0000-000048290000}"/>
    <cellStyle name="Normal 17 6 7 6" xfId="10565" xr:uid="{00000000-0005-0000-0000-000049290000}"/>
    <cellStyle name="Normal 17 6 8" xfId="10566" xr:uid="{00000000-0005-0000-0000-00004A290000}"/>
    <cellStyle name="Normal 17 6 8 2" xfId="10567" xr:uid="{00000000-0005-0000-0000-00004B290000}"/>
    <cellStyle name="Normal 17 6 8 3" xfId="10568" xr:uid="{00000000-0005-0000-0000-00004C290000}"/>
    <cellStyle name="Normal 17 6 8 4" xfId="10569" xr:uid="{00000000-0005-0000-0000-00004D290000}"/>
    <cellStyle name="Normal 17 6 8 5" xfId="10570" xr:uid="{00000000-0005-0000-0000-00004E290000}"/>
    <cellStyle name="Normal 17 6 8 6" xfId="10571" xr:uid="{00000000-0005-0000-0000-00004F290000}"/>
    <cellStyle name="Normal 17 6 9" xfId="10572" xr:uid="{00000000-0005-0000-0000-000050290000}"/>
    <cellStyle name="Normal 17 6 9 2" xfId="10573" xr:uid="{00000000-0005-0000-0000-000051290000}"/>
    <cellStyle name="Normal 17 6 9 3" xfId="10574" xr:uid="{00000000-0005-0000-0000-000052290000}"/>
    <cellStyle name="Normal 17 6 9 4" xfId="10575" xr:uid="{00000000-0005-0000-0000-000053290000}"/>
    <cellStyle name="Normal 17 6 9 5" xfId="10576" xr:uid="{00000000-0005-0000-0000-000054290000}"/>
    <cellStyle name="Normal 17 6 9 6" xfId="10577" xr:uid="{00000000-0005-0000-0000-000055290000}"/>
    <cellStyle name="Normal 17 7" xfId="10578" xr:uid="{00000000-0005-0000-0000-000056290000}"/>
    <cellStyle name="Normal 17 7 10" xfId="10579" xr:uid="{00000000-0005-0000-0000-000057290000}"/>
    <cellStyle name="Normal 17 7 10 2" xfId="10580" xr:uid="{00000000-0005-0000-0000-000058290000}"/>
    <cellStyle name="Normal 17 7 10 3" xfId="10581" xr:uid="{00000000-0005-0000-0000-000059290000}"/>
    <cellStyle name="Normal 17 7 10 4" xfId="10582" xr:uid="{00000000-0005-0000-0000-00005A290000}"/>
    <cellStyle name="Normal 17 7 10 5" xfId="10583" xr:uid="{00000000-0005-0000-0000-00005B290000}"/>
    <cellStyle name="Normal 17 7 10 6" xfId="10584" xr:uid="{00000000-0005-0000-0000-00005C290000}"/>
    <cellStyle name="Normal 17 7 11" xfId="10585" xr:uid="{00000000-0005-0000-0000-00005D290000}"/>
    <cellStyle name="Normal 17 7 12" xfId="10586" xr:uid="{00000000-0005-0000-0000-00005E290000}"/>
    <cellStyle name="Normal 17 7 13" xfId="10587" xr:uid="{00000000-0005-0000-0000-00005F290000}"/>
    <cellStyle name="Normal 17 7 14" xfId="10588" xr:uid="{00000000-0005-0000-0000-000060290000}"/>
    <cellStyle name="Normal 17 7 15" xfId="10589" xr:uid="{00000000-0005-0000-0000-000061290000}"/>
    <cellStyle name="Normal 17 7 2" xfId="10590" xr:uid="{00000000-0005-0000-0000-000062290000}"/>
    <cellStyle name="Normal 17 7 2 10" xfId="10591" xr:uid="{00000000-0005-0000-0000-000063290000}"/>
    <cellStyle name="Normal 17 7 2 11" xfId="10592" xr:uid="{00000000-0005-0000-0000-000064290000}"/>
    <cellStyle name="Normal 17 7 2 12" xfId="10593" xr:uid="{00000000-0005-0000-0000-000065290000}"/>
    <cellStyle name="Normal 17 7 2 13" xfId="10594" xr:uid="{00000000-0005-0000-0000-000066290000}"/>
    <cellStyle name="Normal 17 7 2 14" xfId="10595" xr:uid="{00000000-0005-0000-0000-000067290000}"/>
    <cellStyle name="Normal 17 7 2 2" xfId="10596" xr:uid="{00000000-0005-0000-0000-000068290000}"/>
    <cellStyle name="Normal 17 7 2 2 2" xfId="10597" xr:uid="{00000000-0005-0000-0000-000069290000}"/>
    <cellStyle name="Normal 17 7 2 2 3" xfId="10598" xr:uid="{00000000-0005-0000-0000-00006A290000}"/>
    <cellStyle name="Normal 17 7 2 2 4" xfId="10599" xr:uid="{00000000-0005-0000-0000-00006B290000}"/>
    <cellStyle name="Normal 17 7 2 2 5" xfId="10600" xr:uid="{00000000-0005-0000-0000-00006C290000}"/>
    <cellStyle name="Normal 17 7 2 2 6" xfId="10601" xr:uid="{00000000-0005-0000-0000-00006D290000}"/>
    <cellStyle name="Normal 17 7 2 3" xfId="10602" xr:uid="{00000000-0005-0000-0000-00006E290000}"/>
    <cellStyle name="Normal 17 7 2 3 2" xfId="10603" xr:uid="{00000000-0005-0000-0000-00006F290000}"/>
    <cellStyle name="Normal 17 7 2 3 3" xfId="10604" xr:uid="{00000000-0005-0000-0000-000070290000}"/>
    <cellStyle name="Normal 17 7 2 3 4" xfId="10605" xr:uid="{00000000-0005-0000-0000-000071290000}"/>
    <cellStyle name="Normal 17 7 2 3 5" xfId="10606" xr:uid="{00000000-0005-0000-0000-000072290000}"/>
    <cellStyle name="Normal 17 7 2 3 6" xfId="10607" xr:uid="{00000000-0005-0000-0000-000073290000}"/>
    <cellStyle name="Normal 17 7 2 4" xfId="10608" xr:uid="{00000000-0005-0000-0000-000074290000}"/>
    <cellStyle name="Normal 17 7 2 4 2" xfId="10609" xr:uid="{00000000-0005-0000-0000-000075290000}"/>
    <cellStyle name="Normal 17 7 2 4 3" xfId="10610" xr:uid="{00000000-0005-0000-0000-000076290000}"/>
    <cellStyle name="Normal 17 7 2 4 4" xfId="10611" xr:uid="{00000000-0005-0000-0000-000077290000}"/>
    <cellStyle name="Normal 17 7 2 4 5" xfId="10612" xr:uid="{00000000-0005-0000-0000-000078290000}"/>
    <cellStyle name="Normal 17 7 2 4 6" xfId="10613" xr:uid="{00000000-0005-0000-0000-000079290000}"/>
    <cellStyle name="Normal 17 7 2 5" xfId="10614" xr:uid="{00000000-0005-0000-0000-00007A290000}"/>
    <cellStyle name="Normal 17 7 2 5 2" xfId="10615" xr:uid="{00000000-0005-0000-0000-00007B290000}"/>
    <cellStyle name="Normal 17 7 2 5 3" xfId="10616" xr:uid="{00000000-0005-0000-0000-00007C290000}"/>
    <cellStyle name="Normal 17 7 2 5 4" xfId="10617" xr:uid="{00000000-0005-0000-0000-00007D290000}"/>
    <cellStyle name="Normal 17 7 2 5 5" xfId="10618" xr:uid="{00000000-0005-0000-0000-00007E290000}"/>
    <cellStyle name="Normal 17 7 2 5 6" xfId="10619" xr:uid="{00000000-0005-0000-0000-00007F290000}"/>
    <cellStyle name="Normal 17 7 2 6" xfId="10620" xr:uid="{00000000-0005-0000-0000-000080290000}"/>
    <cellStyle name="Normal 17 7 2 6 2" xfId="10621" xr:uid="{00000000-0005-0000-0000-000081290000}"/>
    <cellStyle name="Normal 17 7 2 6 3" xfId="10622" xr:uid="{00000000-0005-0000-0000-000082290000}"/>
    <cellStyle name="Normal 17 7 2 6 4" xfId="10623" xr:uid="{00000000-0005-0000-0000-000083290000}"/>
    <cellStyle name="Normal 17 7 2 6 5" xfId="10624" xr:uid="{00000000-0005-0000-0000-000084290000}"/>
    <cellStyle name="Normal 17 7 2 6 6" xfId="10625" xr:uid="{00000000-0005-0000-0000-000085290000}"/>
    <cellStyle name="Normal 17 7 2 7" xfId="10626" xr:uid="{00000000-0005-0000-0000-000086290000}"/>
    <cellStyle name="Normal 17 7 2 7 2" xfId="10627" xr:uid="{00000000-0005-0000-0000-000087290000}"/>
    <cellStyle name="Normal 17 7 2 7 3" xfId="10628" xr:uid="{00000000-0005-0000-0000-000088290000}"/>
    <cellStyle name="Normal 17 7 2 7 4" xfId="10629" xr:uid="{00000000-0005-0000-0000-000089290000}"/>
    <cellStyle name="Normal 17 7 2 7 5" xfId="10630" xr:uid="{00000000-0005-0000-0000-00008A290000}"/>
    <cellStyle name="Normal 17 7 2 7 6" xfId="10631" xr:uid="{00000000-0005-0000-0000-00008B290000}"/>
    <cellStyle name="Normal 17 7 2 8" xfId="10632" xr:uid="{00000000-0005-0000-0000-00008C290000}"/>
    <cellStyle name="Normal 17 7 2 8 2" xfId="10633" xr:uid="{00000000-0005-0000-0000-00008D290000}"/>
    <cellStyle name="Normal 17 7 2 8 3" xfId="10634" xr:uid="{00000000-0005-0000-0000-00008E290000}"/>
    <cellStyle name="Normal 17 7 2 8 4" xfId="10635" xr:uid="{00000000-0005-0000-0000-00008F290000}"/>
    <cellStyle name="Normal 17 7 2 8 5" xfId="10636" xr:uid="{00000000-0005-0000-0000-000090290000}"/>
    <cellStyle name="Normal 17 7 2 8 6" xfId="10637" xr:uid="{00000000-0005-0000-0000-000091290000}"/>
    <cellStyle name="Normal 17 7 2 9" xfId="10638" xr:uid="{00000000-0005-0000-0000-000092290000}"/>
    <cellStyle name="Normal 17 7 2 9 2" xfId="10639" xr:uid="{00000000-0005-0000-0000-000093290000}"/>
    <cellStyle name="Normal 17 7 2 9 3" xfId="10640" xr:uid="{00000000-0005-0000-0000-000094290000}"/>
    <cellStyle name="Normal 17 7 2 9 4" xfId="10641" xr:uid="{00000000-0005-0000-0000-000095290000}"/>
    <cellStyle name="Normal 17 7 2 9 5" xfId="10642" xr:uid="{00000000-0005-0000-0000-000096290000}"/>
    <cellStyle name="Normal 17 7 2 9 6" xfId="10643" xr:uid="{00000000-0005-0000-0000-000097290000}"/>
    <cellStyle name="Normal 17 7 3" xfId="10644" xr:uid="{00000000-0005-0000-0000-000098290000}"/>
    <cellStyle name="Normal 17 7 3 2" xfId="10645" xr:uid="{00000000-0005-0000-0000-000099290000}"/>
    <cellStyle name="Normal 17 7 3 3" xfId="10646" xr:uid="{00000000-0005-0000-0000-00009A290000}"/>
    <cellStyle name="Normal 17 7 3 4" xfId="10647" xr:uid="{00000000-0005-0000-0000-00009B290000}"/>
    <cellStyle name="Normal 17 7 3 5" xfId="10648" xr:uid="{00000000-0005-0000-0000-00009C290000}"/>
    <cellStyle name="Normal 17 7 3 6" xfId="10649" xr:uid="{00000000-0005-0000-0000-00009D290000}"/>
    <cellStyle name="Normal 17 7 4" xfId="10650" xr:uid="{00000000-0005-0000-0000-00009E290000}"/>
    <cellStyle name="Normal 17 7 4 2" xfId="10651" xr:uid="{00000000-0005-0000-0000-00009F290000}"/>
    <cellStyle name="Normal 17 7 4 3" xfId="10652" xr:uid="{00000000-0005-0000-0000-0000A0290000}"/>
    <cellStyle name="Normal 17 7 4 4" xfId="10653" xr:uid="{00000000-0005-0000-0000-0000A1290000}"/>
    <cellStyle name="Normal 17 7 4 5" xfId="10654" xr:uid="{00000000-0005-0000-0000-0000A2290000}"/>
    <cellStyle name="Normal 17 7 4 6" xfId="10655" xr:uid="{00000000-0005-0000-0000-0000A3290000}"/>
    <cellStyle name="Normal 17 7 5" xfId="10656" xr:uid="{00000000-0005-0000-0000-0000A4290000}"/>
    <cellStyle name="Normal 17 7 5 2" xfId="10657" xr:uid="{00000000-0005-0000-0000-0000A5290000}"/>
    <cellStyle name="Normal 17 7 5 3" xfId="10658" xr:uid="{00000000-0005-0000-0000-0000A6290000}"/>
    <cellStyle name="Normal 17 7 5 4" xfId="10659" xr:uid="{00000000-0005-0000-0000-0000A7290000}"/>
    <cellStyle name="Normal 17 7 5 5" xfId="10660" xr:uid="{00000000-0005-0000-0000-0000A8290000}"/>
    <cellStyle name="Normal 17 7 5 6" xfId="10661" xr:uid="{00000000-0005-0000-0000-0000A9290000}"/>
    <cellStyle name="Normal 17 7 6" xfId="10662" xr:uid="{00000000-0005-0000-0000-0000AA290000}"/>
    <cellStyle name="Normal 17 7 6 2" xfId="10663" xr:uid="{00000000-0005-0000-0000-0000AB290000}"/>
    <cellStyle name="Normal 17 7 6 3" xfId="10664" xr:uid="{00000000-0005-0000-0000-0000AC290000}"/>
    <cellStyle name="Normal 17 7 6 4" xfId="10665" xr:uid="{00000000-0005-0000-0000-0000AD290000}"/>
    <cellStyle name="Normal 17 7 6 5" xfId="10666" xr:uid="{00000000-0005-0000-0000-0000AE290000}"/>
    <cellStyle name="Normal 17 7 6 6" xfId="10667" xr:uid="{00000000-0005-0000-0000-0000AF290000}"/>
    <cellStyle name="Normal 17 7 7" xfId="10668" xr:uid="{00000000-0005-0000-0000-0000B0290000}"/>
    <cellStyle name="Normal 17 7 7 2" xfId="10669" xr:uid="{00000000-0005-0000-0000-0000B1290000}"/>
    <cellStyle name="Normal 17 7 7 3" xfId="10670" xr:uid="{00000000-0005-0000-0000-0000B2290000}"/>
    <cellStyle name="Normal 17 7 7 4" xfId="10671" xr:uid="{00000000-0005-0000-0000-0000B3290000}"/>
    <cellStyle name="Normal 17 7 7 5" xfId="10672" xr:uid="{00000000-0005-0000-0000-0000B4290000}"/>
    <cellStyle name="Normal 17 7 7 6" xfId="10673" xr:uid="{00000000-0005-0000-0000-0000B5290000}"/>
    <cellStyle name="Normal 17 7 8" xfId="10674" xr:uid="{00000000-0005-0000-0000-0000B6290000}"/>
    <cellStyle name="Normal 17 7 8 2" xfId="10675" xr:uid="{00000000-0005-0000-0000-0000B7290000}"/>
    <cellStyle name="Normal 17 7 8 3" xfId="10676" xr:uid="{00000000-0005-0000-0000-0000B8290000}"/>
    <cellStyle name="Normal 17 7 8 4" xfId="10677" xr:uid="{00000000-0005-0000-0000-0000B9290000}"/>
    <cellStyle name="Normal 17 7 8 5" xfId="10678" xr:uid="{00000000-0005-0000-0000-0000BA290000}"/>
    <cellStyle name="Normal 17 7 8 6" xfId="10679" xr:uid="{00000000-0005-0000-0000-0000BB290000}"/>
    <cellStyle name="Normal 17 7 9" xfId="10680" xr:uid="{00000000-0005-0000-0000-0000BC290000}"/>
    <cellStyle name="Normal 17 7 9 2" xfId="10681" xr:uid="{00000000-0005-0000-0000-0000BD290000}"/>
    <cellStyle name="Normal 17 7 9 3" xfId="10682" xr:uid="{00000000-0005-0000-0000-0000BE290000}"/>
    <cellStyle name="Normal 17 7 9 4" xfId="10683" xr:uid="{00000000-0005-0000-0000-0000BF290000}"/>
    <cellStyle name="Normal 17 7 9 5" xfId="10684" xr:uid="{00000000-0005-0000-0000-0000C0290000}"/>
    <cellStyle name="Normal 17 7 9 6" xfId="10685" xr:uid="{00000000-0005-0000-0000-0000C1290000}"/>
    <cellStyle name="Normal 17 8" xfId="10686" xr:uid="{00000000-0005-0000-0000-0000C2290000}"/>
    <cellStyle name="Normal 17 8 10" xfId="10687" xr:uid="{00000000-0005-0000-0000-0000C3290000}"/>
    <cellStyle name="Normal 17 8 10 2" xfId="10688" xr:uid="{00000000-0005-0000-0000-0000C4290000}"/>
    <cellStyle name="Normal 17 8 10 3" xfId="10689" xr:uid="{00000000-0005-0000-0000-0000C5290000}"/>
    <cellStyle name="Normal 17 8 10 4" xfId="10690" xr:uid="{00000000-0005-0000-0000-0000C6290000}"/>
    <cellStyle name="Normal 17 8 10 5" xfId="10691" xr:uid="{00000000-0005-0000-0000-0000C7290000}"/>
    <cellStyle name="Normal 17 8 10 6" xfId="10692" xr:uid="{00000000-0005-0000-0000-0000C8290000}"/>
    <cellStyle name="Normal 17 8 11" xfId="10693" xr:uid="{00000000-0005-0000-0000-0000C9290000}"/>
    <cellStyle name="Normal 17 8 12" xfId="10694" xr:uid="{00000000-0005-0000-0000-0000CA290000}"/>
    <cellStyle name="Normal 17 8 13" xfId="10695" xr:uid="{00000000-0005-0000-0000-0000CB290000}"/>
    <cellStyle name="Normal 17 8 14" xfId="10696" xr:uid="{00000000-0005-0000-0000-0000CC290000}"/>
    <cellStyle name="Normal 17 8 15" xfId="10697" xr:uid="{00000000-0005-0000-0000-0000CD290000}"/>
    <cellStyle name="Normal 17 8 2" xfId="10698" xr:uid="{00000000-0005-0000-0000-0000CE290000}"/>
    <cellStyle name="Normal 17 8 2 10" xfId="10699" xr:uid="{00000000-0005-0000-0000-0000CF290000}"/>
    <cellStyle name="Normal 17 8 2 11" xfId="10700" xr:uid="{00000000-0005-0000-0000-0000D0290000}"/>
    <cellStyle name="Normal 17 8 2 12" xfId="10701" xr:uid="{00000000-0005-0000-0000-0000D1290000}"/>
    <cellStyle name="Normal 17 8 2 13" xfId="10702" xr:uid="{00000000-0005-0000-0000-0000D2290000}"/>
    <cellStyle name="Normal 17 8 2 14" xfId="10703" xr:uid="{00000000-0005-0000-0000-0000D3290000}"/>
    <cellStyle name="Normal 17 8 2 2" xfId="10704" xr:uid="{00000000-0005-0000-0000-0000D4290000}"/>
    <cellStyle name="Normal 17 8 2 2 2" xfId="10705" xr:uid="{00000000-0005-0000-0000-0000D5290000}"/>
    <cellStyle name="Normal 17 8 2 2 3" xfId="10706" xr:uid="{00000000-0005-0000-0000-0000D6290000}"/>
    <cellStyle name="Normal 17 8 2 2 4" xfId="10707" xr:uid="{00000000-0005-0000-0000-0000D7290000}"/>
    <cellStyle name="Normal 17 8 2 2 5" xfId="10708" xr:uid="{00000000-0005-0000-0000-0000D8290000}"/>
    <cellStyle name="Normal 17 8 2 2 6" xfId="10709" xr:uid="{00000000-0005-0000-0000-0000D9290000}"/>
    <cellStyle name="Normal 17 8 2 3" xfId="10710" xr:uid="{00000000-0005-0000-0000-0000DA290000}"/>
    <cellStyle name="Normal 17 8 2 3 2" xfId="10711" xr:uid="{00000000-0005-0000-0000-0000DB290000}"/>
    <cellStyle name="Normal 17 8 2 3 3" xfId="10712" xr:uid="{00000000-0005-0000-0000-0000DC290000}"/>
    <cellStyle name="Normal 17 8 2 3 4" xfId="10713" xr:uid="{00000000-0005-0000-0000-0000DD290000}"/>
    <cellStyle name="Normal 17 8 2 3 5" xfId="10714" xr:uid="{00000000-0005-0000-0000-0000DE290000}"/>
    <cellStyle name="Normal 17 8 2 3 6" xfId="10715" xr:uid="{00000000-0005-0000-0000-0000DF290000}"/>
    <cellStyle name="Normal 17 8 2 4" xfId="10716" xr:uid="{00000000-0005-0000-0000-0000E0290000}"/>
    <cellStyle name="Normal 17 8 2 4 2" xfId="10717" xr:uid="{00000000-0005-0000-0000-0000E1290000}"/>
    <cellStyle name="Normal 17 8 2 4 3" xfId="10718" xr:uid="{00000000-0005-0000-0000-0000E2290000}"/>
    <cellStyle name="Normal 17 8 2 4 4" xfId="10719" xr:uid="{00000000-0005-0000-0000-0000E3290000}"/>
    <cellStyle name="Normal 17 8 2 4 5" xfId="10720" xr:uid="{00000000-0005-0000-0000-0000E4290000}"/>
    <cellStyle name="Normal 17 8 2 4 6" xfId="10721" xr:uid="{00000000-0005-0000-0000-0000E5290000}"/>
    <cellStyle name="Normal 17 8 2 5" xfId="10722" xr:uid="{00000000-0005-0000-0000-0000E6290000}"/>
    <cellStyle name="Normal 17 8 2 5 2" xfId="10723" xr:uid="{00000000-0005-0000-0000-0000E7290000}"/>
    <cellStyle name="Normal 17 8 2 5 3" xfId="10724" xr:uid="{00000000-0005-0000-0000-0000E8290000}"/>
    <cellStyle name="Normal 17 8 2 5 4" xfId="10725" xr:uid="{00000000-0005-0000-0000-0000E9290000}"/>
    <cellStyle name="Normal 17 8 2 5 5" xfId="10726" xr:uid="{00000000-0005-0000-0000-0000EA290000}"/>
    <cellStyle name="Normal 17 8 2 5 6" xfId="10727" xr:uid="{00000000-0005-0000-0000-0000EB290000}"/>
    <cellStyle name="Normal 17 8 2 6" xfId="10728" xr:uid="{00000000-0005-0000-0000-0000EC290000}"/>
    <cellStyle name="Normal 17 8 2 6 2" xfId="10729" xr:uid="{00000000-0005-0000-0000-0000ED290000}"/>
    <cellStyle name="Normal 17 8 2 6 3" xfId="10730" xr:uid="{00000000-0005-0000-0000-0000EE290000}"/>
    <cellStyle name="Normal 17 8 2 6 4" xfId="10731" xr:uid="{00000000-0005-0000-0000-0000EF290000}"/>
    <cellStyle name="Normal 17 8 2 6 5" xfId="10732" xr:uid="{00000000-0005-0000-0000-0000F0290000}"/>
    <cellStyle name="Normal 17 8 2 6 6" xfId="10733" xr:uid="{00000000-0005-0000-0000-0000F1290000}"/>
    <cellStyle name="Normal 17 8 2 7" xfId="10734" xr:uid="{00000000-0005-0000-0000-0000F2290000}"/>
    <cellStyle name="Normal 17 8 2 7 2" xfId="10735" xr:uid="{00000000-0005-0000-0000-0000F3290000}"/>
    <cellStyle name="Normal 17 8 2 7 3" xfId="10736" xr:uid="{00000000-0005-0000-0000-0000F4290000}"/>
    <cellStyle name="Normal 17 8 2 7 4" xfId="10737" xr:uid="{00000000-0005-0000-0000-0000F5290000}"/>
    <cellStyle name="Normal 17 8 2 7 5" xfId="10738" xr:uid="{00000000-0005-0000-0000-0000F6290000}"/>
    <cellStyle name="Normal 17 8 2 7 6" xfId="10739" xr:uid="{00000000-0005-0000-0000-0000F7290000}"/>
    <cellStyle name="Normal 17 8 2 8" xfId="10740" xr:uid="{00000000-0005-0000-0000-0000F8290000}"/>
    <cellStyle name="Normal 17 8 2 8 2" xfId="10741" xr:uid="{00000000-0005-0000-0000-0000F9290000}"/>
    <cellStyle name="Normal 17 8 2 8 3" xfId="10742" xr:uid="{00000000-0005-0000-0000-0000FA290000}"/>
    <cellStyle name="Normal 17 8 2 8 4" xfId="10743" xr:uid="{00000000-0005-0000-0000-0000FB290000}"/>
    <cellStyle name="Normal 17 8 2 8 5" xfId="10744" xr:uid="{00000000-0005-0000-0000-0000FC290000}"/>
    <cellStyle name="Normal 17 8 2 8 6" xfId="10745" xr:uid="{00000000-0005-0000-0000-0000FD290000}"/>
    <cellStyle name="Normal 17 8 2 9" xfId="10746" xr:uid="{00000000-0005-0000-0000-0000FE290000}"/>
    <cellStyle name="Normal 17 8 2 9 2" xfId="10747" xr:uid="{00000000-0005-0000-0000-0000FF290000}"/>
    <cellStyle name="Normal 17 8 2 9 3" xfId="10748" xr:uid="{00000000-0005-0000-0000-0000002A0000}"/>
    <cellStyle name="Normal 17 8 2 9 4" xfId="10749" xr:uid="{00000000-0005-0000-0000-0000012A0000}"/>
    <cellStyle name="Normal 17 8 2 9 5" xfId="10750" xr:uid="{00000000-0005-0000-0000-0000022A0000}"/>
    <cellStyle name="Normal 17 8 2 9 6" xfId="10751" xr:uid="{00000000-0005-0000-0000-0000032A0000}"/>
    <cellStyle name="Normal 17 8 3" xfId="10752" xr:uid="{00000000-0005-0000-0000-0000042A0000}"/>
    <cellStyle name="Normal 17 8 3 2" xfId="10753" xr:uid="{00000000-0005-0000-0000-0000052A0000}"/>
    <cellStyle name="Normal 17 8 3 3" xfId="10754" xr:uid="{00000000-0005-0000-0000-0000062A0000}"/>
    <cellStyle name="Normal 17 8 3 4" xfId="10755" xr:uid="{00000000-0005-0000-0000-0000072A0000}"/>
    <cellStyle name="Normal 17 8 3 5" xfId="10756" xr:uid="{00000000-0005-0000-0000-0000082A0000}"/>
    <cellStyle name="Normal 17 8 3 6" xfId="10757" xr:uid="{00000000-0005-0000-0000-0000092A0000}"/>
    <cellStyle name="Normal 17 8 4" xfId="10758" xr:uid="{00000000-0005-0000-0000-00000A2A0000}"/>
    <cellStyle name="Normal 17 8 4 2" xfId="10759" xr:uid="{00000000-0005-0000-0000-00000B2A0000}"/>
    <cellStyle name="Normal 17 8 4 3" xfId="10760" xr:uid="{00000000-0005-0000-0000-00000C2A0000}"/>
    <cellStyle name="Normal 17 8 4 4" xfId="10761" xr:uid="{00000000-0005-0000-0000-00000D2A0000}"/>
    <cellStyle name="Normal 17 8 4 5" xfId="10762" xr:uid="{00000000-0005-0000-0000-00000E2A0000}"/>
    <cellStyle name="Normal 17 8 4 6" xfId="10763" xr:uid="{00000000-0005-0000-0000-00000F2A0000}"/>
    <cellStyle name="Normal 17 8 5" xfId="10764" xr:uid="{00000000-0005-0000-0000-0000102A0000}"/>
    <cellStyle name="Normal 17 8 5 2" xfId="10765" xr:uid="{00000000-0005-0000-0000-0000112A0000}"/>
    <cellStyle name="Normal 17 8 5 3" xfId="10766" xr:uid="{00000000-0005-0000-0000-0000122A0000}"/>
    <cellStyle name="Normal 17 8 5 4" xfId="10767" xr:uid="{00000000-0005-0000-0000-0000132A0000}"/>
    <cellStyle name="Normal 17 8 5 5" xfId="10768" xr:uid="{00000000-0005-0000-0000-0000142A0000}"/>
    <cellStyle name="Normal 17 8 5 6" xfId="10769" xr:uid="{00000000-0005-0000-0000-0000152A0000}"/>
    <cellStyle name="Normal 17 8 6" xfId="10770" xr:uid="{00000000-0005-0000-0000-0000162A0000}"/>
    <cellStyle name="Normal 17 8 6 2" xfId="10771" xr:uid="{00000000-0005-0000-0000-0000172A0000}"/>
    <cellStyle name="Normal 17 8 6 3" xfId="10772" xr:uid="{00000000-0005-0000-0000-0000182A0000}"/>
    <cellStyle name="Normal 17 8 6 4" xfId="10773" xr:uid="{00000000-0005-0000-0000-0000192A0000}"/>
    <cellStyle name="Normal 17 8 6 5" xfId="10774" xr:uid="{00000000-0005-0000-0000-00001A2A0000}"/>
    <cellStyle name="Normal 17 8 6 6" xfId="10775" xr:uid="{00000000-0005-0000-0000-00001B2A0000}"/>
    <cellStyle name="Normal 17 8 7" xfId="10776" xr:uid="{00000000-0005-0000-0000-00001C2A0000}"/>
    <cellStyle name="Normal 17 8 7 2" xfId="10777" xr:uid="{00000000-0005-0000-0000-00001D2A0000}"/>
    <cellStyle name="Normal 17 8 7 3" xfId="10778" xr:uid="{00000000-0005-0000-0000-00001E2A0000}"/>
    <cellStyle name="Normal 17 8 7 4" xfId="10779" xr:uid="{00000000-0005-0000-0000-00001F2A0000}"/>
    <cellStyle name="Normal 17 8 7 5" xfId="10780" xr:uid="{00000000-0005-0000-0000-0000202A0000}"/>
    <cellStyle name="Normal 17 8 7 6" xfId="10781" xr:uid="{00000000-0005-0000-0000-0000212A0000}"/>
    <cellStyle name="Normal 17 8 8" xfId="10782" xr:uid="{00000000-0005-0000-0000-0000222A0000}"/>
    <cellStyle name="Normal 17 8 8 2" xfId="10783" xr:uid="{00000000-0005-0000-0000-0000232A0000}"/>
    <cellStyle name="Normal 17 8 8 3" xfId="10784" xr:uid="{00000000-0005-0000-0000-0000242A0000}"/>
    <cellStyle name="Normal 17 8 8 4" xfId="10785" xr:uid="{00000000-0005-0000-0000-0000252A0000}"/>
    <cellStyle name="Normal 17 8 8 5" xfId="10786" xr:uid="{00000000-0005-0000-0000-0000262A0000}"/>
    <cellStyle name="Normal 17 8 8 6" xfId="10787" xr:uid="{00000000-0005-0000-0000-0000272A0000}"/>
    <cellStyle name="Normal 17 8 9" xfId="10788" xr:uid="{00000000-0005-0000-0000-0000282A0000}"/>
    <cellStyle name="Normal 17 8 9 2" xfId="10789" xr:uid="{00000000-0005-0000-0000-0000292A0000}"/>
    <cellStyle name="Normal 17 8 9 3" xfId="10790" xr:uid="{00000000-0005-0000-0000-00002A2A0000}"/>
    <cellStyle name="Normal 17 8 9 4" xfId="10791" xr:uid="{00000000-0005-0000-0000-00002B2A0000}"/>
    <cellStyle name="Normal 17 8 9 5" xfId="10792" xr:uid="{00000000-0005-0000-0000-00002C2A0000}"/>
    <cellStyle name="Normal 17 8 9 6" xfId="10793" xr:uid="{00000000-0005-0000-0000-00002D2A0000}"/>
    <cellStyle name="Normal 17 9" xfId="10794" xr:uid="{00000000-0005-0000-0000-00002E2A0000}"/>
    <cellStyle name="Normal 17 9 10" xfId="10795" xr:uid="{00000000-0005-0000-0000-00002F2A0000}"/>
    <cellStyle name="Normal 17 9 10 2" xfId="10796" xr:uid="{00000000-0005-0000-0000-0000302A0000}"/>
    <cellStyle name="Normal 17 9 10 3" xfId="10797" xr:uid="{00000000-0005-0000-0000-0000312A0000}"/>
    <cellStyle name="Normal 17 9 10 4" xfId="10798" xr:uid="{00000000-0005-0000-0000-0000322A0000}"/>
    <cellStyle name="Normal 17 9 10 5" xfId="10799" xr:uid="{00000000-0005-0000-0000-0000332A0000}"/>
    <cellStyle name="Normal 17 9 10 6" xfId="10800" xr:uid="{00000000-0005-0000-0000-0000342A0000}"/>
    <cellStyle name="Normal 17 9 11" xfId="10801" xr:uid="{00000000-0005-0000-0000-0000352A0000}"/>
    <cellStyle name="Normal 17 9 12" xfId="10802" xr:uid="{00000000-0005-0000-0000-0000362A0000}"/>
    <cellStyle name="Normal 17 9 13" xfId="10803" xr:uid="{00000000-0005-0000-0000-0000372A0000}"/>
    <cellStyle name="Normal 17 9 14" xfId="10804" xr:uid="{00000000-0005-0000-0000-0000382A0000}"/>
    <cellStyle name="Normal 17 9 15" xfId="10805" xr:uid="{00000000-0005-0000-0000-0000392A0000}"/>
    <cellStyle name="Normal 17 9 2" xfId="10806" xr:uid="{00000000-0005-0000-0000-00003A2A0000}"/>
    <cellStyle name="Normal 17 9 2 10" xfId="10807" xr:uid="{00000000-0005-0000-0000-00003B2A0000}"/>
    <cellStyle name="Normal 17 9 2 11" xfId="10808" xr:uid="{00000000-0005-0000-0000-00003C2A0000}"/>
    <cellStyle name="Normal 17 9 2 12" xfId="10809" xr:uid="{00000000-0005-0000-0000-00003D2A0000}"/>
    <cellStyle name="Normal 17 9 2 13" xfId="10810" xr:uid="{00000000-0005-0000-0000-00003E2A0000}"/>
    <cellStyle name="Normal 17 9 2 14" xfId="10811" xr:uid="{00000000-0005-0000-0000-00003F2A0000}"/>
    <cellStyle name="Normal 17 9 2 2" xfId="10812" xr:uid="{00000000-0005-0000-0000-0000402A0000}"/>
    <cellStyle name="Normal 17 9 2 2 2" xfId="10813" xr:uid="{00000000-0005-0000-0000-0000412A0000}"/>
    <cellStyle name="Normal 17 9 2 2 3" xfId="10814" xr:uid="{00000000-0005-0000-0000-0000422A0000}"/>
    <cellStyle name="Normal 17 9 2 2 4" xfId="10815" xr:uid="{00000000-0005-0000-0000-0000432A0000}"/>
    <cellStyle name="Normal 17 9 2 2 5" xfId="10816" xr:uid="{00000000-0005-0000-0000-0000442A0000}"/>
    <cellStyle name="Normal 17 9 2 2 6" xfId="10817" xr:uid="{00000000-0005-0000-0000-0000452A0000}"/>
    <cellStyle name="Normal 17 9 2 3" xfId="10818" xr:uid="{00000000-0005-0000-0000-0000462A0000}"/>
    <cellStyle name="Normal 17 9 2 3 2" xfId="10819" xr:uid="{00000000-0005-0000-0000-0000472A0000}"/>
    <cellStyle name="Normal 17 9 2 3 3" xfId="10820" xr:uid="{00000000-0005-0000-0000-0000482A0000}"/>
    <cellStyle name="Normal 17 9 2 3 4" xfId="10821" xr:uid="{00000000-0005-0000-0000-0000492A0000}"/>
    <cellStyle name="Normal 17 9 2 3 5" xfId="10822" xr:uid="{00000000-0005-0000-0000-00004A2A0000}"/>
    <cellStyle name="Normal 17 9 2 3 6" xfId="10823" xr:uid="{00000000-0005-0000-0000-00004B2A0000}"/>
    <cellStyle name="Normal 17 9 2 4" xfId="10824" xr:uid="{00000000-0005-0000-0000-00004C2A0000}"/>
    <cellStyle name="Normal 17 9 2 4 2" xfId="10825" xr:uid="{00000000-0005-0000-0000-00004D2A0000}"/>
    <cellStyle name="Normal 17 9 2 4 3" xfId="10826" xr:uid="{00000000-0005-0000-0000-00004E2A0000}"/>
    <cellStyle name="Normal 17 9 2 4 4" xfId="10827" xr:uid="{00000000-0005-0000-0000-00004F2A0000}"/>
    <cellStyle name="Normal 17 9 2 4 5" xfId="10828" xr:uid="{00000000-0005-0000-0000-0000502A0000}"/>
    <cellStyle name="Normal 17 9 2 4 6" xfId="10829" xr:uid="{00000000-0005-0000-0000-0000512A0000}"/>
    <cellStyle name="Normal 17 9 2 5" xfId="10830" xr:uid="{00000000-0005-0000-0000-0000522A0000}"/>
    <cellStyle name="Normal 17 9 2 5 2" xfId="10831" xr:uid="{00000000-0005-0000-0000-0000532A0000}"/>
    <cellStyle name="Normal 17 9 2 5 3" xfId="10832" xr:uid="{00000000-0005-0000-0000-0000542A0000}"/>
    <cellStyle name="Normal 17 9 2 5 4" xfId="10833" xr:uid="{00000000-0005-0000-0000-0000552A0000}"/>
    <cellStyle name="Normal 17 9 2 5 5" xfId="10834" xr:uid="{00000000-0005-0000-0000-0000562A0000}"/>
    <cellStyle name="Normal 17 9 2 5 6" xfId="10835" xr:uid="{00000000-0005-0000-0000-0000572A0000}"/>
    <cellStyle name="Normal 17 9 2 6" xfId="10836" xr:uid="{00000000-0005-0000-0000-0000582A0000}"/>
    <cellStyle name="Normal 17 9 2 6 2" xfId="10837" xr:uid="{00000000-0005-0000-0000-0000592A0000}"/>
    <cellStyle name="Normal 17 9 2 6 3" xfId="10838" xr:uid="{00000000-0005-0000-0000-00005A2A0000}"/>
    <cellStyle name="Normal 17 9 2 6 4" xfId="10839" xr:uid="{00000000-0005-0000-0000-00005B2A0000}"/>
    <cellStyle name="Normal 17 9 2 6 5" xfId="10840" xr:uid="{00000000-0005-0000-0000-00005C2A0000}"/>
    <cellStyle name="Normal 17 9 2 6 6" xfId="10841" xr:uid="{00000000-0005-0000-0000-00005D2A0000}"/>
    <cellStyle name="Normal 17 9 2 7" xfId="10842" xr:uid="{00000000-0005-0000-0000-00005E2A0000}"/>
    <cellStyle name="Normal 17 9 2 7 2" xfId="10843" xr:uid="{00000000-0005-0000-0000-00005F2A0000}"/>
    <cellStyle name="Normal 17 9 2 7 3" xfId="10844" xr:uid="{00000000-0005-0000-0000-0000602A0000}"/>
    <cellStyle name="Normal 17 9 2 7 4" xfId="10845" xr:uid="{00000000-0005-0000-0000-0000612A0000}"/>
    <cellStyle name="Normal 17 9 2 7 5" xfId="10846" xr:uid="{00000000-0005-0000-0000-0000622A0000}"/>
    <cellStyle name="Normal 17 9 2 7 6" xfId="10847" xr:uid="{00000000-0005-0000-0000-0000632A0000}"/>
    <cellStyle name="Normal 17 9 2 8" xfId="10848" xr:uid="{00000000-0005-0000-0000-0000642A0000}"/>
    <cellStyle name="Normal 17 9 2 8 2" xfId="10849" xr:uid="{00000000-0005-0000-0000-0000652A0000}"/>
    <cellStyle name="Normal 17 9 2 8 3" xfId="10850" xr:uid="{00000000-0005-0000-0000-0000662A0000}"/>
    <cellStyle name="Normal 17 9 2 8 4" xfId="10851" xr:uid="{00000000-0005-0000-0000-0000672A0000}"/>
    <cellStyle name="Normal 17 9 2 8 5" xfId="10852" xr:uid="{00000000-0005-0000-0000-0000682A0000}"/>
    <cellStyle name="Normal 17 9 2 8 6" xfId="10853" xr:uid="{00000000-0005-0000-0000-0000692A0000}"/>
    <cellStyle name="Normal 17 9 2 9" xfId="10854" xr:uid="{00000000-0005-0000-0000-00006A2A0000}"/>
    <cellStyle name="Normal 17 9 2 9 2" xfId="10855" xr:uid="{00000000-0005-0000-0000-00006B2A0000}"/>
    <cellStyle name="Normal 17 9 2 9 3" xfId="10856" xr:uid="{00000000-0005-0000-0000-00006C2A0000}"/>
    <cellStyle name="Normal 17 9 2 9 4" xfId="10857" xr:uid="{00000000-0005-0000-0000-00006D2A0000}"/>
    <cellStyle name="Normal 17 9 2 9 5" xfId="10858" xr:uid="{00000000-0005-0000-0000-00006E2A0000}"/>
    <cellStyle name="Normal 17 9 2 9 6" xfId="10859" xr:uid="{00000000-0005-0000-0000-00006F2A0000}"/>
    <cellStyle name="Normal 17 9 3" xfId="10860" xr:uid="{00000000-0005-0000-0000-0000702A0000}"/>
    <cellStyle name="Normal 17 9 3 2" xfId="10861" xr:uid="{00000000-0005-0000-0000-0000712A0000}"/>
    <cellStyle name="Normal 17 9 3 3" xfId="10862" xr:uid="{00000000-0005-0000-0000-0000722A0000}"/>
    <cellStyle name="Normal 17 9 3 4" xfId="10863" xr:uid="{00000000-0005-0000-0000-0000732A0000}"/>
    <cellStyle name="Normal 17 9 3 5" xfId="10864" xr:uid="{00000000-0005-0000-0000-0000742A0000}"/>
    <cellStyle name="Normal 17 9 3 6" xfId="10865" xr:uid="{00000000-0005-0000-0000-0000752A0000}"/>
    <cellStyle name="Normal 17 9 4" xfId="10866" xr:uid="{00000000-0005-0000-0000-0000762A0000}"/>
    <cellStyle name="Normal 17 9 4 2" xfId="10867" xr:uid="{00000000-0005-0000-0000-0000772A0000}"/>
    <cellStyle name="Normal 17 9 4 3" xfId="10868" xr:uid="{00000000-0005-0000-0000-0000782A0000}"/>
    <cellStyle name="Normal 17 9 4 4" xfId="10869" xr:uid="{00000000-0005-0000-0000-0000792A0000}"/>
    <cellStyle name="Normal 17 9 4 5" xfId="10870" xr:uid="{00000000-0005-0000-0000-00007A2A0000}"/>
    <cellStyle name="Normal 17 9 4 6" xfId="10871" xr:uid="{00000000-0005-0000-0000-00007B2A0000}"/>
    <cellStyle name="Normal 17 9 5" xfId="10872" xr:uid="{00000000-0005-0000-0000-00007C2A0000}"/>
    <cellStyle name="Normal 17 9 5 2" xfId="10873" xr:uid="{00000000-0005-0000-0000-00007D2A0000}"/>
    <cellStyle name="Normal 17 9 5 3" xfId="10874" xr:uid="{00000000-0005-0000-0000-00007E2A0000}"/>
    <cellStyle name="Normal 17 9 5 4" xfId="10875" xr:uid="{00000000-0005-0000-0000-00007F2A0000}"/>
    <cellStyle name="Normal 17 9 5 5" xfId="10876" xr:uid="{00000000-0005-0000-0000-0000802A0000}"/>
    <cellStyle name="Normal 17 9 5 6" xfId="10877" xr:uid="{00000000-0005-0000-0000-0000812A0000}"/>
    <cellStyle name="Normal 17 9 6" xfId="10878" xr:uid="{00000000-0005-0000-0000-0000822A0000}"/>
    <cellStyle name="Normal 17 9 6 2" xfId="10879" xr:uid="{00000000-0005-0000-0000-0000832A0000}"/>
    <cellStyle name="Normal 17 9 6 3" xfId="10880" xr:uid="{00000000-0005-0000-0000-0000842A0000}"/>
    <cellStyle name="Normal 17 9 6 4" xfId="10881" xr:uid="{00000000-0005-0000-0000-0000852A0000}"/>
    <cellStyle name="Normal 17 9 6 5" xfId="10882" xr:uid="{00000000-0005-0000-0000-0000862A0000}"/>
    <cellStyle name="Normal 17 9 6 6" xfId="10883" xr:uid="{00000000-0005-0000-0000-0000872A0000}"/>
    <cellStyle name="Normal 17 9 7" xfId="10884" xr:uid="{00000000-0005-0000-0000-0000882A0000}"/>
    <cellStyle name="Normal 17 9 7 2" xfId="10885" xr:uid="{00000000-0005-0000-0000-0000892A0000}"/>
    <cellStyle name="Normal 17 9 7 3" xfId="10886" xr:uid="{00000000-0005-0000-0000-00008A2A0000}"/>
    <cellStyle name="Normal 17 9 7 4" xfId="10887" xr:uid="{00000000-0005-0000-0000-00008B2A0000}"/>
    <cellStyle name="Normal 17 9 7 5" xfId="10888" xr:uid="{00000000-0005-0000-0000-00008C2A0000}"/>
    <cellStyle name="Normal 17 9 7 6" xfId="10889" xr:uid="{00000000-0005-0000-0000-00008D2A0000}"/>
    <cellStyle name="Normal 17 9 8" xfId="10890" xr:uid="{00000000-0005-0000-0000-00008E2A0000}"/>
    <cellStyle name="Normal 17 9 8 2" xfId="10891" xr:uid="{00000000-0005-0000-0000-00008F2A0000}"/>
    <cellStyle name="Normal 17 9 8 3" xfId="10892" xr:uid="{00000000-0005-0000-0000-0000902A0000}"/>
    <cellStyle name="Normal 17 9 8 4" xfId="10893" xr:uid="{00000000-0005-0000-0000-0000912A0000}"/>
    <cellStyle name="Normal 17 9 8 5" xfId="10894" xr:uid="{00000000-0005-0000-0000-0000922A0000}"/>
    <cellStyle name="Normal 17 9 8 6" xfId="10895" xr:uid="{00000000-0005-0000-0000-0000932A0000}"/>
    <cellStyle name="Normal 17 9 9" xfId="10896" xr:uid="{00000000-0005-0000-0000-0000942A0000}"/>
    <cellStyle name="Normal 17 9 9 2" xfId="10897" xr:uid="{00000000-0005-0000-0000-0000952A0000}"/>
    <cellStyle name="Normal 17 9 9 3" xfId="10898" xr:uid="{00000000-0005-0000-0000-0000962A0000}"/>
    <cellStyle name="Normal 17 9 9 4" xfId="10899" xr:uid="{00000000-0005-0000-0000-0000972A0000}"/>
    <cellStyle name="Normal 17 9 9 5" xfId="10900" xr:uid="{00000000-0005-0000-0000-0000982A0000}"/>
    <cellStyle name="Normal 17 9 9 6" xfId="10901" xr:uid="{00000000-0005-0000-0000-0000992A0000}"/>
    <cellStyle name="Normal 18" xfId="10902" xr:uid="{00000000-0005-0000-0000-00009A2A0000}"/>
    <cellStyle name="Normal 18 10" xfId="10903" xr:uid="{00000000-0005-0000-0000-00009B2A0000}"/>
    <cellStyle name="Normal 18 10 2" xfId="10904" xr:uid="{00000000-0005-0000-0000-00009C2A0000}"/>
    <cellStyle name="Normal 18 10 3" xfId="10905" xr:uid="{00000000-0005-0000-0000-00009D2A0000}"/>
    <cellStyle name="Normal 18 10 4" xfId="10906" xr:uid="{00000000-0005-0000-0000-00009E2A0000}"/>
    <cellStyle name="Normal 18 10 5" xfId="10907" xr:uid="{00000000-0005-0000-0000-00009F2A0000}"/>
    <cellStyle name="Normal 18 10 6" xfId="10908" xr:uid="{00000000-0005-0000-0000-0000A02A0000}"/>
    <cellStyle name="Normal 18 11" xfId="10909" xr:uid="{00000000-0005-0000-0000-0000A12A0000}"/>
    <cellStyle name="Normal 18 11 2" xfId="10910" xr:uid="{00000000-0005-0000-0000-0000A22A0000}"/>
    <cellStyle name="Normal 18 11 3" xfId="10911" xr:uid="{00000000-0005-0000-0000-0000A32A0000}"/>
    <cellStyle name="Normal 18 11 4" xfId="10912" xr:uid="{00000000-0005-0000-0000-0000A42A0000}"/>
    <cellStyle name="Normal 18 11 5" xfId="10913" xr:uid="{00000000-0005-0000-0000-0000A52A0000}"/>
    <cellStyle name="Normal 18 11 6" xfId="10914" xr:uid="{00000000-0005-0000-0000-0000A62A0000}"/>
    <cellStyle name="Normal 18 12" xfId="10915" xr:uid="{00000000-0005-0000-0000-0000A72A0000}"/>
    <cellStyle name="Normal 18 13" xfId="10916" xr:uid="{00000000-0005-0000-0000-0000A82A0000}"/>
    <cellStyle name="Normal 18 14" xfId="10917" xr:uid="{00000000-0005-0000-0000-0000A92A0000}"/>
    <cellStyle name="Normal 18 15" xfId="10918" xr:uid="{00000000-0005-0000-0000-0000AA2A0000}"/>
    <cellStyle name="Normal 18 16" xfId="10919" xr:uid="{00000000-0005-0000-0000-0000AB2A0000}"/>
    <cellStyle name="Normal 18 2" xfId="10920" xr:uid="{00000000-0005-0000-0000-0000AC2A0000}"/>
    <cellStyle name="Normal 18 2 10" xfId="10921" xr:uid="{00000000-0005-0000-0000-0000AD2A0000}"/>
    <cellStyle name="Normal 18 2 10 2" xfId="10922" xr:uid="{00000000-0005-0000-0000-0000AE2A0000}"/>
    <cellStyle name="Normal 18 2 10 3" xfId="10923" xr:uid="{00000000-0005-0000-0000-0000AF2A0000}"/>
    <cellStyle name="Normal 18 2 10 4" xfId="10924" xr:uid="{00000000-0005-0000-0000-0000B02A0000}"/>
    <cellStyle name="Normal 18 2 10 5" xfId="10925" xr:uid="{00000000-0005-0000-0000-0000B12A0000}"/>
    <cellStyle name="Normal 18 2 10 6" xfId="10926" xr:uid="{00000000-0005-0000-0000-0000B22A0000}"/>
    <cellStyle name="Normal 18 2 11" xfId="10927" xr:uid="{00000000-0005-0000-0000-0000B32A0000}"/>
    <cellStyle name="Normal 18 2 12" xfId="10928" xr:uid="{00000000-0005-0000-0000-0000B42A0000}"/>
    <cellStyle name="Normal 18 2 13" xfId="10929" xr:uid="{00000000-0005-0000-0000-0000B52A0000}"/>
    <cellStyle name="Normal 18 2 14" xfId="10930" xr:uid="{00000000-0005-0000-0000-0000B62A0000}"/>
    <cellStyle name="Normal 18 2 15" xfId="10931" xr:uid="{00000000-0005-0000-0000-0000B72A0000}"/>
    <cellStyle name="Normal 18 2 2" xfId="10932" xr:uid="{00000000-0005-0000-0000-0000B82A0000}"/>
    <cellStyle name="Normal 18 2 2 10" xfId="10933" xr:uid="{00000000-0005-0000-0000-0000B92A0000}"/>
    <cellStyle name="Normal 18 2 2 11" xfId="10934" xr:uid="{00000000-0005-0000-0000-0000BA2A0000}"/>
    <cellStyle name="Normal 18 2 2 12" xfId="10935" xr:uid="{00000000-0005-0000-0000-0000BB2A0000}"/>
    <cellStyle name="Normal 18 2 2 13" xfId="10936" xr:uid="{00000000-0005-0000-0000-0000BC2A0000}"/>
    <cellStyle name="Normal 18 2 2 14" xfId="10937" xr:uid="{00000000-0005-0000-0000-0000BD2A0000}"/>
    <cellStyle name="Normal 18 2 2 2" xfId="10938" xr:uid="{00000000-0005-0000-0000-0000BE2A0000}"/>
    <cellStyle name="Normal 18 2 2 2 2" xfId="10939" xr:uid="{00000000-0005-0000-0000-0000BF2A0000}"/>
    <cellStyle name="Normal 18 2 2 2 3" xfId="10940" xr:uid="{00000000-0005-0000-0000-0000C02A0000}"/>
    <cellStyle name="Normal 18 2 2 2 4" xfId="10941" xr:uid="{00000000-0005-0000-0000-0000C12A0000}"/>
    <cellStyle name="Normal 18 2 2 2 5" xfId="10942" xr:uid="{00000000-0005-0000-0000-0000C22A0000}"/>
    <cellStyle name="Normal 18 2 2 2 6" xfId="10943" xr:uid="{00000000-0005-0000-0000-0000C32A0000}"/>
    <cellStyle name="Normal 18 2 2 3" xfId="10944" xr:uid="{00000000-0005-0000-0000-0000C42A0000}"/>
    <cellStyle name="Normal 18 2 2 3 2" xfId="10945" xr:uid="{00000000-0005-0000-0000-0000C52A0000}"/>
    <cellStyle name="Normal 18 2 2 3 3" xfId="10946" xr:uid="{00000000-0005-0000-0000-0000C62A0000}"/>
    <cellStyle name="Normal 18 2 2 3 4" xfId="10947" xr:uid="{00000000-0005-0000-0000-0000C72A0000}"/>
    <cellStyle name="Normal 18 2 2 3 5" xfId="10948" xr:uid="{00000000-0005-0000-0000-0000C82A0000}"/>
    <cellStyle name="Normal 18 2 2 3 6" xfId="10949" xr:uid="{00000000-0005-0000-0000-0000C92A0000}"/>
    <cellStyle name="Normal 18 2 2 4" xfId="10950" xr:uid="{00000000-0005-0000-0000-0000CA2A0000}"/>
    <cellStyle name="Normal 18 2 2 4 2" xfId="10951" xr:uid="{00000000-0005-0000-0000-0000CB2A0000}"/>
    <cellStyle name="Normal 18 2 2 4 3" xfId="10952" xr:uid="{00000000-0005-0000-0000-0000CC2A0000}"/>
    <cellStyle name="Normal 18 2 2 4 4" xfId="10953" xr:uid="{00000000-0005-0000-0000-0000CD2A0000}"/>
    <cellStyle name="Normal 18 2 2 4 5" xfId="10954" xr:uid="{00000000-0005-0000-0000-0000CE2A0000}"/>
    <cellStyle name="Normal 18 2 2 4 6" xfId="10955" xr:uid="{00000000-0005-0000-0000-0000CF2A0000}"/>
    <cellStyle name="Normal 18 2 2 5" xfId="10956" xr:uid="{00000000-0005-0000-0000-0000D02A0000}"/>
    <cellStyle name="Normal 18 2 2 5 2" xfId="10957" xr:uid="{00000000-0005-0000-0000-0000D12A0000}"/>
    <cellStyle name="Normal 18 2 2 5 3" xfId="10958" xr:uid="{00000000-0005-0000-0000-0000D22A0000}"/>
    <cellStyle name="Normal 18 2 2 5 4" xfId="10959" xr:uid="{00000000-0005-0000-0000-0000D32A0000}"/>
    <cellStyle name="Normal 18 2 2 5 5" xfId="10960" xr:uid="{00000000-0005-0000-0000-0000D42A0000}"/>
    <cellStyle name="Normal 18 2 2 5 6" xfId="10961" xr:uid="{00000000-0005-0000-0000-0000D52A0000}"/>
    <cellStyle name="Normal 18 2 2 6" xfId="10962" xr:uid="{00000000-0005-0000-0000-0000D62A0000}"/>
    <cellStyle name="Normal 18 2 2 6 2" xfId="10963" xr:uid="{00000000-0005-0000-0000-0000D72A0000}"/>
    <cellStyle name="Normal 18 2 2 6 3" xfId="10964" xr:uid="{00000000-0005-0000-0000-0000D82A0000}"/>
    <cellStyle name="Normal 18 2 2 6 4" xfId="10965" xr:uid="{00000000-0005-0000-0000-0000D92A0000}"/>
    <cellStyle name="Normal 18 2 2 6 5" xfId="10966" xr:uid="{00000000-0005-0000-0000-0000DA2A0000}"/>
    <cellStyle name="Normal 18 2 2 6 6" xfId="10967" xr:uid="{00000000-0005-0000-0000-0000DB2A0000}"/>
    <cellStyle name="Normal 18 2 2 7" xfId="10968" xr:uid="{00000000-0005-0000-0000-0000DC2A0000}"/>
    <cellStyle name="Normal 18 2 2 7 2" xfId="10969" xr:uid="{00000000-0005-0000-0000-0000DD2A0000}"/>
    <cellStyle name="Normal 18 2 2 7 3" xfId="10970" xr:uid="{00000000-0005-0000-0000-0000DE2A0000}"/>
    <cellStyle name="Normal 18 2 2 7 4" xfId="10971" xr:uid="{00000000-0005-0000-0000-0000DF2A0000}"/>
    <cellStyle name="Normal 18 2 2 7 5" xfId="10972" xr:uid="{00000000-0005-0000-0000-0000E02A0000}"/>
    <cellStyle name="Normal 18 2 2 7 6" xfId="10973" xr:uid="{00000000-0005-0000-0000-0000E12A0000}"/>
    <cellStyle name="Normal 18 2 2 8" xfId="10974" xr:uid="{00000000-0005-0000-0000-0000E22A0000}"/>
    <cellStyle name="Normal 18 2 2 8 2" xfId="10975" xr:uid="{00000000-0005-0000-0000-0000E32A0000}"/>
    <cellStyle name="Normal 18 2 2 8 3" xfId="10976" xr:uid="{00000000-0005-0000-0000-0000E42A0000}"/>
    <cellStyle name="Normal 18 2 2 8 4" xfId="10977" xr:uid="{00000000-0005-0000-0000-0000E52A0000}"/>
    <cellStyle name="Normal 18 2 2 8 5" xfId="10978" xr:uid="{00000000-0005-0000-0000-0000E62A0000}"/>
    <cellStyle name="Normal 18 2 2 8 6" xfId="10979" xr:uid="{00000000-0005-0000-0000-0000E72A0000}"/>
    <cellStyle name="Normal 18 2 2 9" xfId="10980" xr:uid="{00000000-0005-0000-0000-0000E82A0000}"/>
    <cellStyle name="Normal 18 2 2 9 2" xfId="10981" xr:uid="{00000000-0005-0000-0000-0000E92A0000}"/>
    <cellStyle name="Normal 18 2 2 9 3" xfId="10982" xr:uid="{00000000-0005-0000-0000-0000EA2A0000}"/>
    <cellStyle name="Normal 18 2 2 9 4" xfId="10983" xr:uid="{00000000-0005-0000-0000-0000EB2A0000}"/>
    <cellStyle name="Normal 18 2 2 9 5" xfId="10984" xr:uid="{00000000-0005-0000-0000-0000EC2A0000}"/>
    <cellStyle name="Normal 18 2 2 9 6" xfId="10985" xr:uid="{00000000-0005-0000-0000-0000ED2A0000}"/>
    <cellStyle name="Normal 18 2 3" xfId="10986" xr:uid="{00000000-0005-0000-0000-0000EE2A0000}"/>
    <cellStyle name="Normal 18 2 3 2" xfId="10987" xr:uid="{00000000-0005-0000-0000-0000EF2A0000}"/>
    <cellStyle name="Normal 18 2 3 3" xfId="10988" xr:uid="{00000000-0005-0000-0000-0000F02A0000}"/>
    <cellStyle name="Normal 18 2 3 4" xfId="10989" xr:uid="{00000000-0005-0000-0000-0000F12A0000}"/>
    <cellStyle name="Normal 18 2 3 5" xfId="10990" xr:uid="{00000000-0005-0000-0000-0000F22A0000}"/>
    <cellStyle name="Normal 18 2 3 6" xfId="10991" xr:uid="{00000000-0005-0000-0000-0000F32A0000}"/>
    <cellStyle name="Normal 18 2 4" xfId="10992" xr:uid="{00000000-0005-0000-0000-0000F42A0000}"/>
    <cellStyle name="Normal 18 2 4 2" xfId="10993" xr:uid="{00000000-0005-0000-0000-0000F52A0000}"/>
    <cellStyle name="Normal 18 2 4 3" xfId="10994" xr:uid="{00000000-0005-0000-0000-0000F62A0000}"/>
    <cellStyle name="Normal 18 2 4 4" xfId="10995" xr:uid="{00000000-0005-0000-0000-0000F72A0000}"/>
    <cellStyle name="Normal 18 2 4 5" xfId="10996" xr:uid="{00000000-0005-0000-0000-0000F82A0000}"/>
    <cellStyle name="Normal 18 2 4 6" xfId="10997" xr:uid="{00000000-0005-0000-0000-0000F92A0000}"/>
    <cellStyle name="Normal 18 2 5" xfId="10998" xr:uid="{00000000-0005-0000-0000-0000FA2A0000}"/>
    <cellStyle name="Normal 18 2 5 2" xfId="10999" xr:uid="{00000000-0005-0000-0000-0000FB2A0000}"/>
    <cellStyle name="Normal 18 2 5 3" xfId="11000" xr:uid="{00000000-0005-0000-0000-0000FC2A0000}"/>
    <cellStyle name="Normal 18 2 5 4" xfId="11001" xr:uid="{00000000-0005-0000-0000-0000FD2A0000}"/>
    <cellStyle name="Normal 18 2 5 5" xfId="11002" xr:uid="{00000000-0005-0000-0000-0000FE2A0000}"/>
    <cellStyle name="Normal 18 2 5 6" xfId="11003" xr:uid="{00000000-0005-0000-0000-0000FF2A0000}"/>
    <cellStyle name="Normal 18 2 6" xfId="11004" xr:uid="{00000000-0005-0000-0000-0000002B0000}"/>
    <cellStyle name="Normal 18 2 6 2" xfId="11005" xr:uid="{00000000-0005-0000-0000-0000012B0000}"/>
    <cellStyle name="Normal 18 2 6 3" xfId="11006" xr:uid="{00000000-0005-0000-0000-0000022B0000}"/>
    <cellStyle name="Normal 18 2 6 4" xfId="11007" xr:uid="{00000000-0005-0000-0000-0000032B0000}"/>
    <cellStyle name="Normal 18 2 6 5" xfId="11008" xr:uid="{00000000-0005-0000-0000-0000042B0000}"/>
    <cellStyle name="Normal 18 2 6 6" xfId="11009" xr:uid="{00000000-0005-0000-0000-0000052B0000}"/>
    <cellStyle name="Normal 18 2 7" xfId="11010" xr:uid="{00000000-0005-0000-0000-0000062B0000}"/>
    <cellStyle name="Normal 18 2 7 2" xfId="11011" xr:uid="{00000000-0005-0000-0000-0000072B0000}"/>
    <cellStyle name="Normal 18 2 7 3" xfId="11012" xr:uid="{00000000-0005-0000-0000-0000082B0000}"/>
    <cellStyle name="Normal 18 2 7 4" xfId="11013" xr:uid="{00000000-0005-0000-0000-0000092B0000}"/>
    <cellStyle name="Normal 18 2 7 5" xfId="11014" xr:uid="{00000000-0005-0000-0000-00000A2B0000}"/>
    <cellStyle name="Normal 18 2 7 6" xfId="11015" xr:uid="{00000000-0005-0000-0000-00000B2B0000}"/>
    <cellStyle name="Normal 18 2 8" xfId="11016" xr:uid="{00000000-0005-0000-0000-00000C2B0000}"/>
    <cellStyle name="Normal 18 2 8 2" xfId="11017" xr:uid="{00000000-0005-0000-0000-00000D2B0000}"/>
    <cellStyle name="Normal 18 2 8 3" xfId="11018" xr:uid="{00000000-0005-0000-0000-00000E2B0000}"/>
    <cellStyle name="Normal 18 2 8 4" xfId="11019" xr:uid="{00000000-0005-0000-0000-00000F2B0000}"/>
    <cellStyle name="Normal 18 2 8 5" xfId="11020" xr:uid="{00000000-0005-0000-0000-0000102B0000}"/>
    <cellStyle name="Normal 18 2 8 6" xfId="11021" xr:uid="{00000000-0005-0000-0000-0000112B0000}"/>
    <cellStyle name="Normal 18 2 9" xfId="11022" xr:uid="{00000000-0005-0000-0000-0000122B0000}"/>
    <cellStyle name="Normal 18 2 9 2" xfId="11023" xr:uid="{00000000-0005-0000-0000-0000132B0000}"/>
    <cellStyle name="Normal 18 2 9 3" xfId="11024" xr:uid="{00000000-0005-0000-0000-0000142B0000}"/>
    <cellStyle name="Normal 18 2 9 4" xfId="11025" xr:uid="{00000000-0005-0000-0000-0000152B0000}"/>
    <cellStyle name="Normal 18 2 9 5" xfId="11026" xr:uid="{00000000-0005-0000-0000-0000162B0000}"/>
    <cellStyle name="Normal 18 2 9 6" xfId="11027" xr:uid="{00000000-0005-0000-0000-0000172B0000}"/>
    <cellStyle name="Normal 18 3" xfId="11028" xr:uid="{00000000-0005-0000-0000-0000182B0000}"/>
    <cellStyle name="Normal 18 3 10" xfId="11029" xr:uid="{00000000-0005-0000-0000-0000192B0000}"/>
    <cellStyle name="Normal 18 3 11" xfId="11030" xr:uid="{00000000-0005-0000-0000-00001A2B0000}"/>
    <cellStyle name="Normal 18 3 12" xfId="11031" xr:uid="{00000000-0005-0000-0000-00001B2B0000}"/>
    <cellStyle name="Normal 18 3 13" xfId="11032" xr:uid="{00000000-0005-0000-0000-00001C2B0000}"/>
    <cellStyle name="Normal 18 3 14" xfId="11033" xr:uid="{00000000-0005-0000-0000-00001D2B0000}"/>
    <cellStyle name="Normal 18 3 2" xfId="11034" xr:uid="{00000000-0005-0000-0000-00001E2B0000}"/>
    <cellStyle name="Normal 18 3 2 2" xfId="11035" xr:uid="{00000000-0005-0000-0000-00001F2B0000}"/>
    <cellStyle name="Normal 18 3 2 3" xfId="11036" xr:uid="{00000000-0005-0000-0000-0000202B0000}"/>
    <cellStyle name="Normal 18 3 2 4" xfId="11037" xr:uid="{00000000-0005-0000-0000-0000212B0000}"/>
    <cellStyle name="Normal 18 3 2 5" xfId="11038" xr:uid="{00000000-0005-0000-0000-0000222B0000}"/>
    <cellStyle name="Normal 18 3 2 6" xfId="11039" xr:uid="{00000000-0005-0000-0000-0000232B0000}"/>
    <cellStyle name="Normal 18 3 3" xfId="11040" xr:uid="{00000000-0005-0000-0000-0000242B0000}"/>
    <cellStyle name="Normal 18 3 3 2" xfId="11041" xr:uid="{00000000-0005-0000-0000-0000252B0000}"/>
    <cellStyle name="Normal 18 3 3 3" xfId="11042" xr:uid="{00000000-0005-0000-0000-0000262B0000}"/>
    <cellStyle name="Normal 18 3 3 4" xfId="11043" xr:uid="{00000000-0005-0000-0000-0000272B0000}"/>
    <cellStyle name="Normal 18 3 3 5" xfId="11044" xr:uid="{00000000-0005-0000-0000-0000282B0000}"/>
    <cellStyle name="Normal 18 3 3 6" xfId="11045" xr:uid="{00000000-0005-0000-0000-0000292B0000}"/>
    <cellStyle name="Normal 18 3 4" xfId="11046" xr:uid="{00000000-0005-0000-0000-00002A2B0000}"/>
    <cellStyle name="Normal 18 3 4 2" xfId="11047" xr:uid="{00000000-0005-0000-0000-00002B2B0000}"/>
    <cellStyle name="Normal 18 3 4 3" xfId="11048" xr:uid="{00000000-0005-0000-0000-00002C2B0000}"/>
    <cellStyle name="Normal 18 3 4 4" xfId="11049" xr:uid="{00000000-0005-0000-0000-00002D2B0000}"/>
    <cellStyle name="Normal 18 3 4 5" xfId="11050" xr:uid="{00000000-0005-0000-0000-00002E2B0000}"/>
    <cellStyle name="Normal 18 3 4 6" xfId="11051" xr:uid="{00000000-0005-0000-0000-00002F2B0000}"/>
    <cellStyle name="Normal 18 3 5" xfId="11052" xr:uid="{00000000-0005-0000-0000-0000302B0000}"/>
    <cellStyle name="Normal 18 3 5 2" xfId="11053" xr:uid="{00000000-0005-0000-0000-0000312B0000}"/>
    <cellStyle name="Normal 18 3 5 3" xfId="11054" xr:uid="{00000000-0005-0000-0000-0000322B0000}"/>
    <cellStyle name="Normal 18 3 5 4" xfId="11055" xr:uid="{00000000-0005-0000-0000-0000332B0000}"/>
    <cellStyle name="Normal 18 3 5 5" xfId="11056" xr:uid="{00000000-0005-0000-0000-0000342B0000}"/>
    <cellStyle name="Normal 18 3 5 6" xfId="11057" xr:uid="{00000000-0005-0000-0000-0000352B0000}"/>
    <cellStyle name="Normal 18 3 6" xfId="11058" xr:uid="{00000000-0005-0000-0000-0000362B0000}"/>
    <cellStyle name="Normal 18 3 6 2" xfId="11059" xr:uid="{00000000-0005-0000-0000-0000372B0000}"/>
    <cellStyle name="Normal 18 3 6 3" xfId="11060" xr:uid="{00000000-0005-0000-0000-0000382B0000}"/>
    <cellStyle name="Normal 18 3 6 4" xfId="11061" xr:uid="{00000000-0005-0000-0000-0000392B0000}"/>
    <cellStyle name="Normal 18 3 6 5" xfId="11062" xr:uid="{00000000-0005-0000-0000-00003A2B0000}"/>
    <cellStyle name="Normal 18 3 6 6" xfId="11063" xr:uid="{00000000-0005-0000-0000-00003B2B0000}"/>
    <cellStyle name="Normal 18 3 7" xfId="11064" xr:uid="{00000000-0005-0000-0000-00003C2B0000}"/>
    <cellStyle name="Normal 18 3 7 2" xfId="11065" xr:uid="{00000000-0005-0000-0000-00003D2B0000}"/>
    <cellStyle name="Normal 18 3 7 3" xfId="11066" xr:uid="{00000000-0005-0000-0000-00003E2B0000}"/>
    <cellStyle name="Normal 18 3 7 4" xfId="11067" xr:uid="{00000000-0005-0000-0000-00003F2B0000}"/>
    <cellStyle name="Normal 18 3 7 5" xfId="11068" xr:uid="{00000000-0005-0000-0000-0000402B0000}"/>
    <cellStyle name="Normal 18 3 7 6" xfId="11069" xr:uid="{00000000-0005-0000-0000-0000412B0000}"/>
    <cellStyle name="Normal 18 3 8" xfId="11070" xr:uid="{00000000-0005-0000-0000-0000422B0000}"/>
    <cellStyle name="Normal 18 3 8 2" xfId="11071" xr:uid="{00000000-0005-0000-0000-0000432B0000}"/>
    <cellStyle name="Normal 18 3 8 3" xfId="11072" xr:uid="{00000000-0005-0000-0000-0000442B0000}"/>
    <cellStyle name="Normal 18 3 8 4" xfId="11073" xr:uid="{00000000-0005-0000-0000-0000452B0000}"/>
    <cellStyle name="Normal 18 3 8 5" xfId="11074" xr:uid="{00000000-0005-0000-0000-0000462B0000}"/>
    <cellStyle name="Normal 18 3 8 6" xfId="11075" xr:uid="{00000000-0005-0000-0000-0000472B0000}"/>
    <cellStyle name="Normal 18 3 9" xfId="11076" xr:uid="{00000000-0005-0000-0000-0000482B0000}"/>
    <cellStyle name="Normal 18 3 9 2" xfId="11077" xr:uid="{00000000-0005-0000-0000-0000492B0000}"/>
    <cellStyle name="Normal 18 3 9 3" xfId="11078" xr:uid="{00000000-0005-0000-0000-00004A2B0000}"/>
    <cellStyle name="Normal 18 3 9 4" xfId="11079" xr:uid="{00000000-0005-0000-0000-00004B2B0000}"/>
    <cellStyle name="Normal 18 3 9 5" xfId="11080" xr:uid="{00000000-0005-0000-0000-00004C2B0000}"/>
    <cellStyle name="Normal 18 3 9 6" xfId="11081" xr:uid="{00000000-0005-0000-0000-00004D2B0000}"/>
    <cellStyle name="Normal 18 4" xfId="11082" xr:uid="{00000000-0005-0000-0000-00004E2B0000}"/>
    <cellStyle name="Normal 18 4 2" xfId="11083" xr:uid="{00000000-0005-0000-0000-00004F2B0000}"/>
    <cellStyle name="Normal 18 4 3" xfId="11084" xr:uid="{00000000-0005-0000-0000-0000502B0000}"/>
    <cellStyle name="Normal 18 4 4" xfId="11085" xr:uid="{00000000-0005-0000-0000-0000512B0000}"/>
    <cellStyle name="Normal 18 4 5" xfId="11086" xr:uid="{00000000-0005-0000-0000-0000522B0000}"/>
    <cellStyle name="Normal 18 4 6" xfId="11087" xr:uid="{00000000-0005-0000-0000-0000532B0000}"/>
    <cellStyle name="Normal 18 5" xfId="11088" xr:uid="{00000000-0005-0000-0000-0000542B0000}"/>
    <cellStyle name="Normal 18 5 2" xfId="11089" xr:uid="{00000000-0005-0000-0000-0000552B0000}"/>
    <cellStyle name="Normal 18 5 3" xfId="11090" xr:uid="{00000000-0005-0000-0000-0000562B0000}"/>
    <cellStyle name="Normal 18 5 4" xfId="11091" xr:uid="{00000000-0005-0000-0000-0000572B0000}"/>
    <cellStyle name="Normal 18 5 5" xfId="11092" xr:uid="{00000000-0005-0000-0000-0000582B0000}"/>
    <cellStyle name="Normal 18 5 6" xfId="11093" xr:uid="{00000000-0005-0000-0000-0000592B0000}"/>
    <cellStyle name="Normal 18 6" xfId="11094" xr:uid="{00000000-0005-0000-0000-00005A2B0000}"/>
    <cellStyle name="Normal 18 6 2" xfId="11095" xr:uid="{00000000-0005-0000-0000-00005B2B0000}"/>
    <cellStyle name="Normal 18 6 3" xfId="11096" xr:uid="{00000000-0005-0000-0000-00005C2B0000}"/>
    <cellStyle name="Normal 18 6 4" xfId="11097" xr:uid="{00000000-0005-0000-0000-00005D2B0000}"/>
    <cellStyle name="Normal 18 6 5" xfId="11098" xr:uid="{00000000-0005-0000-0000-00005E2B0000}"/>
    <cellStyle name="Normal 18 6 6" xfId="11099" xr:uid="{00000000-0005-0000-0000-00005F2B0000}"/>
    <cellStyle name="Normal 18 7" xfId="11100" xr:uid="{00000000-0005-0000-0000-0000602B0000}"/>
    <cellStyle name="Normal 18 7 2" xfId="11101" xr:uid="{00000000-0005-0000-0000-0000612B0000}"/>
    <cellStyle name="Normal 18 7 3" xfId="11102" xr:uid="{00000000-0005-0000-0000-0000622B0000}"/>
    <cellStyle name="Normal 18 7 4" xfId="11103" xr:uid="{00000000-0005-0000-0000-0000632B0000}"/>
    <cellStyle name="Normal 18 7 5" xfId="11104" xr:uid="{00000000-0005-0000-0000-0000642B0000}"/>
    <cellStyle name="Normal 18 7 6" xfId="11105" xr:uid="{00000000-0005-0000-0000-0000652B0000}"/>
    <cellStyle name="Normal 18 8" xfId="11106" xr:uid="{00000000-0005-0000-0000-0000662B0000}"/>
    <cellStyle name="Normal 18 8 2" xfId="11107" xr:uid="{00000000-0005-0000-0000-0000672B0000}"/>
    <cellStyle name="Normal 18 8 3" xfId="11108" xr:uid="{00000000-0005-0000-0000-0000682B0000}"/>
    <cellStyle name="Normal 18 8 4" xfId="11109" xr:uid="{00000000-0005-0000-0000-0000692B0000}"/>
    <cellStyle name="Normal 18 8 5" xfId="11110" xr:uid="{00000000-0005-0000-0000-00006A2B0000}"/>
    <cellStyle name="Normal 18 8 6" xfId="11111" xr:uid="{00000000-0005-0000-0000-00006B2B0000}"/>
    <cellStyle name="Normal 18 9" xfId="11112" xr:uid="{00000000-0005-0000-0000-00006C2B0000}"/>
    <cellStyle name="Normal 18 9 2" xfId="11113" xr:uid="{00000000-0005-0000-0000-00006D2B0000}"/>
    <cellStyle name="Normal 18 9 3" xfId="11114" xr:uid="{00000000-0005-0000-0000-00006E2B0000}"/>
    <cellStyle name="Normal 18 9 4" xfId="11115" xr:uid="{00000000-0005-0000-0000-00006F2B0000}"/>
    <cellStyle name="Normal 18 9 5" xfId="11116" xr:uid="{00000000-0005-0000-0000-0000702B0000}"/>
    <cellStyle name="Normal 18 9 6" xfId="11117" xr:uid="{00000000-0005-0000-0000-0000712B0000}"/>
    <cellStyle name="Normal 19" xfId="11118" xr:uid="{00000000-0005-0000-0000-0000722B0000}"/>
    <cellStyle name="Normal 19 10" xfId="11119" xr:uid="{00000000-0005-0000-0000-0000732B0000}"/>
    <cellStyle name="Normal 19 10 10" xfId="11120" xr:uid="{00000000-0005-0000-0000-0000742B0000}"/>
    <cellStyle name="Normal 19 10 10 2" xfId="11121" xr:uid="{00000000-0005-0000-0000-0000752B0000}"/>
    <cellStyle name="Normal 19 10 10 3" xfId="11122" xr:uid="{00000000-0005-0000-0000-0000762B0000}"/>
    <cellStyle name="Normal 19 10 10 4" xfId="11123" xr:uid="{00000000-0005-0000-0000-0000772B0000}"/>
    <cellStyle name="Normal 19 10 10 5" xfId="11124" xr:uid="{00000000-0005-0000-0000-0000782B0000}"/>
    <cellStyle name="Normal 19 10 10 6" xfId="11125" xr:uid="{00000000-0005-0000-0000-0000792B0000}"/>
    <cellStyle name="Normal 19 10 11" xfId="11126" xr:uid="{00000000-0005-0000-0000-00007A2B0000}"/>
    <cellStyle name="Normal 19 10 12" xfId="11127" xr:uid="{00000000-0005-0000-0000-00007B2B0000}"/>
    <cellStyle name="Normal 19 10 13" xfId="11128" xr:uid="{00000000-0005-0000-0000-00007C2B0000}"/>
    <cellStyle name="Normal 19 10 14" xfId="11129" xr:uid="{00000000-0005-0000-0000-00007D2B0000}"/>
    <cellStyle name="Normal 19 10 15" xfId="11130" xr:uid="{00000000-0005-0000-0000-00007E2B0000}"/>
    <cellStyle name="Normal 19 10 2" xfId="11131" xr:uid="{00000000-0005-0000-0000-00007F2B0000}"/>
    <cellStyle name="Normal 19 10 2 10" xfId="11132" xr:uid="{00000000-0005-0000-0000-0000802B0000}"/>
    <cellStyle name="Normal 19 10 2 11" xfId="11133" xr:uid="{00000000-0005-0000-0000-0000812B0000}"/>
    <cellStyle name="Normal 19 10 2 12" xfId="11134" xr:uid="{00000000-0005-0000-0000-0000822B0000}"/>
    <cellStyle name="Normal 19 10 2 13" xfId="11135" xr:uid="{00000000-0005-0000-0000-0000832B0000}"/>
    <cellStyle name="Normal 19 10 2 14" xfId="11136" xr:uid="{00000000-0005-0000-0000-0000842B0000}"/>
    <cellStyle name="Normal 19 10 2 2" xfId="11137" xr:uid="{00000000-0005-0000-0000-0000852B0000}"/>
    <cellStyle name="Normal 19 10 2 2 2" xfId="11138" xr:uid="{00000000-0005-0000-0000-0000862B0000}"/>
    <cellStyle name="Normal 19 10 2 2 3" xfId="11139" xr:uid="{00000000-0005-0000-0000-0000872B0000}"/>
    <cellStyle name="Normal 19 10 2 2 4" xfId="11140" xr:uid="{00000000-0005-0000-0000-0000882B0000}"/>
    <cellStyle name="Normal 19 10 2 2 5" xfId="11141" xr:uid="{00000000-0005-0000-0000-0000892B0000}"/>
    <cellStyle name="Normal 19 10 2 2 6" xfId="11142" xr:uid="{00000000-0005-0000-0000-00008A2B0000}"/>
    <cellStyle name="Normal 19 10 2 3" xfId="11143" xr:uid="{00000000-0005-0000-0000-00008B2B0000}"/>
    <cellStyle name="Normal 19 10 2 3 2" xfId="11144" xr:uid="{00000000-0005-0000-0000-00008C2B0000}"/>
    <cellStyle name="Normal 19 10 2 3 3" xfId="11145" xr:uid="{00000000-0005-0000-0000-00008D2B0000}"/>
    <cellStyle name="Normal 19 10 2 3 4" xfId="11146" xr:uid="{00000000-0005-0000-0000-00008E2B0000}"/>
    <cellStyle name="Normal 19 10 2 3 5" xfId="11147" xr:uid="{00000000-0005-0000-0000-00008F2B0000}"/>
    <cellStyle name="Normal 19 10 2 3 6" xfId="11148" xr:uid="{00000000-0005-0000-0000-0000902B0000}"/>
    <cellStyle name="Normal 19 10 2 4" xfId="11149" xr:uid="{00000000-0005-0000-0000-0000912B0000}"/>
    <cellStyle name="Normal 19 10 2 4 2" xfId="11150" xr:uid="{00000000-0005-0000-0000-0000922B0000}"/>
    <cellStyle name="Normal 19 10 2 4 3" xfId="11151" xr:uid="{00000000-0005-0000-0000-0000932B0000}"/>
    <cellStyle name="Normal 19 10 2 4 4" xfId="11152" xr:uid="{00000000-0005-0000-0000-0000942B0000}"/>
    <cellStyle name="Normal 19 10 2 4 5" xfId="11153" xr:uid="{00000000-0005-0000-0000-0000952B0000}"/>
    <cellStyle name="Normal 19 10 2 4 6" xfId="11154" xr:uid="{00000000-0005-0000-0000-0000962B0000}"/>
    <cellStyle name="Normal 19 10 2 5" xfId="11155" xr:uid="{00000000-0005-0000-0000-0000972B0000}"/>
    <cellStyle name="Normal 19 10 2 5 2" xfId="11156" xr:uid="{00000000-0005-0000-0000-0000982B0000}"/>
    <cellStyle name="Normal 19 10 2 5 3" xfId="11157" xr:uid="{00000000-0005-0000-0000-0000992B0000}"/>
    <cellStyle name="Normal 19 10 2 5 4" xfId="11158" xr:uid="{00000000-0005-0000-0000-00009A2B0000}"/>
    <cellStyle name="Normal 19 10 2 5 5" xfId="11159" xr:uid="{00000000-0005-0000-0000-00009B2B0000}"/>
    <cellStyle name="Normal 19 10 2 5 6" xfId="11160" xr:uid="{00000000-0005-0000-0000-00009C2B0000}"/>
    <cellStyle name="Normal 19 10 2 6" xfId="11161" xr:uid="{00000000-0005-0000-0000-00009D2B0000}"/>
    <cellStyle name="Normal 19 10 2 6 2" xfId="11162" xr:uid="{00000000-0005-0000-0000-00009E2B0000}"/>
    <cellStyle name="Normal 19 10 2 6 3" xfId="11163" xr:uid="{00000000-0005-0000-0000-00009F2B0000}"/>
    <cellStyle name="Normal 19 10 2 6 4" xfId="11164" xr:uid="{00000000-0005-0000-0000-0000A02B0000}"/>
    <cellStyle name="Normal 19 10 2 6 5" xfId="11165" xr:uid="{00000000-0005-0000-0000-0000A12B0000}"/>
    <cellStyle name="Normal 19 10 2 6 6" xfId="11166" xr:uid="{00000000-0005-0000-0000-0000A22B0000}"/>
    <cellStyle name="Normal 19 10 2 7" xfId="11167" xr:uid="{00000000-0005-0000-0000-0000A32B0000}"/>
    <cellStyle name="Normal 19 10 2 7 2" xfId="11168" xr:uid="{00000000-0005-0000-0000-0000A42B0000}"/>
    <cellStyle name="Normal 19 10 2 7 3" xfId="11169" xr:uid="{00000000-0005-0000-0000-0000A52B0000}"/>
    <cellStyle name="Normal 19 10 2 7 4" xfId="11170" xr:uid="{00000000-0005-0000-0000-0000A62B0000}"/>
    <cellStyle name="Normal 19 10 2 7 5" xfId="11171" xr:uid="{00000000-0005-0000-0000-0000A72B0000}"/>
    <cellStyle name="Normal 19 10 2 7 6" xfId="11172" xr:uid="{00000000-0005-0000-0000-0000A82B0000}"/>
    <cellStyle name="Normal 19 10 2 8" xfId="11173" xr:uid="{00000000-0005-0000-0000-0000A92B0000}"/>
    <cellStyle name="Normal 19 10 2 8 2" xfId="11174" xr:uid="{00000000-0005-0000-0000-0000AA2B0000}"/>
    <cellStyle name="Normal 19 10 2 8 3" xfId="11175" xr:uid="{00000000-0005-0000-0000-0000AB2B0000}"/>
    <cellStyle name="Normal 19 10 2 8 4" xfId="11176" xr:uid="{00000000-0005-0000-0000-0000AC2B0000}"/>
    <cellStyle name="Normal 19 10 2 8 5" xfId="11177" xr:uid="{00000000-0005-0000-0000-0000AD2B0000}"/>
    <cellStyle name="Normal 19 10 2 8 6" xfId="11178" xr:uid="{00000000-0005-0000-0000-0000AE2B0000}"/>
    <cellStyle name="Normal 19 10 2 9" xfId="11179" xr:uid="{00000000-0005-0000-0000-0000AF2B0000}"/>
    <cellStyle name="Normal 19 10 2 9 2" xfId="11180" xr:uid="{00000000-0005-0000-0000-0000B02B0000}"/>
    <cellStyle name="Normal 19 10 2 9 3" xfId="11181" xr:uid="{00000000-0005-0000-0000-0000B12B0000}"/>
    <cellStyle name="Normal 19 10 2 9 4" xfId="11182" xr:uid="{00000000-0005-0000-0000-0000B22B0000}"/>
    <cellStyle name="Normal 19 10 2 9 5" xfId="11183" xr:uid="{00000000-0005-0000-0000-0000B32B0000}"/>
    <cellStyle name="Normal 19 10 2 9 6" xfId="11184" xr:uid="{00000000-0005-0000-0000-0000B42B0000}"/>
    <cellStyle name="Normal 19 10 3" xfId="11185" xr:uid="{00000000-0005-0000-0000-0000B52B0000}"/>
    <cellStyle name="Normal 19 10 3 2" xfId="11186" xr:uid="{00000000-0005-0000-0000-0000B62B0000}"/>
    <cellStyle name="Normal 19 10 3 3" xfId="11187" xr:uid="{00000000-0005-0000-0000-0000B72B0000}"/>
    <cellStyle name="Normal 19 10 3 4" xfId="11188" xr:uid="{00000000-0005-0000-0000-0000B82B0000}"/>
    <cellStyle name="Normal 19 10 3 5" xfId="11189" xr:uid="{00000000-0005-0000-0000-0000B92B0000}"/>
    <cellStyle name="Normal 19 10 3 6" xfId="11190" xr:uid="{00000000-0005-0000-0000-0000BA2B0000}"/>
    <cellStyle name="Normal 19 10 4" xfId="11191" xr:uid="{00000000-0005-0000-0000-0000BB2B0000}"/>
    <cellStyle name="Normal 19 10 4 2" xfId="11192" xr:uid="{00000000-0005-0000-0000-0000BC2B0000}"/>
    <cellStyle name="Normal 19 10 4 3" xfId="11193" xr:uid="{00000000-0005-0000-0000-0000BD2B0000}"/>
    <cellStyle name="Normal 19 10 4 4" xfId="11194" xr:uid="{00000000-0005-0000-0000-0000BE2B0000}"/>
    <cellStyle name="Normal 19 10 4 5" xfId="11195" xr:uid="{00000000-0005-0000-0000-0000BF2B0000}"/>
    <cellStyle name="Normal 19 10 4 6" xfId="11196" xr:uid="{00000000-0005-0000-0000-0000C02B0000}"/>
    <cellStyle name="Normal 19 10 5" xfId="11197" xr:uid="{00000000-0005-0000-0000-0000C12B0000}"/>
    <cellStyle name="Normal 19 10 5 2" xfId="11198" xr:uid="{00000000-0005-0000-0000-0000C22B0000}"/>
    <cellStyle name="Normal 19 10 5 3" xfId="11199" xr:uid="{00000000-0005-0000-0000-0000C32B0000}"/>
    <cellStyle name="Normal 19 10 5 4" xfId="11200" xr:uid="{00000000-0005-0000-0000-0000C42B0000}"/>
    <cellStyle name="Normal 19 10 5 5" xfId="11201" xr:uid="{00000000-0005-0000-0000-0000C52B0000}"/>
    <cellStyle name="Normal 19 10 5 6" xfId="11202" xr:uid="{00000000-0005-0000-0000-0000C62B0000}"/>
    <cellStyle name="Normal 19 10 6" xfId="11203" xr:uid="{00000000-0005-0000-0000-0000C72B0000}"/>
    <cellStyle name="Normal 19 10 6 2" xfId="11204" xr:uid="{00000000-0005-0000-0000-0000C82B0000}"/>
    <cellStyle name="Normal 19 10 6 3" xfId="11205" xr:uid="{00000000-0005-0000-0000-0000C92B0000}"/>
    <cellStyle name="Normal 19 10 6 4" xfId="11206" xr:uid="{00000000-0005-0000-0000-0000CA2B0000}"/>
    <cellStyle name="Normal 19 10 6 5" xfId="11207" xr:uid="{00000000-0005-0000-0000-0000CB2B0000}"/>
    <cellStyle name="Normal 19 10 6 6" xfId="11208" xr:uid="{00000000-0005-0000-0000-0000CC2B0000}"/>
    <cellStyle name="Normal 19 10 7" xfId="11209" xr:uid="{00000000-0005-0000-0000-0000CD2B0000}"/>
    <cellStyle name="Normal 19 10 7 2" xfId="11210" xr:uid="{00000000-0005-0000-0000-0000CE2B0000}"/>
    <cellStyle name="Normal 19 10 7 3" xfId="11211" xr:uid="{00000000-0005-0000-0000-0000CF2B0000}"/>
    <cellStyle name="Normal 19 10 7 4" xfId="11212" xr:uid="{00000000-0005-0000-0000-0000D02B0000}"/>
    <cellStyle name="Normal 19 10 7 5" xfId="11213" xr:uid="{00000000-0005-0000-0000-0000D12B0000}"/>
    <cellStyle name="Normal 19 10 7 6" xfId="11214" xr:uid="{00000000-0005-0000-0000-0000D22B0000}"/>
    <cellStyle name="Normal 19 10 8" xfId="11215" xr:uid="{00000000-0005-0000-0000-0000D32B0000}"/>
    <cellStyle name="Normal 19 10 8 2" xfId="11216" xr:uid="{00000000-0005-0000-0000-0000D42B0000}"/>
    <cellStyle name="Normal 19 10 8 3" xfId="11217" xr:uid="{00000000-0005-0000-0000-0000D52B0000}"/>
    <cellStyle name="Normal 19 10 8 4" xfId="11218" xr:uid="{00000000-0005-0000-0000-0000D62B0000}"/>
    <cellStyle name="Normal 19 10 8 5" xfId="11219" xr:uid="{00000000-0005-0000-0000-0000D72B0000}"/>
    <cellStyle name="Normal 19 10 8 6" xfId="11220" xr:uid="{00000000-0005-0000-0000-0000D82B0000}"/>
    <cellStyle name="Normal 19 10 9" xfId="11221" xr:uid="{00000000-0005-0000-0000-0000D92B0000}"/>
    <cellStyle name="Normal 19 10 9 2" xfId="11222" xr:uid="{00000000-0005-0000-0000-0000DA2B0000}"/>
    <cellStyle name="Normal 19 10 9 3" xfId="11223" xr:uid="{00000000-0005-0000-0000-0000DB2B0000}"/>
    <cellStyle name="Normal 19 10 9 4" xfId="11224" xr:uid="{00000000-0005-0000-0000-0000DC2B0000}"/>
    <cellStyle name="Normal 19 10 9 5" xfId="11225" xr:uid="{00000000-0005-0000-0000-0000DD2B0000}"/>
    <cellStyle name="Normal 19 10 9 6" xfId="11226" xr:uid="{00000000-0005-0000-0000-0000DE2B0000}"/>
    <cellStyle name="Normal 19 11" xfId="11227" xr:uid="{00000000-0005-0000-0000-0000DF2B0000}"/>
    <cellStyle name="Normal 19 11 10" xfId="11228" xr:uid="{00000000-0005-0000-0000-0000E02B0000}"/>
    <cellStyle name="Normal 19 11 10 2" xfId="11229" xr:uid="{00000000-0005-0000-0000-0000E12B0000}"/>
    <cellStyle name="Normal 19 11 10 3" xfId="11230" xr:uid="{00000000-0005-0000-0000-0000E22B0000}"/>
    <cellStyle name="Normal 19 11 10 4" xfId="11231" xr:uid="{00000000-0005-0000-0000-0000E32B0000}"/>
    <cellStyle name="Normal 19 11 10 5" xfId="11232" xr:uid="{00000000-0005-0000-0000-0000E42B0000}"/>
    <cellStyle name="Normal 19 11 10 6" xfId="11233" xr:uid="{00000000-0005-0000-0000-0000E52B0000}"/>
    <cellStyle name="Normal 19 11 11" xfId="11234" xr:uid="{00000000-0005-0000-0000-0000E62B0000}"/>
    <cellStyle name="Normal 19 11 12" xfId="11235" xr:uid="{00000000-0005-0000-0000-0000E72B0000}"/>
    <cellStyle name="Normal 19 11 13" xfId="11236" xr:uid="{00000000-0005-0000-0000-0000E82B0000}"/>
    <cellStyle name="Normal 19 11 14" xfId="11237" xr:uid="{00000000-0005-0000-0000-0000E92B0000}"/>
    <cellStyle name="Normal 19 11 15" xfId="11238" xr:uid="{00000000-0005-0000-0000-0000EA2B0000}"/>
    <cellStyle name="Normal 19 11 2" xfId="11239" xr:uid="{00000000-0005-0000-0000-0000EB2B0000}"/>
    <cellStyle name="Normal 19 11 2 10" xfId="11240" xr:uid="{00000000-0005-0000-0000-0000EC2B0000}"/>
    <cellStyle name="Normal 19 11 2 11" xfId="11241" xr:uid="{00000000-0005-0000-0000-0000ED2B0000}"/>
    <cellStyle name="Normal 19 11 2 12" xfId="11242" xr:uid="{00000000-0005-0000-0000-0000EE2B0000}"/>
    <cellStyle name="Normal 19 11 2 13" xfId="11243" xr:uid="{00000000-0005-0000-0000-0000EF2B0000}"/>
    <cellStyle name="Normal 19 11 2 14" xfId="11244" xr:uid="{00000000-0005-0000-0000-0000F02B0000}"/>
    <cellStyle name="Normal 19 11 2 2" xfId="11245" xr:uid="{00000000-0005-0000-0000-0000F12B0000}"/>
    <cellStyle name="Normal 19 11 2 2 2" xfId="11246" xr:uid="{00000000-0005-0000-0000-0000F22B0000}"/>
    <cellStyle name="Normal 19 11 2 2 3" xfId="11247" xr:uid="{00000000-0005-0000-0000-0000F32B0000}"/>
    <cellStyle name="Normal 19 11 2 2 4" xfId="11248" xr:uid="{00000000-0005-0000-0000-0000F42B0000}"/>
    <cellStyle name="Normal 19 11 2 2 5" xfId="11249" xr:uid="{00000000-0005-0000-0000-0000F52B0000}"/>
    <cellStyle name="Normal 19 11 2 2 6" xfId="11250" xr:uid="{00000000-0005-0000-0000-0000F62B0000}"/>
    <cellStyle name="Normal 19 11 2 3" xfId="11251" xr:uid="{00000000-0005-0000-0000-0000F72B0000}"/>
    <cellStyle name="Normal 19 11 2 3 2" xfId="11252" xr:uid="{00000000-0005-0000-0000-0000F82B0000}"/>
    <cellStyle name="Normal 19 11 2 3 3" xfId="11253" xr:uid="{00000000-0005-0000-0000-0000F92B0000}"/>
    <cellStyle name="Normal 19 11 2 3 4" xfId="11254" xr:uid="{00000000-0005-0000-0000-0000FA2B0000}"/>
    <cellStyle name="Normal 19 11 2 3 5" xfId="11255" xr:uid="{00000000-0005-0000-0000-0000FB2B0000}"/>
    <cellStyle name="Normal 19 11 2 3 6" xfId="11256" xr:uid="{00000000-0005-0000-0000-0000FC2B0000}"/>
    <cellStyle name="Normal 19 11 2 4" xfId="11257" xr:uid="{00000000-0005-0000-0000-0000FD2B0000}"/>
    <cellStyle name="Normal 19 11 2 4 2" xfId="11258" xr:uid="{00000000-0005-0000-0000-0000FE2B0000}"/>
    <cellStyle name="Normal 19 11 2 4 3" xfId="11259" xr:uid="{00000000-0005-0000-0000-0000FF2B0000}"/>
    <cellStyle name="Normal 19 11 2 4 4" xfId="11260" xr:uid="{00000000-0005-0000-0000-0000002C0000}"/>
    <cellStyle name="Normal 19 11 2 4 5" xfId="11261" xr:uid="{00000000-0005-0000-0000-0000012C0000}"/>
    <cellStyle name="Normal 19 11 2 4 6" xfId="11262" xr:uid="{00000000-0005-0000-0000-0000022C0000}"/>
    <cellStyle name="Normal 19 11 2 5" xfId="11263" xr:uid="{00000000-0005-0000-0000-0000032C0000}"/>
    <cellStyle name="Normal 19 11 2 5 2" xfId="11264" xr:uid="{00000000-0005-0000-0000-0000042C0000}"/>
    <cellStyle name="Normal 19 11 2 5 3" xfId="11265" xr:uid="{00000000-0005-0000-0000-0000052C0000}"/>
    <cellStyle name="Normal 19 11 2 5 4" xfId="11266" xr:uid="{00000000-0005-0000-0000-0000062C0000}"/>
    <cellStyle name="Normal 19 11 2 5 5" xfId="11267" xr:uid="{00000000-0005-0000-0000-0000072C0000}"/>
    <cellStyle name="Normal 19 11 2 5 6" xfId="11268" xr:uid="{00000000-0005-0000-0000-0000082C0000}"/>
    <cellStyle name="Normal 19 11 2 6" xfId="11269" xr:uid="{00000000-0005-0000-0000-0000092C0000}"/>
    <cellStyle name="Normal 19 11 2 6 2" xfId="11270" xr:uid="{00000000-0005-0000-0000-00000A2C0000}"/>
    <cellStyle name="Normal 19 11 2 6 3" xfId="11271" xr:uid="{00000000-0005-0000-0000-00000B2C0000}"/>
    <cellStyle name="Normal 19 11 2 6 4" xfId="11272" xr:uid="{00000000-0005-0000-0000-00000C2C0000}"/>
    <cellStyle name="Normal 19 11 2 6 5" xfId="11273" xr:uid="{00000000-0005-0000-0000-00000D2C0000}"/>
    <cellStyle name="Normal 19 11 2 6 6" xfId="11274" xr:uid="{00000000-0005-0000-0000-00000E2C0000}"/>
    <cellStyle name="Normal 19 11 2 7" xfId="11275" xr:uid="{00000000-0005-0000-0000-00000F2C0000}"/>
    <cellStyle name="Normal 19 11 2 7 2" xfId="11276" xr:uid="{00000000-0005-0000-0000-0000102C0000}"/>
    <cellStyle name="Normal 19 11 2 7 3" xfId="11277" xr:uid="{00000000-0005-0000-0000-0000112C0000}"/>
    <cellStyle name="Normal 19 11 2 7 4" xfId="11278" xr:uid="{00000000-0005-0000-0000-0000122C0000}"/>
    <cellStyle name="Normal 19 11 2 7 5" xfId="11279" xr:uid="{00000000-0005-0000-0000-0000132C0000}"/>
    <cellStyle name="Normal 19 11 2 7 6" xfId="11280" xr:uid="{00000000-0005-0000-0000-0000142C0000}"/>
    <cellStyle name="Normal 19 11 2 8" xfId="11281" xr:uid="{00000000-0005-0000-0000-0000152C0000}"/>
    <cellStyle name="Normal 19 11 2 8 2" xfId="11282" xr:uid="{00000000-0005-0000-0000-0000162C0000}"/>
    <cellStyle name="Normal 19 11 2 8 3" xfId="11283" xr:uid="{00000000-0005-0000-0000-0000172C0000}"/>
    <cellStyle name="Normal 19 11 2 8 4" xfId="11284" xr:uid="{00000000-0005-0000-0000-0000182C0000}"/>
    <cellStyle name="Normal 19 11 2 8 5" xfId="11285" xr:uid="{00000000-0005-0000-0000-0000192C0000}"/>
    <cellStyle name="Normal 19 11 2 8 6" xfId="11286" xr:uid="{00000000-0005-0000-0000-00001A2C0000}"/>
    <cellStyle name="Normal 19 11 2 9" xfId="11287" xr:uid="{00000000-0005-0000-0000-00001B2C0000}"/>
    <cellStyle name="Normal 19 11 2 9 2" xfId="11288" xr:uid="{00000000-0005-0000-0000-00001C2C0000}"/>
    <cellStyle name="Normal 19 11 2 9 3" xfId="11289" xr:uid="{00000000-0005-0000-0000-00001D2C0000}"/>
    <cellStyle name="Normal 19 11 2 9 4" xfId="11290" xr:uid="{00000000-0005-0000-0000-00001E2C0000}"/>
    <cellStyle name="Normal 19 11 2 9 5" xfId="11291" xr:uid="{00000000-0005-0000-0000-00001F2C0000}"/>
    <cellStyle name="Normal 19 11 2 9 6" xfId="11292" xr:uid="{00000000-0005-0000-0000-0000202C0000}"/>
    <cellStyle name="Normal 19 11 3" xfId="11293" xr:uid="{00000000-0005-0000-0000-0000212C0000}"/>
    <cellStyle name="Normal 19 11 3 2" xfId="11294" xr:uid="{00000000-0005-0000-0000-0000222C0000}"/>
    <cellStyle name="Normal 19 11 3 3" xfId="11295" xr:uid="{00000000-0005-0000-0000-0000232C0000}"/>
    <cellStyle name="Normal 19 11 3 4" xfId="11296" xr:uid="{00000000-0005-0000-0000-0000242C0000}"/>
    <cellStyle name="Normal 19 11 3 5" xfId="11297" xr:uid="{00000000-0005-0000-0000-0000252C0000}"/>
    <cellStyle name="Normal 19 11 3 6" xfId="11298" xr:uid="{00000000-0005-0000-0000-0000262C0000}"/>
    <cellStyle name="Normal 19 11 4" xfId="11299" xr:uid="{00000000-0005-0000-0000-0000272C0000}"/>
    <cellStyle name="Normal 19 11 4 2" xfId="11300" xr:uid="{00000000-0005-0000-0000-0000282C0000}"/>
    <cellStyle name="Normal 19 11 4 3" xfId="11301" xr:uid="{00000000-0005-0000-0000-0000292C0000}"/>
    <cellStyle name="Normal 19 11 4 4" xfId="11302" xr:uid="{00000000-0005-0000-0000-00002A2C0000}"/>
    <cellStyle name="Normal 19 11 4 5" xfId="11303" xr:uid="{00000000-0005-0000-0000-00002B2C0000}"/>
    <cellStyle name="Normal 19 11 4 6" xfId="11304" xr:uid="{00000000-0005-0000-0000-00002C2C0000}"/>
    <cellStyle name="Normal 19 11 5" xfId="11305" xr:uid="{00000000-0005-0000-0000-00002D2C0000}"/>
    <cellStyle name="Normal 19 11 5 2" xfId="11306" xr:uid="{00000000-0005-0000-0000-00002E2C0000}"/>
    <cellStyle name="Normal 19 11 5 3" xfId="11307" xr:uid="{00000000-0005-0000-0000-00002F2C0000}"/>
    <cellStyle name="Normal 19 11 5 4" xfId="11308" xr:uid="{00000000-0005-0000-0000-0000302C0000}"/>
    <cellStyle name="Normal 19 11 5 5" xfId="11309" xr:uid="{00000000-0005-0000-0000-0000312C0000}"/>
    <cellStyle name="Normal 19 11 5 6" xfId="11310" xr:uid="{00000000-0005-0000-0000-0000322C0000}"/>
    <cellStyle name="Normal 19 11 6" xfId="11311" xr:uid="{00000000-0005-0000-0000-0000332C0000}"/>
    <cellStyle name="Normal 19 11 6 2" xfId="11312" xr:uid="{00000000-0005-0000-0000-0000342C0000}"/>
    <cellStyle name="Normal 19 11 6 3" xfId="11313" xr:uid="{00000000-0005-0000-0000-0000352C0000}"/>
    <cellStyle name="Normal 19 11 6 4" xfId="11314" xr:uid="{00000000-0005-0000-0000-0000362C0000}"/>
    <cellStyle name="Normal 19 11 6 5" xfId="11315" xr:uid="{00000000-0005-0000-0000-0000372C0000}"/>
    <cellStyle name="Normal 19 11 6 6" xfId="11316" xr:uid="{00000000-0005-0000-0000-0000382C0000}"/>
    <cellStyle name="Normal 19 11 7" xfId="11317" xr:uid="{00000000-0005-0000-0000-0000392C0000}"/>
    <cellStyle name="Normal 19 11 7 2" xfId="11318" xr:uid="{00000000-0005-0000-0000-00003A2C0000}"/>
    <cellStyle name="Normal 19 11 7 3" xfId="11319" xr:uid="{00000000-0005-0000-0000-00003B2C0000}"/>
    <cellStyle name="Normal 19 11 7 4" xfId="11320" xr:uid="{00000000-0005-0000-0000-00003C2C0000}"/>
    <cellStyle name="Normal 19 11 7 5" xfId="11321" xr:uid="{00000000-0005-0000-0000-00003D2C0000}"/>
    <cellStyle name="Normal 19 11 7 6" xfId="11322" xr:uid="{00000000-0005-0000-0000-00003E2C0000}"/>
    <cellStyle name="Normal 19 11 8" xfId="11323" xr:uid="{00000000-0005-0000-0000-00003F2C0000}"/>
    <cellStyle name="Normal 19 11 8 2" xfId="11324" xr:uid="{00000000-0005-0000-0000-0000402C0000}"/>
    <cellStyle name="Normal 19 11 8 3" xfId="11325" xr:uid="{00000000-0005-0000-0000-0000412C0000}"/>
    <cellStyle name="Normal 19 11 8 4" xfId="11326" xr:uid="{00000000-0005-0000-0000-0000422C0000}"/>
    <cellStyle name="Normal 19 11 8 5" xfId="11327" xr:uid="{00000000-0005-0000-0000-0000432C0000}"/>
    <cellStyle name="Normal 19 11 8 6" xfId="11328" xr:uid="{00000000-0005-0000-0000-0000442C0000}"/>
    <cellStyle name="Normal 19 11 9" xfId="11329" xr:uid="{00000000-0005-0000-0000-0000452C0000}"/>
    <cellStyle name="Normal 19 11 9 2" xfId="11330" xr:uid="{00000000-0005-0000-0000-0000462C0000}"/>
    <cellStyle name="Normal 19 11 9 3" xfId="11331" xr:uid="{00000000-0005-0000-0000-0000472C0000}"/>
    <cellStyle name="Normal 19 11 9 4" xfId="11332" xr:uid="{00000000-0005-0000-0000-0000482C0000}"/>
    <cellStyle name="Normal 19 11 9 5" xfId="11333" xr:uid="{00000000-0005-0000-0000-0000492C0000}"/>
    <cellStyle name="Normal 19 11 9 6" xfId="11334" xr:uid="{00000000-0005-0000-0000-00004A2C0000}"/>
    <cellStyle name="Normal 19 12" xfId="11335" xr:uid="{00000000-0005-0000-0000-00004B2C0000}"/>
    <cellStyle name="Normal 19 12 10" xfId="11336" xr:uid="{00000000-0005-0000-0000-00004C2C0000}"/>
    <cellStyle name="Normal 19 12 10 2" xfId="11337" xr:uid="{00000000-0005-0000-0000-00004D2C0000}"/>
    <cellStyle name="Normal 19 12 10 3" xfId="11338" xr:uid="{00000000-0005-0000-0000-00004E2C0000}"/>
    <cellStyle name="Normal 19 12 10 4" xfId="11339" xr:uid="{00000000-0005-0000-0000-00004F2C0000}"/>
    <cellStyle name="Normal 19 12 10 5" xfId="11340" xr:uid="{00000000-0005-0000-0000-0000502C0000}"/>
    <cellStyle name="Normal 19 12 10 6" xfId="11341" xr:uid="{00000000-0005-0000-0000-0000512C0000}"/>
    <cellStyle name="Normal 19 12 11" xfId="11342" xr:uid="{00000000-0005-0000-0000-0000522C0000}"/>
    <cellStyle name="Normal 19 12 12" xfId="11343" xr:uid="{00000000-0005-0000-0000-0000532C0000}"/>
    <cellStyle name="Normal 19 12 13" xfId="11344" xr:uid="{00000000-0005-0000-0000-0000542C0000}"/>
    <cellStyle name="Normal 19 12 14" xfId="11345" xr:uid="{00000000-0005-0000-0000-0000552C0000}"/>
    <cellStyle name="Normal 19 12 15" xfId="11346" xr:uid="{00000000-0005-0000-0000-0000562C0000}"/>
    <cellStyle name="Normal 19 12 2" xfId="11347" xr:uid="{00000000-0005-0000-0000-0000572C0000}"/>
    <cellStyle name="Normal 19 12 2 10" xfId="11348" xr:uid="{00000000-0005-0000-0000-0000582C0000}"/>
    <cellStyle name="Normal 19 12 2 11" xfId="11349" xr:uid="{00000000-0005-0000-0000-0000592C0000}"/>
    <cellStyle name="Normal 19 12 2 12" xfId="11350" xr:uid="{00000000-0005-0000-0000-00005A2C0000}"/>
    <cellStyle name="Normal 19 12 2 13" xfId="11351" xr:uid="{00000000-0005-0000-0000-00005B2C0000}"/>
    <cellStyle name="Normal 19 12 2 14" xfId="11352" xr:uid="{00000000-0005-0000-0000-00005C2C0000}"/>
    <cellStyle name="Normal 19 12 2 2" xfId="11353" xr:uid="{00000000-0005-0000-0000-00005D2C0000}"/>
    <cellStyle name="Normal 19 12 2 2 2" xfId="11354" xr:uid="{00000000-0005-0000-0000-00005E2C0000}"/>
    <cellStyle name="Normal 19 12 2 2 3" xfId="11355" xr:uid="{00000000-0005-0000-0000-00005F2C0000}"/>
    <cellStyle name="Normal 19 12 2 2 4" xfId="11356" xr:uid="{00000000-0005-0000-0000-0000602C0000}"/>
    <cellStyle name="Normal 19 12 2 2 5" xfId="11357" xr:uid="{00000000-0005-0000-0000-0000612C0000}"/>
    <cellStyle name="Normal 19 12 2 2 6" xfId="11358" xr:uid="{00000000-0005-0000-0000-0000622C0000}"/>
    <cellStyle name="Normal 19 12 2 3" xfId="11359" xr:uid="{00000000-0005-0000-0000-0000632C0000}"/>
    <cellStyle name="Normal 19 12 2 3 2" xfId="11360" xr:uid="{00000000-0005-0000-0000-0000642C0000}"/>
    <cellStyle name="Normal 19 12 2 3 3" xfId="11361" xr:uid="{00000000-0005-0000-0000-0000652C0000}"/>
    <cellStyle name="Normal 19 12 2 3 4" xfId="11362" xr:uid="{00000000-0005-0000-0000-0000662C0000}"/>
    <cellStyle name="Normal 19 12 2 3 5" xfId="11363" xr:uid="{00000000-0005-0000-0000-0000672C0000}"/>
    <cellStyle name="Normal 19 12 2 3 6" xfId="11364" xr:uid="{00000000-0005-0000-0000-0000682C0000}"/>
    <cellStyle name="Normal 19 12 2 4" xfId="11365" xr:uid="{00000000-0005-0000-0000-0000692C0000}"/>
    <cellStyle name="Normal 19 12 2 4 2" xfId="11366" xr:uid="{00000000-0005-0000-0000-00006A2C0000}"/>
    <cellStyle name="Normal 19 12 2 4 3" xfId="11367" xr:uid="{00000000-0005-0000-0000-00006B2C0000}"/>
    <cellStyle name="Normal 19 12 2 4 4" xfId="11368" xr:uid="{00000000-0005-0000-0000-00006C2C0000}"/>
    <cellStyle name="Normal 19 12 2 4 5" xfId="11369" xr:uid="{00000000-0005-0000-0000-00006D2C0000}"/>
    <cellStyle name="Normal 19 12 2 4 6" xfId="11370" xr:uid="{00000000-0005-0000-0000-00006E2C0000}"/>
    <cellStyle name="Normal 19 12 2 5" xfId="11371" xr:uid="{00000000-0005-0000-0000-00006F2C0000}"/>
    <cellStyle name="Normal 19 12 2 5 2" xfId="11372" xr:uid="{00000000-0005-0000-0000-0000702C0000}"/>
    <cellStyle name="Normal 19 12 2 5 3" xfId="11373" xr:uid="{00000000-0005-0000-0000-0000712C0000}"/>
    <cellStyle name="Normal 19 12 2 5 4" xfId="11374" xr:uid="{00000000-0005-0000-0000-0000722C0000}"/>
    <cellStyle name="Normal 19 12 2 5 5" xfId="11375" xr:uid="{00000000-0005-0000-0000-0000732C0000}"/>
    <cellStyle name="Normal 19 12 2 5 6" xfId="11376" xr:uid="{00000000-0005-0000-0000-0000742C0000}"/>
    <cellStyle name="Normal 19 12 2 6" xfId="11377" xr:uid="{00000000-0005-0000-0000-0000752C0000}"/>
    <cellStyle name="Normal 19 12 2 6 2" xfId="11378" xr:uid="{00000000-0005-0000-0000-0000762C0000}"/>
    <cellStyle name="Normal 19 12 2 6 3" xfId="11379" xr:uid="{00000000-0005-0000-0000-0000772C0000}"/>
    <cellStyle name="Normal 19 12 2 6 4" xfId="11380" xr:uid="{00000000-0005-0000-0000-0000782C0000}"/>
    <cellStyle name="Normal 19 12 2 6 5" xfId="11381" xr:uid="{00000000-0005-0000-0000-0000792C0000}"/>
    <cellStyle name="Normal 19 12 2 6 6" xfId="11382" xr:uid="{00000000-0005-0000-0000-00007A2C0000}"/>
    <cellStyle name="Normal 19 12 2 7" xfId="11383" xr:uid="{00000000-0005-0000-0000-00007B2C0000}"/>
    <cellStyle name="Normal 19 12 2 7 2" xfId="11384" xr:uid="{00000000-0005-0000-0000-00007C2C0000}"/>
    <cellStyle name="Normal 19 12 2 7 3" xfId="11385" xr:uid="{00000000-0005-0000-0000-00007D2C0000}"/>
    <cellStyle name="Normal 19 12 2 7 4" xfId="11386" xr:uid="{00000000-0005-0000-0000-00007E2C0000}"/>
    <cellStyle name="Normal 19 12 2 7 5" xfId="11387" xr:uid="{00000000-0005-0000-0000-00007F2C0000}"/>
    <cellStyle name="Normal 19 12 2 7 6" xfId="11388" xr:uid="{00000000-0005-0000-0000-0000802C0000}"/>
    <cellStyle name="Normal 19 12 2 8" xfId="11389" xr:uid="{00000000-0005-0000-0000-0000812C0000}"/>
    <cellStyle name="Normal 19 12 2 8 2" xfId="11390" xr:uid="{00000000-0005-0000-0000-0000822C0000}"/>
    <cellStyle name="Normal 19 12 2 8 3" xfId="11391" xr:uid="{00000000-0005-0000-0000-0000832C0000}"/>
    <cellStyle name="Normal 19 12 2 8 4" xfId="11392" xr:uid="{00000000-0005-0000-0000-0000842C0000}"/>
    <cellStyle name="Normal 19 12 2 8 5" xfId="11393" xr:uid="{00000000-0005-0000-0000-0000852C0000}"/>
    <cellStyle name="Normal 19 12 2 8 6" xfId="11394" xr:uid="{00000000-0005-0000-0000-0000862C0000}"/>
    <cellStyle name="Normal 19 12 2 9" xfId="11395" xr:uid="{00000000-0005-0000-0000-0000872C0000}"/>
    <cellStyle name="Normal 19 12 2 9 2" xfId="11396" xr:uid="{00000000-0005-0000-0000-0000882C0000}"/>
    <cellStyle name="Normal 19 12 2 9 3" xfId="11397" xr:uid="{00000000-0005-0000-0000-0000892C0000}"/>
    <cellStyle name="Normal 19 12 2 9 4" xfId="11398" xr:uid="{00000000-0005-0000-0000-00008A2C0000}"/>
    <cellStyle name="Normal 19 12 2 9 5" xfId="11399" xr:uid="{00000000-0005-0000-0000-00008B2C0000}"/>
    <cellStyle name="Normal 19 12 2 9 6" xfId="11400" xr:uid="{00000000-0005-0000-0000-00008C2C0000}"/>
    <cellStyle name="Normal 19 12 3" xfId="11401" xr:uid="{00000000-0005-0000-0000-00008D2C0000}"/>
    <cellStyle name="Normal 19 12 3 2" xfId="11402" xr:uid="{00000000-0005-0000-0000-00008E2C0000}"/>
    <cellStyle name="Normal 19 12 3 3" xfId="11403" xr:uid="{00000000-0005-0000-0000-00008F2C0000}"/>
    <cellStyle name="Normal 19 12 3 4" xfId="11404" xr:uid="{00000000-0005-0000-0000-0000902C0000}"/>
    <cellStyle name="Normal 19 12 3 5" xfId="11405" xr:uid="{00000000-0005-0000-0000-0000912C0000}"/>
    <cellStyle name="Normal 19 12 3 6" xfId="11406" xr:uid="{00000000-0005-0000-0000-0000922C0000}"/>
    <cellStyle name="Normal 19 12 4" xfId="11407" xr:uid="{00000000-0005-0000-0000-0000932C0000}"/>
    <cellStyle name="Normal 19 12 4 2" xfId="11408" xr:uid="{00000000-0005-0000-0000-0000942C0000}"/>
    <cellStyle name="Normal 19 12 4 3" xfId="11409" xr:uid="{00000000-0005-0000-0000-0000952C0000}"/>
    <cellStyle name="Normal 19 12 4 4" xfId="11410" xr:uid="{00000000-0005-0000-0000-0000962C0000}"/>
    <cellStyle name="Normal 19 12 4 5" xfId="11411" xr:uid="{00000000-0005-0000-0000-0000972C0000}"/>
    <cellStyle name="Normal 19 12 4 6" xfId="11412" xr:uid="{00000000-0005-0000-0000-0000982C0000}"/>
    <cellStyle name="Normal 19 12 5" xfId="11413" xr:uid="{00000000-0005-0000-0000-0000992C0000}"/>
    <cellStyle name="Normal 19 12 5 2" xfId="11414" xr:uid="{00000000-0005-0000-0000-00009A2C0000}"/>
    <cellStyle name="Normal 19 12 5 3" xfId="11415" xr:uid="{00000000-0005-0000-0000-00009B2C0000}"/>
    <cellStyle name="Normal 19 12 5 4" xfId="11416" xr:uid="{00000000-0005-0000-0000-00009C2C0000}"/>
    <cellStyle name="Normal 19 12 5 5" xfId="11417" xr:uid="{00000000-0005-0000-0000-00009D2C0000}"/>
    <cellStyle name="Normal 19 12 5 6" xfId="11418" xr:uid="{00000000-0005-0000-0000-00009E2C0000}"/>
    <cellStyle name="Normal 19 12 6" xfId="11419" xr:uid="{00000000-0005-0000-0000-00009F2C0000}"/>
    <cellStyle name="Normal 19 12 6 2" xfId="11420" xr:uid="{00000000-0005-0000-0000-0000A02C0000}"/>
    <cellStyle name="Normal 19 12 6 3" xfId="11421" xr:uid="{00000000-0005-0000-0000-0000A12C0000}"/>
    <cellStyle name="Normal 19 12 6 4" xfId="11422" xr:uid="{00000000-0005-0000-0000-0000A22C0000}"/>
    <cellStyle name="Normal 19 12 6 5" xfId="11423" xr:uid="{00000000-0005-0000-0000-0000A32C0000}"/>
    <cellStyle name="Normal 19 12 6 6" xfId="11424" xr:uid="{00000000-0005-0000-0000-0000A42C0000}"/>
    <cellStyle name="Normal 19 12 7" xfId="11425" xr:uid="{00000000-0005-0000-0000-0000A52C0000}"/>
    <cellStyle name="Normal 19 12 7 2" xfId="11426" xr:uid="{00000000-0005-0000-0000-0000A62C0000}"/>
    <cellStyle name="Normal 19 12 7 3" xfId="11427" xr:uid="{00000000-0005-0000-0000-0000A72C0000}"/>
    <cellStyle name="Normal 19 12 7 4" xfId="11428" xr:uid="{00000000-0005-0000-0000-0000A82C0000}"/>
    <cellStyle name="Normal 19 12 7 5" xfId="11429" xr:uid="{00000000-0005-0000-0000-0000A92C0000}"/>
    <cellStyle name="Normal 19 12 7 6" xfId="11430" xr:uid="{00000000-0005-0000-0000-0000AA2C0000}"/>
    <cellStyle name="Normal 19 12 8" xfId="11431" xr:uid="{00000000-0005-0000-0000-0000AB2C0000}"/>
    <cellStyle name="Normal 19 12 8 2" xfId="11432" xr:uid="{00000000-0005-0000-0000-0000AC2C0000}"/>
    <cellStyle name="Normal 19 12 8 3" xfId="11433" xr:uid="{00000000-0005-0000-0000-0000AD2C0000}"/>
    <cellStyle name="Normal 19 12 8 4" xfId="11434" xr:uid="{00000000-0005-0000-0000-0000AE2C0000}"/>
    <cellStyle name="Normal 19 12 8 5" xfId="11435" xr:uid="{00000000-0005-0000-0000-0000AF2C0000}"/>
    <cellStyle name="Normal 19 12 8 6" xfId="11436" xr:uid="{00000000-0005-0000-0000-0000B02C0000}"/>
    <cellStyle name="Normal 19 12 9" xfId="11437" xr:uid="{00000000-0005-0000-0000-0000B12C0000}"/>
    <cellStyle name="Normal 19 12 9 2" xfId="11438" xr:uid="{00000000-0005-0000-0000-0000B22C0000}"/>
    <cellStyle name="Normal 19 12 9 3" xfId="11439" xr:uid="{00000000-0005-0000-0000-0000B32C0000}"/>
    <cellStyle name="Normal 19 12 9 4" xfId="11440" xr:uid="{00000000-0005-0000-0000-0000B42C0000}"/>
    <cellStyle name="Normal 19 12 9 5" xfId="11441" xr:uid="{00000000-0005-0000-0000-0000B52C0000}"/>
    <cellStyle name="Normal 19 12 9 6" xfId="11442" xr:uid="{00000000-0005-0000-0000-0000B62C0000}"/>
    <cellStyle name="Normal 19 13" xfId="11443" xr:uid="{00000000-0005-0000-0000-0000B72C0000}"/>
    <cellStyle name="Normal 19 13 10" xfId="11444" xr:uid="{00000000-0005-0000-0000-0000B82C0000}"/>
    <cellStyle name="Normal 19 13 10 2" xfId="11445" xr:uid="{00000000-0005-0000-0000-0000B92C0000}"/>
    <cellStyle name="Normal 19 13 10 3" xfId="11446" xr:uid="{00000000-0005-0000-0000-0000BA2C0000}"/>
    <cellStyle name="Normal 19 13 10 4" xfId="11447" xr:uid="{00000000-0005-0000-0000-0000BB2C0000}"/>
    <cellStyle name="Normal 19 13 10 5" xfId="11448" xr:uid="{00000000-0005-0000-0000-0000BC2C0000}"/>
    <cellStyle name="Normal 19 13 10 6" xfId="11449" xr:uid="{00000000-0005-0000-0000-0000BD2C0000}"/>
    <cellStyle name="Normal 19 13 11" xfId="11450" xr:uid="{00000000-0005-0000-0000-0000BE2C0000}"/>
    <cellStyle name="Normal 19 13 12" xfId="11451" xr:uid="{00000000-0005-0000-0000-0000BF2C0000}"/>
    <cellStyle name="Normal 19 13 13" xfId="11452" xr:uid="{00000000-0005-0000-0000-0000C02C0000}"/>
    <cellStyle name="Normal 19 13 14" xfId="11453" xr:uid="{00000000-0005-0000-0000-0000C12C0000}"/>
    <cellStyle name="Normal 19 13 15" xfId="11454" xr:uid="{00000000-0005-0000-0000-0000C22C0000}"/>
    <cellStyle name="Normal 19 13 2" xfId="11455" xr:uid="{00000000-0005-0000-0000-0000C32C0000}"/>
    <cellStyle name="Normal 19 13 2 10" xfId="11456" xr:uid="{00000000-0005-0000-0000-0000C42C0000}"/>
    <cellStyle name="Normal 19 13 2 11" xfId="11457" xr:uid="{00000000-0005-0000-0000-0000C52C0000}"/>
    <cellStyle name="Normal 19 13 2 12" xfId="11458" xr:uid="{00000000-0005-0000-0000-0000C62C0000}"/>
    <cellStyle name="Normal 19 13 2 13" xfId="11459" xr:uid="{00000000-0005-0000-0000-0000C72C0000}"/>
    <cellStyle name="Normal 19 13 2 14" xfId="11460" xr:uid="{00000000-0005-0000-0000-0000C82C0000}"/>
    <cellStyle name="Normal 19 13 2 2" xfId="11461" xr:uid="{00000000-0005-0000-0000-0000C92C0000}"/>
    <cellStyle name="Normal 19 13 2 2 2" xfId="11462" xr:uid="{00000000-0005-0000-0000-0000CA2C0000}"/>
    <cellStyle name="Normal 19 13 2 2 3" xfId="11463" xr:uid="{00000000-0005-0000-0000-0000CB2C0000}"/>
    <cellStyle name="Normal 19 13 2 2 4" xfId="11464" xr:uid="{00000000-0005-0000-0000-0000CC2C0000}"/>
    <cellStyle name="Normal 19 13 2 2 5" xfId="11465" xr:uid="{00000000-0005-0000-0000-0000CD2C0000}"/>
    <cellStyle name="Normal 19 13 2 2 6" xfId="11466" xr:uid="{00000000-0005-0000-0000-0000CE2C0000}"/>
    <cellStyle name="Normal 19 13 2 3" xfId="11467" xr:uid="{00000000-0005-0000-0000-0000CF2C0000}"/>
    <cellStyle name="Normal 19 13 2 3 2" xfId="11468" xr:uid="{00000000-0005-0000-0000-0000D02C0000}"/>
    <cellStyle name="Normal 19 13 2 3 3" xfId="11469" xr:uid="{00000000-0005-0000-0000-0000D12C0000}"/>
    <cellStyle name="Normal 19 13 2 3 4" xfId="11470" xr:uid="{00000000-0005-0000-0000-0000D22C0000}"/>
    <cellStyle name="Normal 19 13 2 3 5" xfId="11471" xr:uid="{00000000-0005-0000-0000-0000D32C0000}"/>
    <cellStyle name="Normal 19 13 2 3 6" xfId="11472" xr:uid="{00000000-0005-0000-0000-0000D42C0000}"/>
    <cellStyle name="Normal 19 13 2 4" xfId="11473" xr:uid="{00000000-0005-0000-0000-0000D52C0000}"/>
    <cellStyle name="Normal 19 13 2 4 2" xfId="11474" xr:uid="{00000000-0005-0000-0000-0000D62C0000}"/>
    <cellStyle name="Normal 19 13 2 4 3" xfId="11475" xr:uid="{00000000-0005-0000-0000-0000D72C0000}"/>
    <cellStyle name="Normal 19 13 2 4 4" xfId="11476" xr:uid="{00000000-0005-0000-0000-0000D82C0000}"/>
    <cellStyle name="Normal 19 13 2 4 5" xfId="11477" xr:uid="{00000000-0005-0000-0000-0000D92C0000}"/>
    <cellStyle name="Normal 19 13 2 4 6" xfId="11478" xr:uid="{00000000-0005-0000-0000-0000DA2C0000}"/>
    <cellStyle name="Normal 19 13 2 5" xfId="11479" xr:uid="{00000000-0005-0000-0000-0000DB2C0000}"/>
    <cellStyle name="Normal 19 13 2 5 2" xfId="11480" xr:uid="{00000000-0005-0000-0000-0000DC2C0000}"/>
    <cellStyle name="Normal 19 13 2 5 3" xfId="11481" xr:uid="{00000000-0005-0000-0000-0000DD2C0000}"/>
    <cellStyle name="Normal 19 13 2 5 4" xfId="11482" xr:uid="{00000000-0005-0000-0000-0000DE2C0000}"/>
    <cellStyle name="Normal 19 13 2 5 5" xfId="11483" xr:uid="{00000000-0005-0000-0000-0000DF2C0000}"/>
    <cellStyle name="Normal 19 13 2 5 6" xfId="11484" xr:uid="{00000000-0005-0000-0000-0000E02C0000}"/>
    <cellStyle name="Normal 19 13 2 6" xfId="11485" xr:uid="{00000000-0005-0000-0000-0000E12C0000}"/>
    <cellStyle name="Normal 19 13 2 6 2" xfId="11486" xr:uid="{00000000-0005-0000-0000-0000E22C0000}"/>
    <cellStyle name="Normal 19 13 2 6 3" xfId="11487" xr:uid="{00000000-0005-0000-0000-0000E32C0000}"/>
    <cellStyle name="Normal 19 13 2 6 4" xfId="11488" xr:uid="{00000000-0005-0000-0000-0000E42C0000}"/>
    <cellStyle name="Normal 19 13 2 6 5" xfId="11489" xr:uid="{00000000-0005-0000-0000-0000E52C0000}"/>
    <cellStyle name="Normal 19 13 2 6 6" xfId="11490" xr:uid="{00000000-0005-0000-0000-0000E62C0000}"/>
    <cellStyle name="Normal 19 13 2 7" xfId="11491" xr:uid="{00000000-0005-0000-0000-0000E72C0000}"/>
    <cellStyle name="Normal 19 13 2 7 2" xfId="11492" xr:uid="{00000000-0005-0000-0000-0000E82C0000}"/>
    <cellStyle name="Normal 19 13 2 7 3" xfId="11493" xr:uid="{00000000-0005-0000-0000-0000E92C0000}"/>
    <cellStyle name="Normal 19 13 2 7 4" xfId="11494" xr:uid="{00000000-0005-0000-0000-0000EA2C0000}"/>
    <cellStyle name="Normal 19 13 2 7 5" xfId="11495" xr:uid="{00000000-0005-0000-0000-0000EB2C0000}"/>
    <cellStyle name="Normal 19 13 2 7 6" xfId="11496" xr:uid="{00000000-0005-0000-0000-0000EC2C0000}"/>
    <cellStyle name="Normal 19 13 2 8" xfId="11497" xr:uid="{00000000-0005-0000-0000-0000ED2C0000}"/>
    <cellStyle name="Normal 19 13 2 8 2" xfId="11498" xr:uid="{00000000-0005-0000-0000-0000EE2C0000}"/>
    <cellStyle name="Normal 19 13 2 8 3" xfId="11499" xr:uid="{00000000-0005-0000-0000-0000EF2C0000}"/>
    <cellStyle name="Normal 19 13 2 8 4" xfId="11500" xr:uid="{00000000-0005-0000-0000-0000F02C0000}"/>
    <cellStyle name="Normal 19 13 2 8 5" xfId="11501" xr:uid="{00000000-0005-0000-0000-0000F12C0000}"/>
    <cellStyle name="Normal 19 13 2 8 6" xfId="11502" xr:uid="{00000000-0005-0000-0000-0000F22C0000}"/>
    <cellStyle name="Normal 19 13 2 9" xfId="11503" xr:uid="{00000000-0005-0000-0000-0000F32C0000}"/>
    <cellStyle name="Normal 19 13 2 9 2" xfId="11504" xr:uid="{00000000-0005-0000-0000-0000F42C0000}"/>
    <cellStyle name="Normal 19 13 2 9 3" xfId="11505" xr:uid="{00000000-0005-0000-0000-0000F52C0000}"/>
    <cellStyle name="Normal 19 13 2 9 4" xfId="11506" xr:uid="{00000000-0005-0000-0000-0000F62C0000}"/>
    <cellStyle name="Normal 19 13 2 9 5" xfId="11507" xr:uid="{00000000-0005-0000-0000-0000F72C0000}"/>
    <cellStyle name="Normal 19 13 2 9 6" xfId="11508" xr:uid="{00000000-0005-0000-0000-0000F82C0000}"/>
    <cellStyle name="Normal 19 13 3" xfId="11509" xr:uid="{00000000-0005-0000-0000-0000F92C0000}"/>
    <cellStyle name="Normal 19 13 3 2" xfId="11510" xr:uid="{00000000-0005-0000-0000-0000FA2C0000}"/>
    <cellStyle name="Normal 19 13 3 3" xfId="11511" xr:uid="{00000000-0005-0000-0000-0000FB2C0000}"/>
    <cellStyle name="Normal 19 13 3 4" xfId="11512" xr:uid="{00000000-0005-0000-0000-0000FC2C0000}"/>
    <cellStyle name="Normal 19 13 3 5" xfId="11513" xr:uid="{00000000-0005-0000-0000-0000FD2C0000}"/>
    <cellStyle name="Normal 19 13 3 6" xfId="11514" xr:uid="{00000000-0005-0000-0000-0000FE2C0000}"/>
    <cellStyle name="Normal 19 13 4" xfId="11515" xr:uid="{00000000-0005-0000-0000-0000FF2C0000}"/>
    <cellStyle name="Normal 19 13 4 2" xfId="11516" xr:uid="{00000000-0005-0000-0000-0000002D0000}"/>
    <cellStyle name="Normal 19 13 4 3" xfId="11517" xr:uid="{00000000-0005-0000-0000-0000012D0000}"/>
    <cellStyle name="Normal 19 13 4 4" xfId="11518" xr:uid="{00000000-0005-0000-0000-0000022D0000}"/>
    <cellStyle name="Normal 19 13 4 5" xfId="11519" xr:uid="{00000000-0005-0000-0000-0000032D0000}"/>
    <cellStyle name="Normal 19 13 4 6" xfId="11520" xr:uid="{00000000-0005-0000-0000-0000042D0000}"/>
    <cellStyle name="Normal 19 13 5" xfId="11521" xr:uid="{00000000-0005-0000-0000-0000052D0000}"/>
    <cellStyle name="Normal 19 13 5 2" xfId="11522" xr:uid="{00000000-0005-0000-0000-0000062D0000}"/>
    <cellStyle name="Normal 19 13 5 3" xfId="11523" xr:uid="{00000000-0005-0000-0000-0000072D0000}"/>
    <cellStyle name="Normal 19 13 5 4" xfId="11524" xr:uid="{00000000-0005-0000-0000-0000082D0000}"/>
    <cellStyle name="Normal 19 13 5 5" xfId="11525" xr:uid="{00000000-0005-0000-0000-0000092D0000}"/>
    <cellStyle name="Normal 19 13 5 6" xfId="11526" xr:uid="{00000000-0005-0000-0000-00000A2D0000}"/>
    <cellStyle name="Normal 19 13 6" xfId="11527" xr:uid="{00000000-0005-0000-0000-00000B2D0000}"/>
    <cellStyle name="Normal 19 13 6 2" xfId="11528" xr:uid="{00000000-0005-0000-0000-00000C2D0000}"/>
    <cellStyle name="Normal 19 13 6 3" xfId="11529" xr:uid="{00000000-0005-0000-0000-00000D2D0000}"/>
    <cellStyle name="Normal 19 13 6 4" xfId="11530" xr:uid="{00000000-0005-0000-0000-00000E2D0000}"/>
    <cellStyle name="Normal 19 13 6 5" xfId="11531" xr:uid="{00000000-0005-0000-0000-00000F2D0000}"/>
    <cellStyle name="Normal 19 13 6 6" xfId="11532" xr:uid="{00000000-0005-0000-0000-0000102D0000}"/>
    <cellStyle name="Normal 19 13 7" xfId="11533" xr:uid="{00000000-0005-0000-0000-0000112D0000}"/>
    <cellStyle name="Normal 19 13 7 2" xfId="11534" xr:uid="{00000000-0005-0000-0000-0000122D0000}"/>
    <cellStyle name="Normal 19 13 7 3" xfId="11535" xr:uid="{00000000-0005-0000-0000-0000132D0000}"/>
    <cellStyle name="Normal 19 13 7 4" xfId="11536" xr:uid="{00000000-0005-0000-0000-0000142D0000}"/>
    <cellStyle name="Normal 19 13 7 5" xfId="11537" xr:uid="{00000000-0005-0000-0000-0000152D0000}"/>
    <cellStyle name="Normal 19 13 7 6" xfId="11538" xr:uid="{00000000-0005-0000-0000-0000162D0000}"/>
    <cellStyle name="Normal 19 13 8" xfId="11539" xr:uid="{00000000-0005-0000-0000-0000172D0000}"/>
    <cellStyle name="Normal 19 13 8 2" xfId="11540" xr:uid="{00000000-0005-0000-0000-0000182D0000}"/>
    <cellStyle name="Normal 19 13 8 3" xfId="11541" xr:uid="{00000000-0005-0000-0000-0000192D0000}"/>
    <cellStyle name="Normal 19 13 8 4" xfId="11542" xr:uid="{00000000-0005-0000-0000-00001A2D0000}"/>
    <cellStyle name="Normal 19 13 8 5" xfId="11543" xr:uid="{00000000-0005-0000-0000-00001B2D0000}"/>
    <cellStyle name="Normal 19 13 8 6" xfId="11544" xr:uid="{00000000-0005-0000-0000-00001C2D0000}"/>
    <cellStyle name="Normal 19 13 9" xfId="11545" xr:uid="{00000000-0005-0000-0000-00001D2D0000}"/>
    <cellStyle name="Normal 19 13 9 2" xfId="11546" xr:uid="{00000000-0005-0000-0000-00001E2D0000}"/>
    <cellStyle name="Normal 19 13 9 3" xfId="11547" xr:uid="{00000000-0005-0000-0000-00001F2D0000}"/>
    <cellStyle name="Normal 19 13 9 4" xfId="11548" xr:uid="{00000000-0005-0000-0000-0000202D0000}"/>
    <cellStyle name="Normal 19 13 9 5" xfId="11549" xr:uid="{00000000-0005-0000-0000-0000212D0000}"/>
    <cellStyle name="Normal 19 13 9 6" xfId="11550" xr:uid="{00000000-0005-0000-0000-0000222D0000}"/>
    <cellStyle name="Normal 19 14" xfId="11551" xr:uid="{00000000-0005-0000-0000-0000232D0000}"/>
    <cellStyle name="Normal 19 14 10" xfId="11552" xr:uid="{00000000-0005-0000-0000-0000242D0000}"/>
    <cellStyle name="Normal 19 14 10 2" xfId="11553" xr:uid="{00000000-0005-0000-0000-0000252D0000}"/>
    <cellStyle name="Normal 19 14 10 3" xfId="11554" xr:uid="{00000000-0005-0000-0000-0000262D0000}"/>
    <cellStyle name="Normal 19 14 10 4" xfId="11555" xr:uid="{00000000-0005-0000-0000-0000272D0000}"/>
    <cellStyle name="Normal 19 14 10 5" xfId="11556" xr:uid="{00000000-0005-0000-0000-0000282D0000}"/>
    <cellStyle name="Normal 19 14 10 6" xfId="11557" xr:uid="{00000000-0005-0000-0000-0000292D0000}"/>
    <cellStyle name="Normal 19 14 11" xfId="11558" xr:uid="{00000000-0005-0000-0000-00002A2D0000}"/>
    <cellStyle name="Normal 19 14 12" xfId="11559" xr:uid="{00000000-0005-0000-0000-00002B2D0000}"/>
    <cellStyle name="Normal 19 14 13" xfId="11560" xr:uid="{00000000-0005-0000-0000-00002C2D0000}"/>
    <cellStyle name="Normal 19 14 14" xfId="11561" xr:uid="{00000000-0005-0000-0000-00002D2D0000}"/>
    <cellStyle name="Normal 19 14 15" xfId="11562" xr:uid="{00000000-0005-0000-0000-00002E2D0000}"/>
    <cellStyle name="Normal 19 14 2" xfId="11563" xr:uid="{00000000-0005-0000-0000-00002F2D0000}"/>
    <cellStyle name="Normal 19 14 2 10" xfId="11564" xr:uid="{00000000-0005-0000-0000-0000302D0000}"/>
    <cellStyle name="Normal 19 14 2 11" xfId="11565" xr:uid="{00000000-0005-0000-0000-0000312D0000}"/>
    <cellStyle name="Normal 19 14 2 12" xfId="11566" xr:uid="{00000000-0005-0000-0000-0000322D0000}"/>
    <cellStyle name="Normal 19 14 2 13" xfId="11567" xr:uid="{00000000-0005-0000-0000-0000332D0000}"/>
    <cellStyle name="Normal 19 14 2 14" xfId="11568" xr:uid="{00000000-0005-0000-0000-0000342D0000}"/>
    <cellStyle name="Normal 19 14 2 2" xfId="11569" xr:uid="{00000000-0005-0000-0000-0000352D0000}"/>
    <cellStyle name="Normal 19 14 2 2 2" xfId="11570" xr:uid="{00000000-0005-0000-0000-0000362D0000}"/>
    <cellStyle name="Normal 19 14 2 2 3" xfId="11571" xr:uid="{00000000-0005-0000-0000-0000372D0000}"/>
    <cellStyle name="Normal 19 14 2 2 4" xfId="11572" xr:uid="{00000000-0005-0000-0000-0000382D0000}"/>
    <cellStyle name="Normal 19 14 2 2 5" xfId="11573" xr:uid="{00000000-0005-0000-0000-0000392D0000}"/>
    <cellStyle name="Normal 19 14 2 2 6" xfId="11574" xr:uid="{00000000-0005-0000-0000-00003A2D0000}"/>
    <cellStyle name="Normal 19 14 2 3" xfId="11575" xr:uid="{00000000-0005-0000-0000-00003B2D0000}"/>
    <cellStyle name="Normal 19 14 2 3 2" xfId="11576" xr:uid="{00000000-0005-0000-0000-00003C2D0000}"/>
    <cellStyle name="Normal 19 14 2 3 3" xfId="11577" xr:uid="{00000000-0005-0000-0000-00003D2D0000}"/>
    <cellStyle name="Normal 19 14 2 3 4" xfId="11578" xr:uid="{00000000-0005-0000-0000-00003E2D0000}"/>
    <cellStyle name="Normal 19 14 2 3 5" xfId="11579" xr:uid="{00000000-0005-0000-0000-00003F2D0000}"/>
    <cellStyle name="Normal 19 14 2 3 6" xfId="11580" xr:uid="{00000000-0005-0000-0000-0000402D0000}"/>
    <cellStyle name="Normal 19 14 2 4" xfId="11581" xr:uid="{00000000-0005-0000-0000-0000412D0000}"/>
    <cellStyle name="Normal 19 14 2 4 2" xfId="11582" xr:uid="{00000000-0005-0000-0000-0000422D0000}"/>
    <cellStyle name="Normal 19 14 2 4 3" xfId="11583" xr:uid="{00000000-0005-0000-0000-0000432D0000}"/>
    <cellStyle name="Normal 19 14 2 4 4" xfId="11584" xr:uid="{00000000-0005-0000-0000-0000442D0000}"/>
    <cellStyle name="Normal 19 14 2 4 5" xfId="11585" xr:uid="{00000000-0005-0000-0000-0000452D0000}"/>
    <cellStyle name="Normal 19 14 2 4 6" xfId="11586" xr:uid="{00000000-0005-0000-0000-0000462D0000}"/>
    <cellStyle name="Normal 19 14 2 5" xfId="11587" xr:uid="{00000000-0005-0000-0000-0000472D0000}"/>
    <cellStyle name="Normal 19 14 2 5 2" xfId="11588" xr:uid="{00000000-0005-0000-0000-0000482D0000}"/>
    <cellStyle name="Normal 19 14 2 5 3" xfId="11589" xr:uid="{00000000-0005-0000-0000-0000492D0000}"/>
    <cellStyle name="Normal 19 14 2 5 4" xfId="11590" xr:uid="{00000000-0005-0000-0000-00004A2D0000}"/>
    <cellStyle name="Normal 19 14 2 5 5" xfId="11591" xr:uid="{00000000-0005-0000-0000-00004B2D0000}"/>
    <cellStyle name="Normal 19 14 2 5 6" xfId="11592" xr:uid="{00000000-0005-0000-0000-00004C2D0000}"/>
    <cellStyle name="Normal 19 14 2 6" xfId="11593" xr:uid="{00000000-0005-0000-0000-00004D2D0000}"/>
    <cellStyle name="Normal 19 14 2 6 2" xfId="11594" xr:uid="{00000000-0005-0000-0000-00004E2D0000}"/>
    <cellStyle name="Normal 19 14 2 6 3" xfId="11595" xr:uid="{00000000-0005-0000-0000-00004F2D0000}"/>
    <cellStyle name="Normal 19 14 2 6 4" xfId="11596" xr:uid="{00000000-0005-0000-0000-0000502D0000}"/>
    <cellStyle name="Normal 19 14 2 6 5" xfId="11597" xr:uid="{00000000-0005-0000-0000-0000512D0000}"/>
    <cellStyle name="Normal 19 14 2 6 6" xfId="11598" xr:uid="{00000000-0005-0000-0000-0000522D0000}"/>
    <cellStyle name="Normal 19 14 2 7" xfId="11599" xr:uid="{00000000-0005-0000-0000-0000532D0000}"/>
    <cellStyle name="Normal 19 14 2 7 2" xfId="11600" xr:uid="{00000000-0005-0000-0000-0000542D0000}"/>
    <cellStyle name="Normal 19 14 2 7 3" xfId="11601" xr:uid="{00000000-0005-0000-0000-0000552D0000}"/>
    <cellStyle name="Normal 19 14 2 7 4" xfId="11602" xr:uid="{00000000-0005-0000-0000-0000562D0000}"/>
    <cellStyle name="Normal 19 14 2 7 5" xfId="11603" xr:uid="{00000000-0005-0000-0000-0000572D0000}"/>
    <cellStyle name="Normal 19 14 2 7 6" xfId="11604" xr:uid="{00000000-0005-0000-0000-0000582D0000}"/>
    <cellStyle name="Normal 19 14 2 8" xfId="11605" xr:uid="{00000000-0005-0000-0000-0000592D0000}"/>
    <cellStyle name="Normal 19 14 2 8 2" xfId="11606" xr:uid="{00000000-0005-0000-0000-00005A2D0000}"/>
    <cellStyle name="Normal 19 14 2 8 3" xfId="11607" xr:uid="{00000000-0005-0000-0000-00005B2D0000}"/>
    <cellStyle name="Normal 19 14 2 8 4" xfId="11608" xr:uid="{00000000-0005-0000-0000-00005C2D0000}"/>
    <cellStyle name="Normal 19 14 2 8 5" xfId="11609" xr:uid="{00000000-0005-0000-0000-00005D2D0000}"/>
    <cellStyle name="Normal 19 14 2 8 6" xfId="11610" xr:uid="{00000000-0005-0000-0000-00005E2D0000}"/>
    <cellStyle name="Normal 19 14 2 9" xfId="11611" xr:uid="{00000000-0005-0000-0000-00005F2D0000}"/>
    <cellStyle name="Normal 19 14 2 9 2" xfId="11612" xr:uid="{00000000-0005-0000-0000-0000602D0000}"/>
    <cellStyle name="Normal 19 14 2 9 3" xfId="11613" xr:uid="{00000000-0005-0000-0000-0000612D0000}"/>
    <cellStyle name="Normal 19 14 2 9 4" xfId="11614" xr:uid="{00000000-0005-0000-0000-0000622D0000}"/>
    <cellStyle name="Normal 19 14 2 9 5" xfId="11615" xr:uid="{00000000-0005-0000-0000-0000632D0000}"/>
    <cellStyle name="Normal 19 14 2 9 6" xfId="11616" xr:uid="{00000000-0005-0000-0000-0000642D0000}"/>
    <cellStyle name="Normal 19 14 3" xfId="11617" xr:uid="{00000000-0005-0000-0000-0000652D0000}"/>
    <cellStyle name="Normal 19 14 3 2" xfId="11618" xr:uid="{00000000-0005-0000-0000-0000662D0000}"/>
    <cellStyle name="Normal 19 14 3 3" xfId="11619" xr:uid="{00000000-0005-0000-0000-0000672D0000}"/>
    <cellStyle name="Normal 19 14 3 4" xfId="11620" xr:uid="{00000000-0005-0000-0000-0000682D0000}"/>
    <cellStyle name="Normal 19 14 3 5" xfId="11621" xr:uid="{00000000-0005-0000-0000-0000692D0000}"/>
    <cellStyle name="Normal 19 14 3 6" xfId="11622" xr:uid="{00000000-0005-0000-0000-00006A2D0000}"/>
    <cellStyle name="Normal 19 14 4" xfId="11623" xr:uid="{00000000-0005-0000-0000-00006B2D0000}"/>
    <cellStyle name="Normal 19 14 4 2" xfId="11624" xr:uid="{00000000-0005-0000-0000-00006C2D0000}"/>
    <cellStyle name="Normal 19 14 4 3" xfId="11625" xr:uid="{00000000-0005-0000-0000-00006D2D0000}"/>
    <cellStyle name="Normal 19 14 4 4" xfId="11626" xr:uid="{00000000-0005-0000-0000-00006E2D0000}"/>
    <cellStyle name="Normal 19 14 4 5" xfId="11627" xr:uid="{00000000-0005-0000-0000-00006F2D0000}"/>
    <cellStyle name="Normal 19 14 4 6" xfId="11628" xr:uid="{00000000-0005-0000-0000-0000702D0000}"/>
    <cellStyle name="Normal 19 14 5" xfId="11629" xr:uid="{00000000-0005-0000-0000-0000712D0000}"/>
    <cellStyle name="Normal 19 14 5 2" xfId="11630" xr:uid="{00000000-0005-0000-0000-0000722D0000}"/>
    <cellStyle name="Normal 19 14 5 3" xfId="11631" xr:uid="{00000000-0005-0000-0000-0000732D0000}"/>
    <cellStyle name="Normal 19 14 5 4" xfId="11632" xr:uid="{00000000-0005-0000-0000-0000742D0000}"/>
    <cellStyle name="Normal 19 14 5 5" xfId="11633" xr:uid="{00000000-0005-0000-0000-0000752D0000}"/>
    <cellStyle name="Normal 19 14 5 6" xfId="11634" xr:uid="{00000000-0005-0000-0000-0000762D0000}"/>
    <cellStyle name="Normal 19 14 6" xfId="11635" xr:uid="{00000000-0005-0000-0000-0000772D0000}"/>
    <cellStyle name="Normal 19 14 6 2" xfId="11636" xr:uid="{00000000-0005-0000-0000-0000782D0000}"/>
    <cellStyle name="Normal 19 14 6 3" xfId="11637" xr:uid="{00000000-0005-0000-0000-0000792D0000}"/>
    <cellStyle name="Normal 19 14 6 4" xfId="11638" xr:uid="{00000000-0005-0000-0000-00007A2D0000}"/>
    <cellStyle name="Normal 19 14 6 5" xfId="11639" xr:uid="{00000000-0005-0000-0000-00007B2D0000}"/>
    <cellStyle name="Normal 19 14 6 6" xfId="11640" xr:uid="{00000000-0005-0000-0000-00007C2D0000}"/>
    <cellStyle name="Normal 19 14 7" xfId="11641" xr:uid="{00000000-0005-0000-0000-00007D2D0000}"/>
    <cellStyle name="Normal 19 14 7 2" xfId="11642" xr:uid="{00000000-0005-0000-0000-00007E2D0000}"/>
    <cellStyle name="Normal 19 14 7 3" xfId="11643" xr:uid="{00000000-0005-0000-0000-00007F2D0000}"/>
    <cellStyle name="Normal 19 14 7 4" xfId="11644" xr:uid="{00000000-0005-0000-0000-0000802D0000}"/>
    <cellStyle name="Normal 19 14 7 5" xfId="11645" xr:uid="{00000000-0005-0000-0000-0000812D0000}"/>
    <cellStyle name="Normal 19 14 7 6" xfId="11646" xr:uid="{00000000-0005-0000-0000-0000822D0000}"/>
    <cellStyle name="Normal 19 14 8" xfId="11647" xr:uid="{00000000-0005-0000-0000-0000832D0000}"/>
    <cellStyle name="Normal 19 14 8 2" xfId="11648" xr:uid="{00000000-0005-0000-0000-0000842D0000}"/>
    <cellStyle name="Normal 19 14 8 3" xfId="11649" xr:uid="{00000000-0005-0000-0000-0000852D0000}"/>
    <cellStyle name="Normal 19 14 8 4" xfId="11650" xr:uid="{00000000-0005-0000-0000-0000862D0000}"/>
    <cellStyle name="Normal 19 14 8 5" xfId="11651" xr:uid="{00000000-0005-0000-0000-0000872D0000}"/>
    <cellStyle name="Normal 19 14 8 6" xfId="11652" xr:uid="{00000000-0005-0000-0000-0000882D0000}"/>
    <cellStyle name="Normal 19 14 9" xfId="11653" xr:uid="{00000000-0005-0000-0000-0000892D0000}"/>
    <cellStyle name="Normal 19 14 9 2" xfId="11654" xr:uid="{00000000-0005-0000-0000-00008A2D0000}"/>
    <cellStyle name="Normal 19 14 9 3" xfId="11655" xr:uid="{00000000-0005-0000-0000-00008B2D0000}"/>
    <cellStyle name="Normal 19 14 9 4" xfId="11656" xr:uid="{00000000-0005-0000-0000-00008C2D0000}"/>
    <cellStyle name="Normal 19 14 9 5" xfId="11657" xr:uid="{00000000-0005-0000-0000-00008D2D0000}"/>
    <cellStyle name="Normal 19 14 9 6" xfId="11658" xr:uid="{00000000-0005-0000-0000-00008E2D0000}"/>
    <cellStyle name="Normal 19 15" xfId="11659" xr:uid="{00000000-0005-0000-0000-00008F2D0000}"/>
    <cellStyle name="Normal 19 15 10" xfId="11660" xr:uid="{00000000-0005-0000-0000-0000902D0000}"/>
    <cellStyle name="Normal 19 15 10 2" xfId="11661" xr:uid="{00000000-0005-0000-0000-0000912D0000}"/>
    <cellStyle name="Normal 19 15 10 3" xfId="11662" xr:uid="{00000000-0005-0000-0000-0000922D0000}"/>
    <cellStyle name="Normal 19 15 10 4" xfId="11663" xr:uid="{00000000-0005-0000-0000-0000932D0000}"/>
    <cellStyle name="Normal 19 15 10 5" xfId="11664" xr:uid="{00000000-0005-0000-0000-0000942D0000}"/>
    <cellStyle name="Normal 19 15 10 6" xfId="11665" xr:uid="{00000000-0005-0000-0000-0000952D0000}"/>
    <cellStyle name="Normal 19 15 11" xfId="11666" xr:uid="{00000000-0005-0000-0000-0000962D0000}"/>
    <cellStyle name="Normal 19 15 12" xfId="11667" xr:uid="{00000000-0005-0000-0000-0000972D0000}"/>
    <cellStyle name="Normal 19 15 13" xfId="11668" xr:uid="{00000000-0005-0000-0000-0000982D0000}"/>
    <cellStyle name="Normal 19 15 14" xfId="11669" xr:uid="{00000000-0005-0000-0000-0000992D0000}"/>
    <cellStyle name="Normal 19 15 15" xfId="11670" xr:uid="{00000000-0005-0000-0000-00009A2D0000}"/>
    <cellStyle name="Normal 19 15 2" xfId="11671" xr:uid="{00000000-0005-0000-0000-00009B2D0000}"/>
    <cellStyle name="Normal 19 15 2 10" xfId="11672" xr:uid="{00000000-0005-0000-0000-00009C2D0000}"/>
    <cellStyle name="Normal 19 15 2 11" xfId="11673" xr:uid="{00000000-0005-0000-0000-00009D2D0000}"/>
    <cellStyle name="Normal 19 15 2 12" xfId="11674" xr:uid="{00000000-0005-0000-0000-00009E2D0000}"/>
    <cellStyle name="Normal 19 15 2 13" xfId="11675" xr:uid="{00000000-0005-0000-0000-00009F2D0000}"/>
    <cellStyle name="Normal 19 15 2 14" xfId="11676" xr:uid="{00000000-0005-0000-0000-0000A02D0000}"/>
    <cellStyle name="Normal 19 15 2 2" xfId="11677" xr:uid="{00000000-0005-0000-0000-0000A12D0000}"/>
    <cellStyle name="Normal 19 15 2 2 2" xfId="11678" xr:uid="{00000000-0005-0000-0000-0000A22D0000}"/>
    <cellStyle name="Normal 19 15 2 2 3" xfId="11679" xr:uid="{00000000-0005-0000-0000-0000A32D0000}"/>
    <cellStyle name="Normal 19 15 2 2 4" xfId="11680" xr:uid="{00000000-0005-0000-0000-0000A42D0000}"/>
    <cellStyle name="Normal 19 15 2 2 5" xfId="11681" xr:uid="{00000000-0005-0000-0000-0000A52D0000}"/>
    <cellStyle name="Normal 19 15 2 2 6" xfId="11682" xr:uid="{00000000-0005-0000-0000-0000A62D0000}"/>
    <cellStyle name="Normal 19 15 2 3" xfId="11683" xr:uid="{00000000-0005-0000-0000-0000A72D0000}"/>
    <cellStyle name="Normal 19 15 2 3 2" xfId="11684" xr:uid="{00000000-0005-0000-0000-0000A82D0000}"/>
    <cellStyle name="Normal 19 15 2 3 3" xfId="11685" xr:uid="{00000000-0005-0000-0000-0000A92D0000}"/>
    <cellStyle name="Normal 19 15 2 3 4" xfId="11686" xr:uid="{00000000-0005-0000-0000-0000AA2D0000}"/>
    <cellStyle name="Normal 19 15 2 3 5" xfId="11687" xr:uid="{00000000-0005-0000-0000-0000AB2D0000}"/>
    <cellStyle name="Normal 19 15 2 3 6" xfId="11688" xr:uid="{00000000-0005-0000-0000-0000AC2D0000}"/>
    <cellStyle name="Normal 19 15 2 4" xfId="11689" xr:uid="{00000000-0005-0000-0000-0000AD2D0000}"/>
    <cellStyle name="Normal 19 15 2 4 2" xfId="11690" xr:uid="{00000000-0005-0000-0000-0000AE2D0000}"/>
    <cellStyle name="Normal 19 15 2 4 3" xfId="11691" xr:uid="{00000000-0005-0000-0000-0000AF2D0000}"/>
    <cellStyle name="Normal 19 15 2 4 4" xfId="11692" xr:uid="{00000000-0005-0000-0000-0000B02D0000}"/>
    <cellStyle name="Normal 19 15 2 4 5" xfId="11693" xr:uid="{00000000-0005-0000-0000-0000B12D0000}"/>
    <cellStyle name="Normal 19 15 2 4 6" xfId="11694" xr:uid="{00000000-0005-0000-0000-0000B22D0000}"/>
    <cellStyle name="Normal 19 15 2 5" xfId="11695" xr:uid="{00000000-0005-0000-0000-0000B32D0000}"/>
    <cellStyle name="Normal 19 15 2 5 2" xfId="11696" xr:uid="{00000000-0005-0000-0000-0000B42D0000}"/>
    <cellStyle name="Normal 19 15 2 5 3" xfId="11697" xr:uid="{00000000-0005-0000-0000-0000B52D0000}"/>
    <cellStyle name="Normal 19 15 2 5 4" xfId="11698" xr:uid="{00000000-0005-0000-0000-0000B62D0000}"/>
    <cellStyle name="Normal 19 15 2 5 5" xfId="11699" xr:uid="{00000000-0005-0000-0000-0000B72D0000}"/>
    <cellStyle name="Normal 19 15 2 5 6" xfId="11700" xr:uid="{00000000-0005-0000-0000-0000B82D0000}"/>
    <cellStyle name="Normal 19 15 2 6" xfId="11701" xr:uid="{00000000-0005-0000-0000-0000B92D0000}"/>
    <cellStyle name="Normal 19 15 2 6 2" xfId="11702" xr:uid="{00000000-0005-0000-0000-0000BA2D0000}"/>
    <cellStyle name="Normal 19 15 2 6 3" xfId="11703" xr:uid="{00000000-0005-0000-0000-0000BB2D0000}"/>
    <cellStyle name="Normal 19 15 2 6 4" xfId="11704" xr:uid="{00000000-0005-0000-0000-0000BC2D0000}"/>
    <cellStyle name="Normal 19 15 2 6 5" xfId="11705" xr:uid="{00000000-0005-0000-0000-0000BD2D0000}"/>
    <cellStyle name="Normal 19 15 2 6 6" xfId="11706" xr:uid="{00000000-0005-0000-0000-0000BE2D0000}"/>
    <cellStyle name="Normal 19 15 2 7" xfId="11707" xr:uid="{00000000-0005-0000-0000-0000BF2D0000}"/>
    <cellStyle name="Normal 19 15 2 7 2" xfId="11708" xr:uid="{00000000-0005-0000-0000-0000C02D0000}"/>
    <cellStyle name="Normal 19 15 2 7 3" xfId="11709" xr:uid="{00000000-0005-0000-0000-0000C12D0000}"/>
    <cellStyle name="Normal 19 15 2 7 4" xfId="11710" xr:uid="{00000000-0005-0000-0000-0000C22D0000}"/>
    <cellStyle name="Normal 19 15 2 7 5" xfId="11711" xr:uid="{00000000-0005-0000-0000-0000C32D0000}"/>
    <cellStyle name="Normal 19 15 2 7 6" xfId="11712" xr:uid="{00000000-0005-0000-0000-0000C42D0000}"/>
    <cellStyle name="Normal 19 15 2 8" xfId="11713" xr:uid="{00000000-0005-0000-0000-0000C52D0000}"/>
    <cellStyle name="Normal 19 15 2 8 2" xfId="11714" xr:uid="{00000000-0005-0000-0000-0000C62D0000}"/>
    <cellStyle name="Normal 19 15 2 8 3" xfId="11715" xr:uid="{00000000-0005-0000-0000-0000C72D0000}"/>
    <cellStyle name="Normal 19 15 2 8 4" xfId="11716" xr:uid="{00000000-0005-0000-0000-0000C82D0000}"/>
    <cellStyle name="Normal 19 15 2 8 5" xfId="11717" xr:uid="{00000000-0005-0000-0000-0000C92D0000}"/>
    <cellStyle name="Normal 19 15 2 8 6" xfId="11718" xr:uid="{00000000-0005-0000-0000-0000CA2D0000}"/>
    <cellStyle name="Normal 19 15 2 9" xfId="11719" xr:uid="{00000000-0005-0000-0000-0000CB2D0000}"/>
    <cellStyle name="Normal 19 15 2 9 2" xfId="11720" xr:uid="{00000000-0005-0000-0000-0000CC2D0000}"/>
    <cellStyle name="Normal 19 15 2 9 3" xfId="11721" xr:uid="{00000000-0005-0000-0000-0000CD2D0000}"/>
    <cellStyle name="Normal 19 15 2 9 4" xfId="11722" xr:uid="{00000000-0005-0000-0000-0000CE2D0000}"/>
    <cellStyle name="Normal 19 15 2 9 5" xfId="11723" xr:uid="{00000000-0005-0000-0000-0000CF2D0000}"/>
    <cellStyle name="Normal 19 15 2 9 6" xfId="11724" xr:uid="{00000000-0005-0000-0000-0000D02D0000}"/>
    <cellStyle name="Normal 19 15 3" xfId="11725" xr:uid="{00000000-0005-0000-0000-0000D12D0000}"/>
    <cellStyle name="Normal 19 15 3 2" xfId="11726" xr:uid="{00000000-0005-0000-0000-0000D22D0000}"/>
    <cellStyle name="Normal 19 15 3 3" xfId="11727" xr:uid="{00000000-0005-0000-0000-0000D32D0000}"/>
    <cellStyle name="Normal 19 15 3 4" xfId="11728" xr:uid="{00000000-0005-0000-0000-0000D42D0000}"/>
    <cellStyle name="Normal 19 15 3 5" xfId="11729" xr:uid="{00000000-0005-0000-0000-0000D52D0000}"/>
    <cellStyle name="Normal 19 15 3 6" xfId="11730" xr:uid="{00000000-0005-0000-0000-0000D62D0000}"/>
    <cellStyle name="Normal 19 15 4" xfId="11731" xr:uid="{00000000-0005-0000-0000-0000D72D0000}"/>
    <cellStyle name="Normal 19 15 4 2" xfId="11732" xr:uid="{00000000-0005-0000-0000-0000D82D0000}"/>
    <cellStyle name="Normal 19 15 4 3" xfId="11733" xr:uid="{00000000-0005-0000-0000-0000D92D0000}"/>
    <cellStyle name="Normal 19 15 4 4" xfId="11734" xr:uid="{00000000-0005-0000-0000-0000DA2D0000}"/>
    <cellStyle name="Normal 19 15 4 5" xfId="11735" xr:uid="{00000000-0005-0000-0000-0000DB2D0000}"/>
    <cellStyle name="Normal 19 15 4 6" xfId="11736" xr:uid="{00000000-0005-0000-0000-0000DC2D0000}"/>
    <cellStyle name="Normal 19 15 5" xfId="11737" xr:uid="{00000000-0005-0000-0000-0000DD2D0000}"/>
    <cellStyle name="Normal 19 15 5 2" xfId="11738" xr:uid="{00000000-0005-0000-0000-0000DE2D0000}"/>
    <cellStyle name="Normal 19 15 5 3" xfId="11739" xr:uid="{00000000-0005-0000-0000-0000DF2D0000}"/>
    <cellStyle name="Normal 19 15 5 4" xfId="11740" xr:uid="{00000000-0005-0000-0000-0000E02D0000}"/>
    <cellStyle name="Normal 19 15 5 5" xfId="11741" xr:uid="{00000000-0005-0000-0000-0000E12D0000}"/>
    <cellStyle name="Normal 19 15 5 6" xfId="11742" xr:uid="{00000000-0005-0000-0000-0000E22D0000}"/>
    <cellStyle name="Normal 19 15 6" xfId="11743" xr:uid="{00000000-0005-0000-0000-0000E32D0000}"/>
    <cellStyle name="Normal 19 15 6 2" xfId="11744" xr:uid="{00000000-0005-0000-0000-0000E42D0000}"/>
    <cellStyle name="Normal 19 15 6 3" xfId="11745" xr:uid="{00000000-0005-0000-0000-0000E52D0000}"/>
    <cellStyle name="Normal 19 15 6 4" xfId="11746" xr:uid="{00000000-0005-0000-0000-0000E62D0000}"/>
    <cellStyle name="Normal 19 15 6 5" xfId="11747" xr:uid="{00000000-0005-0000-0000-0000E72D0000}"/>
    <cellStyle name="Normal 19 15 6 6" xfId="11748" xr:uid="{00000000-0005-0000-0000-0000E82D0000}"/>
    <cellStyle name="Normal 19 15 7" xfId="11749" xr:uid="{00000000-0005-0000-0000-0000E92D0000}"/>
    <cellStyle name="Normal 19 15 7 2" xfId="11750" xr:uid="{00000000-0005-0000-0000-0000EA2D0000}"/>
    <cellStyle name="Normal 19 15 7 3" xfId="11751" xr:uid="{00000000-0005-0000-0000-0000EB2D0000}"/>
    <cellStyle name="Normal 19 15 7 4" xfId="11752" xr:uid="{00000000-0005-0000-0000-0000EC2D0000}"/>
    <cellStyle name="Normal 19 15 7 5" xfId="11753" xr:uid="{00000000-0005-0000-0000-0000ED2D0000}"/>
    <cellStyle name="Normal 19 15 7 6" xfId="11754" xr:uid="{00000000-0005-0000-0000-0000EE2D0000}"/>
    <cellStyle name="Normal 19 15 8" xfId="11755" xr:uid="{00000000-0005-0000-0000-0000EF2D0000}"/>
    <cellStyle name="Normal 19 15 8 2" xfId="11756" xr:uid="{00000000-0005-0000-0000-0000F02D0000}"/>
    <cellStyle name="Normal 19 15 8 3" xfId="11757" xr:uid="{00000000-0005-0000-0000-0000F12D0000}"/>
    <cellStyle name="Normal 19 15 8 4" xfId="11758" xr:uid="{00000000-0005-0000-0000-0000F22D0000}"/>
    <cellStyle name="Normal 19 15 8 5" xfId="11759" xr:uid="{00000000-0005-0000-0000-0000F32D0000}"/>
    <cellStyle name="Normal 19 15 8 6" xfId="11760" xr:uid="{00000000-0005-0000-0000-0000F42D0000}"/>
    <cellStyle name="Normal 19 15 9" xfId="11761" xr:uid="{00000000-0005-0000-0000-0000F52D0000}"/>
    <cellStyle name="Normal 19 15 9 2" xfId="11762" xr:uid="{00000000-0005-0000-0000-0000F62D0000}"/>
    <cellStyle name="Normal 19 15 9 3" xfId="11763" xr:uid="{00000000-0005-0000-0000-0000F72D0000}"/>
    <cellStyle name="Normal 19 15 9 4" xfId="11764" xr:uid="{00000000-0005-0000-0000-0000F82D0000}"/>
    <cellStyle name="Normal 19 15 9 5" xfId="11765" xr:uid="{00000000-0005-0000-0000-0000F92D0000}"/>
    <cellStyle name="Normal 19 15 9 6" xfId="11766" xr:uid="{00000000-0005-0000-0000-0000FA2D0000}"/>
    <cellStyle name="Normal 19 16" xfId="11767" xr:uid="{00000000-0005-0000-0000-0000FB2D0000}"/>
    <cellStyle name="Normal 19 16 10" xfId="11768" xr:uid="{00000000-0005-0000-0000-0000FC2D0000}"/>
    <cellStyle name="Normal 19 16 10 2" xfId="11769" xr:uid="{00000000-0005-0000-0000-0000FD2D0000}"/>
    <cellStyle name="Normal 19 16 10 3" xfId="11770" xr:uid="{00000000-0005-0000-0000-0000FE2D0000}"/>
    <cellStyle name="Normal 19 16 10 4" xfId="11771" xr:uid="{00000000-0005-0000-0000-0000FF2D0000}"/>
    <cellStyle name="Normal 19 16 10 5" xfId="11772" xr:uid="{00000000-0005-0000-0000-0000002E0000}"/>
    <cellStyle name="Normal 19 16 10 6" xfId="11773" xr:uid="{00000000-0005-0000-0000-0000012E0000}"/>
    <cellStyle name="Normal 19 16 11" xfId="11774" xr:uid="{00000000-0005-0000-0000-0000022E0000}"/>
    <cellStyle name="Normal 19 16 12" xfId="11775" xr:uid="{00000000-0005-0000-0000-0000032E0000}"/>
    <cellStyle name="Normal 19 16 13" xfId="11776" xr:uid="{00000000-0005-0000-0000-0000042E0000}"/>
    <cellStyle name="Normal 19 16 14" xfId="11777" xr:uid="{00000000-0005-0000-0000-0000052E0000}"/>
    <cellStyle name="Normal 19 16 15" xfId="11778" xr:uid="{00000000-0005-0000-0000-0000062E0000}"/>
    <cellStyle name="Normal 19 16 2" xfId="11779" xr:uid="{00000000-0005-0000-0000-0000072E0000}"/>
    <cellStyle name="Normal 19 16 2 10" xfId="11780" xr:uid="{00000000-0005-0000-0000-0000082E0000}"/>
    <cellStyle name="Normal 19 16 2 11" xfId="11781" xr:uid="{00000000-0005-0000-0000-0000092E0000}"/>
    <cellStyle name="Normal 19 16 2 12" xfId="11782" xr:uid="{00000000-0005-0000-0000-00000A2E0000}"/>
    <cellStyle name="Normal 19 16 2 13" xfId="11783" xr:uid="{00000000-0005-0000-0000-00000B2E0000}"/>
    <cellStyle name="Normal 19 16 2 14" xfId="11784" xr:uid="{00000000-0005-0000-0000-00000C2E0000}"/>
    <cellStyle name="Normal 19 16 2 2" xfId="11785" xr:uid="{00000000-0005-0000-0000-00000D2E0000}"/>
    <cellStyle name="Normal 19 16 2 2 2" xfId="11786" xr:uid="{00000000-0005-0000-0000-00000E2E0000}"/>
    <cellStyle name="Normal 19 16 2 2 3" xfId="11787" xr:uid="{00000000-0005-0000-0000-00000F2E0000}"/>
    <cellStyle name="Normal 19 16 2 2 4" xfId="11788" xr:uid="{00000000-0005-0000-0000-0000102E0000}"/>
    <cellStyle name="Normal 19 16 2 2 5" xfId="11789" xr:uid="{00000000-0005-0000-0000-0000112E0000}"/>
    <cellStyle name="Normal 19 16 2 2 6" xfId="11790" xr:uid="{00000000-0005-0000-0000-0000122E0000}"/>
    <cellStyle name="Normal 19 16 2 3" xfId="11791" xr:uid="{00000000-0005-0000-0000-0000132E0000}"/>
    <cellStyle name="Normal 19 16 2 3 2" xfId="11792" xr:uid="{00000000-0005-0000-0000-0000142E0000}"/>
    <cellStyle name="Normal 19 16 2 3 3" xfId="11793" xr:uid="{00000000-0005-0000-0000-0000152E0000}"/>
    <cellStyle name="Normal 19 16 2 3 4" xfId="11794" xr:uid="{00000000-0005-0000-0000-0000162E0000}"/>
    <cellStyle name="Normal 19 16 2 3 5" xfId="11795" xr:uid="{00000000-0005-0000-0000-0000172E0000}"/>
    <cellStyle name="Normal 19 16 2 3 6" xfId="11796" xr:uid="{00000000-0005-0000-0000-0000182E0000}"/>
    <cellStyle name="Normal 19 16 2 4" xfId="11797" xr:uid="{00000000-0005-0000-0000-0000192E0000}"/>
    <cellStyle name="Normal 19 16 2 4 2" xfId="11798" xr:uid="{00000000-0005-0000-0000-00001A2E0000}"/>
    <cellStyle name="Normal 19 16 2 4 3" xfId="11799" xr:uid="{00000000-0005-0000-0000-00001B2E0000}"/>
    <cellStyle name="Normal 19 16 2 4 4" xfId="11800" xr:uid="{00000000-0005-0000-0000-00001C2E0000}"/>
    <cellStyle name="Normal 19 16 2 4 5" xfId="11801" xr:uid="{00000000-0005-0000-0000-00001D2E0000}"/>
    <cellStyle name="Normal 19 16 2 4 6" xfId="11802" xr:uid="{00000000-0005-0000-0000-00001E2E0000}"/>
    <cellStyle name="Normal 19 16 2 5" xfId="11803" xr:uid="{00000000-0005-0000-0000-00001F2E0000}"/>
    <cellStyle name="Normal 19 16 2 5 2" xfId="11804" xr:uid="{00000000-0005-0000-0000-0000202E0000}"/>
    <cellStyle name="Normal 19 16 2 5 3" xfId="11805" xr:uid="{00000000-0005-0000-0000-0000212E0000}"/>
    <cellStyle name="Normal 19 16 2 5 4" xfId="11806" xr:uid="{00000000-0005-0000-0000-0000222E0000}"/>
    <cellStyle name="Normal 19 16 2 5 5" xfId="11807" xr:uid="{00000000-0005-0000-0000-0000232E0000}"/>
    <cellStyle name="Normal 19 16 2 5 6" xfId="11808" xr:uid="{00000000-0005-0000-0000-0000242E0000}"/>
    <cellStyle name="Normal 19 16 2 6" xfId="11809" xr:uid="{00000000-0005-0000-0000-0000252E0000}"/>
    <cellStyle name="Normal 19 16 2 6 2" xfId="11810" xr:uid="{00000000-0005-0000-0000-0000262E0000}"/>
    <cellStyle name="Normal 19 16 2 6 3" xfId="11811" xr:uid="{00000000-0005-0000-0000-0000272E0000}"/>
    <cellStyle name="Normal 19 16 2 6 4" xfId="11812" xr:uid="{00000000-0005-0000-0000-0000282E0000}"/>
    <cellStyle name="Normal 19 16 2 6 5" xfId="11813" xr:uid="{00000000-0005-0000-0000-0000292E0000}"/>
    <cellStyle name="Normal 19 16 2 6 6" xfId="11814" xr:uid="{00000000-0005-0000-0000-00002A2E0000}"/>
    <cellStyle name="Normal 19 16 2 7" xfId="11815" xr:uid="{00000000-0005-0000-0000-00002B2E0000}"/>
    <cellStyle name="Normal 19 16 2 7 2" xfId="11816" xr:uid="{00000000-0005-0000-0000-00002C2E0000}"/>
    <cellStyle name="Normal 19 16 2 7 3" xfId="11817" xr:uid="{00000000-0005-0000-0000-00002D2E0000}"/>
    <cellStyle name="Normal 19 16 2 7 4" xfId="11818" xr:uid="{00000000-0005-0000-0000-00002E2E0000}"/>
    <cellStyle name="Normal 19 16 2 7 5" xfId="11819" xr:uid="{00000000-0005-0000-0000-00002F2E0000}"/>
    <cellStyle name="Normal 19 16 2 7 6" xfId="11820" xr:uid="{00000000-0005-0000-0000-0000302E0000}"/>
    <cellStyle name="Normal 19 16 2 8" xfId="11821" xr:uid="{00000000-0005-0000-0000-0000312E0000}"/>
    <cellStyle name="Normal 19 16 2 8 2" xfId="11822" xr:uid="{00000000-0005-0000-0000-0000322E0000}"/>
    <cellStyle name="Normal 19 16 2 8 3" xfId="11823" xr:uid="{00000000-0005-0000-0000-0000332E0000}"/>
    <cellStyle name="Normal 19 16 2 8 4" xfId="11824" xr:uid="{00000000-0005-0000-0000-0000342E0000}"/>
    <cellStyle name="Normal 19 16 2 8 5" xfId="11825" xr:uid="{00000000-0005-0000-0000-0000352E0000}"/>
    <cellStyle name="Normal 19 16 2 8 6" xfId="11826" xr:uid="{00000000-0005-0000-0000-0000362E0000}"/>
    <cellStyle name="Normal 19 16 2 9" xfId="11827" xr:uid="{00000000-0005-0000-0000-0000372E0000}"/>
    <cellStyle name="Normal 19 16 2 9 2" xfId="11828" xr:uid="{00000000-0005-0000-0000-0000382E0000}"/>
    <cellStyle name="Normal 19 16 2 9 3" xfId="11829" xr:uid="{00000000-0005-0000-0000-0000392E0000}"/>
    <cellStyle name="Normal 19 16 2 9 4" xfId="11830" xr:uid="{00000000-0005-0000-0000-00003A2E0000}"/>
    <cellStyle name="Normal 19 16 2 9 5" xfId="11831" xr:uid="{00000000-0005-0000-0000-00003B2E0000}"/>
    <cellStyle name="Normal 19 16 2 9 6" xfId="11832" xr:uid="{00000000-0005-0000-0000-00003C2E0000}"/>
    <cellStyle name="Normal 19 16 3" xfId="11833" xr:uid="{00000000-0005-0000-0000-00003D2E0000}"/>
    <cellStyle name="Normal 19 16 3 2" xfId="11834" xr:uid="{00000000-0005-0000-0000-00003E2E0000}"/>
    <cellStyle name="Normal 19 16 3 3" xfId="11835" xr:uid="{00000000-0005-0000-0000-00003F2E0000}"/>
    <cellStyle name="Normal 19 16 3 4" xfId="11836" xr:uid="{00000000-0005-0000-0000-0000402E0000}"/>
    <cellStyle name="Normal 19 16 3 5" xfId="11837" xr:uid="{00000000-0005-0000-0000-0000412E0000}"/>
    <cellStyle name="Normal 19 16 3 6" xfId="11838" xr:uid="{00000000-0005-0000-0000-0000422E0000}"/>
    <cellStyle name="Normal 19 16 4" xfId="11839" xr:uid="{00000000-0005-0000-0000-0000432E0000}"/>
    <cellStyle name="Normal 19 16 4 2" xfId="11840" xr:uid="{00000000-0005-0000-0000-0000442E0000}"/>
    <cellStyle name="Normal 19 16 4 3" xfId="11841" xr:uid="{00000000-0005-0000-0000-0000452E0000}"/>
    <cellStyle name="Normal 19 16 4 4" xfId="11842" xr:uid="{00000000-0005-0000-0000-0000462E0000}"/>
    <cellStyle name="Normal 19 16 4 5" xfId="11843" xr:uid="{00000000-0005-0000-0000-0000472E0000}"/>
    <cellStyle name="Normal 19 16 4 6" xfId="11844" xr:uid="{00000000-0005-0000-0000-0000482E0000}"/>
    <cellStyle name="Normal 19 16 5" xfId="11845" xr:uid="{00000000-0005-0000-0000-0000492E0000}"/>
    <cellStyle name="Normal 19 16 5 2" xfId="11846" xr:uid="{00000000-0005-0000-0000-00004A2E0000}"/>
    <cellStyle name="Normal 19 16 5 3" xfId="11847" xr:uid="{00000000-0005-0000-0000-00004B2E0000}"/>
    <cellStyle name="Normal 19 16 5 4" xfId="11848" xr:uid="{00000000-0005-0000-0000-00004C2E0000}"/>
    <cellStyle name="Normal 19 16 5 5" xfId="11849" xr:uid="{00000000-0005-0000-0000-00004D2E0000}"/>
    <cellStyle name="Normal 19 16 5 6" xfId="11850" xr:uid="{00000000-0005-0000-0000-00004E2E0000}"/>
    <cellStyle name="Normal 19 16 6" xfId="11851" xr:uid="{00000000-0005-0000-0000-00004F2E0000}"/>
    <cellStyle name="Normal 19 16 6 2" xfId="11852" xr:uid="{00000000-0005-0000-0000-0000502E0000}"/>
    <cellStyle name="Normal 19 16 6 3" xfId="11853" xr:uid="{00000000-0005-0000-0000-0000512E0000}"/>
    <cellStyle name="Normal 19 16 6 4" xfId="11854" xr:uid="{00000000-0005-0000-0000-0000522E0000}"/>
    <cellStyle name="Normal 19 16 6 5" xfId="11855" xr:uid="{00000000-0005-0000-0000-0000532E0000}"/>
    <cellStyle name="Normal 19 16 6 6" xfId="11856" xr:uid="{00000000-0005-0000-0000-0000542E0000}"/>
    <cellStyle name="Normal 19 16 7" xfId="11857" xr:uid="{00000000-0005-0000-0000-0000552E0000}"/>
    <cellStyle name="Normal 19 16 7 2" xfId="11858" xr:uid="{00000000-0005-0000-0000-0000562E0000}"/>
    <cellStyle name="Normal 19 16 7 3" xfId="11859" xr:uid="{00000000-0005-0000-0000-0000572E0000}"/>
    <cellStyle name="Normal 19 16 7 4" xfId="11860" xr:uid="{00000000-0005-0000-0000-0000582E0000}"/>
    <cellStyle name="Normal 19 16 7 5" xfId="11861" xr:uid="{00000000-0005-0000-0000-0000592E0000}"/>
    <cellStyle name="Normal 19 16 7 6" xfId="11862" xr:uid="{00000000-0005-0000-0000-00005A2E0000}"/>
    <cellStyle name="Normal 19 16 8" xfId="11863" xr:uid="{00000000-0005-0000-0000-00005B2E0000}"/>
    <cellStyle name="Normal 19 16 8 2" xfId="11864" xr:uid="{00000000-0005-0000-0000-00005C2E0000}"/>
    <cellStyle name="Normal 19 16 8 3" xfId="11865" xr:uid="{00000000-0005-0000-0000-00005D2E0000}"/>
    <cellStyle name="Normal 19 16 8 4" xfId="11866" xr:uid="{00000000-0005-0000-0000-00005E2E0000}"/>
    <cellStyle name="Normal 19 16 8 5" xfId="11867" xr:uid="{00000000-0005-0000-0000-00005F2E0000}"/>
    <cellStyle name="Normal 19 16 8 6" xfId="11868" xr:uid="{00000000-0005-0000-0000-0000602E0000}"/>
    <cellStyle name="Normal 19 16 9" xfId="11869" xr:uid="{00000000-0005-0000-0000-0000612E0000}"/>
    <cellStyle name="Normal 19 16 9 2" xfId="11870" xr:uid="{00000000-0005-0000-0000-0000622E0000}"/>
    <cellStyle name="Normal 19 16 9 3" xfId="11871" xr:uid="{00000000-0005-0000-0000-0000632E0000}"/>
    <cellStyle name="Normal 19 16 9 4" xfId="11872" xr:uid="{00000000-0005-0000-0000-0000642E0000}"/>
    <cellStyle name="Normal 19 16 9 5" xfId="11873" xr:uid="{00000000-0005-0000-0000-0000652E0000}"/>
    <cellStyle name="Normal 19 16 9 6" xfId="11874" xr:uid="{00000000-0005-0000-0000-0000662E0000}"/>
    <cellStyle name="Normal 19 17" xfId="11875" xr:uid="{00000000-0005-0000-0000-0000672E0000}"/>
    <cellStyle name="Normal 19 17 10" xfId="11876" xr:uid="{00000000-0005-0000-0000-0000682E0000}"/>
    <cellStyle name="Normal 19 17 10 2" xfId="11877" xr:uid="{00000000-0005-0000-0000-0000692E0000}"/>
    <cellStyle name="Normal 19 17 10 3" xfId="11878" xr:uid="{00000000-0005-0000-0000-00006A2E0000}"/>
    <cellStyle name="Normal 19 17 10 4" xfId="11879" xr:uid="{00000000-0005-0000-0000-00006B2E0000}"/>
    <cellStyle name="Normal 19 17 10 5" xfId="11880" xr:uid="{00000000-0005-0000-0000-00006C2E0000}"/>
    <cellStyle name="Normal 19 17 10 6" xfId="11881" xr:uid="{00000000-0005-0000-0000-00006D2E0000}"/>
    <cellStyle name="Normal 19 17 11" xfId="11882" xr:uid="{00000000-0005-0000-0000-00006E2E0000}"/>
    <cellStyle name="Normal 19 17 12" xfId="11883" xr:uid="{00000000-0005-0000-0000-00006F2E0000}"/>
    <cellStyle name="Normal 19 17 13" xfId="11884" xr:uid="{00000000-0005-0000-0000-0000702E0000}"/>
    <cellStyle name="Normal 19 17 14" xfId="11885" xr:uid="{00000000-0005-0000-0000-0000712E0000}"/>
    <cellStyle name="Normal 19 17 15" xfId="11886" xr:uid="{00000000-0005-0000-0000-0000722E0000}"/>
    <cellStyle name="Normal 19 17 2" xfId="11887" xr:uid="{00000000-0005-0000-0000-0000732E0000}"/>
    <cellStyle name="Normal 19 17 2 10" xfId="11888" xr:uid="{00000000-0005-0000-0000-0000742E0000}"/>
    <cellStyle name="Normal 19 17 2 11" xfId="11889" xr:uid="{00000000-0005-0000-0000-0000752E0000}"/>
    <cellStyle name="Normal 19 17 2 12" xfId="11890" xr:uid="{00000000-0005-0000-0000-0000762E0000}"/>
    <cellStyle name="Normal 19 17 2 13" xfId="11891" xr:uid="{00000000-0005-0000-0000-0000772E0000}"/>
    <cellStyle name="Normal 19 17 2 14" xfId="11892" xr:uid="{00000000-0005-0000-0000-0000782E0000}"/>
    <cellStyle name="Normal 19 17 2 2" xfId="11893" xr:uid="{00000000-0005-0000-0000-0000792E0000}"/>
    <cellStyle name="Normal 19 17 2 2 2" xfId="11894" xr:uid="{00000000-0005-0000-0000-00007A2E0000}"/>
    <cellStyle name="Normal 19 17 2 2 3" xfId="11895" xr:uid="{00000000-0005-0000-0000-00007B2E0000}"/>
    <cellStyle name="Normal 19 17 2 2 4" xfId="11896" xr:uid="{00000000-0005-0000-0000-00007C2E0000}"/>
    <cellStyle name="Normal 19 17 2 2 5" xfId="11897" xr:uid="{00000000-0005-0000-0000-00007D2E0000}"/>
    <cellStyle name="Normal 19 17 2 2 6" xfId="11898" xr:uid="{00000000-0005-0000-0000-00007E2E0000}"/>
    <cellStyle name="Normal 19 17 2 3" xfId="11899" xr:uid="{00000000-0005-0000-0000-00007F2E0000}"/>
    <cellStyle name="Normal 19 17 2 3 2" xfId="11900" xr:uid="{00000000-0005-0000-0000-0000802E0000}"/>
    <cellStyle name="Normal 19 17 2 3 3" xfId="11901" xr:uid="{00000000-0005-0000-0000-0000812E0000}"/>
    <cellStyle name="Normal 19 17 2 3 4" xfId="11902" xr:uid="{00000000-0005-0000-0000-0000822E0000}"/>
    <cellStyle name="Normal 19 17 2 3 5" xfId="11903" xr:uid="{00000000-0005-0000-0000-0000832E0000}"/>
    <cellStyle name="Normal 19 17 2 3 6" xfId="11904" xr:uid="{00000000-0005-0000-0000-0000842E0000}"/>
    <cellStyle name="Normal 19 17 2 4" xfId="11905" xr:uid="{00000000-0005-0000-0000-0000852E0000}"/>
    <cellStyle name="Normal 19 17 2 4 2" xfId="11906" xr:uid="{00000000-0005-0000-0000-0000862E0000}"/>
    <cellStyle name="Normal 19 17 2 4 3" xfId="11907" xr:uid="{00000000-0005-0000-0000-0000872E0000}"/>
    <cellStyle name="Normal 19 17 2 4 4" xfId="11908" xr:uid="{00000000-0005-0000-0000-0000882E0000}"/>
    <cellStyle name="Normal 19 17 2 4 5" xfId="11909" xr:uid="{00000000-0005-0000-0000-0000892E0000}"/>
    <cellStyle name="Normal 19 17 2 4 6" xfId="11910" xr:uid="{00000000-0005-0000-0000-00008A2E0000}"/>
    <cellStyle name="Normal 19 17 2 5" xfId="11911" xr:uid="{00000000-0005-0000-0000-00008B2E0000}"/>
    <cellStyle name="Normal 19 17 2 5 2" xfId="11912" xr:uid="{00000000-0005-0000-0000-00008C2E0000}"/>
    <cellStyle name="Normal 19 17 2 5 3" xfId="11913" xr:uid="{00000000-0005-0000-0000-00008D2E0000}"/>
    <cellStyle name="Normal 19 17 2 5 4" xfId="11914" xr:uid="{00000000-0005-0000-0000-00008E2E0000}"/>
    <cellStyle name="Normal 19 17 2 5 5" xfId="11915" xr:uid="{00000000-0005-0000-0000-00008F2E0000}"/>
    <cellStyle name="Normal 19 17 2 5 6" xfId="11916" xr:uid="{00000000-0005-0000-0000-0000902E0000}"/>
    <cellStyle name="Normal 19 17 2 6" xfId="11917" xr:uid="{00000000-0005-0000-0000-0000912E0000}"/>
    <cellStyle name="Normal 19 17 2 6 2" xfId="11918" xr:uid="{00000000-0005-0000-0000-0000922E0000}"/>
    <cellStyle name="Normal 19 17 2 6 3" xfId="11919" xr:uid="{00000000-0005-0000-0000-0000932E0000}"/>
    <cellStyle name="Normal 19 17 2 6 4" xfId="11920" xr:uid="{00000000-0005-0000-0000-0000942E0000}"/>
    <cellStyle name="Normal 19 17 2 6 5" xfId="11921" xr:uid="{00000000-0005-0000-0000-0000952E0000}"/>
    <cellStyle name="Normal 19 17 2 6 6" xfId="11922" xr:uid="{00000000-0005-0000-0000-0000962E0000}"/>
    <cellStyle name="Normal 19 17 2 7" xfId="11923" xr:uid="{00000000-0005-0000-0000-0000972E0000}"/>
    <cellStyle name="Normal 19 17 2 7 2" xfId="11924" xr:uid="{00000000-0005-0000-0000-0000982E0000}"/>
    <cellStyle name="Normal 19 17 2 7 3" xfId="11925" xr:uid="{00000000-0005-0000-0000-0000992E0000}"/>
    <cellStyle name="Normal 19 17 2 7 4" xfId="11926" xr:uid="{00000000-0005-0000-0000-00009A2E0000}"/>
    <cellStyle name="Normal 19 17 2 7 5" xfId="11927" xr:uid="{00000000-0005-0000-0000-00009B2E0000}"/>
    <cellStyle name="Normal 19 17 2 7 6" xfId="11928" xr:uid="{00000000-0005-0000-0000-00009C2E0000}"/>
    <cellStyle name="Normal 19 17 2 8" xfId="11929" xr:uid="{00000000-0005-0000-0000-00009D2E0000}"/>
    <cellStyle name="Normal 19 17 2 8 2" xfId="11930" xr:uid="{00000000-0005-0000-0000-00009E2E0000}"/>
    <cellStyle name="Normal 19 17 2 8 3" xfId="11931" xr:uid="{00000000-0005-0000-0000-00009F2E0000}"/>
    <cellStyle name="Normal 19 17 2 8 4" xfId="11932" xr:uid="{00000000-0005-0000-0000-0000A02E0000}"/>
    <cellStyle name="Normal 19 17 2 8 5" xfId="11933" xr:uid="{00000000-0005-0000-0000-0000A12E0000}"/>
    <cellStyle name="Normal 19 17 2 8 6" xfId="11934" xr:uid="{00000000-0005-0000-0000-0000A22E0000}"/>
    <cellStyle name="Normal 19 17 2 9" xfId="11935" xr:uid="{00000000-0005-0000-0000-0000A32E0000}"/>
    <cellStyle name="Normal 19 17 2 9 2" xfId="11936" xr:uid="{00000000-0005-0000-0000-0000A42E0000}"/>
    <cellStyle name="Normal 19 17 2 9 3" xfId="11937" xr:uid="{00000000-0005-0000-0000-0000A52E0000}"/>
    <cellStyle name="Normal 19 17 2 9 4" xfId="11938" xr:uid="{00000000-0005-0000-0000-0000A62E0000}"/>
    <cellStyle name="Normal 19 17 2 9 5" xfId="11939" xr:uid="{00000000-0005-0000-0000-0000A72E0000}"/>
    <cellStyle name="Normal 19 17 2 9 6" xfId="11940" xr:uid="{00000000-0005-0000-0000-0000A82E0000}"/>
    <cellStyle name="Normal 19 17 3" xfId="11941" xr:uid="{00000000-0005-0000-0000-0000A92E0000}"/>
    <cellStyle name="Normal 19 17 3 2" xfId="11942" xr:uid="{00000000-0005-0000-0000-0000AA2E0000}"/>
    <cellStyle name="Normal 19 17 3 3" xfId="11943" xr:uid="{00000000-0005-0000-0000-0000AB2E0000}"/>
    <cellStyle name="Normal 19 17 3 4" xfId="11944" xr:uid="{00000000-0005-0000-0000-0000AC2E0000}"/>
    <cellStyle name="Normal 19 17 3 5" xfId="11945" xr:uid="{00000000-0005-0000-0000-0000AD2E0000}"/>
    <cellStyle name="Normal 19 17 3 6" xfId="11946" xr:uid="{00000000-0005-0000-0000-0000AE2E0000}"/>
    <cellStyle name="Normal 19 17 4" xfId="11947" xr:uid="{00000000-0005-0000-0000-0000AF2E0000}"/>
    <cellStyle name="Normal 19 17 4 2" xfId="11948" xr:uid="{00000000-0005-0000-0000-0000B02E0000}"/>
    <cellStyle name="Normal 19 17 4 3" xfId="11949" xr:uid="{00000000-0005-0000-0000-0000B12E0000}"/>
    <cellStyle name="Normal 19 17 4 4" xfId="11950" xr:uid="{00000000-0005-0000-0000-0000B22E0000}"/>
    <cellStyle name="Normal 19 17 4 5" xfId="11951" xr:uid="{00000000-0005-0000-0000-0000B32E0000}"/>
    <cellStyle name="Normal 19 17 4 6" xfId="11952" xr:uid="{00000000-0005-0000-0000-0000B42E0000}"/>
    <cellStyle name="Normal 19 17 5" xfId="11953" xr:uid="{00000000-0005-0000-0000-0000B52E0000}"/>
    <cellStyle name="Normal 19 17 5 2" xfId="11954" xr:uid="{00000000-0005-0000-0000-0000B62E0000}"/>
    <cellStyle name="Normal 19 17 5 3" xfId="11955" xr:uid="{00000000-0005-0000-0000-0000B72E0000}"/>
    <cellStyle name="Normal 19 17 5 4" xfId="11956" xr:uid="{00000000-0005-0000-0000-0000B82E0000}"/>
    <cellStyle name="Normal 19 17 5 5" xfId="11957" xr:uid="{00000000-0005-0000-0000-0000B92E0000}"/>
    <cellStyle name="Normal 19 17 5 6" xfId="11958" xr:uid="{00000000-0005-0000-0000-0000BA2E0000}"/>
    <cellStyle name="Normal 19 17 6" xfId="11959" xr:uid="{00000000-0005-0000-0000-0000BB2E0000}"/>
    <cellStyle name="Normal 19 17 6 2" xfId="11960" xr:uid="{00000000-0005-0000-0000-0000BC2E0000}"/>
    <cellStyle name="Normal 19 17 6 3" xfId="11961" xr:uid="{00000000-0005-0000-0000-0000BD2E0000}"/>
    <cellStyle name="Normal 19 17 6 4" xfId="11962" xr:uid="{00000000-0005-0000-0000-0000BE2E0000}"/>
    <cellStyle name="Normal 19 17 6 5" xfId="11963" xr:uid="{00000000-0005-0000-0000-0000BF2E0000}"/>
    <cellStyle name="Normal 19 17 6 6" xfId="11964" xr:uid="{00000000-0005-0000-0000-0000C02E0000}"/>
    <cellStyle name="Normal 19 17 7" xfId="11965" xr:uid="{00000000-0005-0000-0000-0000C12E0000}"/>
    <cellStyle name="Normal 19 17 7 2" xfId="11966" xr:uid="{00000000-0005-0000-0000-0000C22E0000}"/>
    <cellStyle name="Normal 19 17 7 3" xfId="11967" xr:uid="{00000000-0005-0000-0000-0000C32E0000}"/>
    <cellStyle name="Normal 19 17 7 4" xfId="11968" xr:uid="{00000000-0005-0000-0000-0000C42E0000}"/>
    <cellStyle name="Normal 19 17 7 5" xfId="11969" xr:uid="{00000000-0005-0000-0000-0000C52E0000}"/>
    <cellStyle name="Normal 19 17 7 6" xfId="11970" xr:uid="{00000000-0005-0000-0000-0000C62E0000}"/>
    <cellStyle name="Normal 19 17 8" xfId="11971" xr:uid="{00000000-0005-0000-0000-0000C72E0000}"/>
    <cellStyle name="Normal 19 17 8 2" xfId="11972" xr:uid="{00000000-0005-0000-0000-0000C82E0000}"/>
    <cellStyle name="Normal 19 17 8 3" xfId="11973" xr:uid="{00000000-0005-0000-0000-0000C92E0000}"/>
    <cellStyle name="Normal 19 17 8 4" xfId="11974" xr:uid="{00000000-0005-0000-0000-0000CA2E0000}"/>
    <cellStyle name="Normal 19 17 8 5" xfId="11975" xr:uid="{00000000-0005-0000-0000-0000CB2E0000}"/>
    <cellStyle name="Normal 19 17 8 6" xfId="11976" xr:uid="{00000000-0005-0000-0000-0000CC2E0000}"/>
    <cellStyle name="Normal 19 17 9" xfId="11977" xr:uid="{00000000-0005-0000-0000-0000CD2E0000}"/>
    <cellStyle name="Normal 19 17 9 2" xfId="11978" xr:uid="{00000000-0005-0000-0000-0000CE2E0000}"/>
    <cellStyle name="Normal 19 17 9 3" xfId="11979" xr:uid="{00000000-0005-0000-0000-0000CF2E0000}"/>
    <cellStyle name="Normal 19 17 9 4" xfId="11980" xr:uid="{00000000-0005-0000-0000-0000D02E0000}"/>
    <cellStyle name="Normal 19 17 9 5" xfId="11981" xr:uid="{00000000-0005-0000-0000-0000D12E0000}"/>
    <cellStyle name="Normal 19 17 9 6" xfId="11982" xr:uid="{00000000-0005-0000-0000-0000D22E0000}"/>
    <cellStyle name="Normal 19 18" xfId="11983" xr:uid="{00000000-0005-0000-0000-0000D32E0000}"/>
    <cellStyle name="Normal 19 18 10" xfId="11984" xr:uid="{00000000-0005-0000-0000-0000D42E0000}"/>
    <cellStyle name="Normal 19 18 10 2" xfId="11985" xr:uid="{00000000-0005-0000-0000-0000D52E0000}"/>
    <cellStyle name="Normal 19 18 10 3" xfId="11986" xr:uid="{00000000-0005-0000-0000-0000D62E0000}"/>
    <cellStyle name="Normal 19 18 10 4" xfId="11987" xr:uid="{00000000-0005-0000-0000-0000D72E0000}"/>
    <cellStyle name="Normal 19 18 10 5" xfId="11988" xr:uid="{00000000-0005-0000-0000-0000D82E0000}"/>
    <cellStyle name="Normal 19 18 10 6" xfId="11989" xr:uid="{00000000-0005-0000-0000-0000D92E0000}"/>
    <cellStyle name="Normal 19 18 11" xfId="11990" xr:uid="{00000000-0005-0000-0000-0000DA2E0000}"/>
    <cellStyle name="Normal 19 18 12" xfId="11991" xr:uid="{00000000-0005-0000-0000-0000DB2E0000}"/>
    <cellStyle name="Normal 19 18 13" xfId="11992" xr:uid="{00000000-0005-0000-0000-0000DC2E0000}"/>
    <cellStyle name="Normal 19 18 14" xfId="11993" xr:uid="{00000000-0005-0000-0000-0000DD2E0000}"/>
    <cellStyle name="Normal 19 18 15" xfId="11994" xr:uid="{00000000-0005-0000-0000-0000DE2E0000}"/>
    <cellStyle name="Normal 19 18 2" xfId="11995" xr:uid="{00000000-0005-0000-0000-0000DF2E0000}"/>
    <cellStyle name="Normal 19 18 2 10" xfId="11996" xr:uid="{00000000-0005-0000-0000-0000E02E0000}"/>
    <cellStyle name="Normal 19 18 2 11" xfId="11997" xr:uid="{00000000-0005-0000-0000-0000E12E0000}"/>
    <cellStyle name="Normal 19 18 2 12" xfId="11998" xr:uid="{00000000-0005-0000-0000-0000E22E0000}"/>
    <cellStyle name="Normal 19 18 2 13" xfId="11999" xr:uid="{00000000-0005-0000-0000-0000E32E0000}"/>
    <cellStyle name="Normal 19 18 2 14" xfId="12000" xr:uid="{00000000-0005-0000-0000-0000E42E0000}"/>
    <cellStyle name="Normal 19 18 2 2" xfId="12001" xr:uid="{00000000-0005-0000-0000-0000E52E0000}"/>
    <cellStyle name="Normal 19 18 2 2 2" xfId="12002" xr:uid="{00000000-0005-0000-0000-0000E62E0000}"/>
    <cellStyle name="Normal 19 18 2 2 3" xfId="12003" xr:uid="{00000000-0005-0000-0000-0000E72E0000}"/>
    <cellStyle name="Normal 19 18 2 2 4" xfId="12004" xr:uid="{00000000-0005-0000-0000-0000E82E0000}"/>
    <cellStyle name="Normal 19 18 2 2 5" xfId="12005" xr:uid="{00000000-0005-0000-0000-0000E92E0000}"/>
    <cellStyle name="Normal 19 18 2 2 6" xfId="12006" xr:uid="{00000000-0005-0000-0000-0000EA2E0000}"/>
    <cellStyle name="Normal 19 18 2 3" xfId="12007" xr:uid="{00000000-0005-0000-0000-0000EB2E0000}"/>
    <cellStyle name="Normal 19 18 2 3 2" xfId="12008" xr:uid="{00000000-0005-0000-0000-0000EC2E0000}"/>
    <cellStyle name="Normal 19 18 2 3 3" xfId="12009" xr:uid="{00000000-0005-0000-0000-0000ED2E0000}"/>
    <cellStyle name="Normal 19 18 2 3 4" xfId="12010" xr:uid="{00000000-0005-0000-0000-0000EE2E0000}"/>
    <cellStyle name="Normal 19 18 2 3 5" xfId="12011" xr:uid="{00000000-0005-0000-0000-0000EF2E0000}"/>
    <cellStyle name="Normal 19 18 2 3 6" xfId="12012" xr:uid="{00000000-0005-0000-0000-0000F02E0000}"/>
    <cellStyle name="Normal 19 18 2 4" xfId="12013" xr:uid="{00000000-0005-0000-0000-0000F12E0000}"/>
    <cellStyle name="Normal 19 18 2 4 2" xfId="12014" xr:uid="{00000000-0005-0000-0000-0000F22E0000}"/>
    <cellStyle name="Normal 19 18 2 4 3" xfId="12015" xr:uid="{00000000-0005-0000-0000-0000F32E0000}"/>
    <cellStyle name="Normal 19 18 2 4 4" xfId="12016" xr:uid="{00000000-0005-0000-0000-0000F42E0000}"/>
    <cellStyle name="Normal 19 18 2 4 5" xfId="12017" xr:uid="{00000000-0005-0000-0000-0000F52E0000}"/>
    <cellStyle name="Normal 19 18 2 4 6" xfId="12018" xr:uid="{00000000-0005-0000-0000-0000F62E0000}"/>
    <cellStyle name="Normal 19 18 2 5" xfId="12019" xr:uid="{00000000-0005-0000-0000-0000F72E0000}"/>
    <cellStyle name="Normal 19 18 2 5 2" xfId="12020" xr:uid="{00000000-0005-0000-0000-0000F82E0000}"/>
    <cellStyle name="Normal 19 18 2 5 3" xfId="12021" xr:uid="{00000000-0005-0000-0000-0000F92E0000}"/>
    <cellStyle name="Normal 19 18 2 5 4" xfId="12022" xr:uid="{00000000-0005-0000-0000-0000FA2E0000}"/>
    <cellStyle name="Normal 19 18 2 5 5" xfId="12023" xr:uid="{00000000-0005-0000-0000-0000FB2E0000}"/>
    <cellStyle name="Normal 19 18 2 5 6" xfId="12024" xr:uid="{00000000-0005-0000-0000-0000FC2E0000}"/>
    <cellStyle name="Normal 19 18 2 6" xfId="12025" xr:uid="{00000000-0005-0000-0000-0000FD2E0000}"/>
    <cellStyle name="Normal 19 18 2 6 2" xfId="12026" xr:uid="{00000000-0005-0000-0000-0000FE2E0000}"/>
    <cellStyle name="Normal 19 18 2 6 3" xfId="12027" xr:uid="{00000000-0005-0000-0000-0000FF2E0000}"/>
    <cellStyle name="Normal 19 18 2 6 4" xfId="12028" xr:uid="{00000000-0005-0000-0000-0000002F0000}"/>
    <cellStyle name="Normal 19 18 2 6 5" xfId="12029" xr:uid="{00000000-0005-0000-0000-0000012F0000}"/>
    <cellStyle name="Normal 19 18 2 6 6" xfId="12030" xr:uid="{00000000-0005-0000-0000-0000022F0000}"/>
    <cellStyle name="Normal 19 18 2 7" xfId="12031" xr:uid="{00000000-0005-0000-0000-0000032F0000}"/>
    <cellStyle name="Normal 19 18 2 7 2" xfId="12032" xr:uid="{00000000-0005-0000-0000-0000042F0000}"/>
    <cellStyle name="Normal 19 18 2 7 3" xfId="12033" xr:uid="{00000000-0005-0000-0000-0000052F0000}"/>
    <cellStyle name="Normal 19 18 2 7 4" xfId="12034" xr:uid="{00000000-0005-0000-0000-0000062F0000}"/>
    <cellStyle name="Normal 19 18 2 7 5" xfId="12035" xr:uid="{00000000-0005-0000-0000-0000072F0000}"/>
    <cellStyle name="Normal 19 18 2 7 6" xfId="12036" xr:uid="{00000000-0005-0000-0000-0000082F0000}"/>
    <cellStyle name="Normal 19 18 2 8" xfId="12037" xr:uid="{00000000-0005-0000-0000-0000092F0000}"/>
    <cellStyle name="Normal 19 18 2 8 2" xfId="12038" xr:uid="{00000000-0005-0000-0000-00000A2F0000}"/>
    <cellStyle name="Normal 19 18 2 8 3" xfId="12039" xr:uid="{00000000-0005-0000-0000-00000B2F0000}"/>
    <cellStyle name="Normal 19 18 2 8 4" xfId="12040" xr:uid="{00000000-0005-0000-0000-00000C2F0000}"/>
    <cellStyle name="Normal 19 18 2 8 5" xfId="12041" xr:uid="{00000000-0005-0000-0000-00000D2F0000}"/>
    <cellStyle name="Normal 19 18 2 8 6" xfId="12042" xr:uid="{00000000-0005-0000-0000-00000E2F0000}"/>
    <cellStyle name="Normal 19 18 2 9" xfId="12043" xr:uid="{00000000-0005-0000-0000-00000F2F0000}"/>
    <cellStyle name="Normal 19 18 2 9 2" xfId="12044" xr:uid="{00000000-0005-0000-0000-0000102F0000}"/>
    <cellStyle name="Normal 19 18 2 9 3" xfId="12045" xr:uid="{00000000-0005-0000-0000-0000112F0000}"/>
    <cellStyle name="Normal 19 18 2 9 4" xfId="12046" xr:uid="{00000000-0005-0000-0000-0000122F0000}"/>
    <cellStyle name="Normal 19 18 2 9 5" xfId="12047" xr:uid="{00000000-0005-0000-0000-0000132F0000}"/>
    <cellStyle name="Normal 19 18 2 9 6" xfId="12048" xr:uid="{00000000-0005-0000-0000-0000142F0000}"/>
    <cellStyle name="Normal 19 18 3" xfId="12049" xr:uid="{00000000-0005-0000-0000-0000152F0000}"/>
    <cellStyle name="Normal 19 18 3 2" xfId="12050" xr:uid="{00000000-0005-0000-0000-0000162F0000}"/>
    <cellStyle name="Normal 19 18 3 3" xfId="12051" xr:uid="{00000000-0005-0000-0000-0000172F0000}"/>
    <cellStyle name="Normal 19 18 3 4" xfId="12052" xr:uid="{00000000-0005-0000-0000-0000182F0000}"/>
    <cellStyle name="Normal 19 18 3 5" xfId="12053" xr:uid="{00000000-0005-0000-0000-0000192F0000}"/>
    <cellStyle name="Normal 19 18 3 6" xfId="12054" xr:uid="{00000000-0005-0000-0000-00001A2F0000}"/>
    <cellStyle name="Normal 19 18 4" xfId="12055" xr:uid="{00000000-0005-0000-0000-00001B2F0000}"/>
    <cellStyle name="Normal 19 18 4 2" xfId="12056" xr:uid="{00000000-0005-0000-0000-00001C2F0000}"/>
    <cellStyle name="Normal 19 18 4 3" xfId="12057" xr:uid="{00000000-0005-0000-0000-00001D2F0000}"/>
    <cellStyle name="Normal 19 18 4 4" xfId="12058" xr:uid="{00000000-0005-0000-0000-00001E2F0000}"/>
    <cellStyle name="Normal 19 18 4 5" xfId="12059" xr:uid="{00000000-0005-0000-0000-00001F2F0000}"/>
    <cellStyle name="Normal 19 18 4 6" xfId="12060" xr:uid="{00000000-0005-0000-0000-0000202F0000}"/>
    <cellStyle name="Normal 19 18 5" xfId="12061" xr:uid="{00000000-0005-0000-0000-0000212F0000}"/>
    <cellStyle name="Normal 19 18 5 2" xfId="12062" xr:uid="{00000000-0005-0000-0000-0000222F0000}"/>
    <cellStyle name="Normal 19 18 5 3" xfId="12063" xr:uid="{00000000-0005-0000-0000-0000232F0000}"/>
    <cellStyle name="Normal 19 18 5 4" xfId="12064" xr:uid="{00000000-0005-0000-0000-0000242F0000}"/>
    <cellStyle name="Normal 19 18 5 5" xfId="12065" xr:uid="{00000000-0005-0000-0000-0000252F0000}"/>
    <cellStyle name="Normal 19 18 5 6" xfId="12066" xr:uid="{00000000-0005-0000-0000-0000262F0000}"/>
    <cellStyle name="Normal 19 18 6" xfId="12067" xr:uid="{00000000-0005-0000-0000-0000272F0000}"/>
    <cellStyle name="Normal 19 18 6 2" xfId="12068" xr:uid="{00000000-0005-0000-0000-0000282F0000}"/>
    <cellStyle name="Normal 19 18 6 3" xfId="12069" xr:uid="{00000000-0005-0000-0000-0000292F0000}"/>
    <cellStyle name="Normal 19 18 6 4" xfId="12070" xr:uid="{00000000-0005-0000-0000-00002A2F0000}"/>
    <cellStyle name="Normal 19 18 6 5" xfId="12071" xr:uid="{00000000-0005-0000-0000-00002B2F0000}"/>
    <cellStyle name="Normal 19 18 6 6" xfId="12072" xr:uid="{00000000-0005-0000-0000-00002C2F0000}"/>
    <cellStyle name="Normal 19 18 7" xfId="12073" xr:uid="{00000000-0005-0000-0000-00002D2F0000}"/>
    <cellStyle name="Normal 19 18 7 2" xfId="12074" xr:uid="{00000000-0005-0000-0000-00002E2F0000}"/>
    <cellStyle name="Normal 19 18 7 3" xfId="12075" xr:uid="{00000000-0005-0000-0000-00002F2F0000}"/>
    <cellStyle name="Normal 19 18 7 4" xfId="12076" xr:uid="{00000000-0005-0000-0000-0000302F0000}"/>
    <cellStyle name="Normal 19 18 7 5" xfId="12077" xr:uid="{00000000-0005-0000-0000-0000312F0000}"/>
    <cellStyle name="Normal 19 18 7 6" xfId="12078" xr:uid="{00000000-0005-0000-0000-0000322F0000}"/>
    <cellStyle name="Normal 19 18 8" xfId="12079" xr:uid="{00000000-0005-0000-0000-0000332F0000}"/>
    <cellStyle name="Normal 19 18 8 2" xfId="12080" xr:uid="{00000000-0005-0000-0000-0000342F0000}"/>
    <cellStyle name="Normal 19 18 8 3" xfId="12081" xr:uid="{00000000-0005-0000-0000-0000352F0000}"/>
    <cellStyle name="Normal 19 18 8 4" xfId="12082" xr:uid="{00000000-0005-0000-0000-0000362F0000}"/>
    <cellStyle name="Normal 19 18 8 5" xfId="12083" xr:uid="{00000000-0005-0000-0000-0000372F0000}"/>
    <cellStyle name="Normal 19 18 8 6" xfId="12084" xr:uid="{00000000-0005-0000-0000-0000382F0000}"/>
    <cellStyle name="Normal 19 18 9" xfId="12085" xr:uid="{00000000-0005-0000-0000-0000392F0000}"/>
    <cellStyle name="Normal 19 18 9 2" xfId="12086" xr:uid="{00000000-0005-0000-0000-00003A2F0000}"/>
    <cellStyle name="Normal 19 18 9 3" xfId="12087" xr:uid="{00000000-0005-0000-0000-00003B2F0000}"/>
    <cellStyle name="Normal 19 18 9 4" xfId="12088" xr:uid="{00000000-0005-0000-0000-00003C2F0000}"/>
    <cellStyle name="Normal 19 18 9 5" xfId="12089" xr:uid="{00000000-0005-0000-0000-00003D2F0000}"/>
    <cellStyle name="Normal 19 18 9 6" xfId="12090" xr:uid="{00000000-0005-0000-0000-00003E2F0000}"/>
    <cellStyle name="Normal 19 19" xfId="12091" xr:uid="{00000000-0005-0000-0000-00003F2F0000}"/>
    <cellStyle name="Normal 19 19 10" xfId="12092" xr:uid="{00000000-0005-0000-0000-0000402F0000}"/>
    <cellStyle name="Normal 19 19 10 2" xfId="12093" xr:uid="{00000000-0005-0000-0000-0000412F0000}"/>
    <cellStyle name="Normal 19 19 10 3" xfId="12094" xr:uid="{00000000-0005-0000-0000-0000422F0000}"/>
    <cellStyle name="Normal 19 19 10 4" xfId="12095" xr:uid="{00000000-0005-0000-0000-0000432F0000}"/>
    <cellStyle name="Normal 19 19 10 5" xfId="12096" xr:uid="{00000000-0005-0000-0000-0000442F0000}"/>
    <cellStyle name="Normal 19 19 10 6" xfId="12097" xr:uid="{00000000-0005-0000-0000-0000452F0000}"/>
    <cellStyle name="Normal 19 19 11" xfId="12098" xr:uid="{00000000-0005-0000-0000-0000462F0000}"/>
    <cellStyle name="Normal 19 19 12" xfId="12099" xr:uid="{00000000-0005-0000-0000-0000472F0000}"/>
    <cellStyle name="Normal 19 19 13" xfId="12100" xr:uid="{00000000-0005-0000-0000-0000482F0000}"/>
    <cellStyle name="Normal 19 19 14" xfId="12101" xr:uid="{00000000-0005-0000-0000-0000492F0000}"/>
    <cellStyle name="Normal 19 19 15" xfId="12102" xr:uid="{00000000-0005-0000-0000-00004A2F0000}"/>
    <cellStyle name="Normal 19 19 2" xfId="12103" xr:uid="{00000000-0005-0000-0000-00004B2F0000}"/>
    <cellStyle name="Normal 19 19 2 10" xfId="12104" xr:uid="{00000000-0005-0000-0000-00004C2F0000}"/>
    <cellStyle name="Normal 19 19 2 11" xfId="12105" xr:uid="{00000000-0005-0000-0000-00004D2F0000}"/>
    <cellStyle name="Normal 19 19 2 12" xfId="12106" xr:uid="{00000000-0005-0000-0000-00004E2F0000}"/>
    <cellStyle name="Normal 19 19 2 13" xfId="12107" xr:uid="{00000000-0005-0000-0000-00004F2F0000}"/>
    <cellStyle name="Normal 19 19 2 14" xfId="12108" xr:uid="{00000000-0005-0000-0000-0000502F0000}"/>
    <cellStyle name="Normal 19 19 2 2" xfId="12109" xr:uid="{00000000-0005-0000-0000-0000512F0000}"/>
    <cellStyle name="Normal 19 19 2 2 2" xfId="12110" xr:uid="{00000000-0005-0000-0000-0000522F0000}"/>
    <cellStyle name="Normal 19 19 2 2 3" xfId="12111" xr:uid="{00000000-0005-0000-0000-0000532F0000}"/>
    <cellStyle name="Normal 19 19 2 2 4" xfId="12112" xr:uid="{00000000-0005-0000-0000-0000542F0000}"/>
    <cellStyle name="Normal 19 19 2 2 5" xfId="12113" xr:uid="{00000000-0005-0000-0000-0000552F0000}"/>
    <cellStyle name="Normal 19 19 2 2 6" xfId="12114" xr:uid="{00000000-0005-0000-0000-0000562F0000}"/>
    <cellStyle name="Normal 19 19 2 3" xfId="12115" xr:uid="{00000000-0005-0000-0000-0000572F0000}"/>
    <cellStyle name="Normal 19 19 2 3 2" xfId="12116" xr:uid="{00000000-0005-0000-0000-0000582F0000}"/>
    <cellStyle name="Normal 19 19 2 3 3" xfId="12117" xr:uid="{00000000-0005-0000-0000-0000592F0000}"/>
    <cellStyle name="Normal 19 19 2 3 4" xfId="12118" xr:uid="{00000000-0005-0000-0000-00005A2F0000}"/>
    <cellStyle name="Normal 19 19 2 3 5" xfId="12119" xr:uid="{00000000-0005-0000-0000-00005B2F0000}"/>
    <cellStyle name="Normal 19 19 2 3 6" xfId="12120" xr:uid="{00000000-0005-0000-0000-00005C2F0000}"/>
    <cellStyle name="Normal 19 19 2 4" xfId="12121" xr:uid="{00000000-0005-0000-0000-00005D2F0000}"/>
    <cellStyle name="Normal 19 19 2 4 2" xfId="12122" xr:uid="{00000000-0005-0000-0000-00005E2F0000}"/>
    <cellStyle name="Normal 19 19 2 4 3" xfId="12123" xr:uid="{00000000-0005-0000-0000-00005F2F0000}"/>
    <cellStyle name="Normal 19 19 2 4 4" xfId="12124" xr:uid="{00000000-0005-0000-0000-0000602F0000}"/>
    <cellStyle name="Normal 19 19 2 4 5" xfId="12125" xr:uid="{00000000-0005-0000-0000-0000612F0000}"/>
    <cellStyle name="Normal 19 19 2 4 6" xfId="12126" xr:uid="{00000000-0005-0000-0000-0000622F0000}"/>
    <cellStyle name="Normal 19 19 2 5" xfId="12127" xr:uid="{00000000-0005-0000-0000-0000632F0000}"/>
    <cellStyle name="Normal 19 19 2 5 2" xfId="12128" xr:uid="{00000000-0005-0000-0000-0000642F0000}"/>
    <cellStyle name="Normal 19 19 2 5 3" xfId="12129" xr:uid="{00000000-0005-0000-0000-0000652F0000}"/>
    <cellStyle name="Normal 19 19 2 5 4" xfId="12130" xr:uid="{00000000-0005-0000-0000-0000662F0000}"/>
    <cellStyle name="Normal 19 19 2 5 5" xfId="12131" xr:uid="{00000000-0005-0000-0000-0000672F0000}"/>
    <cellStyle name="Normal 19 19 2 5 6" xfId="12132" xr:uid="{00000000-0005-0000-0000-0000682F0000}"/>
    <cellStyle name="Normal 19 19 2 6" xfId="12133" xr:uid="{00000000-0005-0000-0000-0000692F0000}"/>
    <cellStyle name="Normal 19 19 2 6 2" xfId="12134" xr:uid="{00000000-0005-0000-0000-00006A2F0000}"/>
    <cellStyle name="Normal 19 19 2 6 3" xfId="12135" xr:uid="{00000000-0005-0000-0000-00006B2F0000}"/>
    <cellStyle name="Normal 19 19 2 6 4" xfId="12136" xr:uid="{00000000-0005-0000-0000-00006C2F0000}"/>
    <cellStyle name="Normal 19 19 2 6 5" xfId="12137" xr:uid="{00000000-0005-0000-0000-00006D2F0000}"/>
    <cellStyle name="Normal 19 19 2 6 6" xfId="12138" xr:uid="{00000000-0005-0000-0000-00006E2F0000}"/>
    <cellStyle name="Normal 19 19 2 7" xfId="12139" xr:uid="{00000000-0005-0000-0000-00006F2F0000}"/>
    <cellStyle name="Normal 19 19 2 7 2" xfId="12140" xr:uid="{00000000-0005-0000-0000-0000702F0000}"/>
    <cellStyle name="Normal 19 19 2 7 3" xfId="12141" xr:uid="{00000000-0005-0000-0000-0000712F0000}"/>
    <cellStyle name="Normal 19 19 2 7 4" xfId="12142" xr:uid="{00000000-0005-0000-0000-0000722F0000}"/>
    <cellStyle name="Normal 19 19 2 7 5" xfId="12143" xr:uid="{00000000-0005-0000-0000-0000732F0000}"/>
    <cellStyle name="Normal 19 19 2 7 6" xfId="12144" xr:uid="{00000000-0005-0000-0000-0000742F0000}"/>
    <cellStyle name="Normal 19 19 2 8" xfId="12145" xr:uid="{00000000-0005-0000-0000-0000752F0000}"/>
    <cellStyle name="Normal 19 19 2 8 2" xfId="12146" xr:uid="{00000000-0005-0000-0000-0000762F0000}"/>
    <cellStyle name="Normal 19 19 2 8 3" xfId="12147" xr:uid="{00000000-0005-0000-0000-0000772F0000}"/>
    <cellStyle name="Normal 19 19 2 8 4" xfId="12148" xr:uid="{00000000-0005-0000-0000-0000782F0000}"/>
    <cellStyle name="Normal 19 19 2 8 5" xfId="12149" xr:uid="{00000000-0005-0000-0000-0000792F0000}"/>
    <cellStyle name="Normal 19 19 2 8 6" xfId="12150" xr:uid="{00000000-0005-0000-0000-00007A2F0000}"/>
    <cellStyle name="Normal 19 19 2 9" xfId="12151" xr:uid="{00000000-0005-0000-0000-00007B2F0000}"/>
    <cellStyle name="Normal 19 19 2 9 2" xfId="12152" xr:uid="{00000000-0005-0000-0000-00007C2F0000}"/>
    <cellStyle name="Normal 19 19 2 9 3" xfId="12153" xr:uid="{00000000-0005-0000-0000-00007D2F0000}"/>
    <cellStyle name="Normal 19 19 2 9 4" xfId="12154" xr:uid="{00000000-0005-0000-0000-00007E2F0000}"/>
    <cellStyle name="Normal 19 19 2 9 5" xfId="12155" xr:uid="{00000000-0005-0000-0000-00007F2F0000}"/>
    <cellStyle name="Normal 19 19 2 9 6" xfId="12156" xr:uid="{00000000-0005-0000-0000-0000802F0000}"/>
    <cellStyle name="Normal 19 19 3" xfId="12157" xr:uid="{00000000-0005-0000-0000-0000812F0000}"/>
    <cellStyle name="Normal 19 19 3 2" xfId="12158" xr:uid="{00000000-0005-0000-0000-0000822F0000}"/>
    <cellStyle name="Normal 19 19 3 3" xfId="12159" xr:uid="{00000000-0005-0000-0000-0000832F0000}"/>
    <cellStyle name="Normal 19 19 3 4" xfId="12160" xr:uid="{00000000-0005-0000-0000-0000842F0000}"/>
    <cellStyle name="Normal 19 19 3 5" xfId="12161" xr:uid="{00000000-0005-0000-0000-0000852F0000}"/>
    <cellStyle name="Normal 19 19 3 6" xfId="12162" xr:uid="{00000000-0005-0000-0000-0000862F0000}"/>
    <cellStyle name="Normal 19 19 4" xfId="12163" xr:uid="{00000000-0005-0000-0000-0000872F0000}"/>
    <cellStyle name="Normal 19 19 4 2" xfId="12164" xr:uid="{00000000-0005-0000-0000-0000882F0000}"/>
    <cellStyle name="Normal 19 19 4 3" xfId="12165" xr:uid="{00000000-0005-0000-0000-0000892F0000}"/>
    <cellStyle name="Normal 19 19 4 4" xfId="12166" xr:uid="{00000000-0005-0000-0000-00008A2F0000}"/>
    <cellStyle name="Normal 19 19 4 5" xfId="12167" xr:uid="{00000000-0005-0000-0000-00008B2F0000}"/>
    <cellStyle name="Normal 19 19 4 6" xfId="12168" xr:uid="{00000000-0005-0000-0000-00008C2F0000}"/>
    <cellStyle name="Normal 19 19 5" xfId="12169" xr:uid="{00000000-0005-0000-0000-00008D2F0000}"/>
    <cellStyle name="Normal 19 19 5 2" xfId="12170" xr:uid="{00000000-0005-0000-0000-00008E2F0000}"/>
    <cellStyle name="Normal 19 19 5 3" xfId="12171" xr:uid="{00000000-0005-0000-0000-00008F2F0000}"/>
    <cellStyle name="Normal 19 19 5 4" xfId="12172" xr:uid="{00000000-0005-0000-0000-0000902F0000}"/>
    <cellStyle name="Normal 19 19 5 5" xfId="12173" xr:uid="{00000000-0005-0000-0000-0000912F0000}"/>
    <cellStyle name="Normal 19 19 5 6" xfId="12174" xr:uid="{00000000-0005-0000-0000-0000922F0000}"/>
    <cellStyle name="Normal 19 19 6" xfId="12175" xr:uid="{00000000-0005-0000-0000-0000932F0000}"/>
    <cellStyle name="Normal 19 19 6 2" xfId="12176" xr:uid="{00000000-0005-0000-0000-0000942F0000}"/>
    <cellStyle name="Normal 19 19 6 3" xfId="12177" xr:uid="{00000000-0005-0000-0000-0000952F0000}"/>
    <cellStyle name="Normal 19 19 6 4" xfId="12178" xr:uid="{00000000-0005-0000-0000-0000962F0000}"/>
    <cellStyle name="Normal 19 19 6 5" xfId="12179" xr:uid="{00000000-0005-0000-0000-0000972F0000}"/>
    <cellStyle name="Normal 19 19 6 6" xfId="12180" xr:uid="{00000000-0005-0000-0000-0000982F0000}"/>
    <cellStyle name="Normal 19 19 7" xfId="12181" xr:uid="{00000000-0005-0000-0000-0000992F0000}"/>
    <cellStyle name="Normal 19 19 7 2" xfId="12182" xr:uid="{00000000-0005-0000-0000-00009A2F0000}"/>
    <cellStyle name="Normal 19 19 7 3" xfId="12183" xr:uid="{00000000-0005-0000-0000-00009B2F0000}"/>
    <cellStyle name="Normal 19 19 7 4" xfId="12184" xr:uid="{00000000-0005-0000-0000-00009C2F0000}"/>
    <cellStyle name="Normal 19 19 7 5" xfId="12185" xr:uid="{00000000-0005-0000-0000-00009D2F0000}"/>
    <cellStyle name="Normal 19 19 7 6" xfId="12186" xr:uid="{00000000-0005-0000-0000-00009E2F0000}"/>
    <cellStyle name="Normal 19 19 8" xfId="12187" xr:uid="{00000000-0005-0000-0000-00009F2F0000}"/>
    <cellStyle name="Normal 19 19 8 2" xfId="12188" xr:uid="{00000000-0005-0000-0000-0000A02F0000}"/>
    <cellStyle name="Normal 19 19 8 3" xfId="12189" xr:uid="{00000000-0005-0000-0000-0000A12F0000}"/>
    <cellStyle name="Normal 19 19 8 4" xfId="12190" xr:uid="{00000000-0005-0000-0000-0000A22F0000}"/>
    <cellStyle name="Normal 19 19 8 5" xfId="12191" xr:uid="{00000000-0005-0000-0000-0000A32F0000}"/>
    <cellStyle name="Normal 19 19 8 6" xfId="12192" xr:uid="{00000000-0005-0000-0000-0000A42F0000}"/>
    <cellStyle name="Normal 19 19 9" xfId="12193" xr:uid="{00000000-0005-0000-0000-0000A52F0000}"/>
    <cellStyle name="Normal 19 19 9 2" xfId="12194" xr:uid="{00000000-0005-0000-0000-0000A62F0000}"/>
    <cellStyle name="Normal 19 19 9 3" xfId="12195" xr:uid="{00000000-0005-0000-0000-0000A72F0000}"/>
    <cellStyle name="Normal 19 19 9 4" xfId="12196" xr:uid="{00000000-0005-0000-0000-0000A82F0000}"/>
    <cellStyle name="Normal 19 19 9 5" xfId="12197" xr:uid="{00000000-0005-0000-0000-0000A92F0000}"/>
    <cellStyle name="Normal 19 19 9 6" xfId="12198" xr:uid="{00000000-0005-0000-0000-0000AA2F0000}"/>
    <cellStyle name="Normal 19 2" xfId="12199" xr:uid="{00000000-0005-0000-0000-0000AB2F0000}"/>
    <cellStyle name="Normal 19 2 10" xfId="12200" xr:uid="{00000000-0005-0000-0000-0000AC2F0000}"/>
    <cellStyle name="Normal 19 2 10 2" xfId="12201" xr:uid="{00000000-0005-0000-0000-0000AD2F0000}"/>
    <cellStyle name="Normal 19 2 10 3" xfId="12202" xr:uid="{00000000-0005-0000-0000-0000AE2F0000}"/>
    <cellStyle name="Normal 19 2 10 4" xfId="12203" xr:uid="{00000000-0005-0000-0000-0000AF2F0000}"/>
    <cellStyle name="Normal 19 2 10 5" xfId="12204" xr:uid="{00000000-0005-0000-0000-0000B02F0000}"/>
    <cellStyle name="Normal 19 2 10 6" xfId="12205" xr:uid="{00000000-0005-0000-0000-0000B12F0000}"/>
    <cellStyle name="Normal 19 2 11" xfId="12206" xr:uid="{00000000-0005-0000-0000-0000B22F0000}"/>
    <cellStyle name="Normal 19 2 12" xfId="12207" xr:uid="{00000000-0005-0000-0000-0000B32F0000}"/>
    <cellStyle name="Normal 19 2 13" xfId="12208" xr:uid="{00000000-0005-0000-0000-0000B42F0000}"/>
    <cellStyle name="Normal 19 2 14" xfId="12209" xr:uid="{00000000-0005-0000-0000-0000B52F0000}"/>
    <cellStyle name="Normal 19 2 15" xfId="12210" xr:uid="{00000000-0005-0000-0000-0000B62F0000}"/>
    <cellStyle name="Normal 19 2 2" xfId="12211" xr:uid="{00000000-0005-0000-0000-0000B72F0000}"/>
    <cellStyle name="Normal 19 2 2 10" xfId="12212" xr:uid="{00000000-0005-0000-0000-0000B82F0000}"/>
    <cellStyle name="Normal 19 2 2 11" xfId="12213" xr:uid="{00000000-0005-0000-0000-0000B92F0000}"/>
    <cellStyle name="Normal 19 2 2 12" xfId="12214" xr:uid="{00000000-0005-0000-0000-0000BA2F0000}"/>
    <cellStyle name="Normal 19 2 2 13" xfId="12215" xr:uid="{00000000-0005-0000-0000-0000BB2F0000}"/>
    <cellStyle name="Normal 19 2 2 14" xfId="12216" xr:uid="{00000000-0005-0000-0000-0000BC2F0000}"/>
    <cellStyle name="Normal 19 2 2 2" xfId="12217" xr:uid="{00000000-0005-0000-0000-0000BD2F0000}"/>
    <cellStyle name="Normal 19 2 2 2 2" xfId="12218" xr:uid="{00000000-0005-0000-0000-0000BE2F0000}"/>
    <cellStyle name="Normal 19 2 2 2 3" xfId="12219" xr:uid="{00000000-0005-0000-0000-0000BF2F0000}"/>
    <cellStyle name="Normal 19 2 2 2 4" xfId="12220" xr:uid="{00000000-0005-0000-0000-0000C02F0000}"/>
    <cellStyle name="Normal 19 2 2 2 5" xfId="12221" xr:uid="{00000000-0005-0000-0000-0000C12F0000}"/>
    <cellStyle name="Normal 19 2 2 2 6" xfId="12222" xr:uid="{00000000-0005-0000-0000-0000C22F0000}"/>
    <cellStyle name="Normal 19 2 2 3" xfId="12223" xr:uid="{00000000-0005-0000-0000-0000C32F0000}"/>
    <cellStyle name="Normal 19 2 2 3 2" xfId="12224" xr:uid="{00000000-0005-0000-0000-0000C42F0000}"/>
    <cellStyle name="Normal 19 2 2 3 3" xfId="12225" xr:uid="{00000000-0005-0000-0000-0000C52F0000}"/>
    <cellStyle name="Normal 19 2 2 3 4" xfId="12226" xr:uid="{00000000-0005-0000-0000-0000C62F0000}"/>
    <cellStyle name="Normal 19 2 2 3 5" xfId="12227" xr:uid="{00000000-0005-0000-0000-0000C72F0000}"/>
    <cellStyle name="Normal 19 2 2 3 6" xfId="12228" xr:uid="{00000000-0005-0000-0000-0000C82F0000}"/>
    <cellStyle name="Normal 19 2 2 4" xfId="12229" xr:uid="{00000000-0005-0000-0000-0000C92F0000}"/>
    <cellStyle name="Normal 19 2 2 4 2" xfId="12230" xr:uid="{00000000-0005-0000-0000-0000CA2F0000}"/>
    <cellStyle name="Normal 19 2 2 4 3" xfId="12231" xr:uid="{00000000-0005-0000-0000-0000CB2F0000}"/>
    <cellStyle name="Normal 19 2 2 4 4" xfId="12232" xr:uid="{00000000-0005-0000-0000-0000CC2F0000}"/>
    <cellStyle name="Normal 19 2 2 4 5" xfId="12233" xr:uid="{00000000-0005-0000-0000-0000CD2F0000}"/>
    <cellStyle name="Normal 19 2 2 4 6" xfId="12234" xr:uid="{00000000-0005-0000-0000-0000CE2F0000}"/>
    <cellStyle name="Normal 19 2 2 5" xfId="12235" xr:uid="{00000000-0005-0000-0000-0000CF2F0000}"/>
    <cellStyle name="Normal 19 2 2 5 2" xfId="12236" xr:uid="{00000000-0005-0000-0000-0000D02F0000}"/>
    <cellStyle name="Normal 19 2 2 5 3" xfId="12237" xr:uid="{00000000-0005-0000-0000-0000D12F0000}"/>
    <cellStyle name="Normal 19 2 2 5 4" xfId="12238" xr:uid="{00000000-0005-0000-0000-0000D22F0000}"/>
    <cellStyle name="Normal 19 2 2 5 5" xfId="12239" xr:uid="{00000000-0005-0000-0000-0000D32F0000}"/>
    <cellStyle name="Normal 19 2 2 5 6" xfId="12240" xr:uid="{00000000-0005-0000-0000-0000D42F0000}"/>
    <cellStyle name="Normal 19 2 2 6" xfId="12241" xr:uid="{00000000-0005-0000-0000-0000D52F0000}"/>
    <cellStyle name="Normal 19 2 2 6 2" xfId="12242" xr:uid="{00000000-0005-0000-0000-0000D62F0000}"/>
    <cellStyle name="Normal 19 2 2 6 3" xfId="12243" xr:uid="{00000000-0005-0000-0000-0000D72F0000}"/>
    <cellStyle name="Normal 19 2 2 6 4" xfId="12244" xr:uid="{00000000-0005-0000-0000-0000D82F0000}"/>
    <cellStyle name="Normal 19 2 2 6 5" xfId="12245" xr:uid="{00000000-0005-0000-0000-0000D92F0000}"/>
    <cellStyle name="Normal 19 2 2 6 6" xfId="12246" xr:uid="{00000000-0005-0000-0000-0000DA2F0000}"/>
    <cellStyle name="Normal 19 2 2 7" xfId="12247" xr:uid="{00000000-0005-0000-0000-0000DB2F0000}"/>
    <cellStyle name="Normal 19 2 2 7 2" xfId="12248" xr:uid="{00000000-0005-0000-0000-0000DC2F0000}"/>
    <cellStyle name="Normal 19 2 2 7 3" xfId="12249" xr:uid="{00000000-0005-0000-0000-0000DD2F0000}"/>
    <cellStyle name="Normal 19 2 2 7 4" xfId="12250" xr:uid="{00000000-0005-0000-0000-0000DE2F0000}"/>
    <cellStyle name="Normal 19 2 2 7 5" xfId="12251" xr:uid="{00000000-0005-0000-0000-0000DF2F0000}"/>
    <cellStyle name="Normal 19 2 2 7 6" xfId="12252" xr:uid="{00000000-0005-0000-0000-0000E02F0000}"/>
    <cellStyle name="Normal 19 2 2 8" xfId="12253" xr:uid="{00000000-0005-0000-0000-0000E12F0000}"/>
    <cellStyle name="Normal 19 2 2 8 2" xfId="12254" xr:uid="{00000000-0005-0000-0000-0000E22F0000}"/>
    <cellStyle name="Normal 19 2 2 8 3" xfId="12255" xr:uid="{00000000-0005-0000-0000-0000E32F0000}"/>
    <cellStyle name="Normal 19 2 2 8 4" xfId="12256" xr:uid="{00000000-0005-0000-0000-0000E42F0000}"/>
    <cellStyle name="Normal 19 2 2 8 5" xfId="12257" xr:uid="{00000000-0005-0000-0000-0000E52F0000}"/>
    <cellStyle name="Normal 19 2 2 8 6" xfId="12258" xr:uid="{00000000-0005-0000-0000-0000E62F0000}"/>
    <cellStyle name="Normal 19 2 2 9" xfId="12259" xr:uid="{00000000-0005-0000-0000-0000E72F0000}"/>
    <cellStyle name="Normal 19 2 2 9 2" xfId="12260" xr:uid="{00000000-0005-0000-0000-0000E82F0000}"/>
    <cellStyle name="Normal 19 2 2 9 3" xfId="12261" xr:uid="{00000000-0005-0000-0000-0000E92F0000}"/>
    <cellStyle name="Normal 19 2 2 9 4" xfId="12262" xr:uid="{00000000-0005-0000-0000-0000EA2F0000}"/>
    <cellStyle name="Normal 19 2 2 9 5" xfId="12263" xr:uid="{00000000-0005-0000-0000-0000EB2F0000}"/>
    <cellStyle name="Normal 19 2 2 9 6" xfId="12264" xr:uid="{00000000-0005-0000-0000-0000EC2F0000}"/>
    <cellStyle name="Normal 19 2 3" xfId="12265" xr:uid="{00000000-0005-0000-0000-0000ED2F0000}"/>
    <cellStyle name="Normal 19 2 3 2" xfId="12266" xr:uid="{00000000-0005-0000-0000-0000EE2F0000}"/>
    <cellStyle name="Normal 19 2 3 3" xfId="12267" xr:uid="{00000000-0005-0000-0000-0000EF2F0000}"/>
    <cellStyle name="Normal 19 2 3 4" xfId="12268" xr:uid="{00000000-0005-0000-0000-0000F02F0000}"/>
    <cellStyle name="Normal 19 2 3 5" xfId="12269" xr:uid="{00000000-0005-0000-0000-0000F12F0000}"/>
    <cellStyle name="Normal 19 2 3 6" xfId="12270" xr:uid="{00000000-0005-0000-0000-0000F22F0000}"/>
    <cellStyle name="Normal 19 2 4" xfId="12271" xr:uid="{00000000-0005-0000-0000-0000F32F0000}"/>
    <cellStyle name="Normal 19 2 4 2" xfId="12272" xr:uid="{00000000-0005-0000-0000-0000F42F0000}"/>
    <cellStyle name="Normal 19 2 4 3" xfId="12273" xr:uid="{00000000-0005-0000-0000-0000F52F0000}"/>
    <cellStyle name="Normal 19 2 4 4" xfId="12274" xr:uid="{00000000-0005-0000-0000-0000F62F0000}"/>
    <cellStyle name="Normal 19 2 4 5" xfId="12275" xr:uid="{00000000-0005-0000-0000-0000F72F0000}"/>
    <cellStyle name="Normal 19 2 4 6" xfId="12276" xr:uid="{00000000-0005-0000-0000-0000F82F0000}"/>
    <cellStyle name="Normal 19 2 5" xfId="12277" xr:uid="{00000000-0005-0000-0000-0000F92F0000}"/>
    <cellStyle name="Normal 19 2 5 2" xfId="12278" xr:uid="{00000000-0005-0000-0000-0000FA2F0000}"/>
    <cellStyle name="Normal 19 2 5 3" xfId="12279" xr:uid="{00000000-0005-0000-0000-0000FB2F0000}"/>
    <cellStyle name="Normal 19 2 5 4" xfId="12280" xr:uid="{00000000-0005-0000-0000-0000FC2F0000}"/>
    <cellStyle name="Normal 19 2 5 5" xfId="12281" xr:uid="{00000000-0005-0000-0000-0000FD2F0000}"/>
    <cellStyle name="Normal 19 2 5 6" xfId="12282" xr:uid="{00000000-0005-0000-0000-0000FE2F0000}"/>
    <cellStyle name="Normal 19 2 6" xfId="12283" xr:uid="{00000000-0005-0000-0000-0000FF2F0000}"/>
    <cellStyle name="Normal 19 2 6 2" xfId="12284" xr:uid="{00000000-0005-0000-0000-000000300000}"/>
    <cellStyle name="Normal 19 2 6 3" xfId="12285" xr:uid="{00000000-0005-0000-0000-000001300000}"/>
    <cellStyle name="Normal 19 2 6 4" xfId="12286" xr:uid="{00000000-0005-0000-0000-000002300000}"/>
    <cellStyle name="Normal 19 2 6 5" xfId="12287" xr:uid="{00000000-0005-0000-0000-000003300000}"/>
    <cellStyle name="Normal 19 2 6 6" xfId="12288" xr:uid="{00000000-0005-0000-0000-000004300000}"/>
    <cellStyle name="Normal 19 2 7" xfId="12289" xr:uid="{00000000-0005-0000-0000-000005300000}"/>
    <cellStyle name="Normal 19 2 7 2" xfId="12290" xr:uid="{00000000-0005-0000-0000-000006300000}"/>
    <cellStyle name="Normal 19 2 7 3" xfId="12291" xr:uid="{00000000-0005-0000-0000-000007300000}"/>
    <cellStyle name="Normal 19 2 7 4" xfId="12292" xr:uid="{00000000-0005-0000-0000-000008300000}"/>
    <cellStyle name="Normal 19 2 7 5" xfId="12293" xr:uid="{00000000-0005-0000-0000-000009300000}"/>
    <cellStyle name="Normal 19 2 7 6" xfId="12294" xr:uid="{00000000-0005-0000-0000-00000A300000}"/>
    <cellStyle name="Normal 19 2 8" xfId="12295" xr:uid="{00000000-0005-0000-0000-00000B300000}"/>
    <cellStyle name="Normal 19 2 8 2" xfId="12296" xr:uid="{00000000-0005-0000-0000-00000C300000}"/>
    <cellStyle name="Normal 19 2 8 3" xfId="12297" xr:uid="{00000000-0005-0000-0000-00000D300000}"/>
    <cellStyle name="Normal 19 2 8 4" xfId="12298" xr:uid="{00000000-0005-0000-0000-00000E300000}"/>
    <cellStyle name="Normal 19 2 8 5" xfId="12299" xr:uid="{00000000-0005-0000-0000-00000F300000}"/>
    <cellStyle name="Normal 19 2 8 6" xfId="12300" xr:uid="{00000000-0005-0000-0000-000010300000}"/>
    <cellStyle name="Normal 19 2 9" xfId="12301" xr:uid="{00000000-0005-0000-0000-000011300000}"/>
    <cellStyle name="Normal 19 2 9 2" xfId="12302" xr:uid="{00000000-0005-0000-0000-000012300000}"/>
    <cellStyle name="Normal 19 2 9 3" xfId="12303" xr:uid="{00000000-0005-0000-0000-000013300000}"/>
    <cellStyle name="Normal 19 2 9 4" xfId="12304" xr:uid="{00000000-0005-0000-0000-000014300000}"/>
    <cellStyle name="Normal 19 2 9 5" xfId="12305" xr:uid="{00000000-0005-0000-0000-000015300000}"/>
    <cellStyle name="Normal 19 2 9 6" xfId="12306" xr:uid="{00000000-0005-0000-0000-000016300000}"/>
    <cellStyle name="Normal 19 20" xfId="12307" xr:uid="{00000000-0005-0000-0000-000017300000}"/>
    <cellStyle name="Normal 19 20 10" xfId="12308" xr:uid="{00000000-0005-0000-0000-000018300000}"/>
    <cellStyle name="Normal 19 20 10 2" xfId="12309" xr:uid="{00000000-0005-0000-0000-000019300000}"/>
    <cellStyle name="Normal 19 20 10 3" xfId="12310" xr:uid="{00000000-0005-0000-0000-00001A300000}"/>
    <cellStyle name="Normal 19 20 10 4" xfId="12311" xr:uid="{00000000-0005-0000-0000-00001B300000}"/>
    <cellStyle name="Normal 19 20 10 5" xfId="12312" xr:uid="{00000000-0005-0000-0000-00001C300000}"/>
    <cellStyle name="Normal 19 20 10 6" xfId="12313" xr:uid="{00000000-0005-0000-0000-00001D300000}"/>
    <cellStyle name="Normal 19 20 11" xfId="12314" xr:uid="{00000000-0005-0000-0000-00001E300000}"/>
    <cellStyle name="Normal 19 20 12" xfId="12315" xr:uid="{00000000-0005-0000-0000-00001F300000}"/>
    <cellStyle name="Normal 19 20 13" xfId="12316" xr:uid="{00000000-0005-0000-0000-000020300000}"/>
    <cellStyle name="Normal 19 20 14" xfId="12317" xr:uid="{00000000-0005-0000-0000-000021300000}"/>
    <cellStyle name="Normal 19 20 15" xfId="12318" xr:uid="{00000000-0005-0000-0000-000022300000}"/>
    <cellStyle name="Normal 19 20 2" xfId="12319" xr:uid="{00000000-0005-0000-0000-000023300000}"/>
    <cellStyle name="Normal 19 20 2 10" xfId="12320" xr:uid="{00000000-0005-0000-0000-000024300000}"/>
    <cellStyle name="Normal 19 20 2 11" xfId="12321" xr:uid="{00000000-0005-0000-0000-000025300000}"/>
    <cellStyle name="Normal 19 20 2 12" xfId="12322" xr:uid="{00000000-0005-0000-0000-000026300000}"/>
    <cellStyle name="Normal 19 20 2 13" xfId="12323" xr:uid="{00000000-0005-0000-0000-000027300000}"/>
    <cellStyle name="Normal 19 20 2 14" xfId="12324" xr:uid="{00000000-0005-0000-0000-000028300000}"/>
    <cellStyle name="Normal 19 20 2 2" xfId="12325" xr:uid="{00000000-0005-0000-0000-000029300000}"/>
    <cellStyle name="Normal 19 20 2 2 2" xfId="12326" xr:uid="{00000000-0005-0000-0000-00002A300000}"/>
    <cellStyle name="Normal 19 20 2 2 3" xfId="12327" xr:uid="{00000000-0005-0000-0000-00002B300000}"/>
    <cellStyle name="Normal 19 20 2 2 4" xfId="12328" xr:uid="{00000000-0005-0000-0000-00002C300000}"/>
    <cellStyle name="Normal 19 20 2 2 5" xfId="12329" xr:uid="{00000000-0005-0000-0000-00002D300000}"/>
    <cellStyle name="Normal 19 20 2 2 6" xfId="12330" xr:uid="{00000000-0005-0000-0000-00002E300000}"/>
    <cellStyle name="Normal 19 20 2 3" xfId="12331" xr:uid="{00000000-0005-0000-0000-00002F300000}"/>
    <cellStyle name="Normal 19 20 2 3 2" xfId="12332" xr:uid="{00000000-0005-0000-0000-000030300000}"/>
    <cellStyle name="Normal 19 20 2 3 3" xfId="12333" xr:uid="{00000000-0005-0000-0000-000031300000}"/>
    <cellStyle name="Normal 19 20 2 3 4" xfId="12334" xr:uid="{00000000-0005-0000-0000-000032300000}"/>
    <cellStyle name="Normal 19 20 2 3 5" xfId="12335" xr:uid="{00000000-0005-0000-0000-000033300000}"/>
    <cellStyle name="Normal 19 20 2 3 6" xfId="12336" xr:uid="{00000000-0005-0000-0000-000034300000}"/>
    <cellStyle name="Normal 19 20 2 4" xfId="12337" xr:uid="{00000000-0005-0000-0000-000035300000}"/>
    <cellStyle name="Normal 19 20 2 4 2" xfId="12338" xr:uid="{00000000-0005-0000-0000-000036300000}"/>
    <cellStyle name="Normal 19 20 2 4 3" xfId="12339" xr:uid="{00000000-0005-0000-0000-000037300000}"/>
    <cellStyle name="Normal 19 20 2 4 4" xfId="12340" xr:uid="{00000000-0005-0000-0000-000038300000}"/>
    <cellStyle name="Normal 19 20 2 4 5" xfId="12341" xr:uid="{00000000-0005-0000-0000-000039300000}"/>
    <cellStyle name="Normal 19 20 2 4 6" xfId="12342" xr:uid="{00000000-0005-0000-0000-00003A300000}"/>
    <cellStyle name="Normal 19 20 2 5" xfId="12343" xr:uid="{00000000-0005-0000-0000-00003B300000}"/>
    <cellStyle name="Normal 19 20 2 5 2" xfId="12344" xr:uid="{00000000-0005-0000-0000-00003C300000}"/>
    <cellStyle name="Normal 19 20 2 5 3" xfId="12345" xr:uid="{00000000-0005-0000-0000-00003D300000}"/>
    <cellStyle name="Normal 19 20 2 5 4" xfId="12346" xr:uid="{00000000-0005-0000-0000-00003E300000}"/>
    <cellStyle name="Normal 19 20 2 5 5" xfId="12347" xr:uid="{00000000-0005-0000-0000-00003F300000}"/>
    <cellStyle name="Normal 19 20 2 5 6" xfId="12348" xr:uid="{00000000-0005-0000-0000-000040300000}"/>
    <cellStyle name="Normal 19 20 2 6" xfId="12349" xr:uid="{00000000-0005-0000-0000-000041300000}"/>
    <cellStyle name="Normal 19 20 2 6 2" xfId="12350" xr:uid="{00000000-0005-0000-0000-000042300000}"/>
    <cellStyle name="Normal 19 20 2 6 3" xfId="12351" xr:uid="{00000000-0005-0000-0000-000043300000}"/>
    <cellStyle name="Normal 19 20 2 6 4" xfId="12352" xr:uid="{00000000-0005-0000-0000-000044300000}"/>
    <cellStyle name="Normal 19 20 2 6 5" xfId="12353" xr:uid="{00000000-0005-0000-0000-000045300000}"/>
    <cellStyle name="Normal 19 20 2 6 6" xfId="12354" xr:uid="{00000000-0005-0000-0000-000046300000}"/>
    <cellStyle name="Normal 19 20 2 7" xfId="12355" xr:uid="{00000000-0005-0000-0000-000047300000}"/>
    <cellStyle name="Normal 19 20 2 7 2" xfId="12356" xr:uid="{00000000-0005-0000-0000-000048300000}"/>
    <cellStyle name="Normal 19 20 2 7 3" xfId="12357" xr:uid="{00000000-0005-0000-0000-000049300000}"/>
    <cellStyle name="Normal 19 20 2 7 4" xfId="12358" xr:uid="{00000000-0005-0000-0000-00004A300000}"/>
    <cellStyle name="Normal 19 20 2 7 5" xfId="12359" xr:uid="{00000000-0005-0000-0000-00004B300000}"/>
    <cellStyle name="Normal 19 20 2 7 6" xfId="12360" xr:uid="{00000000-0005-0000-0000-00004C300000}"/>
    <cellStyle name="Normal 19 20 2 8" xfId="12361" xr:uid="{00000000-0005-0000-0000-00004D300000}"/>
    <cellStyle name="Normal 19 20 2 8 2" xfId="12362" xr:uid="{00000000-0005-0000-0000-00004E300000}"/>
    <cellStyle name="Normal 19 20 2 8 3" xfId="12363" xr:uid="{00000000-0005-0000-0000-00004F300000}"/>
    <cellStyle name="Normal 19 20 2 8 4" xfId="12364" xr:uid="{00000000-0005-0000-0000-000050300000}"/>
    <cellStyle name="Normal 19 20 2 8 5" xfId="12365" xr:uid="{00000000-0005-0000-0000-000051300000}"/>
    <cellStyle name="Normal 19 20 2 8 6" xfId="12366" xr:uid="{00000000-0005-0000-0000-000052300000}"/>
    <cellStyle name="Normal 19 20 2 9" xfId="12367" xr:uid="{00000000-0005-0000-0000-000053300000}"/>
    <cellStyle name="Normal 19 20 2 9 2" xfId="12368" xr:uid="{00000000-0005-0000-0000-000054300000}"/>
    <cellStyle name="Normal 19 20 2 9 3" xfId="12369" xr:uid="{00000000-0005-0000-0000-000055300000}"/>
    <cellStyle name="Normal 19 20 2 9 4" xfId="12370" xr:uid="{00000000-0005-0000-0000-000056300000}"/>
    <cellStyle name="Normal 19 20 2 9 5" xfId="12371" xr:uid="{00000000-0005-0000-0000-000057300000}"/>
    <cellStyle name="Normal 19 20 2 9 6" xfId="12372" xr:uid="{00000000-0005-0000-0000-000058300000}"/>
    <cellStyle name="Normal 19 20 3" xfId="12373" xr:uid="{00000000-0005-0000-0000-000059300000}"/>
    <cellStyle name="Normal 19 20 3 2" xfId="12374" xr:uid="{00000000-0005-0000-0000-00005A300000}"/>
    <cellStyle name="Normal 19 20 3 3" xfId="12375" xr:uid="{00000000-0005-0000-0000-00005B300000}"/>
    <cellStyle name="Normal 19 20 3 4" xfId="12376" xr:uid="{00000000-0005-0000-0000-00005C300000}"/>
    <cellStyle name="Normal 19 20 3 5" xfId="12377" xr:uid="{00000000-0005-0000-0000-00005D300000}"/>
    <cellStyle name="Normal 19 20 3 6" xfId="12378" xr:uid="{00000000-0005-0000-0000-00005E300000}"/>
    <cellStyle name="Normal 19 20 4" xfId="12379" xr:uid="{00000000-0005-0000-0000-00005F300000}"/>
    <cellStyle name="Normal 19 20 4 2" xfId="12380" xr:uid="{00000000-0005-0000-0000-000060300000}"/>
    <cellStyle name="Normal 19 20 4 3" xfId="12381" xr:uid="{00000000-0005-0000-0000-000061300000}"/>
    <cellStyle name="Normal 19 20 4 4" xfId="12382" xr:uid="{00000000-0005-0000-0000-000062300000}"/>
    <cellStyle name="Normal 19 20 4 5" xfId="12383" xr:uid="{00000000-0005-0000-0000-000063300000}"/>
    <cellStyle name="Normal 19 20 4 6" xfId="12384" xr:uid="{00000000-0005-0000-0000-000064300000}"/>
    <cellStyle name="Normal 19 20 5" xfId="12385" xr:uid="{00000000-0005-0000-0000-000065300000}"/>
    <cellStyle name="Normal 19 20 5 2" xfId="12386" xr:uid="{00000000-0005-0000-0000-000066300000}"/>
    <cellStyle name="Normal 19 20 5 3" xfId="12387" xr:uid="{00000000-0005-0000-0000-000067300000}"/>
    <cellStyle name="Normal 19 20 5 4" xfId="12388" xr:uid="{00000000-0005-0000-0000-000068300000}"/>
    <cellStyle name="Normal 19 20 5 5" xfId="12389" xr:uid="{00000000-0005-0000-0000-000069300000}"/>
    <cellStyle name="Normal 19 20 5 6" xfId="12390" xr:uid="{00000000-0005-0000-0000-00006A300000}"/>
    <cellStyle name="Normal 19 20 6" xfId="12391" xr:uid="{00000000-0005-0000-0000-00006B300000}"/>
    <cellStyle name="Normal 19 20 6 2" xfId="12392" xr:uid="{00000000-0005-0000-0000-00006C300000}"/>
    <cellStyle name="Normal 19 20 6 3" xfId="12393" xr:uid="{00000000-0005-0000-0000-00006D300000}"/>
    <cellStyle name="Normal 19 20 6 4" xfId="12394" xr:uid="{00000000-0005-0000-0000-00006E300000}"/>
    <cellStyle name="Normal 19 20 6 5" xfId="12395" xr:uid="{00000000-0005-0000-0000-00006F300000}"/>
    <cellStyle name="Normal 19 20 6 6" xfId="12396" xr:uid="{00000000-0005-0000-0000-000070300000}"/>
    <cellStyle name="Normal 19 20 7" xfId="12397" xr:uid="{00000000-0005-0000-0000-000071300000}"/>
    <cellStyle name="Normal 19 20 7 2" xfId="12398" xr:uid="{00000000-0005-0000-0000-000072300000}"/>
    <cellStyle name="Normal 19 20 7 3" xfId="12399" xr:uid="{00000000-0005-0000-0000-000073300000}"/>
    <cellStyle name="Normal 19 20 7 4" xfId="12400" xr:uid="{00000000-0005-0000-0000-000074300000}"/>
    <cellStyle name="Normal 19 20 7 5" xfId="12401" xr:uid="{00000000-0005-0000-0000-000075300000}"/>
    <cellStyle name="Normal 19 20 7 6" xfId="12402" xr:uid="{00000000-0005-0000-0000-000076300000}"/>
    <cellStyle name="Normal 19 20 8" xfId="12403" xr:uid="{00000000-0005-0000-0000-000077300000}"/>
    <cellStyle name="Normal 19 20 8 2" xfId="12404" xr:uid="{00000000-0005-0000-0000-000078300000}"/>
    <cellStyle name="Normal 19 20 8 3" xfId="12405" xr:uid="{00000000-0005-0000-0000-000079300000}"/>
    <cellStyle name="Normal 19 20 8 4" xfId="12406" xr:uid="{00000000-0005-0000-0000-00007A300000}"/>
    <cellStyle name="Normal 19 20 8 5" xfId="12407" xr:uid="{00000000-0005-0000-0000-00007B300000}"/>
    <cellStyle name="Normal 19 20 8 6" xfId="12408" xr:uid="{00000000-0005-0000-0000-00007C300000}"/>
    <cellStyle name="Normal 19 20 9" xfId="12409" xr:uid="{00000000-0005-0000-0000-00007D300000}"/>
    <cellStyle name="Normal 19 20 9 2" xfId="12410" xr:uid="{00000000-0005-0000-0000-00007E300000}"/>
    <cellStyle name="Normal 19 20 9 3" xfId="12411" xr:uid="{00000000-0005-0000-0000-00007F300000}"/>
    <cellStyle name="Normal 19 20 9 4" xfId="12412" xr:uid="{00000000-0005-0000-0000-000080300000}"/>
    <cellStyle name="Normal 19 20 9 5" xfId="12413" xr:uid="{00000000-0005-0000-0000-000081300000}"/>
    <cellStyle name="Normal 19 20 9 6" xfId="12414" xr:uid="{00000000-0005-0000-0000-000082300000}"/>
    <cellStyle name="Normal 19 21" xfId="12415" xr:uid="{00000000-0005-0000-0000-000083300000}"/>
    <cellStyle name="Normal 19 21 10" xfId="12416" xr:uid="{00000000-0005-0000-0000-000084300000}"/>
    <cellStyle name="Normal 19 21 10 2" xfId="12417" xr:uid="{00000000-0005-0000-0000-000085300000}"/>
    <cellStyle name="Normal 19 21 10 3" xfId="12418" xr:uid="{00000000-0005-0000-0000-000086300000}"/>
    <cellStyle name="Normal 19 21 10 4" xfId="12419" xr:uid="{00000000-0005-0000-0000-000087300000}"/>
    <cellStyle name="Normal 19 21 10 5" xfId="12420" xr:uid="{00000000-0005-0000-0000-000088300000}"/>
    <cellStyle name="Normal 19 21 10 6" xfId="12421" xr:uid="{00000000-0005-0000-0000-000089300000}"/>
    <cellStyle name="Normal 19 21 11" xfId="12422" xr:uid="{00000000-0005-0000-0000-00008A300000}"/>
    <cellStyle name="Normal 19 21 12" xfId="12423" xr:uid="{00000000-0005-0000-0000-00008B300000}"/>
    <cellStyle name="Normal 19 21 13" xfId="12424" xr:uid="{00000000-0005-0000-0000-00008C300000}"/>
    <cellStyle name="Normal 19 21 14" xfId="12425" xr:uid="{00000000-0005-0000-0000-00008D300000}"/>
    <cellStyle name="Normal 19 21 15" xfId="12426" xr:uid="{00000000-0005-0000-0000-00008E300000}"/>
    <cellStyle name="Normal 19 21 2" xfId="12427" xr:uid="{00000000-0005-0000-0000-00008F300000}"/>
    <cellStyle name="Normal 19 21 2 10" xfId="12428" xr:uid="{00000000-0005-0000-0000-000090300000}"/>
    <cellStyle name="Normal 19 21 2 11" xfId="12429" xr:uid="{00000000-0005-0000-0000-000091300000}"/>
    <cellStyle name="Normal 19 21 2 12" xfId="12430" xr:uid="{00000000-0005-0000-0000-000092300000}"/>
    <cellStyle name="Normal 19 21 2 13" xfId="12431" xr:uid="{00000000-0005-0000-0000-000093300000}"/>
    <cellStyle name="Normal 19 21 2 14" xfId="12432" xr:uid="{00000000-0005-0000-0000-000094300000}"/>
    <cellStyle name="Normal 19 21 2 2" xfId="12433" xr:uid="{00000000-0005-0000-0000-000095300000}"/>
    <cellStyle name="Normal 19 21 2 2 2" xfId="12434" xr:uid="{00000000-0005-0000-0000-000096300000}"/>
    <cellStyle name="Normal 19 21 2 2 3" xfId="12435" xr:uid="{00000000-0005-0000-0000-000097300000}"/>
    <cellStyle name="Normal 19 21 2 2 4" xfId="12436" xr:uid="{00000000-0005-0000-0000-000098300000}"/>
    <cellStyle name="Normal 19 21 2 2 5" xfId="12437" xr:uid="{00000000-0005-0000-0000-000099300000}"/>
    <cellStyle name="Normal 19 21 2 2 6" xfId="12438" xr:uid="{00000000-0005-0000-0000-00009A300000}"/>
    <cellStyle name="Normal 19 21 2 3" xfId="12439" xr:uid="{00000000-0005-0000-0000-00009B300000}"/>
    <cellStyle name="Normal 19 21 2 3 2" xfId="12440" xr:uid="{00000000-0005-0000-0000-00009C300000}"/>
    <cellStyle name="Normal 19 21 2 3 3" xfId="12441" xr:uid="{00000000-0005-0000-0000-00009D300000}"/>
    <cellStyle name="Normal 19 21 2 3 4" xfId="12442" xr:uid="{00000000-0005-0000-0000-00009E300000}"/>
    <cellStyle name="Normal 19 21 2 3 5" xfId="12443" xr:uid="{00000000-0005-0000-0000-00009F300000}"/>
    <cellStyle name="Normal 19 21 2 3 6" xfId="12444" xr:uid="{00000000-0005-0000-0000-0000A0300000}"/>
    <cellStyle name="Normal 19 21 2 4" xfId="12445" xr:uid="{00000000-0005-0000-0000-0000A1300000}"/>
    <cellStyle name="Normal 19 21 2 4 2" xfId="12446" xr:uid="{00000000-0005-0000-0000-0000A2300000}"/>
    <cellStyle name="Normal 19 21 2 4 3" xfId="12447" xr:uid="{00000000-0005-0000-0000-0000A3300000}"/>
    <cellStyle name="Normal 19 21 2 4 4" xfId="12448" xr:uid="{00000000-0005-0000-0000-0000A4300000}"/>
    <cellStyle name="Normal 19 21 2 4 5" xfId="12449" xr:uid="{00000000-0005-0000-0000-0000A5300000}"/>
    <cellStyle name="Normal 19 21 2 4 6" xfId="12450" xr:uid="{00000000-0005-0000-0000-0000A6300000}"/>
    <cellStyle name="Normal 19 21 2 5" xfId="12451" xr:uid="{00000000-0005-0000-0000-0000A7300000}"/>
    <cellStyle name="Normal 19 21 2 5 2" xfId="12452" xr:uid="{00000000-0005-0000-0000-0000A8300000}"/>
    <cellStyle name="Normal 19 21 2 5 3" xfId="12453" xr:uid="{00000000-0005-0000-0000-0000A9300000}"/>
    <cellStyle name="Normal 19 21 2 5 4" xfId="12454" xr:uid="{00000000-0005-0000-0000-0000AA300000}"/>
    <cellStyle name="Normal 19 21 2 5 5" xfId="12455" xr:uid="{00000000-0005-0000-0000-0000AB300000}"/>
    <cellStyle name="Normal 19 21 2 5 6" xfId="12456" xr:uid="{00000000-0005-0000-0000-0000AC300000}"/>
    <cellStyle name="Normal 19 21 2 6" xfId="12457" xr:uid="{00000000-0005-0000-0000-0000AD300000}"/>
    <cellStyle name="Normal 19 21 2 6 2" xfId="12458" xr:uid="{00000000-0005-0000-0000-0000AE300000}"/>
    <cellStyle name="Normal 19 21 2 6 3" xfId="12459" xr:uid="{00000000-0005-0000-0000-0000AF300000}"/>
    <cellStyle name="Normal 19 21 2 6 4" xfId="12460" xr:uid="{00000000-0005-0000-0000-0000B0300000}"/>
    <cellStyle name="Normal 19 21 2 6 5" xfId="12461" xr:uid="{00000000-0005-0000-0000-0000B1300000}"/>
    <cellStyle name="Normal 19 21 2 6 6" xfId="12462" xr:uid="{00000000-0005-0000-0000-0000B2300000}"/>
    <cellStyle name="Normal 19 21 2 7" xfId="12463" xr:uid="{00000000-0005-0000-0000-0000B3300000}"/>
    <cellStyle name="Normal 19 21 2 7 2" xfId="12464" xr:uid="{00000000-0005-0000-0000-0000B4300000}"/>
    <cellStyle name="Normal 19 21 2 7 3" xfId="12465" xr:uid="{00000000-0005-0000-0000-0000B5300000}"/>
    <cellStyle name="Normal 19 21 2 7 4" xfId="12466" xr:uid="{00000000-0005-0000-0000-0000B6300000}"/>
    <cellStyle name="Normal 19 21 2 7 5" xfId="12467" xr:uid="{00000000-0005-0000-0000-0000B7300000}"/>
    <cellStyle name="Normal 19 21 2 7 6" xfId="12468" xr:uid="{00000000-0005-0000-0000-0000B8300000}"/>
    <cellStyle name="Normal 19 21 2 8" xfId="12469" xr:uid="{00000000-0005-0000-0000-0000B9300000}"/>
    <cellStyle name="Normal 19 21 2 8 2" xfId="12470" xr:uid="{00000000-0005-0000-0000-0000BA300000}"/>
    <cellStyle name="Normal 19 21 2 8 3" xfId="12471" xr:uid="{00000000-0005-0000-0000-0000BB300000}"/>
    <cellStyle name="Normal 19 21 2 8 4" xfId="12472" xr:uid="{00000000-0005-0000-0000-0000BC300000}"/>
    <cellStyle name="Normal 19 21 2 8 5" xfId="12473" xr:uid="{00000000-0005-0000-0000-0000BD300000}"/>
    <cellStyle name="Normal 19 21 2 8 6" xfId="12474" xr:uid="{00000000-0005-0000-0000-0000BE300000}"/>
    <cellStyle name="Normal 19 21 2 9" xfId="12475" xr:uid="{00000000-0005-0000-0000-0000BF300000}"/>
    <cellStyle name="Normal 19 21 2 9 2" xfId="12476" xr:uid="{00000000-0005-0000-0000-0000C0300000}"/>
    <cellStyle name="Normal 19 21 2 9 3" xfId="12477" xr:uid="{00000000-0005-0000-0000-0000C1300000}"/>
    <cellStyle name="Normal 19 21 2 9 4" xfId="12478" xr:uid="{00000000-0005-0000-0000-0000C2300000}"/>
    <cellStyle name="Normal 19 21 2 9 5" xfId="12479" xr:uid="{00000000-0005-0000-0000-0000C3300000}"/>
    <cellStyle name="Normal 19 21 2 9 6" xfId="12480" xr:uid="{00000000-0005-0000-0000-0000C4300000}"/>
    <cellStyle name="Normal 19 21 3" xfId="12481" xr:uid="{00000000-0005-0000-0000-0000C5300000}"/>
    <cellStyle name="Normal 19 21 3 2" xfId="12482" xr:uid="{00000000-0005-0000-0000-0000C6300000}"/>
    <cellStyle name="Normal 19 21 3 3" xfId="12483" xr:uid="{00000000-0005-0000-0000-0000C7300000}"/>
    <cellStyle name="Normal 19 21 3 4" xfId="12484" xr:uid="{00000000-0005-0000-0000-0000C8300000}"/>
    <cellStyle name="Normal 19 21 3 5" xfId="12485" xr:uid="{00000000-0005-0000-0000-0000C9300000}"/>
    <cellStyle name="Normal 19 21 3 6" xfId="12486" xr:uid="{00000000-0005-0000-0000-0000CA300000}"/>
    <cellStyle name="Normal 19 21 4" xfId="12487" xr:uid="{00000000-0005-0000-0000-0000CB300000}"/>
    <cellStyle name="Normal 19 21 4 2" xfId="12488" xr:uid="{00000000-0005-0000-0000-0000CC300000}"/>
    <cellStyle name="Normal 19 21 4 3" xfId="12489" xr:uid="{00000000-0005-0000-0000-0000CD300000}"/>
    <cellStyle name="Normal 19 21 4 4" xfId="12490" xr:uid="{00000000-0005-0000-0000-0000CE300000}"/>
    <cellStyle name="Normal 19 21 4 5" xfId="12491" xr:uid="{00000000-0005-0000-0000-0000CF300000}"/>
    <cellStyle name="Normal 19 21 4 6" xfId="12492" xr:uid="{00000000-0005-0000-0000-0000D0300000}"/>
    <cellStyle name="Normal 19 21 5" xfId="12493" xr:uid="{00000000-0005-0000-0000-0000D1300000}"/>
    <cellStyle name="Normal 19 21 5 2" xfId="12494" xr:uid="{00000000-0005-0000-0000-0000D2300000}"/>
    <cellStyle name="Normal 19 21 5 3" xfId="12495" xr:uid="{00000000-0005-0000-0000-0000D3300000}"/>
    <cellStyle name="Normal 19 21 5 4" xfId="12496" xr:uid="{00000000-0005-0000-0000-0000D4300000}"/>
    <cellStyle name="Normal 19 21 5 5" xfId="12497" xr:uid="{00000000-0005-0000-0000-0000D5300000}"/>
    <cellStyle name="Normal 19 21 5 6" xfId="12498" xr:uid="{00000000-0005-0000-0000-0000D6300000}"/>
    <cellStyle name="Normal 19 21 6" xfId="12499" xr:uid="{00000000-0005-0000-0000-0000D7300000}"/>
    <cellStyle name="Normal 19 21 6 2" xfId="12500" xr:uid="{00000000-0005-0000-0000-0000D8300000}"/>
    <cellStyle name="Normal 19 21 6 3" xfId="12501" xr:uid="{00000000-0005-0000-0000-0000D9300000}"/>
    <cellStyle name="Normal 19 21 6 4" xfId="12502" xr:uid="{00000000-0005-0000-0000-0000DA300000}"/>
    <cellStyle name="Normal 19 21 6 5" xfId="12503" xr:uid="{00000000-0005-0000-0000-0000DB300000}"/>
    <cellStyle name="Normal 19 21 6 6" xfId="12504" xr:uid="{00000000-0005-0000-0000-0000DC300000}"/>
    <cellStyle name="Normal 19 21 7" xfId="12505" xr:uid="{00000000-0005-0000-0000-0000DD300000}"/>
    <cellStyle name="Normal 19 21 7 2" xfId="12506" xr:uid="{00000000-0005-0000-0000-0000DE300000}"/>
    <cellStyle name="Normal 19 21 7 3" xfId="12507" xr:uid="{00000000-0005-0000-0000-0000DF300000}"/>
    <cellStyle name="Normal 19 21 7 4" xfId="12508" xr:uid="{00000000-0005-0000-0000-0000E0300000}"/>
    <cellStyle name="Normal 19 21 7 5" xfId="12509" xr:uid="{00000000-0005-0000-0000-0000E1300000}"/>
    <cellStyle name="Normal 19 21 7 6" xfId="12510" xr:uid="{00000000-0005-0000-0000-0000E2300000}"/>
    <cellStyle name="Normal 19 21 8" xfId="12511" xr:uid="{00000000-0005-0000-0000-0000E3300000}"/>
    <cellStyle name="Normal 19 21 8 2" xfId="12512" xr:uid="{00000000-0005-0000-0000-0000E4300000}"/>
    <cellStyle name="Normal 19 21 8 3" xfId="12513" xr:uid="{00000000-0005-0000-0000-0000E5300000}"/>
    <cellStyle name="Normal 19 21 8 4" xfId="12514" xr:uid="{00000000-0005-0000-0000-0000E6300000}"/>
    <cellStyle name="Normal 19 21 8 5" xfId="12515" xr:uid="{00000000-0005-0000-0000-0000E7300000}"/>
    <cellStyle name="Normal 19 21 8 6" xfId="12516" xr:uid="{00000000-0005-0000-0000-0000E8300000}"/>
    <cellStyle name="Normal 19 21 9" xfId="12517" xr:uid="{00000000-0005-0000-0000-0000E9300000}"/>
    <cellStyle name="Normal 19 21 9 2" xfId="12518" xr:uid="{00000000-0005-0000-0000-0000EA300000}"/>
    <cellStyle name="Normal 19 21 9 3" xfId="12519" xr:uid="{00000000-0005-0000-0000-0000EB300000}"/>
    <cellStyle name="Normal 19 21 9 4" xfId="12520" xr:uid="{00000000-0005-0000-0000-0000EC300000}"/>
    <cellStyle name="Normal 19 21 9 5" xfId="12521" xr:uid="{00000000-0005-0000-0000-0000ED300000}"/>
    <cellStyle name="Normal 19 21 9 6" xfId="12522" xr:uid="{00000000-0005-0000-0000-0000EE300000}"/>
    <cellStyle name="Normal 19 22" xfId="12523" xr:uid="{00000000-0005-0000-0000-0000EF300000}"/>
    <cellStyle name="Normal 19 22 10" xfId="12524" xr:uid="{00000000-0005-0000-0000-0000F0300000}"/>
    <cellStyle name="Normal 19 22 10 2" xfId="12525" xr:uid="{00000000-0005-0000-0000-0000F1300000}"/>
    <cellStyle name="Normal 19 22 10 3" xfId="12526" xr:uid="{00000000-0005-0000-0000-0000F2300000}"/>
    <cellStyle name="Normal 19 22 10 4" xfId="12527" xr:uid="{00000000-0005-0000-0000-0000F3300000}"/>
    <cellStyle name="Normal 19 22 10 5" xfId="12528" xr:uid="{00000000-0005-0000-0000-0000F4300000}"/>
    <cellStyle name="Normal 19 22 10 6" xfId="12529" xr:uid="{00000000-0005-0000-0000-0000F5300000}"/>
    <cellStyle name="Normal 19 22 11" xfId="12530" xr:uid="{00000000-0005-0000-0000-0000F6300000}"/>
    <cellStyle name="Normal 19 22 12" xfId="12531" xr:uid="{00000000-0005-0000-0000-0000F7300000}"/>
    <cellStyle name="Normal 19 22 13" xfId="12532" xr:uid="{00000000-0005-0000-0000-0000F8300000}"/>
    <cellStyle name="Normal 19 22 14" xfId="12533" xr:uid="{00000000-0005-0000-0000-0000F9300000}"/>
    <cellStyle name="Normal 19 22 15" xfId="12534" xr:uid="{00000000-0005-0000-0000-0000FA300000}"/>
    <cellStyle name="Normal 19 22 2" xfId="12535" xr:uid="{00000000-0005-0000-0000-0000FB300000}"/>
    <cellStyle name="Normal 19 22 2 10" xfId="12536" xr:uid="{00000000-0005-0000-0000-0000FC300000}"/>
    <cellStyle name="Normal 19 22 2 11" xfId="12537" xr:uid="{00000000-0005-0000-0000-0000FD300000}"/>
    <cellStyle name="Normal 19 22 2 12" xfId="12538" xr:uid="{00000000-0005-0000-0000-0000FE300000}"/>
    <cellStyle name="Normal 19 22 2 13" xfId="12539" xr:uid="{00000000-0005-0000-0000-0000FF300000}"/>
    <cellStyle name="Normal 19 22 2 14" xfId="12540" xr:uid="{00000000-0005-0000-0000-000000310000}"/>
    <cellStyle name="Normal 19 22 2 2" xfId="12541" xr:uid="{00000000-0005-0000-0000-000001310000}"/>
    <cellStyle name="Normal 19 22 2 2 2" xfId="12542" xr:uid="{00000000-0005-0000-0000-000002310000}"/>
    <cellStyle name="Normal 19 22 2 2 3" xfId="12543" xr:uid="{00000000-0005-0000-0000-000003310000}"/>
    <cellStyle name="Normal 19 22 2 2 4" xfId="12544" xr:uid="{00000000-0005-0000-0000-000004310000}"/>
    <cellStyle name="Normal 19 22 2 2 5" xfId="12545" xr:uid="{00000000-0005-0000-0000-000005310000}"/>
    <cellStyle name="Normal 19 22 2 2 6" xfId="12546" xr:uid="{00000000-0005-0000-0000-000006310000}"/>
    <cellStyle name="Normal 19 22 2 3" xfId="12547" xr:uid="{00000000-0005-0000-0000-000007310000}"/>
    <cellStyle name="Normal 19 22 2 3 2" xfId="12548" xr:uid="{00000000-0005-0000-0000-000008310000}"/>
    <cellStyle name="Normal 19 22 2 3 3" xfId="12549" xr:uid="{00000000-0005-0000-0000-000009310000}"/>
    <cellStyle name="Normal 19 22 2 3 4" xfId="12550" xr:uid="{00000000-0005-0000-0000-00000A310000}"/>
    <cellStyle name="Normal 19 22 2 3 5" xfId="12551" xr:uid="{00000000-0005-0000-0000-00000B310000}"/>
    <cellStyle name="Normal 19 22 2 3 6" xfId="12552" xr:uid="{00000000-0005-0000-0000-00000C310000}"/>
    <cellStyle name="Normal 19 22 2 4" xfId="12553" xr:uid="{00000000-0005-0000-0000-00000D310000}"/>
    <cellStyle name="Normal 19 22 2 4 2" xfId="12554" xr:uid="{00000000-0005-0000-0000-00000E310000}"/>
    <cellStyle name="Normal 19 22 2 4 3" xfId="12555" xr:uid="{00000000-0005-0000-0000-00000F310000}"/>
    <cellStyle name="Normal 19 22 2 4 4" xfId="12556" xr:uid="{00000000-0005-0000-0000-000010310000}"/>
    <cellStyle name="Normal 19 22 2 4 5" xfId="12557" xr:uid="{00000000-0005-0000-0000-000011310000}"/>
    <cellStyle name="Normal 19 22 2 4 6" xfId="12558" xr:uid="{00000000-0005-0000-0000-000012310000}"/>
    <cellStyle name="Normal 19 22 2 5" xfId="12559" xr:uid="{00000000-0005-0000-0000-000013310000}"/>
    <cellStyle name="Normal 19 22 2 5 2" xfId="12560" xr:uid="{00000000-0005-0000-0000-000014310000}"/>
    <cellStyle name="Normal 19 22 2 5 3" xfId="12561" xr:uid="{00000000-0005-0000-0000-000015310000}"/>
    <cellStyle name="Normal 19 22 2 5 4" xfId="12562" xr:uid="{00000000-0005-0000-0000-000016310000}"/>
    <cellStyle name="Normal 19 22 2 5 5" xfId="12563" xr:uid="{00000000-0005-0000-0000-000017310000}"/>
    <cellStyle name="Normal 19 22 2 5 6" xfId="12564" xr:uid="{00000000-0005-0000-0000-000018310000}"/>
    <cellStyle name="Normal 19 22 2 6" xfId="12565" xr:uid="{00000000-0005-0000-0000-000019310000}"/>
    <cellStyle name="Normal 19 22 2 6 2" xfId="12566" xr:uid="{00000000-0005-0000-0000-00001A310000}"/>
    <cellStyle name="Normal 19 22 2 6 3" xfId="12567" xr:uid="{00000000-0005-0000-0000-00001B310000}"/>
    <cellStyle name="Normal 19 22 2 6 4" xfId="12568" xr:uid="{00000000-0005-0000-0000-00001C310000}"/>
    <cellStyle name="Normal 19 22 2 6 5" xfId="12569" xr:uid="{00000000-0005-0000-0000-00001D310000}"/>
    <cellStyle name="Normal 19 22 2 6 6" xfId="12570" xr:uid="{00000000-0005-0000-0000-00001E310000}"/>
    <cellStyle name="Normal 19 22 2 7" xfId="12571" xr:uid="{00000000-0005-0000-0000-00001F310000}"/>
    <cellStyle name="Normal 19 22 2 7 2" xfId="12572" xr:uid="{00000000-0005-0000-0000-000020310000}"/>
    <cellStyle name="Normal 19 22 2 7 3" xfId="12573" xr:uid="{00000000-0005-0000-0000-000021310000}"/>
    <cellStyle name="Normal 19 22 2 7 4" xfId="12574" xr:uid="{00000000-0005-0000-0000-000022310000}"/>
    <cellStyle name="Normal 19 22 2 7 5" xfId="12575" xr:uid="{00000000-0005-0000-0000-000023310000}"/>
    <cellStyle name="Normal 19 22 2 7 6" xfId="12576" xr:uid="{00000000-0005-0000-0000-000024310000}"/>
    <cellStyle name="Normal 19 22 2 8" xfId="12577" xr:uid="{00000000-0005-0000-0000-000025310000}"/>
    <cellStyle name="Normal 19 22 2 8 2" xfId="12578" xr:uid="{00000000-0005-0000-0000-000026310000}"/>
    <cellStyle name="Normal 19 22 2 8 3" xfId="12579" xr:uid="{00000000-0005-0000-0000-000027310000}"/>
    <cellStyle name="Normal 19 22 2 8 4" xfId="12580" xr:uid="{00000000-0005-0000-0000-000028310000}"/>
    <cellStyle name="Normal 19 22 2 8 5" xfId="12581" xr:uid="{00000000-0005-0000-0000-000029310000}"/>
    <cellStyle name="Normal 19 22 2 8 6" xfId="12582" xr:uid="{00000000-0005-0000-0000-00002A310000}"/>
    <cellStyle name="Normal 19 22 2 9" xfId="12583" xr:uid="{00000000-0005-0000-0000-00002B310000}"/>
    <cellStyle name="Normal 19 22 2 9 2" xfId="12584" xr:uid="{00000000-0005-0000-0000-00002C310000}"/>
    <cellStyle name="Normal 19 22 2 9 3" xfId="12585" xr:uid="{00000000-0005-0000-0000-00002D310000}"/>
    <cellStyle name="Normal 19 22 2 9 4" xfId="12586" xr:uid="{00000000-0005-0000-0000-00002E310000}"/>
    <cellStyle name="Normal 19 22 2 9 5" xfId="12587" xr:uid="{00000000-0005-0000-0000-00002F310000}"/>
    <cellStyle name="Normal 19 22 2 9 6" xfId="12588" xr:uid="{00000000-0005-0000-0000-000030310000}"/>
    <cellStyle name="Normal 19 22 3" xfId="12589" xr:uid="{00000000-0005-0000-0000-000031310000}"/>
    <cellStyle name="Normal 19 22 3 2" xfId="12590" xr:uid="{00000000-0005-0000-0000-000032310000}"/>
    <cellStyle name="Normal 19 22 3 3" xfId="12591" xr:uid="{00000000-0005-0000-0000-000033310000}"/>
    <cellStyle name="Normal 19 22 3 4" xfId="12592" xr:uid="{00000000-0005-0000-0000-000034310000}"/>
    <cellStyle name="Normal 19 22 3 5" xfId="12593" xr:uid="{00000000-0005-0000-0000-000035310000}"/>
    <cellStyle name="Normal 19 22 3 6" xfId="12594" xr:uid="{00000000-0005-0000-0000-000036310000}"/>
    <cellStyle name="Normal 19 22 4" xfId="12595" xr:uid="{00000000-0005-0000-0000-000037310000}"/>
    <cellStyle name="Normal 19 22 4 2" xfId="12596" xr:uid="{00000000-0005-0000-0000-000038310000}"/>
    <cellStyle name="Normal 19 22 4 3" xfId="12597" xr:uid="{00000000-0005-0000-0000-000039310000}"/>
    <cellStyle name="Normal 19 22 4 4" xfId="12598" xr:uid="{00000000-0005-0000-0000-00003A310000}"/>
    <cellStyle name="Normal 19 22 4 5" xfId="12599" xr:uid="{00000000-0005-0000-0000-00003B310000}"/>
    <cellStyle name="Normal 19 22 4 6" xfId="12600" xr:uid="{00000000-0005-0000-0000-00003C310000}"/>
    <cellStyle name="Normal 19 22 5" xfId="12601" xr:uid="{00000000-0005-0000-0000-00003D310000}"/>
    <cellStyle name="Normal 19 22 5 2" xfId="12602" xr:uid="{00000000-0005-0000-0000-00003E310000}"/>
    <cellStyle name="Normal 19 22 5 3" xfId="12603" xr:uid="{00000000-0005-0000-0000-00003F310000}"/>
    <cellStyle name="Normal 19 22 5 4" xfId="12604" xr:uid="{00000000-0005-0000-0000-000040310000}"/>
    <cellStyle name="Normal 19 22 5 5" xfId="12605" xr:uid="{00000000-0005-0000-0000-000041310000}"/>
    <cellStyle name="Normal 19 22 5 6" xfId="12606" xr:uid="{00000000-0005-0000-0000-000042310000}"/>
    <cellStyle name="Normal 19 22 6" xfId="12607" xr:uid="{00000000-0005-0000-0000-000043310000}"/>
    <cellStyle name="Normal 19 22 6 2" xfId="12608" xr:uid="{00000000-0005-0000-0000-000044310000}"/>
    <cellStyle name="Normal 19 22 6 3" xfId="12609" xr:uid="{00000000-0005-0000-0000-000045310000}"/>
    <cellStyle name="Normal 19 22 6 4" xfId="12610" xr:uid="{00000000-0005-0000-0000-000046310000}"/>
    <cellStyle name="Normal 19 22 6 5" xfId="12611" xr:uid="{00000000-0005-0000-0000-000047310000}"/>
    <cellStyle name="Normal 19 22 6 6" xfId="12612" xr:uid="{00000000-0005-0000-0000-000048310000}"/>
    <cellStyle name="Normal 19 22 7" xfId="12613" xr:uid="{00000000-0005-0000-0000-000049310000}"/>
    <cellStyle name="Normal 19 22 7 2" xfId="12614" xr:uid="{00000000-0005-0000-0000-00004A310000}"/>
    <cellStyle name="Normal 19 22 7 3" xfId="12615" xr:uid="{00000000-0005-0000-0000-00004B310000}"/>
    <cellStyle name="Normal 19 22 7 4" xfId="12616" xr:uid="{00000000-0005-0000-0000-00004C310000}"/>
    <cellStyle name="Normal 19 22 7 5" xfId="12617" xr:uid="{00000000-0005-0000-0000-00004D310000}"/>
    <cellStyle name="Normal 19 22 7 6" xfId="12618" xr:uid="{00000000-0005-0000-0000-00004E310000}"/>
    <cellStyle name="Normal 19 22 8" xfId="12619" xr:uid="{00000000-0005-0000-0000-00004F310000}"/>
    <cellStyle name="Normal 19 22 8 2" xfId="12620" xr:uid="{00000000-0005-0000-0000-000050310000}"/>
    <cellStyle name="Normal 19 22 8 3" xfId="12621" xr:uid="{00000000-0005-0000-0000-000051310000}"/>
    <cellStyle name="Normal 19 22 8 4" xfId="12622" xr:uid="{00000000-0005-0000-0000-000052310000}"/>
    <cellStyle name="Normal 19 22 8 5" xfId="12623" xr:uid="{00000000-0005-0000-0000-000053310000}"/>
    <cellStyle name="Normal 19 22 8 6" xfId="12624" xr:uid="{00000000-0005-0000-0000-000054310000}"/>
    <cellStyle name="Normal 19 22 9" xfId="12625" xr:uid="{00000000-0005-0000-0000-000055310000}"/>
    <cellStyle name="Normal 19 22 9 2" xfId="12626" xr:uid="{00000000-0005-0000-0000-000056310000}"/>
    <cellStyle name="Normal 19 22 9 3" xfId="12627" xr:uid="{00000000-0005-0000-0000-000057310000}"/>
    <cellStyle name="Normal 19 22 9 4" xfId="12628" xr:uid="{00000000-0005-0000-0000-000058310000}"/>
    <cellStyle name="Normal 19 22 9 5" xfId="12629" xr:uid="{00000000-0005-0000-0000-000059310000}"/>
    <cellStyle name="Normal 19 22 9 6" xfId="12630" xr:uid="{00000000-0005-0000-0000-00005A310000}"/>
    <cellStyle name="Normal 19 23" xfId="12631" xr:uid="{00000000-0005-0000-0000-00005B310000}"/>
    <cellStyle name="Normal 19 23 10" xfId="12632" xr:uid="{00000000-0005-0000-0000-00005C310000}"/>
    <cellStyle name="Normal 19 23 10 2" xfId="12633" xr:uid="{00000000-0005-0000-0000-00005D310000}"/>
    <cellStyle name="Normal 19 23 10 3" xfId="12634" xr:uid="{00000000-0005-0000-0000-00005E310000}"/>
    <cellStyle name="Normal 19 23 10 4" xfId="12635" xr:uid="{00000000-0005-0000-0000-00005F310000}"/>
    <cellStyle name="Normal 19 23 10 5" xfId="12636" xr:uid="{00000000-0005-0000-0000-000060310000}"/>
    <cellStyle name="Normal 19 23 10 6" xfId="12637" xr:uid="{00000000-0005-0000-0000-000061310000}"/>
    <cellStyle name="Normal 19 23 11" xfId="12638" xr:uid="{00000000-0005-0000-0000-000062310000}"/>
    <cellStyle name="Normal 19 23 12" xfId="12639" xr:uid="{00000000-0005-0000-0000-000063310000}"/>
    <cellStyle name="Normal 19 23 13" xfId="12640" xr:uid="{00000000-0005-0000-0000-000064310000}"/>
    <cellStyle name="Normal 19 23 14" xfId="12641" xr:uid="{00000000-0005-0000-0000-000065310000}"/>
    <cellStyle name="Normal 19 23 15" xfId="12642" xr:uid="{00000000-0005-0000-0000-000066310000}"/>
    <cellStyle name="Normal 19 23 2" xfId="12643" xr:uid="{00000000-0005-0000-0000-000067310000}"/>
    <cellStyle name="Normal 19 23 2 10" xfId="12644" xr:uid="{00000000-0005-0000-0000-000068310000}"/>
    <cellStyle name="Normal 19 23 2 11" xfId="12645" xr:uid="{00000000-0005-0000-0000-000069310000}"/>
    <cellStyle name="Normal 19 23 2 12" xfId="12646" xr:uid="{00000000-0005-0000-0000-00006A310000}"/>
    <cellStyle name="Normal 19 23 2 13" xfId="12647" xr:uid="{00000000-0005-0000-0000-00006B310000}"/>
    <cellStyle name="Normal 19 23 2 14" xfId="12648" xr:uid="{00000000-0005-0000-0000-00006C310000}"/>
    <cellStyle name="Normal 19 23 2 2" xfId="12649" xr:uid="{00000000-0005-0000-0000-00006D310000}"/>
    <cellStyle name="Normal 19 23 2 2 2" xfId="12650" xr:uid="{00000000-0005-0000-0000-00006E310000}"/>
    <cellStyle name="Normal 19 23 2 2 3" xfId="12651" xr:uid="{00000000-0005-0000-0000-00006F310000}"/>
    <cellStyle name="Normal 19 23 2 2 4" xfId="12652" xr:uid="{00000000-0005-0000-0000-000070310000}"/>
    <cellStyle name="Normal 19 23 2 2 5" xfId="12653" xr:uid="{00000000-0005-0000-0000-000071310000}"/>
    <cellStyle name="Normal 19 23 2 2 6" xfId="12654" xr:uid="{00000000-0005-0000-0000-000072310000}"/>
    <cellStyle name="Normal 19 23 2 3" xfId="12655" xr:uid="{00000000-0005-0000-0000-000073310000}"/>
    <cellStyle name="Normal 19 23 2 3 2" xfId="12656" xr:uid="{00000000-0005-0000-0000-000074310000}"/>
    <cellStyle name="Normal 19 23 2 3 3" xfId="12657" xr:uid="{00000000-0005-0000-0000-000075310000}"/>
    <cellStyle name="Normal 19 23 2 3 4" xfId="12658" xr:uid="{00000000-0005-0000-0000-000076310000}"/>
    <cellStyle name="Normal 19 23 2 3 5" xfId="12659" xr:uid="{00000000-0005-0000-0000-000077310000}"/>
    <cellStyle name="Normal 19 23 2 3 6" xfId="12660" xr:uid="{00000000-0005-0000-0000-000078310000}"/>
    <cellStyle name="Normal 19 23 2 4" xfId="12661" xr:uid="{00000000-0005-0000-0000-000079310000}"/>
    <cellStyle name="Normal 19 23 2 4 2" xfId="12662" xr:uid="{00000000-0005-0000-0000-00007A310000}"/>
    <cellStyle name="Normal 19 23 2 4 3" xfId="12663" xr:uid="{00000000-0005-0000-0000-00007B310000}"/>
    <cellStyle name="Normal 19 23 2 4 4" xfId="12664" xr:uid="{00000000-0005-0000-0000-00007C310000}"/>
    <cellStyle name="Normal 19 23 2 4 5" xfId="12665" xr:uid="{00000000-0005-0000-0000-00007D310000}"/>
    <cellStyle name="Normal 19 23 2 4 6" xfId="12666" xr:uid="{00000000-0005-0000-0000-00007E310000}"/>
    <cellStyle name="Normal 19 23 2 5" xfId="12667" xr:uid="{00000000-0005-0000-0000-00007F310000}"/>
    <cellStyle name="Normal 19 23 2 5 2" xfId="12668" xr:uid="{00000000-0005-0000-0000-000080310000}"/>
    <cellStyle name="Normal 19 23 2 5 3" xfId="12669" xr:uid="{00000000-0005-0000-0000-000081310000}"/>
    <cellStyle name="Normal 19 23 2 5 4" xfId="12670" xr:uid="{00000000-0005-0000-0000-000082310000}"/>
    <cellStyle name="Normal 19 23 2 5 5" xfId="12671" xr:uid="{00000000-0005-0000-0000-000083310000}"/>
    <cellStyle name="Normal 19 23 2 5 6" xfId="12672" xr:uid="{00000000-0005-0000-0000-000084310000}"/>
    <cellStyle name="Normal 19 23 2 6" xfId="12673" xr:uid="{00000000-0005-0000-0000-000085310000}"/>
    <cellStyle name="Normal 19 23 2 6 2" xfId="12674" xr:uid="{00000000-0005-0000-0000-000086310000}"/>
    <cellStyle name="Normal 19 23 2 6 3" xfId="12675" xr:uid="{00000000-0005-0000-0000-000087310000}"/>
    <cellStyle name="Normal 19 23 2 6 4" xfId="12676" xr:uid="{00000000-0005-0000-0000-000088310000}"/>
    <cellStyle name="Normal 19 23 2 6 5" xfId="12677" xr:uid="{00000000-0005-0000-0000-000089310000}"/>
    <cellStyle name="Normal 19 23 2 6 6" xfId="12678" xr:uid="{00000000-0005-0000-0000-00008A310000}"/>
    <cellStyle name="Normal 19 23 2 7" xfId="12679" xr:uid="{00000000-0005-0000-0000-00008B310000}"/>
    <cellStyle name="Normal 19 23 2 7 2" xfId="12680" xr:uid="{00000000-0005-0000-0000-00008C310000}"/>
    <cellStyle name="Normal 19 23 2 7 3" xfId="12681" xr:uid="{00000000-0005-0000-0000-00008D310000}"/>
    <cellStyle name="Normal 19 23 2 7 4" xfId="12682" xr:uid="{00000000-0005-0000-0000-00008E310000}"/>
    <cellStyle name="Normal 19 23 2 7 5" xfId="12683" xr:uid="{00000000-0005-0000-0000-00008F310000}"/>
    <cellStyle name="Normal 19 23 2 7 6" xfId="12684" xr:uid="{00000000-0005-0000-0000-000090310000}"/>
    <cellStyle name="Normal 19 23 2 8" xfId="12685" xr:uid="{00000000-0005-0000-0000-000091310000}"/>
    <cellStyle name="Normal 19 23 2 8 2" xfId="12686" xr:uid="{00000000-0005-0000-0000-000092310000}"/>
    <cellStyle name="Normal 19 23 2 8 3" xfId="12687" xr:uid="{00000000-0005-0000-0000-000093310000}"/>
    <cellStyle name="Normal 19 23 2 8 4" xfId="12688" xr:uid="{00000000-0005-0000-0000-000094310000}"/>
    <cellStyle name="Normal 19 23 2 8 5" xfId="12689" xr:uid="{00000000-0005-0000-0000-000095310000}"/>
    <cellStyle name="Normal 19 23 2 8 6" xfId="12690" xr:uid="{00000000-0005-0000-0000-000096310000}"/>
    <cellStyle name="Normal 19 23 2 9" xfId="12691" xr:uid="{00000000-0005-0000-0000-000097310000}"/>
    <cellStyle name="Normal 19 23 2 9 2" xfId="12692" xr:uid="{00000000-0005-0000-0000-000098310000}"/>
    <cellStyle name="Normal 19 23 2 9 3" xfId="12693" xr:uid="{00000000-0005-0000-0000-000099310000}"/>
    <cellStyle name="Normal 19 23 2 9 4" xfId="12694" xr:uid="{00000000-0005-0000-0000-00009A310000}"/>
    <cellStyle name="Normal 19 23 2 9 5" xfId="12695" xr:uid="{00000000-0005-0000-0000-00009B310000}"/>
    <cellStyle name="Normal 19 23 2 9 6" xfId="12696" xr:uid="{00000000-0005-0000-0000-00009C310000}"/>
    <cellStyle name="Normal 19 23 3" xfId="12697" xr:uid="{00000000-0005-0000-0000-00009D310000}"/>
    <cellStyle name="Normal 19 23 3 2" xfId="12698" xr:uid="{00000000-0005-0000-0000-00009E310000}"/>
    <cellStyle name="Normal 19 23 3 3" xfId="12699" xr:uid="{00000000-0005-0000-0000-00009F310000}"/>
    <cellStyle name="Normal 19 23 3 4" xfId="12700" xr:uid="{00000000-0005-0000-0000-0000A0310000}"/>
    <cellStyle name="Normal 19 23 3 5" xfId="12701" xr:uid="{00000000-0005-0000-0000-0000A1310000}"/>
    <cellStyle name="Normal 19 23 3 6" xfId="12702" xr:uid="{00000000-0005-0000-0000-0000A2310000}"/>
    <cellStyle name="Normal 19 23 4" xfId="12703" xr:uid="{00000000-0005-0000-0000-0000A3310000}"/>
    <cellStyle name="Normal 19 23 4 2" xfId="12704" xr:uid="{00000000-0005-0000-0000-0000A4310000}"/>
    <cellStyle name="Normal 19 23 4 3" xfId="12705" xr:uid="{00000000-0005-0000-0000-0000A5310000}"/>
    <cellStyle name="Normal 19 23 4 4" xfId="12706" xr:uid="{00000000-0005-0000-0000-0000A6310000}"/>
    <cellStyle name="Normal 19 23 4 5" xfId="12707" xr:uid="{00000000-0005-0000-0000-0000A7310000}"/>
    <cellStyle name="Normal 19 23 4 6" xfId="12708" xr:uid="{00000000-0005-0000-0000-0000A8310000}"/>
    <cellStyle name="Normal 19 23 5" xfId="12709" xr:uid="{00000000-0005-0000-0000-0000A9310000}"/>
    <cellStyle name="Normal 19 23 5 2" xfId="12710" xr:uid="{00000000-0005-0000-0000-0000AA310000}"/>
    <cellStyle name="Normal 19 23 5 3" xfId="12711" xr:uid="{00000000-0005-0000-0000-0000AB310000}"/>
    <cellStyle name="Normal 19 23 5 4" xfId="12712" xr:uid="{00000000-0005-0000-0000-0000AC310000}"/>
    <cellStyle name="Normal 19 23 5 5" xfId="12713" xr:uid="{00000000-0005-0000-0000-0000AD310000}"/>
    <cellStyle name="Normal 19 23 5 6" xfId="12714" xr:uid="{00000000-0005-0000-0000-0000AE310000}"/>
    <cellStyle name="Normal 19 23 6" xfId="12715" xr:uid="{00000000-0005-0000-0000-0000AF310000}"/>
    <cellStyle name="Normal 19 23 6 2" xfId="12716" xr:uid="{00000000-0005-0000-0000-0000B0310000}"/>
    <cellStyle name="Normal 19 23 6 3" xfId="12717" xr:uid="{00000000-0005-0000-0000-0000B1310000}"/>
    <cellStyle name="Normal 19 23 6 4" xfId="12718" xr:uid="{00000000-0005-0000-0000-0000B2310000}"/>
    <cellStyle name="Normal 19 23 6 5" xfId="12719" xr:uid="{00000000-0005-0000-0000-0000B3310000}"/>
    <cellStyle name="Normal 19 23 6 6" xfId="12720" xr:uid="{00000000-0005-0000-0000-0000B4310000}"/>
    <cellStyle name="Normal 19 23 7" xfId="12721" xr:uid="{00000000-0005-0000-0000-0000B5310000}"/>
    <cellStyle name="Normal 19 23 7 2" xfId="12722" xr:uid="{00000000-0005-0000-0000-0000B6310000}"/>
    <cellStyle name="Normal 19 23 7 3" xfId="12723" xr:uid="{00000000-0005-0000-0000-0000B7310000}"/>
    <cellStyle name="Normal 19 23 7 4" xfId="12724" xr:uid="{00000000-0005-0000-0000-0000B8310000}"/>
    <cellStyle name="Normal 19 23 7 5" xfId="12725" xr:uid="{00000000-0005-0000-0000-0000B9310000}"/>
    <cellStyle name="Normal 19 23 7 6" xfId="12726" xr:uid="{00000000-0005-0000-0000-0000BA310000}"/>
    <cellStyle name="Normal 19 23 8" xfId="12727" xr:uid="{00000000-0005-0000-0000-0000BB310000}"/>
    <cellStyle name="Normal 19 23 8 2" xfId="12728" xr:uid="{00000000-0005-0000-0000-0000BC310000}"/>
    <cellStyle name="Normal 19 23 8 3" xfId="12729" xr:uid="{00000000-0005-0000-0000-0000BD310000}"/>
    <cellStyle name="Normal 19 23 8 4" xfId="12730" xr:uid="{00000000-0005-0000-0000-0000BE310000}"/>
    <cellStyle name="Normal 19 23 8 5" xfId="12731" xr:uid="{00000000-0005-0000-0000-0000BF310000}"/>
    <cellStyle name="Normal 19 23 8 6" xfId="12732" xr:uid="{00000000-0005-0000-0000-0000C0310000}"/>
    <cellStyle name="Normal 19 23 9" xfId="12733" xr:uid="{00000000-0005-0000-0000-0000C1310000}"/>
    <cellStyle name="Normal 19 23 9 2" xfId="12734" xr:uid="{00000000-0005-0000-0000-0000C2310000}"/>
    <cellStyle name="Normal 19 23 9 3" xfId="12735" xr:uid="{00000000-0005-0000-0000-0000C3310000}"/>
    <cellStyle name="Normal 19 23 9 4" xfId="12736" xr:uid="{00000000-0005-0000-0000-0000C4310000}"/>
    <cellStyle name="Normal 19 23 9 5" xfId="12737" xr:uid="{00000000-0005-0000-0000-0000C5310000}"/>
    <cellStyle name="Normal 19 23 9 6" xfId="12738" xr:uid="{00000000-0005-0000-0000-0000C6310000}"/>
    <cellStyle name="Normal 19 24" xfId="12739" xr:uid="{00000000-0005-0000-0000-0000C7310000}"/>
    <cellStyle name="Normal 19 24 10" xfId="12740" xr:uid="{00000000-0005-0000-0000-0000C8310000}"/>
    <cellStyle name="Normal 19 24 10 2" xfId="12741" xr:uid="{00000000-0005-0000-0000-0000C9310000}"/>
    <cellStyle name="Normal 19 24 10 3" xfId="12742" xr:uid="{00000000-0005-0000-0000-0000CA310000}"/>
    <cellStyle name="Normal 19 24 10 4" xfId="12743" xr:uid="{00000000-0005-0000-0000-0000CB310000}"/>
    <cellStyle name="Normal 19 24 10 5" xfId="12744" xr:uid="{00000000-0005-0000-0000-0000CC310000}"/>
    <cellStyle name="Normal 19 24 10 6" xfId="12745" xr:uid="{00000000-0005-0000-0000-0000CD310000}"/>
    <cellStyle name="Normal 19 24 11" xfId="12746" xr:uid="{00000000-0005-0000-0000-0000CE310000}"/>
    <cellStyle name="Normal 19 24 12" xfId="12747" xr:uid="{00000000-0005-0000-0000-0000CF310000}"/>
    <cellStyle name="Normal 19 24 13" xfId="12748" xr:uid="{00000000-0005-0000-0000-0000D0310000}"/>
    <cellStyle name="Normal 19 24 14" xfId="12749" xr:uid="{00000000-0005-0000-0000-0000D1310000}"/>
    <cellStyle name="Normal 19 24 15" xfId="12750" xr:uid="{00000000-0005-0000-0000-0000D2310000}"/>
    <cellStyle name="Normal 19 24 2" xfId="12751" xr:uid="{00000000-0005-0000-0000-0000D3310000}"/>
    <cellStyle name="Normal 19 24 2 10" xfId="12752" xr:uid="{00000000-0005-0000-0000-0000D4310000}"/>
    <cellStyle name="Normal 19 24 2 11" xfId="12753" xr:uid="{00000000-0005-0000-0000-0000D5310000}"/>
    <cellStyle name="Normal 19 24 2 12" xfId="12754" xr:uid="{00000000-0005-0000-0000-0000D6310000}"/>
    <cellStyle name="Normal 19 24 2 13" xfId="12755" xr:uid="{00000000-0005-0000-0000-0000D7310000}"/>
    <cellStyle name="Normal 19 24 2 14" xfId="12756" xr:uid="{00000000-0005-0000-0000-0000D8310000}"/>
    <cellStyle name="Normal 19 24 2 2" xfId="12757" xr:uid="{00000000-0005-0000-0000-0000D9310000}"/>
    <cellStyle name="Normal 19 24 2 2 2" xfId="12758" xr:uid="{00000000-0005-0000-0000-0000DA310000}"/>
    <cellStyle name="Normal 19 24 2 2 3" xfId="12759" xr:uid="{00000000-0005-0000-0000-0000DB310000}"/>
    <cellStyle name="Normal 19 24 2 2 4" xfId="12760" xr:uid="{00000000-0005-0000-0000-0000DC310000}"/>
    <cellStyle name="Normal 19 24 2 2 5" xfId="12761" xr:uid="{00000000-0005-0000-0000-0000DD310000}"/>
    <cellStyle name="Normal 19 24 2 2 6" xfId="12762" xr:uid="{00000000-0005-0000-0000-0000DE310000}"/>
    <cellStyle name="Normal 19 24 2 3" xfId="12763" xr:uid="{00000000-0005-0000-0000-0000DF310000}"/>
    <cellStyle name="Normal 19 24 2 3 2" xfId="12764" xr:uid="{00000000-0005-0000-0000-0000E0310000}"/>
    <cellStyle name="Normal 19 24 2 3 3" xfId="12765" xr:uid="{00000000-0005-0000-0000-0000E1310000}"/>
    <cellStyle name="Normal 19 24 2 3 4" xfId="12766" xr:uid="{00000000-0005-0000-0000-0000E2310000}"/>
    <cellStyle name="Normal 19 24 2 3 5" xfId="12767" xr:uid="{00000000-0005-0000-0000-0000E3310000}"/>
    <cellStyle name="Normal 19 24 2 3 6" xfId="12768" xr:uid="{00000000-0005-0000-0000-0000E4310000}"/>
    <cellStyle name="Normal 19 24 2 4" xfId="12769" xr:uid="{00000000-0005-0000-0000-0000E5310000}"/>
    <cellStyle name="Normal 19 24 2 4 2" xfId="12770" xr:uid="{00000000-0005-0000-0000-0000E6310000}"/>
    <cellStyle name="Normal 19 24 2 4 3" xfId="12771" xr:uid="{00000000-0005-0000-0000-0000E7310000}"/>
    <cellStyle name="Normal 19 24 2 4 4" xfId="12772" xr:uid="{00000000-0005-0000-0000-0000E8310000}"/>
    <cellStyle name="Normal 19 24 2 4 5" xfId="12773" xr:uid="{00000000-0005-0000-0000-0000E9310000}"/>
    <cellStyle name="Normal 19 24 2 4 6" xfId="12774" xr:uid="{00000000-0005-0000-0000-0000EA310000}"/>
    <cellStyle name="Normal 19 24 2 5" xfId="12775" xr:uid="{00000000-0005-0000-0000-0000EB310000}"/>
    <cellStyle name="Normal 19 24 2 5 2" xfId="12776" xr:uid="{00000000-0005-0000-0000-0000EC310000}"/>
    <cellStyle name="Normal 19 24 2 5 3" xfId="12777" xr:uid="{00000000-0005-0000-0000-0000ED310000}"/>
    <cellStyle name="Normal 19 24 2 5 4" xfId="12778" xr:uid="{00000000-0005-0000-0000-0000EE310000}"/>
    <cellStyle name="Normal 19 24 2 5 5" xfId="12779" xr:uid="{00000000-0005-0000-0000-0000EF310000}"/>
    <cellStyle name="Normal 19 24 2 5 6" xfId="12780" xr:uid="{00000000-0005-0000-0000-0000F0310000}"/>
    <cellStyle name="Normal 19 24 2 6" xfId="12781" xr:uid="{00000000-0005-0000-0000-0000F1310000}"/>
    <cellStyle name="Normal 19 24 2 6 2" xfId="12782" xr:uid="{00000000-0005-0000-0000-0000F2310000}"/>
    <cellStyle name="Normal 19 24 2 6 3" xfId="12783" xr:uid="{00000000-0005-0000-0000-0000F3310000}"/>
    <cellStyle name="Normal 19 24 2 6 4" xfId="12784" xr:uid="{00000000-0005-0000-0000-0000F4310000}"/>
    <cellStyle name="Normal 19 24 2 6 5" xfId="12785" xr:uid="{00000000-0005-0000-0000-0000F5310000}"/>
    <cellStyle name="Normal 19 24 2 6 6" xfId="12786" xr:uid="{00000000-0005-0000-0000-0000F6310000}"/>
    <cellStyle name="Normal 19 24 2 7" xfId="12787" xr:uid="{00000000-0005-0000-0000-0000F7310000}"/>
    <cellStyle name="Normal 19 24 2 7 2" xfId="12788" xr:uid="{00000000-0005-0000-0000-0000F8310000}"/>
    <cellStyle name="Normal 19 24 2 7 3" xfId="12789" xr:uid="{00000000-0005-0000-0000-0000F9310000}"/>
    <cellStyle name="Normal 19 24 2 7 4" xfId="12790" xr:uid="{00000000-0005-0000-0000-0000FA310000}"/>
    <cellStyle name="Normal 19 24 2 7 5" xfId="12791" xr:uid="{00000000-0005-0000-0000-0000FB310000}"/>
    <cellStyle name="Normal 19 24 2 7 6" xfId="12792" xr:uid="{00000000-0005-0000-0000-0000FC310000}"/>
    <cellStyle name="Normal 19 24 2 8" xfId="12793" xr:uid="{00000000-0005-0000-0000-0000FD310000}"/>
    <cellStyle name="Normal 19 24 2 8 2" xfId="12794" xr:uid="{00000000-0005-0000-0000-0000FE310000}"/>
    <cellStyle name="Normal 19 24 2 8 3" xfId="12795" xr:uid="{00000000-0005-0000-0000-0000FF310000}"/>
    <cellStyle name="Normal 19 24 2 8 4" xfId="12796" xr:uid="{00000000-0005-0000-0000-000000320000}"/>
    <cellStyle name="Normal 19 24 2 8 5" xfId="12797" xr:uid="{00000000-0005-0000-0000-000001320000}"/>
    <cellStyle name="Normal 19 24 2 8 6" xfId="12798" xr:uid="{00000000-0005-0000-0000-000002320000}"/>
    <cellStyle name="Normal 19 24 2 9" xfId="12799" xr:uid="{00000000-0005-0000-0000-000003320000}"/>
    <cellStyle name="Normal 19 24 2 9 2" xfId="12800" xr:uid="{00000000-0005-0000-0000-000004320000}"/>
    <cellStyle name="Normal 19 24 2 9 3" xfId="12801" xr:uid="{00000000-0005-0000-0000-000005320000}"/>
    <cellStyle name="Normal 19 24 2 9 4" xfId="12802" xr:uid="{00000000-0005-0000-0000-000006320000}"/>
    <cellStyle name="Normal 19 24 2 9 5" xfId="12803" xr:uid="{00000000-0005-0000-0000-000007320000}"/>
    <cellStyle name="Normal 19 24 2 9 6" xfId="12804" xr:uid="{00000000-0005-0000-0000-000008320000}"/>
    <cellStyle name="Normal 19 24 3" xfId="12805" xr:uid="{00000000-0005-0000-0000-000009320000}"/>
    <cellStyle name="Normal 19 24 3 2" xfId="12806" xr:uid="{00000000-0005-0000-0000-00000A320000}"/>
    <cellStyle name="Normal 19 24 3 3" xfId="12807" xr:uid="{00000000-0005-0000-0000-00000B320000}"/>
    <cellStyle name="Normal 19 24 3 4" xfId="12808" xr:uid="{00000000-0005-0000-0000-00000C320000}"/>
    <cellStyle name="Normal 19 24 3 5" xfId="12809" xr:uid="{00000000-0005-0000-0000-00000D320000}"/>
    <cellStyle name="Normal 19 24 3 6" xfId="12810" xr:uid="{00000000-0005-0000-0000-00000E320000}"/>
    <cellStyle name="Normal 19 24 4" xfId="12811" xr:uid="{00000000-0005-0000-0000-00000F320000}"/>
    <cellStyle name="Normal 19 24 4 2" xfId="12812" xr:uid="{00000000-0005-0000-0000-000010320000}"/>
    <cellStyle name="Normal 19 24 4 3" xfId="12813" xr:uid="{00000000-0005-0000-0000-000011320000}"/>
    <cellStyle name="Normal 19 24 4 4" xfId="12814" xr:uid="{00000000-0005-0000-0000-000012320000}"/>
    <cellStyle name="Normal 19 24 4 5" xfId="12815" xr:uid="{00000000-0005-0000-0000-000013320000}"/>
    <cellStyle name="Normal 19 24 4 6" xfId="12816" xr:uid="{00000000-0005-0000-0000-000014320000}"/>
    <cellStyle name="Normal 19 24 5" xfId="12817" xr:uid="{00000000-0005-0000-0000-000015320000}"/>
    <cellStyle name="Normal 19 24 5 2" xfId="12818" xr:uid="{00000000-0005-0000-0000-000016320000}"/>
    <cellStyle name="Normal 19 24 5 3" xfId="12819" xr:uid="{00000000-0005-0000-0000-000017320000}"/>
    <cellStyle name="Normal 19 24 5 4" xfId="12820" xr:uid="{00000000-0005-0000-0000-000018320000}"/>
    <cellStyle name="Normal 19 24 5 5" xfId="12821" xr:uid="{00000000-0005-0000-0000-000019320000}"/>
    <cellStyle name="Normal 19 24 5 6" xfId="12822" xr:uid="{00000000-0005-0000-0000-00001A320000}"/>
    <cellStyle name="Normal 19 24 6" xfId="12823" xr:uid="{00000000-0005-0000-0000-00001B320000}"/>
    <cellStyle name="Normal 19 24 6 2" xfId="12824" xr:uid="{00000000-0005-0000-0000-00001C320000}"/>
    <cellStyle name="Normal 19 24 6 3" xfId="12825" xr:uid="{00000000-0005-0000-0000-00001D320000}"/>
    <cellStyle name="Normal 19 24 6 4" xfId="12826" xr:uid="{00000000-0005-0000-0000-00001E320000}"/>
    <cellStyle name="Normal 19 24 6 5" xfId="12827" xr:uid="{00000000-0005-0000-0000-00001F320000}"/>
    <cellStyle name="Normal 19 24 6 6" xfId="12828" xr:uid="{00000000-0005-0000-0000-000020320000}"/>
    <cellStyle name="Normal 19 24 7" xfId="12829" xr:uid="{00000000-0005-0000-0000-000021320000}"/>
    <cellStyle name="Normal 19 24 7 2" xfId="12830" xr:uid="{00000000-0005-0000-0000-000022320000}"/>
    <cellStyle name="Normal 19 24 7 3" xfId="12831" xr:uid="{00000000-0005-0000-0000-000023320000}"/>
    <cellStyle name="Normal 19 24 7 4" xfId="12832" xr:uid="{00000000-0005-0000-0000-000024320000}"/>
    <cellStyle name="Normal 19 24 7 5" xfId="12833" xr:uid="{00000000-0005-0000-0000-000025320000}"/>
    <cellStyle name="Normal 19 24 7 6" xfId="12834" xr:uid="{00000000-0005-0000-0000-000026320000}"/>
    <cellStyle name="Normal 19 24 8" xfId="12835" xr:uid="{00000000-0005-0000-0000-000027320000}"/>
    <cellStyle name="Normal 19 24 8 2" xfId="12836" xr:uid="{00000000-0005-0000-0000-000028320000}"/>
    <cellStyle name="Normal 19 24 8 3" xfId="12837" xr:uid="{00000000-0005-0000-0000-000029320000}"/>
    <cellStyle name="Normal 19 24 8 4" xfId="12838" xr:uid="{00000000-0005-0000-0000-00002A320000}"/>
    <cellStyle name="Normal 19 24 8 5" xfId="12839" xr:uid="{00000000-0005-0000-0000-00002B320000}"/>
    <cellStyle name="Normal 19 24 8 6" xfId="12840" xr:uid="{00000000-0005-0000-0000-00002C320000}"/>
    <cellStyle name="Normal 19 24 9" xfId="12841" xr:uid="{00000000-0005-0000-0000-00002D320000}"/>
    <cellStyle name="Normal 19 24 9 2" xfId="12842" xr:uid="{00000000-0005-0000-0000-00002E320000}"/>
    <cellStyle name="Normal 19 24 9 3" xfId="12843" xr:uid="{00000000-0005-0000-0000-00002F320000}"/>
    <cellStyle name="Normal 19 24 9 4" xfId="12844" xr:uid="{00000000-0005-0000-0000-000030320000}"/>
    <cellStyle name="Normal 19 24 9 5" xfId="12845" xr:uid="{00000000-0005-0000-0000-000031320000}"/>
    <cellStyle name="Normal 19 24 9 6" xfId="12846" xr:uid="{00000000-0005-0000-0000-000032320000}"/>
    <cellStyle name="Normal 19 25" xfId="12847" xr:uid="{00000000-0005-0000-0000-000033320000}"/>
    <cellStyle name="Normal 19 25 10" xfId="12848" xr:uid="{00000000-0005-0000-0000-000034320000}"/>
    <cellStyle name="Normal 19 25 10 2" xfId="12849" xr:uid="{00000000-0005-0000-0000-000035320000}"/>
    <cellStyle name="Normal 19 25 10 3" xfId="12850" xr:uid="{00000000-0005-0000-0000-000036320000}"/>
    <cellStyle name="Normal 19 25 10 4" xfId="12851" xr:uid="{00000000-0005-0000-0000-000037320000}"/>
    <cellStyle name="Normal 19 25 10 5" xfId="12852" xr:uid="{00000000-0005-0000-0000-000038320000}"/>
    <cellStyle name="Normal 19 25 10 6" xfId="12853" xr:uid="{00000000-0005-0000-0000-000039320000}"/>
    <cellStyle name="Normal 19 25 11" xfId="12854" xr:uid="{00000000-0005-0000-0000-00003A320000}"/>
    <cellStyle name="Normal 19 25 12" xfId="12855" xr:uid="{00000000-0005-0000-0000-00003B320000}"/>
    <cellStyle name="Normal 19 25 13" xfId="12856" xr:uid="{00000000-0005-0000-0000-00003C320000}"/>
    <cellStyle name="Normal 19 25 14" xfId="12857" xr:uid="{00000000-0005-0000-0000-00003D320000}"/>
    <cellStyle name="Normal 19 25 15" xfId="12858" xr:uid="{00000000-0005-0000-0000-00003E320000}"/>
    <cellStyle name="Normal 19 25 2" xfId="12859" xr:uid="{00000000-0005-0000-0000-00003F320000}"/>
    <cellStyle name="Normal 19 25 2 10" xfId="12860" xr:uid="{00000000-0005-0000-0000-000040320000}"/>
    <cellStyle name="Normal 19 25 2 11" xfId="12861" xr:uid="{00000000-0005-0000-0000-000041320000}"/>
    <cellStyle name="Normal 19 25 2 12" xfId="12862" xr:uid="{00000000-0005-0000-0000-000042320000}"/>
    <cellStyle name="Normal 19 25 2 13" xfId="12863" xr:uid="{00000000-0005-0000-0000-000043320000}"/>
    <cellStyle name="Normal 19 25 2 14" xfId="12864" xr:uid="{00000000-0005-0000-0000-000044320000}"/>
    <cellStyle name="Normal 19 25 2 2" xfId="12865" xr:uid="{00000000-0005-0000-0000-000045320000}"/>
    <cellStyle name="Normal 19 25 2 2 2" xfId="12866" xr:uid="{00000000-0005-0000-0000-000046320000}"/>
    <cellStyle name="Normal 19 25 2 2 3" xfId="12867" xr:uid="{00000000-0005-0000-0000-000047320000}"/>
    <cellStyle name="Normal 19 25 2 2 4" xfId="12868" xr:uid="{00000000-0005-0000-0000-000048320000}"/>
    <cellStyle name="Normal 19 25 2 2 5" xfId="12869" xr:uid="{00000000-0005-0000-0000-000049320000}"/>
    <cellStyle name="Normal 19 25 2 2 6" xfId="12870" xr:uid="{00000000-0005-0000-0000-00004A320000}"/>
    <cellStyle name="Normal 19 25 2 3" xfId="12871" xr:uid="{00000000-0005-0000-0000-00004B320000}"/>
    <cellStyle name="Normal 19 25 2 3 2" xfId="12872" xr:uid="{00000000-0005-0000-0000-00004C320000}"/>
    <cellStyle name="Normal 19 25 2 3 3" xfId="12873" xr:uid="{00000000-0005-0000-0000-00004D320000}"/>
    <cellStyle name="Normal 19 25 2 3 4" xfId="12874" xr:uid="{00000000-0005-0000-0000-00004E320000}"/>
    <cellStyle name="Normal 19 25 2 3 5" xfId="12875" xr:uid="{00000000-0005-0000-0000-00004F320000}"/>
    <cellStyle name="Normal 19 25 2 3 6" xfId="12876" xr:uid="{00000000-0005-0000-0000-000050320000}"/>
    <cellStyle name="Normal 19 25 2 4" xfId="12877" xr:uid="{00000000-0005-0000-0000-000051320000}"/>
    <cellStyle name="Normal 19 25 2 4 2" xfId="12878" xr:uid="{00000000-0005-0000-0000-000052320000}"/>
    <cellStyle name="Normal 19 25 2 4 3" xfId="12879" xr:uid="{00000000-0005-0000-0000-000053320000}"/>
    <cellStyle name="Normal 19 25 2 4 4" xfId="12880" xr:uid="{00000000-0005-0000-0000-000054320000}"/>
    <cellStyle name="Normal 19 25 2 4 5" xfId="12881" xr:uid="{00000000-0005-0000-0000-000055320000}"/>
    <cellStyle name="Normal 19 25 2 4 6" xfId="12882" xr:uid="{00000000-0005-0000-0000-000056320000}"/>
    <cellStyle name="Normal 19 25 2 5" xfId="12883" xr:uid="{00000000-0005-0000-0000-000057320000}"/>
    <cellStyle name="Normal 19 25 2 5 2" xfId="12884" xr:uid="{00000000-0005-0000-0000-000058320000}"/>
    <cellStyle name="Normal 19 25 2 5 3" xfId="12885" xr:uid="{00000000-0005-0000-0000-000059320000}"/>
    <cellStyle name="Normal 19 25 2 5 4" xfId="12886" xr:uid="{00000000-0005-0000-0000-00005A320000}"/>
    <cellStyle name="Normal 19 25 2 5 5" xfId="12887" xr:uid="{00000000-0005-0000-0000-00005B320000}"/>
    <cellStyle name="Normal 19 25 2 5 6" xfId="12888" xr:uid="{00000000-0005-0000-0000-00005C320000}"/>
    <cellStyle name="Normal 19 25 2 6" xfId="12889" xr:uid="{00000000-0005-0000-0000-00005D320000}"/>
    <cellStyle name="Normal 19 25 2 6 2" xfId="12890" xr:uid="{00000000-0005-0000-0000-00005E320000}"/>
    <cellStyle name="Normal 19 25 2 6 3" xfId="12891" xr:uid="{00000000-0005-0000-0000-00005F320000}"/>
    <cellStyle name="Normal 19 25 2 6 4" xfId="12892" xr:uid="{00000000-0005-0000-0000-000060320000}"/>
    <cellStyle name="Normal 19 25 2 6 5" xfId="12893" xr:uid="{00000000-0005-0000-0000-000061320000}"/>
    <cellStyle name="Normal 19 25 2 6 6" xfId="12894" xr:uid="{00000000-0005-0000-0000-000062320000}"/>
    <cellStyle name="Normal 19 25 2 7" xfId="12895" xr:uid="{00000000-0005-0000-0000-000063320000}"/>
    <cellStyle name="Normal 19 25 2 7 2" xfId="12896" xr:uid="{00000000-0005-0000-0000-000064320000}"/>
    <cellStyle name="Normal 19 25 2 7 3" xfId="12897" xr:uid="{00000000-0005-0000-0000-000065320000}"/>
    <cellStyle name="Normal 19 25 2 7 4" xfId="12898" xr:uid="{00000000-0005-0000-0000-000066320000}"/>
    <cellStyle name="Normal 19 25 2 7 5" xfId="12899" xr:uid="{00000000-0005-0000-0000-000067320000}"/>
    <cellStyle name="Normal 19 25 2 7 6" xfId="12900" xr:uid="{00000000-0005-0000-0000-000068320000}"/>
    <cellStyle name="Normal 19 25 2 8" xfId="12901" xr:uid="{00000000-0005-0000-0000-000069320000}"/>
    <cellStyle name="Normal 19 25 2 8 2" xfId="12902" xr:uid="{00000000-0005-0000-0000-00006A320000}"/>
    <cellStyle name="Normal 19 25 2 8 3" xfId="12903" xr:uid="{00000000-0005-0000-0000-00006B320000}"/>
    <cellStyle name="Normal 19 25 2 8 4" xfId="12904" xr:uid="{00000000-0005-0000-0000-00006C320000}"/>
    <cellStyle name="Normal 19 25 2 8 5" xfId="12905" xr:uid="{00000000-0005-0000-0000-00006D320000}"/>
    <cellStyle name="Normal 19 25 2 8 6" xfId="12906" xr:uid="{00000000-0005-0000-0000-00006E320000}"/>
    <cellStyle name="Normal 19 25 2 9" xfId="12907" xr:uid="{00000000-0005-0000-0000-00006F320000}"/>
    <cellStyle name="Normal 19 25 2 9 2" xfId="12908" xr:uid="{00000000-0005-0000-0000-000070320000}"/>
    <cellStyle name="Normal 19 25 2 9 3" xfId="12909" xr:uid="{00000000-0005-0000-0000-000071320000}"/>
    <cellStyle name="Normal 19 25 2 9 4" xfId="12910" xr:uid="{00000000-0005-0000-0000-000072320000}"/>
    <cellStyle name="Normal 19 25 2 9 5" xfId="12911" xr:uid="{00000000-0005-0000-0000-000073320000}"/>
    <cellStyle name="Normal 19 25 2 9 6" xfId="12912" xr:uid="{00000000-0005-0000-0000-000074320000}"/>
    <cellStyle name="Normal 19 25 3" xfId="12913" xr:uid="{00000000-0005-0000-0000-000075320000}"/>
    <cellStyle name="Normal 19 25 3 2" xfId="12914" xr:uid="{00000000-0005-0000-0000-000076320000}"/>
    <cellStyle name="Normal 19 25 3 3" xfId="12915" xr:uid="{00000000-0005-0000-0000-000077320000}"/>
    <cellStyle name="Normal 19 25 3 4" xfId="12916" xr:uid="{00000000-0005-0000-0000-000078320000}"/>
    <cellStyle name="Normal 19 25 3 5" xfId="12917" xr:uid="{00000000-0005-0000-0000-000079320000}"/>
    <cellStyle name="Normal 19 25 3 6" xfId="12918" xr:uid="{00000000-0005-0000-0000-00007A320000}"/>
    <cellStyle name="Normal 19 25 4" xfId="12919" xr:uid="{00000000-0005-0000-0000-00007B320000}"/>
    <cellStyle name="Normal 19 25 4 2" xfId="12920" xr:uid="{00000000-0005-0000-0000-00007C320000}"/>
    <cellStyle name="Normal 19 25 4 3" xfId="12921" xr:uid="{00000000-0005-0000-0000-00007D320000}"/>
    <cellStyle name="Normal 19 25 4 4" xfId="12922" xr:uid="{00000000-0005-0000-0000-00007E320000}"/>
    <cellStyle name="Normal 19 25 4 5" xfId="12923" xr:uid="{00000000-0005-0000-0000-00007F320000}"/>
    <cellStyle name="Normal 19 25 4 6" xfId="12924" xr:uid="{00000000-0005-0000-0000-000080320000}"/>
    <cellStyle name="Normal 19 25 5" xfId="12925" xr:uid="{00000000-0005-0000-0000-000081320000}"/>
    <cellStyle name="Normal 19 25 5 2" xfId="12926" xr:uid="{00000000-0005-0000-0000-000082320000}"/>
    <cellStyle name="Normal 19 25 5 3" xfId="12927" xr:uid="{00000000-0005-0000-0000-000083320000}"/>
    <cellStyle name="Normal 19 25 5 4" xfId="12928" xr:uid="{00000000-0005-0000-0000-000084320000}"/>
    <cellStyle name="Normal 19 25 5 5" xfId="12929" xr:uid="{00000000-0005-0000-0000-000085320000}"/>
    <cellStyle name="Normal 19 25 5 6" xfId="12930" xr:uid="{00000000-0005-0000-0000-000086320000}"/>
    <cellStyle name="Normal 19 25 6" xfId="12931" xr:uid="{00000000-0005-0000-0000-000087320000}"/>
    <cellStyle name="Normal 19 25 6 2" xfId="12932" xr:uid="{00000000-0005-0000-0000-000088320000}"/>
    <cellStyle name="Normal 19 25 6 3" xfId="12933" xr:uid="{00000000-0005-0000-0000-000089320000}"/>
    <cellStyle name="Normal 19 25 6 4" xfId="12934" xr:uid="{00000000-0005-0000-0000-00008A320000}"/>
    <cellStyle name="Normal 19 25 6 5" xfId="12935" xr:uid="{00000000-0005-0000-0000-00008B320000}"/>
    <cellStyle name="Normal 19 25 6 6" xfId="12936" xr:uid="{00000000-0005-0000-0000-00008C320000}"/>
    <cellStyle name="Normal 19 25 7" xfId="12937" xr:uid="{00000000-0005-0000-0000-00008D320000}"/>
    <cellStyle name="Normal 19 25 7 2" xfId="12938" xr:uid="{00000000-0005-0000-0000-00008E320000}"/>
    <cellStyle name="Normal 19 25 7 3" xfId="12939" xr:uid="{00000000-0005-0000-0000-00008F320000}"/>
    <cellStyle name="Normal 19 25 7 4" xfId="12940" xr:uid="{00000000-0005-0000-0000-000090320000}"/>
    <cellStyle name="Normal 19 25 7 5" xfId="12941" xr:uid="{00000000-0005-0000-0000-000091320000}"/>
    <cellStyle name="Normal 19 25 7 6" xfId="12942" xr:uid="{00000000-0005-0000-0000-000092320000}"/>
    <cellStyle name="Normal 19 25 8" xfId="12943" xr:uid="{00000000-0005-0000-0000-000093320000}"/>
    <cellStyle name="Normal 19 25 8 2" xfId="12944" xr:uid="{00000000-0005-0000-0000-000094320000}"/>
    <cellStyle name="Normal 19 25 8 3" xfId="12945" xr:uid="{00000000-0005-0000-0000-000095320000}"/>
    <cellStyle name="Normal 19 25 8 4" xfId="12946" xr:uid="{00000000-0005-0000-0000-000096320000}"/>
    <cellStyle name="Normal 19 25 8 5" xfId="12947" xr:uid="{00000000-0005-0000-0000-000097320000}"/>
    <cellStyle name="Normal 19 25 8 6" xfId="12948" xr:uid="{00000000-0005-0000-0000-000098320000}"/>
    <cellStyle name="Normal 19 25 9" xfId="12949" xr:uid="{00000000-0005-0000-0000-000099320000}"/>
    <cellStyle name="Normal 19 25 9 2" xfId="12950" xr:uid="{00000000-0005-0000-0000-00009A320000}"/>
    <cellStyle name="Normal 19 25 9 3" xfId="12951" xr:uid="{00000000-0005-0000-0000-00009B320000}"/>
    <cellStyle name="Normal 19 25 9 4" xfId="12952" xr:uid="{00000000-0005-0000-0000-00009C320000}"/>
    <cellStyle name="Normal 19 25 9 5" xfId="12953" xr:uid="{00000000-0005-0000-0000-00009D320000}"/>
    <cellStyle name="Normal 19 25 9 6" xfId="12954" xr:uid="{00000000-0005-0000-0000-00009E320000}"/>
    <cellStyle name="Normal 19 26" xfId="12955" xr:uid="{00000000-0005-0000-0000-00009F320000}"/>
    <cellStyle name="Normal 19 26 10" xfId="12956" xr:uid="{00000000-0005-0000-0000-0000A0320000}"/>
    <cellStyle name="Normal 19 26 10 2" xfId="12957" xr:uid="{00000000-0005-0000-0000-0000A1320000}"/>
    <cellStyle name="Normal 19 26 10 3" xfId="12958" xr:uid="{00000000-0005-0000-0000-0000A2320000}"/>
    <cellStyle name="Normal 19 26 10 4" xfId="12959" xr:uid="{00000000-0005-0000-0000-0000A3320000}"/>
    <cellStyle name="Normal 19 26 10 5" xfId="12960" xr:uid="{00000000-0005-0000-0000-0000A4320000}"/>
    <cellStyle name="Normal 19 26 10 6" xfId="12961" xr:uid="{00000000-0005-0000-0000-0000A5320000}"/>
    <cellStyle name="Normal 19 26 11" xfId="12962" xr:uid="{00000000-0005-0000-0000-0000A6320000}"/>
    <cellStyle name="Normal 19 26 12" xfId="12963" xr:uid="{00000000-0005-0000-0000-0000A7320000}"/>
    <cellStyle name="Normal 19 26 13" xfId="12964" xr:uid="{00000000-0005-0000-0000-0000A8320000}"/>
    <cellStyle name="Normal 19 26 14" xfId="12965" xr:uid="{00000000-0005-0000-0000-0000A9320000}"/>
    <cellStyle name="Normal 19 26 15" xfId="12966" xr:uid="{00000000-0005-0000-0000-0000AA320000}"/>
    <cellStyle name="Normal 19 26 2" xfId="12967" xr:uid="{00000000-0005-0000-0000-0000AB320000}"/>
    <cellStyle name="Normal 19 26 2 10" xfId="12968" xr:uid="{00000000-0005-0000-0000-0000AC320000}"/>
    <cellStyle name="Normal 19 26 2 11" xfId="12969" xr:uid="{00000000-0005-0000-0000-0000AD320000}"/>
    <cellStyle name="Normal 19 26 2 12" xfId="12970" xr:uid="{00000000-0005-0000-0000-0000AE320000}"/>
    <cellStyle name="Normal 19 26 2 13" xfId="12971" xr:uid="{00000000-0005-0000-0000-0000AF320000}"/>
    <cellStyle name="Normal 19 26 2 14" xfId="12972" xr:uid="{00000000-0005-0000-0000-0000B0320000}"/>
    <cellStyle name="Normal 19 26 2 2" xfId="12973" xr:uid="{00000000-0005-0000-0000-0000B1320000}"/>
    <cellStyle name="Normal 19 26 2 2 2" xfId="12974" xr:uid="{00000000-0005-0000-0000-0000B2320000}"/>
    <cellStyle name="Normal 19 26 2 2 3" xfId="12975" xr:uid="{00000000-0005-0000-0000-0000B3320000}"/>
    <cellStyle name="Normal 19 26 2 2 4" xfId="12976" xr:uid="{00000000-0005-0000-0000-0000B4320000}"/>
    <cellStyle name="Normal 19 26 2 2 5" xfId="12977" xr:uid="{00000000-0005-0000-0000-0000B5320000}"/>
    <cellStyle name="Normal 19 26 2 2 6" xfId="12978" xr:uid="{00000000-0005-0000-0000-0000B6320000}"/>
    <cellStyle name="Normal 19 26 2 3" xfId="12979" xr:uid="{00000000-0005-0000-0000-0000B7320000}"/>
    <cellStyle name="Normal 19 26 2 3 2" xfId="12980" xr:uid="{00000000-0005-0000-0000-0000B8320000}"/>
    <cellStyle name="Normal 19 26 2 3 3" xfId="12981" xr:uid="{00000000-0005-0000-0000-0000B9320000}"/>
    <cellStyle name="Normal 19 26 2 3 4" xfId="12982" xr:uid="{00000000-0005-0000-0000-0000BA320000}"/>
    <cellStyle name="Normal 19 26 2 3 5" xfId="12983" xr:uid="{00000000-0005-0000-0000-0000BB320000}"/>
    <cellStyle name="Normal 19 26 2 3 6" xfId="12984" xr:uid="{00000000-0005-0000-0000-0000BC320000}"/>
    <cellStyle name="Normal 19 26 2 4" xfId="12985" xr:uid="{00000000-0005-0000-0000-0000BD320000}"/>
    <cellStyle name="Normal 19 26 2 4 2" xfId="12986" xr:uid="{00000000-0005-0000-0000-0000BE320000}"/>
    <cellStyle name="Normal 19 26 2 4 3" xfId="12987" xr:uid="{00000000-0005-0000-0000-0000BF320000}"/>
    <cellStyle name="Normal 19 26 2 4 4" xfId="12988" xr:uid="{00000000-0005-0000-0000-0000C0320000}"/>
    <cellStyle name="Normal 19 26 2 4 5" xfId="12989" xr:uid="{00000000-0005-0000-0000-0000C1320000}"/>
    <cellStyle name="Normal 19 26 2 4 6" xfId="12990" xr:uid="{00000000-0005-0000-0000-0000C2320000}"/>
    <cellStyle name="Normal 19 26 2 5" xfId="12991" xr:uid="{00000000-0005-0000-0000-0000C3320000}"/>
    <cellStyle name="Normal 19 26 2 5 2" xfId="12992" xr:uid="{00000000-0005-0000-0000-0000C4320000}"/>
    <cellStyle name="Normal 19 26 2 5 3" xfId="12993" xr:uid="{00000000-0005-0000-0000-0000C5320000}"/>
    <cellStyle name="Normal 19 26 2 5 4" xfId="12994" xr:uid="{00000000-0005-0000-0000-0000C6320000}"/>
    <cellStyle name="Normal 19 26 2 5 5" xfId="12995" xr:uid="{00000000-0005-0000-0000-0000C7320000}"/>
    <cellStyle name="Normal 19 26 2 5 6" xfId="12996" xr:uid="{00000000-0005-0000-0000-0000C8320000}"/>
    <cellStyle name="Normal 19 26 2 6" xfId="12997" xr:uid="{00000000-0005-0000-0000-0000C9320000}"/>
    <cellStyle name="Normal 19 26 2 6 2" xfId="12998" xr:uid="{00000000-0005-0000-0000-0000CA320000}"/>
    <cellStyle name="Normal 19 26 2 6 3" xfId="12999" xr:uid="{00000000-0005-0000-0000-0000CB320000}"/>
    <cellStyle name="Normal 19 26 2 6 4" xfId="13000" xr:uid="{00000000-0005-0000-0000-0000CC320000}"/>
    <cellStyle name="Normal 19 26 2 6 5" xfId="13001" xr:uid="{00000000-0005-0000-0000-0000CD320000}"/>
    <cellStyle name="Normal 19 26 2 6 6" xfId="13002" xr:uid="{00000000-0005-0000-0000-0000CE320000}"/>
    <cellStyle name="Normal 19 26 2 7" xfId="13003" xr:uid="{00000000-0005-0000-0000-0000CF320000}"/>
    <cellStyle name="Normal 19 26 2 7 2" xfId="13004" xr:uid="{00000000-0005-0000-0000-0000D0320000}"/>
    <cellStyle name="Normal 19 26 2 7 3" xfId="13005" xr:uid="{00000000-0005-0000-0000-0000D1320000}"/>
    <cellStyle name="Normal 19 26 2 7 4" xfId="13006" xr:uid="{00000000-0005-0000-0000-0000D2320000}"/>
    <cellStyle name="Normal 19 26 2 7 5" xfId="13007" xr:uid="{00000000-0005-0000-0000-0000D3320000}"/>
    <cellStyle name="Normal 19 26 2 7 6" xfId="13008" xr:uid="{00000000-0005-0000-0000-0000D4320000}"/>
    <cellStyle name="Normal 19 26 2 8" xfId="13009" xr:uid="{00000000-0005-0000-0000-0000D5320000}"/>
    <cellStyle name="Normal 19 26 2 8 2" xfId="13010" xr:uid="{00000000-0005-0000-0000-0000D6320000}"/>
    <cellStyle name="Normal 19 26 2 8 3" xfId="13011" xr:uid="{00000000-0005-0000-0000-0000D7320000}"/>
    <cellStyle name="Normal 19 26 2 8 4" xfId="13012" xr:uid="{00000000-0005-0000-0000-0000D8320000}"/>
    <cellStyle name="Normal 19 26 2 8 5" xfId="13013" xr:uid="{00000000-0005-0000-0000-0000D9320000}"/>
    <cellStyle name="Normal 19 26 2 8 6" xfId="13014" xr:uid="{00000000-0005-0000-0000-0000DA320000}"/>
    <cellStyle name="Normal 19 26 2 9" xfId="13015" xr:uid="{00000000-0005-0000-0000-0000DB320000}"/>
    <cellStyle name="Normal 19 26 2 9 2" xfId="13016" xr:uid="{00000000-0005-0000-0000-0000DC320000}"/>
    <cellStyle name="Normal 19 26 2 9 3" xfId="13017" xr:uid="{00000000-0005-0000-0000-0000DD320000}"/>
    <cellStyle name="Normal 19 26 2 9 4" xfId="13018" xr:uid="{00000000-0005-0000-0000-0000DE320000}"/>
    <cellStyle name="Normal 19 26 2 9 5" xfId="13019" xr:uid="{00000000-0005-0000-0000-0000DF320000}"/>
    <cellStyle name="Normal 19 26 2 9 6" xfId="13020" xr:uid="{00000000-0005-0000-0000-0000E0320000}"/>
    <cellStyle name="Normal 19 26 3" xfId="13021" xr:uid="{00000000-0005-0000-0000-0000E1320000}"/>
    <cellStyle name="Normal 19 26 3 2" xfId="13022" xr:uid="{00000000-0005-0000-0000-0000E2320000}"/>
    <cellStyle name="Normal 19 26 3 3" xfId="13023" xr:uid="{00000000-0005-0000-0000-0000E3320000}"/>
    <cellStyle name="Normal 19 26 3 4" xfId="13024" xr:uid="{00000000-0005-0000-0000-0000E4320000}"/>
    <cellStyle name="Normal 19 26 3 5" xfId="13025" xr:uid="{00000000-0005-0000-0000-0000E5320000}"/>
    <cellStyle name="Normal 19 26 3 6" xfId="13026" xr:uid="{00000000-0005-0000-0000-0000E6320000}"/>
    <cellStyle name="Normal 19 26 4" xfId="13027" xr:uid="{00000000-0005-0000-0000-0000E7320000}"/>
    <cellStyle name="Normal 19 26 4 2" xfId="13028" xr:uid="{00000000-0005-0000-0000-0000E8320000}"/>
    <cellStyle name="Normal 19 26 4 3" xfId="13029" xr:uid="{00000000-0005-0000-0000-0000E9320000}"/>
    <cellStyle name="Normal 19 26 4 4" xfId="13030" xr:uid="{00000000-0005-0000-0000-0000EA320000}"/>
    <cellStyle name="Normal 19 26 4 5" xfId="13031" xr:uid="{00000000-0005-0000-0000-0000EB320000}"/>
    <cellStyle name="Normal 19 26 4 6" xfId="13032" xr:uid="{00000000-0005-0000-0000-0000EC320000}"/>
    <cellStyle name="Normal 19 26 5" xfId="13033" xr:uid="{00000000-0005-0000-0000-0000ED320000}"/>
    <cellStyle name="Normal 19 26 5 2" xfId="13034" xr:uid="{00000000-0005-0000-0000-0000EE320000}"/>
    <cellStyle name="Normal 19 26 5 3" xfId="13035" xr:uid="{00000000-0005-0000-0000-0000EF320000}"/>
    <cellStyle name="Normal 19 26 5 4" xfId="13036" xr:uid="{00000000-0005-0000-0000-0000F0320000}"/>
    <cellStyle name="Normal 19 26 5 5" xfId="13037" xr:uid="{00000000-0005-0000-0000-0000F1320000}"/>
    <cellStyle name="Normal 19 26 5 6" xfId="13038" xr:uid="{00000000-0005-0000-0000-0000F2320000}"/>
    <cellStyle name="Normal 19 26 6" xfId="13039" xr:uid="{00000000-0005-0000-0000-0000F3320000}"/>
    <cellStyle name="Normal 19 26 6 2" xfId="13040" xr:uid="{00000000-0005-0000-0000-0000F4320000}"/>
    <cellStyle name="Normal 19 26 6 3" xfId="13041" xr:uid="{00000000-0005-0000-0000-0000F5320000}"/>
    <cellStyle name="Normal 19 26 6 4" xfId="13042" xr:uid="{00000000-0005-0000-0000-0000F6320000}"/>
    <cellStyle name="Normal 19 26 6 5" xfId="13043" xr:uid="{00000000-0005-0000-0000-0000F7320000}"/>
    <cellStyle name="Normal 19 26 6 6" xfId="13044" xr:uid="{00000000-0005-0000-0000-0000F8320000}"/>
    <cellStyle name="Normal 19 26 7" xfId="13045" xr:uid="{00000000-0005-0000-0000-0000F9320000}"/>
    <cellStyle name="Normal 19 26 7 2" xfId="13046" xr:uid="{00000000-0005-0000-0000-0000FA320000}"/>
    <cellStyle name="Normal 19 26 7 3" xfId="13047" xr:uid="{00000000-0005-0000-0000-0000FB320000}"/>
    <cellStyle name="Normal 19 26 7 4" xfId="13048" xr:uid="{00000000-0005-0000-0000-0000FC320000}"/>
    <cellStyle name="Normal 19 26 7 5" xfId="13049" xr:uid="{00000000-0005-0000-0000-0000FD320000}"/>
    <cellStyle name="Normal 19 26 7 6" xfId="13050" xr:uid="{00000000-0005-0000-0000-0000FE320000}"/>
    <cellStyle name="Normal 19 26 8" xfId="13051" xr:uid="{00000000-0005-0000-0000-0000FF320000}"/>
    <cellStyle name="Normal 19 26 8 2" xfId="13052" xr:uid="{00000000-0005-0000-0000-000000330000}"/>
    <cellStyle name="Normal 19 26 8 3" xfId="13053" xr:uid="{00000000-0005-0000-0000-000001330000}"/>
    <cellStyle name="Normal 19 26 8 4" xfId="13054" xr:uid="{00000000-0005-0000-0000-000002330000}"/>
    <cellStyle name="Normal 19 26 8 5" xfId="13055" xr:uid="{00000000-0005-0000-0000-000003330000}"/>
    <cellStyle name="Normal 19 26 8 6" xfId="13056" xr:uid="{00000000-0005-0000-0000-000004330000}"/>
    <cellStyle name="Normal 19 26 9" xfId="13057" xr:uid="{00000000-0005-0000-0000-000005330000}"/>
    <cellStyle name="Normal 19 26 9 2" xfId="13058" xr:uid="{00000000-0005-0000-0000-000006330000}"/>
    <cellStyle name="Normal 19 26 9 3" xfId="13059" xr:uid="{00000000-0005-0000-0000-000007330000}"/>
    <cellStyle name="Normal 19 26 9 4" xfId="13060" xr:uid="{00000000-0005-0000-0000-000008330000}"/>
    <cellStyle name="Normal 19 26 9 5" xfId="13061" xr:uid="{00000000-0005-0000-0000-000009330000}"/>
    <cellStyle name="Normal 19 26 9 6" xfId="13062" xr:uid="{00000000-0005-0000-0000-00000A330000}"/>
    <cellStyle name="Normal 19 27" xfId="13063" xr:uid="{00000000-0005-0000-0000-00000B330000}"/>
    <cellStyle name="Normal 19 27 10" xfId="13064" xr:uid="{00000000-0005-0000-0000-00000C330000}"/>
    <cellStyle name="Normal 19 27 10 2" xfId="13065" xr:uid="{00000000-0005-0000-0000-00000D330000}"/>
    <cellStyle name="Normal 19 27 10 3" xfId="13066" xr:uid="{00000000-0005-0000-0000-00000E330000}"/>
    <cellStyle name="Normal 19 27 10 4" xfId="13067" xr:uid="{00000000-0005-0000-0000-00000F330000}"/>
    <cellStyle name="Normal 19 27 10 5" xfId="13068" xr:uid="{00000000-0005-0000-0000-000010330000}"/>
    <cellStyle name="Normal 19 27 10 6" xfId="13069" xr:uid="{00000000-0005-0000-0000-000011330000}"/>
    <cellStyle name="Normal 19 27 11" xfId="13070" xr:uid="{00000000-0005-0000-0000-000012330000}"/>
    <cellStyle name="Normal 19 27 12" xfId="13071" xr:uid="{00000000-0005-0000-0000-000013330000}"/>
    <cellStyle name="Normal 19 27 13" xfId="13072" xr:uid="{00000000-0005-0000-0000-000014330000}"/>
    <cellStyle name="Normal 19 27 14" xfId="13073" xr:uid="{00000000-0005-0000-0000-000015330000}"/>
    <cellStyle name="Normal 19 27 15" xfId="13074" xr:uid="{00000000-0005-0000-0000-000016330000}"/>
    <cellStyle name="Normal 19 27 2" xfId="13075" xr:uid="{00000000-0005-0000-0000-000017330000}"/>
    <cellStyle name="Normal 19 27 2 10" xfId="13076" xr:uid="{00000000-0005-0000-0000-000018330000}"/>
    <cellStyle name="Normal 19 27 2 11" xfId="13077" xr:uid="{00000000-0005-0000-0000-000019330000}"/>
    <cellStyle name="Normal 19 27 2 12" xfId="13078" xr:uid="{00000000-0005-0000-0000-00001A330000}"/>
    <cellStyle name="Normal 19 27 2 13" xfId="13079" xr:uid="{00000000-0005-0000-0000-00001B330000}"/>
    <cellStyle name="Normal 19 27 2 14" xfId="13080" xr:uid="{00000000-0005-0000-0000-00001C330000}"/>
    <cellStyle name="Normal 19 27 2 2" xfId="13081" xr:uid="{00000000-0005-0000-0000-00001D330000}"/>
    <cellStyle name="Normal 19 27 2 2 2" xfId="13082" xr:uid="{00000000-0005-0000-0000-00001E330000}"/>
    <cellStyle name="Normal 19 27 2 2 3" xfId="13083" xr:uid="{00000000-0005-0000-0000-00001F330000}"/>
    <cellStyle name="Normal 19 27 2 2 4" xfId="13084" xr:uid="{00000000-0005-0000-0000-000020330000}"/>
    <cellStyle name="Normal 19 27 2 2 5" xfId="13085" xr:uid="{00000000-0005-0000-0000-000021330000}"/>
    <cellStyle name="Normal 19 27 2 2 6" xfId="13086" xr:uid="{00000000-0005-0000-0000-000022330000}"/>
    <cellStyle name="Normal 19 27 2 3" xfId="13087" xr:uid="{00000000-0005-0000-0000-000023330000}"/>
    <cellStyle name="Normal 19 27 2 3 2" xfId="13088" xr:uid="{00000000-0005-0000-0000-000024330000}"/>
    <cellStyle name="Normal 19 27 2 3 3" xfId="13089" xr:uid="{00000000-0005-0000-0000-000025330000}"/>
    <cellStyle name="Normal 19 27 2 3 4" xfId="13090" xr:uid="{00000000-0005-0000-0000-000026330000}"/>
    <cellStyle name="Normal 19 27 2 3 5" xfId="13091" xr:uid="{00000000-0005-0000-0000-000027330000}"/>
    <cellStyle name="Normal 19 27 2 3 6" xfId="13092" xr:uid="{00000000-0005-0000-0000-000028330000}"/>
    <cellStyle name="Normal 19 27 2 4" xfId="13093" xr:uid="{00000000-0005-0000-0000-000029330000}"/>
    <cellStyle name="Normal 19 27 2 4 2" xfId="13094" xr:uid="{00000000-0005-0000-0000-00002A330000}"/>
    <cellStyle name="Normal 19 27 2 4 3" xfId="13095" xr:uid="{00000000-0005-0000-0000-00002B330000}"/>
    <cellStyle name="Normal 19 27 2 4 4" xfId="13096" xr:uid="{00000000-0005-0000-0000-00002C330000}"/>
    <cellStyle name="Normal 19 27 2 4 5" xfId="13097" xr:uid="{00000000-0005-0000-0000-00002D330000}"/>
    <cellStyle name="Normal 19 27 2 4 6" xfId="13098" xr:uid="{00000000-0005-0000-0000-00002E330000}"/>
    <cellStyle name="Normal 19 27 2 5" xfId="13099" xr:uid="{00000000-0005-0000-0000-00002F330000}"/>
    <cellStyle name="Normal 19 27 2 5 2" xfId="13100" xr:uid="{00000000-0005-0000-0000-000030330000}"/>
    <cellStyle name="Normal 19 27 2 5 3" xfId="13101" xr:uid="{00000000-0005-0000-0000-000031330000}"/>
    <cellStyle name="Normal 19 27 2 5 4" xfId="13102" xr:uid="{00000000-0005-0000-0000-000032330000}"/>
    <cellStyle name="Normal 19 27 2 5 5" xfId="13103" xr:uid="{00000000-0005-0000-0000-000033330000}"/>
    <cellStyle name="Normal 19 27 2 5 6" xfId="13104" xr:uid="{00000000-0005-0000-0000-000034330000}"/>
    <cellStyle name="Normal 19 27 2 6" xfId="13105" xr:uid="{00000000-0005-0000-0000-000035330000}"/>
    <cellStyle name="Normal 19 27 2 6 2" xfId="13106" xr:uid="{00000000-0005-0000-0000-000036330000}"/>
    <cellStyle name="Normal 19 27 2 6 3" xfId="13107" xr:uid="{00000000-0005-0000-0000-000037330000}"/>
    <cellStyle name="Normal 19 27 2 6 4" xfId="13108" xr:uid="{00000000-0005-0000-0000-000038330000}"/>
    <cellStyle name="Normal 19 27 2 6 5" xfId="13109" xr:uid="{00000000-0005-0000-0000-000039330000}"/>
    <cellStyle name="Normal 19 27 2 6 6" xfId="13110" xr:uid="{00000000-0005-0000-0000-00003A330000}"/>
    <cellStyle name="Normal 19 27 2 7" xfId="13111" xr:uid="{00000000-0005-0000-0000-00003B330000}"/>
    <cellStyle name="Normal 19 27 2 7 2" xfId="13112" xr:uid="{00000000-0005-0000-0000-00003C330000}"/>
    <cellStyle name="Normal 19 27 2 7 3" xfId="13113" xr:uid="{00000000-0005-0000-0000-00003D330000}"/>
    <cellStyle name="Normal 19 27 2 7 4" xfId="13114" xr:uid="{00000000-0005-0000-0000-00003E330000}"/>
    <cellStyle name="Normal 19 27 2 7 5" xfId="13115" xr:uid="{00000000-0005-0000-0000-00003F330000}"/>
    <cellStyle name="Normal 19 27 2 7 6" xfId="13116" xr:uid="{00000000-0005-0000-0000-000040330000}"/>
    <cellStyle name="Normal 19 27 2 8" xfId="13117" xr:uid="{00000000-0005-0000-0000-000041330000}"/>
    <cellStyle name="Normal 19 27 2 8 2" xfId="13118" xr:uid="{00000000-0005-0000-0000-000042330000}"/>
    <cellStyle name="Normal 19 27 2 8 3" xfId="13119" xr:uid="{00000000-0005-0000-0000-000043330000}"/>
    <cellStyle name="Normal 19 27 2 8 4" xfId="13120" xr:uid="{00000000-0005-0000-0000-000044330000}"/>
    <cellStyle name="Normal 19 27 2 8 5" xfId="13121" xr:uid="{00000000-0005-0000-0000-000045330000}"/>
    <cellStyle name="Normal 19 27 2 8 6" xfId="13122" xr:uid="{00000000-0005-0000-0000-000046330000}"/>
    <cellStyle name="Normal 19 27 2 9" xfId="13123" xr:uid="{00000000-0005-0000-0000-000047330000}"/>
    <cellStyle name="Normal 19 27 2 9 2" xfId="13124" xr:uid="{00000000-0005-0000-0000-000048330000}"/>
    <cellStyle name="Normal 19 27 2 9 3" xfId="13125" xr:uid="{00000000-0005-0000-0000-000049330000}"/>
    <cellStyle name="Normal 19 27 2 9 4" xfId="13126" xr:uid="{00000000-0005-0000-0000-00004A330000}"/>
    <cellStyle name="Normal 19 27 2 9 5" xfId="13127" xr:uid="{00000000-0005-0000-0000-00004B330000}"/>
    <cellStyle name="Normal 19 27 2 9 6" xfId="13128" xr:uid="{00000000-0005-0000-0000-00004C330000}"/>
    <cellStyle name="Normal 19 27 3" xfId="13129" xr:uid="{00000000-0005-0000-0000-00004D330000}"/>
    <cellStyle name="Normal 19 27 3 2" xfId="13130" xr:uid="{00000000-0005-0000-0000-00004E330000}"/>
    <cellStyle name="Normal 19 27 3 3" xfId="13131" xr:uid="{00000000-0005-0000-0000-00004F330000}"/>
    <cellStyle name="Normal 19 27 3 4" xfId="13132" xr:uid="{00000000-0005-0000-0000-000050330000}"/>
    <cellStyle name="Normal 19 27 3 5" xfId="13133" xr:uid="{00000000-0005-0000-0000-000051330000}"/>
    <cellStyle name="Normal 19 27 3 6" xfId="13134" xr:uid="{00000000-0005-0000-0000-000052330000}"/>
    <cellStyle name="Normal 19 27 4" xfId="13135" xr:uid="{00000000-0005-0000-0000-000053330000}"/>
    <cellStyle name="Normal 19 27 4 2" xfId="13136" xr:uid="{00000000-0005-0000-0000-000054330000}"/>
    <cellStyle name="Normal 19 27 4 3" xfId="13137" xr:uid="{00000000-0005-0000-0000-000055330000}"/>
    <cellStyle name="Normal 19 27 4 4" xfId="13138" xr:uid="{00000000-0005-0000-0000-000056330000}"/>
    <cellStyle name="Normal 19 27 4 5" xfId="13139" xr:uid="{00000000-0005-0000-0000-000057330000}"/>
    <cellStyle name="Normal 19 27 4 6" xfId="13140" xr:uid="{00000000-0005-0000-0000-000058330000}"/>
    <cellStyle name="Normal 19 27 5" xfId="13141" xr:uid="{00000000-0005-0000-0000-000059330000}"/>
    <cellStyle name="Normal 19 27 5 2" xfId="13142" xr:uid="{00000000-0005-0000-0000-00005A330000}"/>
    <cellStyle name="Normal 19 27 5 3" xfId="13143" xr:uid="{00000000-0005-0000-0000-00005B330000}"/>
    <cellStyle name="Normal 19 27 5 4" xfId="13144" xr:uid="{00000000-0005-0000-0000-00005C330000}"/>
    <cellStyle name="Normal 19 27 5 5" xfId="13145" xr:uid="{00000000-0005-0000-0000-00005D330000}"/>
    <cellStyle name="Normal 19 27 5 6" xfId="13146" xr:uid="{00000000-0005-0000-0000-00005E330000}"/>
    <cellStyle name="Normal 19 27 6" xfId="13147" xr:uid="{00000000-0005-0000-0000-00005F330000}"/>
    <cellStyle name="Normal 19 27 6 2" xfId="13148" xr:uid="{00000000-0005-0000-0000-000060330000}"/>
    <cellStyle name="Normal 19 27 6 3" xfId="13149" xr:uid="{00000000-0005-0000-0000-000061330000}"/>
    <cellStyle name="Normal 19 27 6 4" xfId="13150" xr:uid="{00000000-0005-0000-0000-000062330000}"/>
    <cellStyle name="Normal 19 27 6 5" xfId="13151" xr:uid="{00000000-0005-0000-0000-000063330000}"/>
    <cellStyle name="Normal 19 27 6 6" xfId="13152" xr:uid="{00000000-0005-0000-0000-000064330000}"/>
    <cellStyle name="Normal 19 27 7" xfId="13153" xr:uid="{00000000-0005-0000-0000-000065330000}"/>
    <cellStyle name="Normal 19 27 7 2" xfId="13154" xr:uid="{00000000-0005-0000-0000-000066330000}"/>
    <cellStyle name="Normal 19 27 7 3" xfId="13155" xr:uid="{00000000-0005-0000-0000-000067330000}"/>
    <cellStyle name="Normal 19 27 7 4" xfId="13156" xr:uid="{00000000-0005-0000-0000-000068330000}"/>
    <cellStyle name="Normal 19 27 7 5" xfId="13157" xr:uid="{00000000-0005-0000-0000-000069330000}"/>
    <cellStyle name="Normal 19 27 7 6" xfId="13158" xr:uid="{00000000-0005-0000-0000-00006A330000}"/>
    <cellStyle name="Normal 19 27 8" xfId="13159" xr:uid="{00000000-0005-0000-0000-00006B330000}"/>
    <cellStyle name="Normal 19 27 8 2" xfId="13160" xr:uid="{00000000-0005-0000-0000-00006C330000}"/>
    <cellStyle name="Normal 19 27 8 3" xfId="13161" xr:uid="{00000000-0005-0000-0000-00006D330000}"/>
    <cellStyle name="Normal 19 27 8 4" xfId="13162" xr:uid="{00000000-0005-0000-0000-00006E330000}"/>
    <cellStyle name="Normal 19 27 8 5" xfId="13163" xr:uid="{00000000-0005-0000-0000-00006F330000}"/>
    <cellStyle name="Normal 19 27 8 6" xfId="13164" xr:uid="{00000000-0005-0000-0000-000070330000}"/>
    <cellStyle name="Normal 19 27 9" xfId="13165" xr:uid="{00000000-0005-0000-0000-000071330000}"/>
    <cellStyle name="Normal 19 27 9 2" xfId="13166" xr:uid="{00000000-0005-0000-0000-000072330000}"/>
    <cellStyle name="Normal 19 27 9 3" xfId="13167" xr:uid="{00000000-0005-0000-0000-000073330000}"/>
    <cellStyle name="Normal 19 27 9 4" xfId="13168" xr:uid="{00000000-0005-0000-0000-000074330000}"/>
    <cellStyle name="Normal 19 27 9 5" xfId="13169" xr:uid="{00000000-0005-0000-0000-000075330000}"/>
    <cellStyle name="Normal 19 27 9 6" xfId="13170" xr:uid="{00000000-0005-0000-0000-000076330000}"/>
    <cellStyle name="Normal 19 28" xfId="13171" xr:uid="{00000000-0005-0000-0000-000077330000}"/>
    <cellStyle name="Normal 19 28 10" xfId="13172" xr:uid="{00000000-0005-0000-0000-000078330000}"/>
    <cellStyle name="Normal 19 28 10 2" xfId="13173" xr:uid="{00000000-0005-0000-0000-000079330000}"/>
    <cellStyle name="Normal 19 28 10 3" xfId="13174" xr:uid="{00000000-0005-0000-0000-00007A330000}"/>
    <cellStyle name="Normal 19 28 10 4" xfId="13175" xr:uid="{00000000-0005-0000-0000-00007B330000}"/>
    <cellStyle name="Normal 19 28 10 5" xfId="13176" xr:uid="{00000000-0005-0000-0000-00007C330000}"/>
    <cellStyle name="Normal 19 28 10 6" xfId="13177" xr:uid="{00000000-0005-0000-0000-00007D330000}"/>
    <cellStyle name="Normal 19 28 11" xfId="13178" xr:uid="{00000000-0005-0000-0000-00007E330000}"/>
    <cellStyle name="Normal 19 28 12" xfId="13179" xr:uid="{00000000-0005-0000-0000-00007F330000}"/>
    <cellStyle name="Normal 19 28 13" xfId="13180" xr:uid="{00000000-0005-0000-0000-000080330000}"/>
    <cellStyle name="Normal 19 28 14" xfId="13181" xr:uid="{00000000-0005-0000-0000-000081330000}"/>
    <cellStyle name="Normal 19 28 15" xfId="13182" xr:uid="{00000000-0005-0000-0000-000082330000}"/>
    <cellStyle name="Normal 19 28 2" xfId="13183" xr:uid="{00000000-0005-0000-0000-000083330000}"/>
    <cellStyle name="Normal 19 28 2 10" xfId="13184" xr:uid="{00000000-0005-0000-0000-000084330000}"/>
    <cellStyle name="Normal 19 28 2 11" xfId="13185" xr:uid="{00000000-0005-0000-0000-000085330000}"/>
    <cellStyle name="Normal 19 28 2 12" xfId="13186" xr:uid="{00000000-0005-0000-0000-000086330000}"/>
    <cellStyle name="Normal 19 28 2 13" xfId="13187" xr:uid="{00000000-0005-0000-0000-000087330000}"/>
    <cellStyle name="Normal 19 28 2 14" xfId="13188" xr:uid="{00000000-0005-0000-0000-000088330000}"/>
    <cellStyle name="Normal 19 28 2 2" xfId="13189" xr:uid="{00000000-0005-0000-0000-000089330000}"/>
    <cellStyle name="Normal 19 28 2 2 2" xfId="13190" xr:uid="{00000000-0005-0000-0000-00008A330000}"/>
    <cellStyle name="Normal 19 28 2 2 3" xfId="13191" xr:uid="{00000000-0005-0000-0000-00008B330000}"/>
    <cellStyle name="Normal 19 28 2 2 4" xfId="13192" xr:uid="{00000000-0005-0000-0000-00008C330000}"/>
    <cellStyle name="Normal 19 28 2 2 5" xfId="13193" xr:uid="{00000000-0005-0000-0000-00008D330000}"/>
    <cellStyle name="Normal 19 28 2 2 6" xfId="13194" xr:uid="{00000000-0005-0000-0000-00008E330000}"/>
    <cellStyle name="Normal 19 28 2 3" xfId="13195" xr:uid="{00000000-0005-0000-0000-00008F330000}"/>
    <cellStyle name="Normal 19 28 2 3 2" xfId="13196" xr:uid="{00000000-0005-0000-0000-000090330000}"/>
    <cellStyle name="Normal 19 28 2 3 3" xfId="13197" xr:uid="{00000000-0005-0000-0000-000091330000}"/>
    <cellStyle name="Normal 19 28 2 3 4" xfId="13198" xr:uid="{00000000-0005-0000-0000-000092330000}"/>
    <cellStyle name="Normal 19 28 2 3 5" xfId="13199" xr:uid="{00000000-0005-0000-0000-000093330000}"/>
    <cellStyle name="Normal 19 28 2 3 6" xfId="13200" xr:uid="{00000000-0005-0000-0000-000094330000}"/>
    <cellStyle name="Normal 19 28 2 4" xfId="13201" xr:uid="{00000000-0005-0000-0000-000095330000}"/>
    <cellStyle name="Normal 19 28 2 4 2" xfId="13202" xr:uid="{00000000-0005-0000-0000-000096330000}"/>
    <cellStyle name="Normal 19 28 2 4 3" xfId="13203" xr:uid="{00000000-0005-0000-0000-000097330000}"/>
    <cellStyle name="Normal 19 28 2 4 4" xfId="13204" xr:uid="{00000000-0005-0000-0000-000098330000}"/>
    <cellStyle name="Normal 19 28 2 4 5" xfId="13205" xr:uid="{00000000-0005-0000-0000-000099330000}"/>
    <cellStyle name="Normal 19 28 2 4 6" xfId="13206" xr:uid="{00000000-0005-0000-0000-00009A330000}"/>
    <cellStyle name="Normal 19 28 2 5" xfId="13207" xr:uid="{00000000-0005-0000-0000-00009B330000}"/>
    <cellStyle name="Normal 19 28 2 5 2" xfId="13208" xr:uid="{00000000-0005-0000-0000-00009C330000}"/>
    <cellStyle name="Normal 19 28 2 5 3" xfId="13209" xr:uid="{00000000-0005-0000-0000-00009D330000}"/>
    <cellStyle name="Normal 19 28 2 5 4" xfId="13210" xr:uid="{00000000-0005-0000-0000-00009E330000}"/>
    <cellStyle name="Normal 19 28 2 5 5" xfId="13211" xr:uid="{00000000-0005-0000-0000-00009F330000}"/>
    <cellStyle name="Normal 19 28 2 5 6" xfId="13212" xr:uid="{00000000-0005-0000-0000-0000A0330000}"/>
    <cellStyle name="Normal 19 28 2 6" xfId="13213" xr:uid="{00000000-0005-0000-0000-0000A1330000}"/>
    <cellStyle name="Normal 19 28 2 6 2" xfId="13214" xr:uid="{00000000-0005-0000-0000-0000A2330000}"/>
    <cellStyle name="Normal 19 28 2 6 3" xfId="13215" xr:uid="{00000000-0005-0000-0000-0000A3330000}"/>
    <cellStyle name="Normal 19 28 2 6 4" xfId="13216" xr:uid="{00000000-0005-0000-0000-0000A4330000}"/>
    <cellStyle name="Normal 19 28 2 6 5" xfId="13217" xr:uid="{00000000-0005-0000-0000-0000A5330000}"/>
    <cellStyle name="Normal 19 28 2 6 6" xfId="13218" xr:uid="{00000000-0005-0000-0000-0000A6330000}"/>
    <cellStyle name="Normal 19 28 2 7" xfId="13219" xr:uid="{00000000-0005-0000-0000-0000A7330000}"/>
    <cellStyle name="Normal 19 28 2 7 2" xfId="13220" xr:uid="{00000000-0005-0000-0000-0000A8330000}"/>
    <cellStyle name="Normal 19 28 2 7 3" xfId="13221" xr:uid="{00000000-0005-0000-0000-0000A9330000}"/>
    <cellStyle name="Normal 19 28 2 7 4" xfId="13222" xr:uid="{00000000-0005-0000-0000-0000AA330000}"/>
    <cellStyle name="Normal 19 28 2 7 5" xfId="13223" xr:uid="{00000000-0005-0000-0000-0000AB330000}"/>
    <cellStyle name="Normal 19 28 2 7 6" xfId="13224" xr:uid="{00000000-0005-0000-0000-0000AC330000}"/>
    <cellStyle name="Normal 19 28 2 8" xfId="13225" xr:uid="{00000000-0005-0000-0000-0000AD330000}"/>
    <cellStyle name="Normal 19 28 2 8 2" xfId="13226" xr:uid="{00000000-0005-0000-0000-0000AE330000}"/>
    <cellStyle name="Normal 19 28 2 8 3" xfId="13227" xr:uid="{00000000-0005-0000-0000-0000AF330000}"/>
    <cellStyle name="Normal 19 28 2 8 4" xfId="13228" xr:uid="{00000000-0005-0000-0000-0000B0330000}"/>
    <cellStyle name="Normal 19 28 2 8 5" xfId="13229" xr:uid="{00000000-0005-0000-0000-0000B1330000}"/>
    <cellStyle name="Normal 19 28 2 8 6" xfId="13230" xr:uid="{00000000-0005-0000-0000-0000B2330000}"/>
    <cellStyle name="Normal 19 28 2 9" xfId="13231" xr:uid="{00000000-0005-0000-0000-0000B3330000}"/>
    <cellStyle name="Normal 19 28 2 9 2" xfId="13232" xr:uid="{00000000-0005-0000-0000-0000B4330000}"/>
    <cellStyle name="Normal 19 28 2 9 3" xfId="13233" xr:uid="{00000000-0005-0000-0000-0000B5330000}"/>
    <cellStyle name="Normal 19 28 2 9 4" xfId="13234" xr:uid="{00000000-0005-0000-0000-0000B6330000}"/>
    <cellStyle name="Normal 19 28 2 9 5" xfId="13235" xr:uid="{00000000-0005-0000-0000-0000B7330000}"/>
    <cellStyle name="Normal 19 28 2 9 6" xfId="13236" xr:uid="{00000000-0005-0000-0000-0000B8330000}"/>
    <cellStyle name="Normal 19 28 3" xfId="13237" xr:uid="{00000000-0005-0000-0000-0000B9330000}"/>
    <cellStyle name="Normal 19 28 3 2" xfId="13238" xr:uid="{00000000-0005-0000-0000-0000BA330000}"/>
    <cellStyle name="Normal 19 28 3 3" xfId="13239" xr:uid="{00000000-0005-0000-0000-0000BB330000}"/>
    <cellStyle name="Normal 19 28 3 4" xfId="13240" xr:uid="{00000000-0005-0000-0000-0000BC330000}"/>
    <cellStyle name="Normal 19 28 3 5" xfId="13241" xr:uid="{00000000-0005-0000-0000-0000BD330000}"/>
    <cellStyle name="Normal 19 28 3 6" xfId="13242" xr:uid="{00000000-0005-0000-0000-0000BE330000}"/>
    <cellStyle name="Normal 19 28 4" xfId="13243" xr:uid="{00000000-0005-0000-0000-0000BF330000}"/>
    <cellStyle name="Normal 19 28 4 2" xfId="13244" xr:uid="{00000000-0005-0000-0000-0000C0330000}"/>
    <cellStyle name="Normal 19 28 4 3" xfId="13245" xr:uid="{00000000-0005-0000-0000-0000C1330000}"/>
    <cellStyle name="Normal 19 28 4 4" xfId="13246" xr:uid="{00000000-0005-0000-0000-0000C2330000}"/>
    <cellStyle name="Normal 19 28 4 5" xfId="13247" xr:uid="{00000000-0005-0000-0000-0000C3330000}"/>
    <cellStyle name="Normal 19 28 4 6" xfId="13248" xr:uid="{00000000-0005-0000-0000-0000C4330000}"/>
    <cellStyle name="Normal 19 28 5" xfId="13249" xr:uid="{00000000-0005-0000-0000-0000C5330000}"/>
    <cellStyle name="Normal 19 28 5 2" xfId="13250" xr:uid="{00000000-0005-0000-0000-0000C6330000}"/>
    <cellStyle name="Normal 19 28 5 3" xfId="13251" xr:uid="{00000000-0005-0000-0000-0000C7330000}"/>
    <cellStyle name="Normal 19 28 5 4" xfId="13252" xr:uid="{00000000-0005-0000-0000-0000C8330000}"/>
    <cellStyle name="Normal 19 28 5 5" xfId="13253" xr:uid="{00000000-0005-0000-0000-0000C9330000}"/>
    <cellStyle name="Normal 19 28 5 6" xfId="13254" xr:uid="{00000000-0005-0000-0000-0000CA330000}"/>
    <cellStyle name="Normal 19 28 6" xfId="13255" xr:uid="{00000000-0005-0000-0000-0000CB330000}"/>
    <cellStyle name="Normal 19 28 6 2" xfId="13256" xr:uid="{00000000-0005-0000-0000-0000CC330000}"/>
    <cellStyle name="Normal 19 28 6 3" xfId="13257" xr:uid="{00000000-0005-0000-0000-0000CD330000}"/>
    <cellStyle name="Normal 19 28 6 4" xfId="13258" xr:uid="{00000000-0005-0000-0000-0000CE330000}"/>
    <cellStyle name="Normal 19 28 6 5" xfId="13259" xr:uid="{00000000-0005-0000-0000-0000CF330000}"/>
    <cellStyle name="Normal 19 28 6 6" xfId="13260" xr:uid="{00000000-0005-0000-0000-0000D0330000}"/>
    <cellStyle name="Normal 19 28 7" xfId="13261" xr:uid="{00000000-0005-0000-0000-0000D1330000}"/>
    <cellStyle name="Normal 19 28 7 2" xfId="13262" xr:uid="{00000000-0005-0000-0000-0000D2330000}"/>
    <cellStyle name="Normal 19 28 7 3" xfId="13263" xr:uid="{00000000-0005-0000-0000-0000D3330000}"/>
    <cellStyle name="Normal 19 28 7 4" xfId="13264" xr:uid="{00000000-0005-0000-0000-0000D4330000}"/>
    <cellStyle name="Normal 19 28 7 5" xfId="13265" xr:uid="{00000000-0005-0000-0000-0000D5330000}"/>
    <cellStyle name="Normal 19 28 7 6" xfId="13266" xr:uid="{00000000-0005-0000-0000-0000D6330000}"/>
    <cellStyle name="Normal 19 28 8" xfId="13267" xr:uid="{00000000-0005-0000-0000-0000D7330000}"/>
    <cellStyle name="Normal 19 28 8 2" xfId="13268" xr:uid="{00000000-0005-0000-0000-0000D8330000}"/>
    <cellStyle name="Normal 19 28 8 3" xfId="13269" xr:uid="{00000000-0005-0000-0000-0000D9330000}"/>
    <cellStyle name="Normal 19 28 8 4" xfId="13270" xr:uid="{00000000-0005-0000-0000-0000DA330000}"/>
    <cellStyle name="Normal 19 28 8 5" xfId="13271" xr:uid="{00000000-0005-0000-0000-0000DB330000}"/>
    <cellStyle name="Normal 19 28 8 6" xfId="13272" xr:uid="{00000000-0005-0000-0000-0000DC330000}"/>
    <cellStyle name="Normal 19 28 9" xfId="13273" xr:uid="{00000000-0005-0000-0000-0000DD330000}"/>
    <cellStyle name="Normal 19 28 9 2" xfId="13274" xr:uid="{00000000-0005-0000-0000-0000DE330000}"/>
    <cellStyle name="Normal 19 28 9 3" xfId="13275" xr:uid="{00000000-0005-0000-0000-0000DF330000}"/>
    <cellStyle name="Normal 19 28 9 4" xfId="13276" xr:uid="{00000000-0005-0000-0000-0000E0330000}"/>
    <cellStyle name="Normal 19 28 9 5" xfId="13277" xr:uid="{00000000-0005-0000-0000-0000E1330000}"/>
    <cellStyle name="Normal 19 28 9 6" xfId="13278" xr:uid="{00000000-0005-0000-0000-0000E2330000}"/>
    <cellStyle name="Normal 19 29" xfId="13279" xr:uid="{00000000-0005-0000-0000-0000E3330000}"/>
    <cellStyle name="Normal 19 29 10" xfId="13280" xr:uid="{00000000-0005-0000-0000-0000E4330000}"/>
    <cellStyle name="Normal 19 29 10 2" xfId="13281" xr:uid="{00000000-0005-0000-0000-0000E5330000}"/>
    <cellStyle name="Normal 19 29 10 3" xfId="13282" xr:uid="{00000000-0005-0000-0000-0000E6330000}"/>
    <cellStyle name="Normal 19 29 10 4" xfId="13283" xr:uid="{00000000-0005-0000-0000-0000E7330000}"/>
    <cellStyle name="Normal 19 29 10 5" xfId="13284" xr:uid="{00000000-0005-0000-0000-0000E8330000}"/>
    <cellStyle name="Normal 19 29 10 6" xfId="13285" xr:uid="{00000000-0005-0000-0000-0000E9330000}"/>
    <cellStyle name="Normal 19 29 11" xfId="13286" xr:uid="{00000000-0005-0000-0000-0000EA330000}"/>
    <cellStyle name="Normal 19 29 12" xfId="13287" xr:uid="{00000000-0005-0000-0000-0000EB330000}"/>
    <cellStyle name="Normal 19 29 13" xfId="13288" xr:uid="{00000000-0005-0000-0000-0000EC330000}"/>
    <cellStyle name="Normal 19 29 14" xfId="13289" xr:uid="{00000000-0005-0000-0000-0000ED330000}"/>
    <cellStyle name="Normal 19 29 15" xfId="13290" xr:uid="{00000000-0005-0000-0000-0000EE330000}"/>
    <cellStyle name="Normal 19 29 2" xfId="13291" xr:uid="{00000000-0005-0000-0000-0000EF330000}"/>
    <cellStyle name="Normal 19 29 2 10" xfId="13292" xr:uid="{00000000-0005-0000-0000-0000F0330000}"/>
    <cellStyle name="Normal 19 29 2 11" xfId="13293" xr:uid="{00000000-0005-0000-0000-0000F1330000}"/>
    <cellStyle name="Normal 19 29 2 12" xfId="13294" xr:uid="{00000000-0005-0000-0000-0000F2330000}"/>
    <cellStyle name="Normal 19 29 2 13" xfId="13295" xr:uid="{00000000-0005-0000-0000-0000F3330000}"/>
    <cellStyle name="Normal 19 29 2 14" xfId="13296" xr:uid="{00000000-0005-0000-0000-0000F4330000}"/>
    <cellStyle name="Normal 19 29 2 2" xfId="13297" xr:uid="{00000000-0005-0000-0000-0000F5330000}"/>
    <cellStyle name="Normal 19 29 2 2 2" xfId="13298" xr:uid="{00000000-0005-0000-0000-0000F6330000}"/>
    <cellStyle name="Normal 19 29 2 2 3" xfId="13299" xr:uid="{00000000-0005-0000-0000-0000F7330000}"/>
    <cellStyle name="Normal 19 29 2 2 4" xfId="13300" xr:uid="{00000000-0005-0000-0000-0000F8330000}"/>
    <cellStyle name="Normal 19 29 2 2 5" xfId="13301" xr:uid="{00000000-0005-0000-0000-0000F9330000}"/>
    <cellStyle name="Normal 19 29 2 2 6" xfId="13302" xr:uid="{00000000-0005-0000-0000-0000FA330000}"/>
    <cellStyle name="Normal 19 29 2 3" xfId="13303" xr:uid="{00000000-0005-0000-0000-0000FB330000}"/>
    <cellStyle name="Normal 19 29 2 3 2" xfId="13304" xr:uid="{00000000-0005-0000-0000-0000FC330000}"/>
    <cellStyle name="Normal 19 29 2 3 3" xfId="13305" xr:uid="{00000000-0005-0000-0000-0000FD330000}"/>
    <cellStyle name="Normal 19 29 2 3 4" xfId="13306" xr:uid="{00000000-0005-0000-0000-0000FE330000}"/>
    <cellStyle name="Normal 19 29 2 3 5" xfId="13307" xr:uid="{00000000-0005-0000-0000-0000FF330000}"/>
    <cellStyle name="Normal 19 29 2 3 6" xfId="13308" xr:uid="{00000000-0005-0000-0000-000000340000}"/>
    <cellStyle name="Normal 19 29 2 4" xfId="13309" xr:uid="{00000000-0005-0000-0000-000001340000}"/>
    <cellStyle name="Normal 19 29 2 4 2" xfId="13310" xr:uid="{00000000-0005-0000-0000-000002340000}"/>
    <cellStyle name="Normal 19 29 2 4 3" xfId="13311" xr:uid="{00000000-0005-0000-0000-000003340000}"/>
    <cellStyle name="Normal 19 29 2 4 4" xfId="13312" xr:uid="{00000000-0005-0000-0000-000004340000}"/>
    <cellStyle name="Normal 19 29 2 4 5" xfId="13313" xr:uid="{00000000-0005-0000-0000-000005340000}"/>
    <cellStyle name="Normal 19 29 2 4 6" xfId="13314" xr:uid="{00000000-0005-0000-0000-000006340000}"/>
    <cellStyle name="Normal 19 29 2 5" xfId="13315" xr:uid="{00000000-0005-0000-0000-000007340000}"/>
    <cellStyle name="Normal 19 29 2 5 2" xfId="13316" xr:uid="{00000000-0005-0000-0000-000008340000}"/>
    <cellStyle name="Normal 19 29 2 5 3" xfId="13317" xr:uid="{00000000-0005-0000-0000-000009340000}"/>
    <cellStyle name="Normal 19 29 2 5 4" xfId="13318" xr:uid="{00000000-0005-0000-0000-00000A340000}"/>
    <cellStyle name="Normal 19 29 2 5 5" xfId="13319" xr:uid="{00000000-0005-0000-0000-00000B340000}"/>
    <cellStyle name="Normal 19 29 2 5 6" xfId="13320" xr:uid="{00000000-0005-0000-0000-00000C340000}"/>
    <cellStyle name="Normal 19 29 2 6" xfId="13321" xr:uid="{00000000-0005-0000-0000-00000D340000}"/>
    <cellStyle name="Normal 19 29 2 6 2" xfId="13322" xr:uid="{00000000-0005-0000-0000-00000E340000}"/>
    <cellStyle name="Normal 19 29 2 6 3" xfId="13323" xr:uid="{00000000-0005-0000-0000-00000F340000}"/>
    <cellStyle name="Normal 19 29 2 6 4" xfId="13324" xr:uid="{00000000-0005-0000-0000-000010340000}"/>
    <cellStyle name="Normal 19 29 2 6 5" xfId="13325" xr:uid="{00000000-0005-0000-0000-000011340000}"/>
    <cellStyle name="Normal 19 29 2 6 6" xfId="13326" xr:uid="{00000000-0005-0000-0000-000012340000}"/>
    <cellStyle name="Normal 19 29 2 7" xfId="13327" xr:uid="{00000000-0005-0000-0000-000013340000}"/>
    <cellStyle name="Normal 19 29 2 7 2" xfId="13328" xr:uid="{00000000-0005-0000-0000-000014340000}"/>
    <cellStyle name="Normal 19 29 2 7 3" xfId="13329" xr:uid="{00000000-0005-0000-0000-000015340000}"/>
    <cellStyle name="Normal 19 29 2 7 4" xfId="13330" xr:uid="{00000000-0005-0000-0000-000016340000}"/>
    <cellStyle name="Normal 19 29 2 7 5" xfId="13331" xr:uid="{00000000-0005-0000-0000-000017340000}"/>
    <cellStyle name="Normal 19 29 2 7 6" xfId="13332" xr:uid="{00000000-0005-0000-0000-000018340000}"/>
    <cellStyle name="Normal 19 29 2 8" xfId="13333" xr:uid="{00000000-0005-0000-0000-000019340000}"/>
    <cellStyle name="Normal 19 29 2 8 2" xfId="13334" xr:uid="{00000000-0005-0000-0000-00001A340000}"/>
    <cellStyle name="Normal 19 29 2 8 3" xfId="13335" xr:uid="{00000000-0005-0000-0000-00001B340000}"/>
    <cellStyle name="Normal 19 29 2 8 4" xfId="13336" xr:uid="{00000000-0005-0000-0000-00001C340000}"/>
    <cellStyle name="Normal 19 29 2 8 5" xfId="13337" xr:uid="{00000000-0005-0000-0000-00001D340000}"/>
    <cellStyle name="Normal 19 29 2 8 6" xfId="13338" xr:uid="{00000000-0005-0000-0000-00001E340000}"/>
    <cellStyle name="Normal 19 29 2 9" xfId="13339" xr:uid="{00000000-0005-0000-0000-00001F340000}"/>
    <cellStyle name="Normal 19 29 2 9 2" xfId="13340" xr:uid="{00000000-0005-0000-0000-000020340000}"/>
    <cellStyle name="Normal 19 29 2 9 3" xfId="13341" xr:uid="{00000000-0005-0000-0000-000021340000}"/>
    <cellStyle name="Normal 19 29 2 9 4" xfId="13342" xr:uid="{00000000-0005-0000-0000-000022340000}"/>
    <cellStyle name="Normal 19 29 2 9 5" xfId="13343" xr:uid="{00000000-0005-0000-0000-000023340000}"/>
    <cellStyle name="Normal 19 29 2 9 6" xfId="13344" xr:uid="{00000000-0005-0000-0000-000024340000}"/>
    <cellStyle name="Normal 19 29 3" xfId="13345" xr:uid="{00000000-0005-0000-0000-000025340000}"/>
    <cellStyle name="Normal 19 29 3 2" xfId="13346" xr:uid="{00000000-0005-0000-0000-000026340000}"/>
    <cellStyle name="Normal 19 29 3 3" xfId="13347" xr:uid="{00000000-0005-0000-0000-000027340000}"/>
    <cellStyle name="Normal 19 29 3 4" xfId="13348" xr:uid="{00000000-0005-0000-0000-000028340000}"/>
    <cellStyle name="Normal 19 29 3 5" xfId="13349" xr:uid="{00000000-0005-0000-0000-000029340000}"/>
    <cellStyle name="Normal 19 29 3 6" xfId="13350" xr:uid="{00000000-0005-0000-0000-00002A340000}"/>
    <cellStyle name="Normal 19 29 4" xfId="13351" xr:uid="{00000000-0005-0000-0000-00002B340000}"/>
    <cellStyle name="Normal 19 29 4 2" xfId="13352" xr:uid="{00000000-0005-0000-0000-00002C340000}"/>
    <cellStyle name="Normal 19 29 4 3" xfId="13353" xr:uid="{00000000-0005-0000-0000-00002D340000}"/>
    <cellStyle name="Normal 19 29 4 4" xfId="13354" xr:uid="{00000000-0005-0000-0000-00002E340000}"/>
    <cellStyle name="Normal 19 29 4 5" xfId="13355" xr:uid="{00000000-0005-0000-0000-00002F340000}"/>
    <cellStyle name="Normal 19 29 4 6" xfId="13356" xr:uid="{00000000-0005-0000-0000-000030340000}"/>
    <cellStyle name="Normal 19 29 5" xfId="13357" xr:uid="{00000000-0005-0000-0000-000031340000}"/>
    <cellStyle name="Normal 19 29 5 2" xfId="13358" xr:uid="{00000000-0005-0000-0000-000032340000}"/>
    <cellStyle name="Normal 19 29 5 3" xfId="13359" xr:uid="{00000000-0005-0000-0000-000033340000}"/>
    <cellStyle name="Normal 19 29 5 4" xfId="13360" xr:uid="{00000000-0005-0000-0000-000034340000}"/>
    <cellStyle name="Normal 19 29 5 5" xfId="13361" xr:uid="{00000000-0005-0000-0000-000035340000}"/>
    <cellStyle name="Normal 19 29 5 6" xfId="13362" xr:uid="{00000000-0005-0000-0000-000036340000}"/>
    <cellStyle name="Normal 19 29 6" xfId="13363" xr:uid="{00000000-0005-0000-0000-000037340000}"/>
    <cellStyle name="Normal 19 29 6 2" xfId="13364" xr:uid="{00000000-0005-0000-0000-000038340000}"/>
    <cellStyle name="Normal 19 29 6 3" xfId="13365" xr:uid="{00000000-0005-0000-0000-000039340000}"/>
    <cellStyle name="Normal 19 29 6 4" xfId="13366" xr:uid="{00000000-0005-0000-0000-00003A340000}"/>
    <cellStyle name="Normal 19 29 6 5" xfId="13367" xr:uid="{00000000-0005-0000-0000-00003B340000}"/>
    <cellStyle name="Normal 19 29 6 6" xfId="13368" xr:uid="{00000000-0005-0000-0000-00003C340000}"/>
    <cellStyle name="Normal 19 29 7" xfId="13369" xr:uid="{00000000-0005-0000-0000-00003D340000}"/>
    <cellStyle name="Normal 19 29 7 2" xfId="13370" xr:uid="{00000000-0005-0000-0000-00003E340000}"/>
    <cellStyle name="Normal 19 29 7 3" xfId="13371" xr:uid="{00000000-0005-0000-0000-00003F340000}"/>
    <cellStyle name="Normal 19 29 7 4" xfId="13372" xr:uid="{00000000-0005-0000-0000-000040340000}"/>
    <cellStyle name="Normal 19 29 7 5" xfId="13373" xr:uid="{00000000-0005-0000-0000-000041340000}"/>
    <cellStyle name="Normal 19 29 7 6" xfId="13374" xr:uid="{00000000-0005-0000-0000-000042340000}"/>
    <cellStyle name="Normal 19 29 8" xfId="13375" xr:uid="{00000000-0005-0000-0000-000043340000}"/>
    <cellStyle name="Normal 19 29 8 2" xfId="13376" xr:uid="{00000000-0005-0000-0000-000044340000}"/>
    <cellStyle name="Normal 19 29 8 3" xfId="13377" xr:uid="{00000000-0005-0000-0000-000045340000}"/>
    <cellStyle name="Normal 19 29 8 4" xfId="13378" xr:uid="{00000000-0005-0000-0000-000046340000}"/>
    <cellStyle name="Normal 19 29 8 5" xfId="13379" xr:uid="{00000000-0005-0000-0000-000047340000}"/>
    <cellStyle name="Normal 19 29 8 6" xfId="13380" xr:uid="{00000000-0005-0000-0000-000048340000}"/>
    <cellStyle name="Normal 19 29 9" xfId="13381" xr:uid="{00000000-0005-0000-0000-000049340000}"/>
    <cellStyle name="Normal 19 29 9 2" xfId="13382" xr:uid="{00000000-0005-0000-0000-00004A340000}"/>
    <cellStyle name="Normal 19 29 9 3" xfId="13383" xr:uid="{00000000-0005-0000-0000-00004B340000}"/>
    <cellStyle name="Normal 19 29 9 4" xfId="13384" xr:uid="{00000000-0005-0000-0000-00004C340000}"/>
    <cellStyle name="Normal 19 29 9 5" xfId="13385" xr:uid="{00000000-0005-0000-0000-00004D340000}"/>
    <cellStyle name="Normal 19 29 9 6" xfId="13386" xr:uid="{00000000-0005-0000-0000-00004E340000}"/>
    <cellStyle name="Normal 19 3" xfId="13387" xr:uid="{00000000-0005-0000-0000-00004F340000}"/>
    <cellStyle name="Normal 19 3 10" xfId="13388" xr:uid="{00000000-0005-0000-0000-000050340000}"/>
    <cellStyle name="Normal 19 3 10 2" xfId="13389" xr:uid="{00000000-0005-0000-0000-000051340000}"/>
    <cellStyle name="Normal 19 3 10 3" xfId="13390" xr:uid="{00000000-0005-0000-0000-000052340000}"/>
    <cellStyle name="Normal 19 3 10 4" xfId="13391" xr:uid="{00000000-0005-0000-0000-000053340000}"/>
    <cellStyle name="Normal 19 3 10 5" xfId="13392" xr:uid="{00000000-0005-0000-0000-000054340000}"/>
    <cellStyle name="Normal 19 3 10 6" xfId="13393" xr:uid="{00000000-0005-0000-0000-000055340000}"/>
    <cellStyle name="Normal 19 3 11" xfId="13394" xr:uid="{00000000-0005-0000-0000-000056340000}"/>
    <cellStyle name="Normal 19 3 12" xfId="13395" xr:uid="{00000000-0005-0000-0000-000057340000}"/>
    <cellStyle name="Normal 19 3 13" xfId="13396" xr:uid="{00000000-0005-0000-0000-000058340000}"/>
    <cellStyle name="Normal 19 3 14" xfId="13397" xr:uid="{00000000-0005-0000-0000-000059340000}"/>
    <cellStyle name="Normal 19 3 15" xfId="13398" xr:uid="{00000000-0005-0000-0000-00005A340000}"/>
    <cellStyle name="Normal 19 3 2" xfId="13399" xr:uid="{00000000-0005-0000-0000-00005B340000}"/>
    <cellStyle name="Normal 19 3 2 10" xfId="13400" xr:uid="{00000000-0005-0000-0000-00005C340000}"/>
    <cellStyle name="Normal 19 3 2 11" xfId="13401" xr:uid="{00000000-0005-0000-0000-00005D340000}"/>
    <cellStyle name="Normal 19 3 2 12" xfId="13402" xr:uid="{00000000-0005-0000-0000-00005E340000}"/>
    <cellStyle name="Normal 19 3 2 13" xfId="13403" xr:uid="{00000000-0005-0000-0000-00005F340000}"/>
    <cellStyle name="Normal 19 3 2 14" xfId="13404" xr:uid="{00000000-0005-0000-0000-000060340000}"/>
    <cellStyle name="Normal 19 3 2 2" xfId="13405" xr:uid="{00000000-0005-0000-0000-000061340000}"/>
    <cellStyle name="Normal 19 3 2 2 2" xfId="13406" xr:uid="{00000000-0005-0000-0000-000062340000}"/>
    <cellStyle name="Normal 19 3 2 2 3" xfId="13407" xr:uid="{00000000-0005-0000-0000-000063340000}"/>
    <cellStyle name="Normal 19 3 2 2 4" xfId="13408" xr:uid="{00000000-0005-0000-0000-000064340000}"/>
    <cellStyle name="Normal 19 3 2 2 5" xfId="13409" xr:uid="{00000000-0005-0000-0000-000065340000}"/>
    <cellStyle name="Normal 19 3 2 2 6" xfId="13410" xr:uid="{00000000-0005-0000-0000-000066340000}"/>
    <cellStyle name="Normal 19 3 2 3" xfId="13411" xr:uid="{00000000-0005-0000-0000-000067340000}"/>
    <cellStyle name="Normal 19 3 2 3 2" xfId="13412" xr:uid="{00000000-0005-0000-0000-000068340000}"/>
    <cellStyle name="Normal 19 3 2 3 3" xfId="13413" xr:uid="{00000000-0005-0000-0000-000069340000}"/>
    <cellStyle name="Normal 19 3 2 3 4" xfId="13414" xr:uid="{00000000-0005-0000-0000-00006A340000}"/>
    <cellStyle name="Normal 19 3 2 3 5" xfId="13415" xr:uid="{00000000-0005-0000-0000-00006B340000}"/>
    <cellStyle name="Normal 19 3 2 3 6" xfId="13416" xr:uid="{00000000-0005-0000-0000-00006C340000}"/>
    <cellStyle name="Normal 19 3 2 4" xfId="13417" xr:uid="{00000000-0005-0000-0000-00006D340000}"/>
    <cellStyle name="Normal 19 3 2 4 2" xfId="13418" xr:uid="{00000000-0005-0000-0000-00006E340000}"/>
    <cellStyle name="Normal 19 3 2 4 3" xfId="13419" xr:uid="{00000000-0005-0000-0000-00006F340000}"/>
    <cellStyle name="Normal 19 3 2 4 4" xfId="13420" xr:uid="{00000000-0005-0000-0000-000070340000}"/>
    <cellStyle name="Normal 19 3 2 4 5" xfId="13421" xr:uid="{00000000-0005-0000-0000-000071340000}"/>
    <cellStyle name="Normal 19 3 2 4 6" xfId="13422" xr:uid="{00000000-0005-0000-0000-000072340000}"/>
    <cellStyle name="Normal 19 3 2 5" xfId="13423" xr:uid="{00000000-0005-0000-0000-000073340000}"/>
    <cellStyle name="Normal 19 3 2 5 2" xfId="13424" xr:uid="{00000000-0005-0000-0000-000074340000}"/>
    <cellStyle name="Normal 19 3 2 5 3" xfId="13425" xr:uid="{00000000-0005-0000-0000-000075340000}"/>
    <cellStyle name="Normal 19 3 2 5 4" xfId="13426" xr:uid="{00000000-0005-0000-0000-000076340000}"/>
    <cellStyle name="Normal 19 3 2 5 5" xfId="13427" xr:uid="{00000000-0005-0000-0000-000077340000}"/>
    <cellStyle name="Normal 19 3 2 5 6" xfId="13428" xr:uid="{00000000-0005-0000-0000-000078340000}"/>
    <cellStyle name="Normal 19 3 2 6" xfId="13429" xr:uid="{00000000-0005-0000-0000-000079340000}"/>
    <cellStyle name="Normal 19 3 2 6 2" xfId="13430" xr:uid="{00000000-0005-0000-0000-00007A340000}"/>
    <cellStyle name="Normal 19 3 2 6 3" xfId="13431" xr:uid="{00000000-0005-0000-0000-00007B340000}"/>
    <cellStyle name="Normal 19 3 2 6 4" xfId="13432" xr:uid="{00000000-0005-0000-0000-00007C340000}"/>
    <cellStyle name="Normal 19 3 2 6 5" xfId="13433" xr:uid="{00000000-0005-0000-0000-00007D340000}"/>
    <cellStyle name="Normal 19 3 2 6 6" xfId="13434" xr:uid="{00000000-0005-0000-0000-00007E340000}"/>
    <cellStyle name="Normal 19 3 2 7" xfId="13435" xr:uid="{00000000-0005-0000-0000-00007F340000}"/>
    <cellStyle name="Normal 19 3 2 7 2" xfId="13436" xr:uid="{00000000-0005-0000-0000-000080340000}"/>
    <cellStyle name="Normal 19 3 2 7 3" xfId="13437" xr:uid="{00000000-0005-0000-0000-000081340000}"/>
    <cellStyle name="Normal 19 3 2 7 4" xfId="13438" xr:uid="{00000000-0005-0000-0000-000082340000}"/>
    <cellStyle name="Normal 19 3 2 7 5" xfId="13439" xr:uid="{00000000-0005-0000-0000-000083340000}"/>
    <cellStyle name="Normal 19 3 2 7 6" xfId="13440" xr:uid="{00000000-0005-0000-0000-000084340000}"/>
    <cellStyle name="Normal 19 3 2 8" xfId="13441" xr:uid="{00000000-0005-0000-0000-000085340000}"/>
    <cellStyle name="Normal 19 3 2 8 2" xfId="13442" xr:uid="{00000000-0005-0000-0000-000086340000}"/>
    <cellStyle name="Normal 19 3 2 8 3" xfId="13443" xr:uid="{00000000-0005-0000-0000-000087340000}"/>
    <cellStyle name="Normal 19 3 2 8 4" xfId="13444" xr:uid="{00000000-0005-0000-0000-000088340000}"/>
    <cellStyle name="Normal 19 3 2 8 5" xfId="13445" xr:uid="{00000000-0005-0000-0000-000089340000}"/>
    <cellStyle name="Normal 19 3 2 8 6" xfId="13446" xr:uid="{00000000-0005-0000-0000-00008A340000}"/>
    <cellStyle name="Normal 19 3 2 9" xfId="13447" xr:uid="{00000000-0005-0000-0000-00008B340000}"/>
    <cellStyle name="Normal 19 3 2 9 2" xfId="13448" xr:uid="{00000000-0005-0000-0000-00008C340000}"/>
    <cellStyle name="Normal 19 3 2 9 3" xfId="13449" xr:uid="{00000000-0005-0000-0000-00008D340000}"/>
    <cellStyle name="Normal 19 3 2 9 4" xfId="13450" xr:uid="{00000000-0005-0000-0000-00008E340000}"/>
    <cellStyle name="Normal 19 3 2 9 5" xfId="13451" xr:uid="{00000000-0005-0000-0000-00008F340000}"/>
    <cellStyle name="Normal 19 3 2 9 6" xfId="13452" xr:uid="{00000000-0005-0000-0000-000090340000}"/>
    <cellStyle name="Normal 19 3 3" xfId="13453" xr:uid="{00000000-0005-0000-0000-000091340000}"/>
    <cellStyle name="Normal 19 3 3 2" xfId="13454" xr:uid="{00000000-0005-0000-0000-000092340000}"/>
    <cellStyle name="Normal 19 3 3 3" xfId="13455" xr:uid="{00000000-0005-0000-0000-000093340000}"/>
    <cellStyle name="Normal 19 3 3 4" xfId="13456" xr:uid="{00000000-0005-0000-0000-000094340000}"/>
    <cellStyle name="Normal 19 3 3 5" xfId="13457" xr:uid="{00000000-0005-0000-0000-000095340000}"/>
    <cellStyle name="Normal 19 3 3 6" xfId="13458" xr:uid="{00000000-0005-0000-0000-000096340000}"/>
    <cellStyle name="Normal 19 3 4" xfId="13459" xr:uid="{00000000-0005-0000-0000-000097340000}"/>
    <cellStyle name="Normal 19 3 4 2" xfId="13460" xr:uid="{00000000-0005-0000-0000-000098340000}"/>
    <cellStyle name="Normal 19 3 4 3" xfId="13461" xr:uid="{00000000-0005-0000-0000-000099340000}"/>
    <cellStyle name="Normal 19 3 4 4" xfId="13462" xr:uid="{00000000-0005-0000-0000-00009A340000}"/>
    <cellStyle name="Normal 19 3 4 5" xfId="13463" xr:uid="{00000000-0005-0000-0000-00009B340000}"/>
    <cellStyle name="Normal 19 3 4 6" xfId="13464" xr:uid="{00000000-0005-0000-0000-00009C340000}"/>
    <cellStyle name="Normal 19 3 5" xfId="13465" xr:uid="{00000000-0005-0000-0000-00009D340000}"/>
    <cellStyle name="Normal 19 3 5 2" xfId="13466" xr:uid="{00000000-0005-0000-0000-00009E340000}"/>
    <cellStyle name="Normal 19 3 5 3" xfId="13467" xr:uid="{00000000-0005-0000-0000-00009F340000}"/>
    <cellStyle name="Normal 19 3 5 4" xfId="13468" xr:uid="{00000000-0005-0000-0000-0000A0340000}"/>
    <cellStyle name="Normal 19 3 5 5" xfId="13469" xr:uid="{00000000-0005-0000-0000-0000A1340000}"/>
    <cellStyle name="Normal 19 3 5 6" xfId="13470" xr:uid="{00000000-0005-0000-0000-0000A2340000}"/>
    <cellStyle name="Normal 19 3 6" xfId="13471" xr:uid="{00000000-0005-0000-0000-0000A3340000}"/>
    <cellStyle name="Normal 19 3 6 2" xfId="13472" xr:uid="{00000000-0005-0000-0000-0000A4340000}"/>
    <cellStyle name="Normal 19 3 6 3" xfId="13473" xr:uid="{00000000-0005-0000-0000-0000A5340000}"/>
    <cellStyle name="Normal 19 3 6 4" xfId="13474" xr:uid="{00000000-0005-0000-0000-0000A6340000}"/>
    <cellStyle name="Normal 19 3 6 5" xfId="13475" xr:uid="{00000000-0005-0000-0000-0000A7340000}"/>
    <cellStyle name="Normal 19 3 6 6" xfId="13476" xr:uid="{00000000-0005-0000-0000-0000A8340000}"/>
    <cellStyle name="Normal 19 3 7" xfId="13477" xr:uid="{00000000-0005-0000-0000-0000A9340000}"/>
    <cellStyle name="Normal 19 3 7 2" xfId="13478" xr:uid="{00000000-0005-0000-0000-0000AA340000}"/>
    <cellStyle name="Normal 19 3 7 3" xfId="13479" xr:uid="{00000000-0005-0000-0000-0000AB340000}"/>
    <cellStyle name="Normal 19 3 7 4" xfId="13480" xr:uid="{00000000-0005-0000-0000-0000AC340000}"/>
    <cellStyle name="Normal 19 3 7 5" xfId="13481" xr:uid="{00000000-0005-0000-0000-0000AD340000}"/>
    <cellStyle name="Normal 19 3 7 6" xfId="13482" xr:uid="{00000000-0005-0000-0000-0000AE340000}"/>
    <cellStyle name="Normal 19 3 8" xfId="13483" xr:uid="{00000000-0005-0000-0000-0000AF340000}"/>
    <cellStyle name="Normal 19 3 8 2" xfId="13484" xr:uid="{00000000-0005-0000-0000-0000B0340000}"/>
    <cellStyle name="Normal 19 3 8 3" xfId="13485" xr:uid="{00000000-0005-0000-0000-0000B1340000}"/>
    <cellStyle name="Normal 19 3 8 4" xfId="13486" xr:uid="{00000000-0005-0000-0000-0000B2340000}"/>
    <cellStyle name="Normal 19 3 8 5" xfId="13487" xr:uid="{00000000-0005-0000-0000-0000B3340000}"/>
    <cellStyle name="Normal 19 3 8 6" xfId="13488" xr:uid="{00000000-0005-0000-0000-0000B4340000}"/>
    <cellStyle name="Normal 19 3 9" xfId="13489" xr:uid="{00000000-0005-0000-0000-0000B5340000}"/>
    <cellStyle name="Normal 19 3 9 2" xfId="13490" xr:uid="{00000000-0005-0000-0000-0000B6340000}"/>
    <cellStyle name="Normal 19 3 9 3" xfId="13491" xr:uid="{00000000-0005-0000-0000-0000B7340000}"/>
    <cellStyle name="Normal 19 3 9 4" xfId="13492" xr:uid="{00000000-0005-0000-0000-0000B8340000}"/>
    <cellStyle name="Normal 19 3 9 5" xfId="13493" xr:uid="{00000000-0005-0000-0000-0000B9340000}"/>
    <cellStyle name="Normal 19 3 9 6" xfId="13494" xr:uid="{00000000-0005-0000-0000-0000BA340000}"/>
    <cellStyle name="Normal 19 30" xfId="13495" xr:uid="{00000000-0005-0000-0000-0000BB340000}"/>
    <cellStyle name="Normal 19 30 10" xfId="13496" xr:uid="{00000000-0005-0000-0000-0000BC340000}"/>
    <cellStyle name="Normal 19 30 10 2" xfId="13497" xr:uid="{00000000-0005-0000-0000-0000BD340000}"/>
    <cellStyle name="Normal 19 30 10 3" xfId="13498" xr:uid="{00000000-0005-0000-0000-0000BE340000}"/>
    <cellStyle name="Normal 19 30 10 4" xfId="13499" xr:uid="{00000000-0005-0000-0000-0000BF340000}"/>
    <cellStyle name="Normal 19 30 10 5" xfId="13500" xr:uid="{00000000-0005-0000-0000-0000C0340000}"/>
    <cellStyle name="Normal 19 30 10 6" xfId="13501" xr:uid="{00000000-0005-0000-0000-0000C1340000}"/>
    <cellStyle name="Normal 19 30 11" xfId="13502" xr:uid="{00000000-0005-0000-0000-0000C2340000}"/>
    <cellStyle name="Normal 19 30 12" xfId="13503" xr:uid="{00000000-0005-0000-0000-0000C3340000}"/>
    <cellStyle name="Normal 19 30 13" xfId="13504" xr:uid="{00000000-0005-0000-0000-0000C4340000}"/>
    <cellStyle name="Normal 19 30 14" xfId="13505" xr:uid="{00000000-0005-0000-0000-0000C5340000}"/>
    <cellStyle name="Normal 19 30 15" xfId="13506" xr:uid="{00000000-0005-0000-0000-0000C6340000}"/>
    <cellStyle name="Normal 19 30 2" xfId="13507" xr:uid="{00000000-0005-0000-0000-0000C7340000}"/>
    <cellStyle name="Normal 19 30 2 10" xfId="13508" xr:uid="{00000000-0005-0000-0000-0000C8340000}"/>
    <cellStyle name="Normal 19 30 2 11" xfId="13509" xr:uid="{00000000-0005-0000-0000-0000C9340000}"/>
    <cellStyle name="Normal 19 30 2 12" xfId="13510" xr:uid="{00000000-0005-0000-0000-0000CA340000}"/>
    <cellStyle name="Normal 19 30 2 13" xfId="13511" xr:uid="{00000000-0005-0000-0000-0000CB340000}"/>
    <cellStyle name="Normal 19 30 2 14" xfId="13512" xr:uid="{00000000-0005-0000-0000-0000CC340000}"/>
    <cellStyle name="Normal 19 30 2 2" xfId="13513" xr:uid="{00000000-0005-0000-0000-0000CD340000}"/>
    <cellStyle name="Normal 19 30 2 2 2" xfId="13514" xr:uid="{00000000-0005-0000-0000-0000CE340000}"/>
    <cellStyle name="Normal 19 30 2 2 3" xfId="13515" xr:uid="{00000000-0005-0000-0000-0000CF340000}"/>
    <cellStyle name="Normal 19 30 2 2 4" xfId="13516" xr:uid="{00000000-0005-0000-0000-0000D0340000}"/>
    <cellStyle name="Normal 19 30 2 2 5" xfId="13517" xr:uid="{00000000-0005-0000-0000-0000D1340000}"/>
    <cellStyle name="Normal 19 30 2 2 6" xfId="13518" xr:uid="{00000000-0005-0000-0000-0000D2340000}"/>
    <cellStyle name="Normal 19 30 2 3" xfId="13519" xr:uid="{00000000-0005-0000-0000-0000D3340000}"/>
    <cellStyle name="Normal 19 30 2 3 2" xfId="13520" xr:uid="{00000000-0005-0000-0000-0000D4340000}"/>
    <cellStyle name="Normal 19 30 2 3 3" xfId="13521" xr:uid="{00000000-0005-0000-0000-0000D5340000}"/>
    <cellStyle name="Normal 19 30 2 3 4" xfId="13522" xr:uid="{00000000-0005-0000-0000-0000D6340000}"/>
    <cellStyle name="Normal 19 30 2 3 5" xfId="13523" xr:uid="{00000000-0005-0000-0000-0000D7340000}"/>
    <cellStyle name="Normal 19 30 2 3 6" xfId="13524" xr:uid="{00000000-0005-0000-0000-0000D8340000}"/>
    <cellStyle name="Normal 19 30 2 4" xfId="13525" xr:uid="{00000000-0005-0000-0000-0000D9340000}"/>
    <cellStyle name="Normal 19 30 2 4 2" xfId="13526" xr:uid="{00000000-0005-0000-0000-0000DA340000}"/>
    <cellStyle name="Normal 19 30 2 4 3" xfId="13527" xr:uid="{00000000-0005-0000-0000-0000DB340000}"/>
    <cellStyle name="Normal 19 30 2 4 4" xfId="13528" xr:uid="{00000000-0005-0000-0000-0000DC340000}"/>
    <cellStyle name="Normal 19 30 2 4 5" xfId="13529" xr:uid="{00000000-0005-0000-0000-0000DD340000}"/>
    <cellStyle name="Normal 19 30 2 4 6" xfId="13530" xr:uid="{00000000-0005-0000-0000-0000DE340000}"/>
    <cellStyle name="Normal 19 30 2 5" xfId="13531" xr:uid="{00000000-0005-0000-0000-0000DF340000}"/>
    <cellStyle name="Normal 19 30 2 5 2" xfId="13532" xr:uid="{00000000-0005-0000-0000-0000E0340000}"/>
    <cellStyle name="Normal 19 30 2 5 3" xfId="13533" xr:uid="{00000000-0005-0000-0000-0000E1340000}"/>
    <cellStyle name="Normal 19 30 2 5 4" xfId="13534" xr:uid="{00000000-0005-0000-0000-0000E2340000}"/>
    <cellStyle name="Normal 19 30 2 5 5" xfId="13535" xr:uid="{00000000-0005-0000-0000-0000E3340000}"/>
    <cellStyle name="Normal 19 30 2 5 6" xfId="13536" xr:uid="{00000000-0005-0000-0000-0000E4340000}"/>
    <cellStyle name="Normal 19 30 2 6" xfId="13537" xr:uid="{00000000-0005-0000-0000-0000E5340000}"/>
    <cellStyle name="Normal 19 30 2 6 2" xfId="13538" xr:uid="{00000000-0005-0000-0000-0000E6340000}"/>
    <cellStyle name="Normal 19 30 2 6 3" xfId="13539" xr:uid="{00000000-0005-0000-0000-0000E7340000}"/>
    <cellStyle name="Normal 19 30 2 6 4" xfId="13540" xr:uid="{00000000-0005-0000-0000-0000E8340000}"/>
    <cellStyle name="Normal 19 30 2 6 5" xfId="13541" xr:uid="{00000000-0005-0000-0000-0000E9340000}"/>
    <cellStyle name="Normal 19 30 2 6 6" xfId="13542" xr:uid="{00000000-0005-0000-0000-0000EA340000}"/>
    <cellStyle name="Normal 19 30 2 7" xfId="13543" xr:uid="{00000000-0005-0000-0000-0000EB340000}"/>
    <cellStyle name="Normal 19 30 2 7 2" xfId="13544" xr:uid="{00000000-0005-0000-0000-0000EC340000}"/>
    <cellStyle name="Normal 19 30 2 7 3" xfId="13545" xr:uid="{00000000-0005-0000-0000-0000ED340000}"/>
    <cellStyle name="Normal 19 30 2 7 4" xfId="13546" xr:uid="{00000000-0005-0000-0000-0000EE340000}"/>
    <cellStyle name="Normal 19 30 2 7 5" xfId="13547" xr:uid="{00000000-0005-0000-0000-0000EF340000}"/>
    <cellStyle name="Normal 19 30 2 7 6" xfId="13548" xr:uid="{00000000-0005-0000-0000-0000F0340000}"/>
    <cellStyle name="Normal 19 30 2 8" xfId="13549" xr:uid="{00000000-0005-0000-0000-0000F1340000}"/>
    <cellStyle name="Normal 19 30 2 8 2" xfId="13550" xr:uid="{00000000-0005-0000-0000-0000F2340000}"/>
    <cellStyle name="Normal 19 30 2 8 3" xfId="13551" xr:uid="{00000000-0005-0000-0000-0000F3340000}"/>
    <cellStyle name="Normal 19 30 2 8 4" xfId="13552" xr:uid="{00000000-0005-0000-0000-0000F4340000}"/>
    <cellStyle name="Normal 19 30 2 8 5" xfId="13553" xr:uid="{00000000-0005-0000-0000-0000F5340000}"/>
    <cellStyle name="Normal 19 30 2 8 6" xfId="13554" xr:uid="{00000000-0005-0000-0000-0000F6340000}"/>
    <cellStyle name="Normal 19 30 2 9" xfId="13555" xr:uid="{00000000-0005-0000-0000-0000F7340000}"/>
    <cellStyle name="Normal 19 30 2 9 2" xfId="13556" xr:uid="{00000000-0005-0000-0000-0000F8340000}"/>
    <cellStyle name="Normal 19 30 2 9 3" xfId="13557" xr:uid="{00000000-0005-0000-0000-0000F9340000}"/>
    <cellStyle name="Normal 19 30 2 9 4" xfId="13558" xr:uid="{00000000-0005-0000-0000-0000FA340000}"/>
    <cellStyle name="Normal 19 30 2 9 5" xfId="13559" xr:uid="{00000000-0005-0000-0000-0000FB340000}"/>
    <cellStyle name="Normal 19 30 2 9 6" xfId="13560" xr:uid="{00000000-0005-0000-0000-0000FC340000}"/>
    <cellStyle name="Normal 19 30 3" xfId="13561" xr:uid="{00000000-0005-0000-0000-0000FD340000}"/>
    <cellStyle name="Normal 19 30 3 2" xfId="13562" xr:uid="{00000000-0005-0000-0000-0000FE340000}"/>
    <cellStyle name="Normal 19 30 3 3" xfId="13563" xr:uid="{00000000-0005-0000-0000-0000FF340000}"/>
    <cellStyle name="Normal 19 30 3 4" xfId="13564" xr:uid="{00000000-0005-0000-0000-000000350000}"/>
    <cellStyle name="Normal 19 30 3 5" xfId="13565" xr:uid="{00000000-0005-0000-0000-000001350000}"/>
    <cellStyle name="Normal 19 30 3 6" xfId="13566" xr:uid="{00000000-0005-0000-0000-000002350000}"/>
    <cellStyle name="Normal 19 30 4" xfId="13567" xr:uid="{00000000-0005-0000-0000-000003350000}"/>
    <cellStyle name="Normal 19 30 4 2" xfId="13568" xr:uid="{00000000-0005-0000-0000-000004350000}"/>
    <cellStyle name="Normal 19 30 4 3" xfId="13569" xr:uid="{00000000-0005-0000-0000-000005350000}"/>
    <cellStyle name="Normal 19 30 4 4" xfId="13570" xr:uid="{00000000-0005-0000-0000-000006350000}"/>
    <cellStyle name="Normal 19 30 4 5" xfId="13571" xr:uid="{00000000-0005-0000-0000-000007350000}"/>
    <cellStyle name="Normal 19 30 4 6" xfId="13572" xr:uid="{00000000-0005-0000-0000-000008350000}"/>
    <cellStyle name="Normal 19 30 5" xfId="13573" xr:uid="{00000000-0005-0000-0000-000009350000}"/>
    <cellStyle name="Normal 19 30 5 2" xfId="13574" xr:uid="{00000000-0005-0000-0000-00000A350000}"/>
    <cellStyle name="Normal 19 30 5 3" xfId="13575" xr:uid="{00000000-0005-0000-0000-00000B350000}"/>
    <cellStyle name="Normal 19 30 5 4" xfId="13576" xr:uid="{00000000-0005-0000-0000-00000C350000}"/>
    <cellStyle name="Normal 19 30 5 5" xfId="13577" xr:uid="{00000000-0005-0000-0000-00000D350000}"/>
    <cellStyle name="Normal 19 30 5 6" xfId="13578" xr:uid="{00000000-0005-0000-0000-00000E350000}"/>
    <cellStyle name="Normal 19 30 6" xfId="13579" xr:uid="{00000000-0005-0000-0000-00000F350000}"/>
    <cellStyle name="Normal 19 30 6 2" xfId="13580" xr:uid="{00000000-0005-0000-0000-000010350000}"/>
    <cellStyle name="Normal 19 30 6 3" xfId="13581" xr:uid="{00000000-0005-0000-0000-000011350000}"/>
    <cellStyle name="Normal 19 30 6 4" xfId="13582" xr:uid="{00000000-0005-0000-0000-000012350000}"/>
    <cellStyle name="Normal 19 30 6 5" xfId="13583" xr:uid="{00000000-0005-0000-0000-000013350000}"/>
    <cellStyle name="Normal 19 30 6 6" xfId="13584" xr:uid="{00000000-0005-0000-0000-000014350000}"/>
    <cellStyle name="Normal 19 30 7" xfId="13585" xr:uid="{00000000-0005-0000-0000-000015350000}"/>
    <cellStyle name="Normal 19 30 7 2" xfId="13586" xr:uid="{00000000-0005-0000-0000-000016350000}"/>
    <cellStyle name="Normal 19 30 7 3" xfId="13587" xr:uid="{00000000-0005-0000-0000-000017350000}"/>
    <cellStyle name="Normal 19 30 7 4" xfId="13588" xr:uid="{00000000-0005-0000-0000-000018350000}"/>
    <cellStyle name="Normal 19 30 7 5" xfId="13589" xr:uid="{00000000-0005-0000-0000-000019350000}"/>
    <cellStyle name="Normal 19 30 7 6" xfId="13590" xr:uid="{00000000-0005-0000-0000-00001A350000}"/>
    <cellStyle name="Normal 19 30 8" xfId="13591" xr:uid="{00000000-0005-0000-0000-00001B350000}"/>
    <cellStyle name="Normal 19 30 8 2" xfId="13592" xr:uid="{00000000-0005-0000-0000-00001C350000}"/>
    <cellStyle name="Normal 19 30 8 3" xfId="13593" xr:uid="{00000000-0005-0000-0000-00001D350000}"/>
    <cellStyle name="Normal 19 30 8 4" xfId="13594" xr:uid="{00000000-0005-0000-0000-00001E350000}"/>
    <cellStyle name="Normal 19 30 8 5" xfId="13595" xr:uid="{00000000-0005-0000-0000-00001F350000}"/>
    <cellStyle name="Normal 19 30 8 6" xfId="13596" xr:uid="{00000000-0005-0000-0000-000020350000}"/>
    <cellStyle name="Normal 19 30 9" xfId="13597" xr:uid="{00000000-0005-0000-0000-000021350000}"/>
    <cellStyle name="Normal 19 30 9 2" xfId="13598" xr:uid="{00000000-0005-0000-0000-000022350000}"/>
    <cellStyle name="Normal 19 30 9 3" xfId="13599" xr:uid="{00000000-0005-0000-0000-000023350000}"/>
    <cellStyle name="Normal 19 30 9 4" xfId="13600" xr:uid="{00000000-0005-0000-0000-000024350000}"/>
    <cellStyle name="Normal 19 30 9 5" xfId="13601" xr:uid="{00000000-0005-0000-0000-000025350000}"/>
    <cellStyle name="Normal 19 30 9 6" xfId="13602" xr:uid="{00000000-0005-0000-0000-000026350000}"/>
    <cellStyle name="Normal 19 31" xfId="13603" xr:uid="{00000000-0005-0000-0000-000027350000}"/>
    <cellStyle name="Normal 19 31 10" xfId="13604" xr:uid="{00000000-0005-0000-0000-000028350000}"/>
    <cellStyle name="Normal 19 31 10 2" xfId="13605" xr:uid="{00000000-0005-0000-0000-000029350000}"/>
    <cellStyle name="Normal 19 31 10 3" xfId="13606" xr:uid="{00000000-0005-0000-0000-00002A350000}"/>
    <cellStyle name="Normal 19 31 10 4" xfId="13607" xr:uid="{00000000-0005-0000-0000-00002B350000}"/>
    <cellStyle name="Normal 19 31 10 5" xfId="13608" xr:uid="{00000000-0005-0000-0000-00002C350000}"/>
    <cellStyle name="Normal 19 31 10 6" xfId="13609" xr:uid="{00000000-0005-0000-0000-00002D350000}"/>
    <cellStyle name="Normal 19 31 11" xfId="13610" xr:uid="{00000000-0005-0000-0000-00002E350000}"/>
    <cellStyle name="Normal 19 31 12" xfId="13611" xr:uid="{00000000-0005-0000-0000-00002F350000}"/>
    <cellStyle name="Normal 19 31 13" xfId="13612" xr:uid="{00000000-0005-0000-0000-000030350000}"/>
    <cellStyle name="Normal 19 31 14" xfId="13613" xr:uid="{00000000-0005-0000-0000-000031350000}"/>
    <cellStyle name="Normal 19 31 15" xfId="13614" xr:uid="{00000000-0005-0000-0000-000032350000}"/>
    <cellStyle name="Normal 19 31 2" xfId="13615" xr:uid="{00000000-0005-0000-0000-000033350000}"/>
    <cellStyle name="Normal 19 31 2 10" xfId="13616" xr:uid="{00000000-0005-0000-0000-000034350000}"/>
    <cellStyle name="Normal 19 31 2 11" xfId="13617" xr:uid="{00000000-0005-0000-0000-000035350000}"/>
    <cellStyle name="Normal 19 31 2 12" xfId="13618" xr:uid="{00000000-0005-0000-0000-000036350000}"/>
    <cellStyle name="Normal 19 31 2 13" xfId="13619" xr:uid="{00000000-0005-0000-0000-000037350000}"/>
    <cellStyle name="Normal 19 31 2 14" xfId="13620" xr:uid="{00000000-0005-0000-0000-000038350000}"/>
    <cellStyle name="Normal 19 31 2 2" xfId="13621" xr:uid="{00000000-0005-0000-0000-000039350000}"/>
    <cellStyle name="Normal 19 31 2 2 2" xfId="13622" xr:uid="{00000000-0005-0000-0000-00003A350000}"/>
    <cellStyle name="Normal 19 31 2 2 3" xfId="13623" xr:uid="{00000000-0005-0000-0000-00003B350000}"/>
    <cellStyle name="Normal 19 31 2 2 4" xfId="13624" xr:uid="{00000000-0005-0000-0000-00003C350000}"/>
    <cellStyle name="Normal 19 31 2 2 5" xfId="13625" xr:uid="{00000000-0005-0000-0000-00003D350000}"/>
    <cellStyle name="Normal 19 31 2 2 6" xfId="13626" xr:uid="{00000000-0005-0000-0000-00003E350000}"/>
    <cellStyle name="Normal 19 31 2 3" xfId="13627" xr:uid="{00000000-0005-0000-0000-00003F350000}"/>
    <cellStyle name="Normal 19 31 2 3 2" xfId="13628" xr:uid="{00000000-0005-0000-0000-000040350000}"/>
    <cellStyle name="Normal 19 31 2 3 3" xfId="13629" xr:uid="{00000000-0005-0000-0000-000041350000}"/>
    <cellStyle name="Normal 19 31 2 3 4" xfId="13630" xr:uid="{00000000-0005-0000-0000-000042350000}"/>
    <cellStyle name="Normal 19 31 2 3 5" xfId="13631" xr:uid="{00000000-0005-0000-0000-000043350000}"/>
    <cellStyle name="Normal 19 31 2 3 6" xfId="13632" xr:uid="{00000000-0005-0000-0000-000044350000}"/>
    <cellStyle name="Normal 19 31 2 4" xfId="13633" xr:uid="{00000000-0005-0000-0000-000045350000}"/>
    <cellStyle name="Normal 19 31 2 4 2" xfId="13634" xr:uid="{00000000-0005-0000-0000-000046350000}"/>
    <cellStyle name="Normal 19 31 2 4 3" xfId="13635" xr:uid="{00000000-0005-0000-0000-000047350000}"/>
    <cellStyle name="Normal 19 31 2 4 4" xfId="13636" xr:uid="{00000000-0005-0000-0000-000048350000}"/>
    <cellStyle name="Normal 19 31 2 4 5" xfId="13637" xr:uid="{00000000-0005-0000-0000-000049350000}"/>
    <cellStyle name="Normal 19 31 2 4 6" xfId="13638" xr:uid="{00000000-0005-0000-0000-00004A350000}"/>
    <cellStyle name="Normal 19 31 2 5" xfId="13639" xr:uid="{00000000-0005-0000-0000-00004B350000}"/>
    <cellStyle name="Normal 19 31 2 5 2" xfId="13640" xr:uid="{00000000-0005-0000-0000-00004C350000}"/>
    <cellStyle name="Normal 19 31 2 5 3" xfId="13641" xr:uid="{00000000-0005-0000-0000-00004D350000}"/>
    <cellStyle name="Normal 19 31 2 5 4" xfId="13642" xr:uid="{00000000-0005-0000-0000-00004E350000}"/>
    <cellStyle name="Normal 19 31 2 5 5" xfId="13643" xr:uid="{00000000-0005-0000-0000-00004F350000}"/>
    <cellStyle name="Normal 19 31 2 5 6" xfId="13644" xr:uid="{00000000-0005-0000-0000-000050350000}"/>
    <cellStyle name="Normal 19 31 2 6" xfId="13645" xr:uid="{00000000-0005-0000-0000-000051350000}"/>
    <cellStyle name="Normal 19 31 2 6 2" xfId="13646" xr:uid="{00000000-0005-0000-0000-000052350000}"/>
    <cellStyle name="Normal 19 31 2 6 3" xfId="13647" xr:uid="{00000000-0005-0000-0000-000053350000}"/>
    <cellStyle name="Normal 19 31 2 6 4" xfId="13648" xr:uid="{00000000-0005-0000-0000-000054350000}"/>
    <cellStyle name="Normal 19 31 2 6 5" xfId="13649" xr:uid="{00000000-0005-0000-0000-000055350000}"/>
    <cellStyle name="Normal 19 31 2 6 6" xfId="13650" xr:uid="{00000000-0005-0000-0000-000056350000}"/>
    <cellStyle name="Normal 19 31 2 7" xfId="13651" xr:uid="{00000000-0005-0000-0000-000057350000}"/>
    <cellStyle name="Normal 19 31 2 7 2" xfId="13652" xr:uid="{00000000-0005-0000-0000-000058350000}"/>
    <cellStyle name="Normal 19 31 2 7 3" xfId="13653" xr:uid="{00000000-0005-0000-0000-000059350000}"/>
    <cellStyle name="Normal 19 31 2 7 4" xfId="13654" xr:uid="{00000000-0005-0000-0000-00005A350000}"/>
    <cellStyle name="Normal 19 31 2 7 5" xfId="13655" xr:uid="{00000000-0005-0000-0000-00005B350000}"/>
    <cellStyle name="Normal 19 31 2 7 6" xfId="13656" xr:uid="{00000000-0005-0000-0000-00005C350000}"/>
    <cellStyle name="Normal 19 31 2 8" xfId="13657" xr:uid="{00000000-0005-0000-0000-00005D350000}"/>
    <cellStyle name="Normal 19 31 2 8 2" xfId="13658" xr:uid="{00000000-0005-0000-0000-00005E350000}"/>
    <cellStyle name="Normal 19 31 2 8 3" xfId="13659" xr:uid="{00000000-0005-0000-0000-00005F350000}"/>
    <cellStyle name="Normal 19 31 2 8 4" xfId="13660" xr:uid="{00000000-0005-0000-0000-000060350000}"/>
    <cellStyle name="Normal 19 31 2 8 5" xfId="13661" xr:uid="{00000000-0005-0000-0000-000061350000}"/>
    <cellStyle name="Normal 19 31 2 8 6" xfId="13662" xr:uid="{00000000-0005-0000-0000-000062350000}"/>
    <cellStyle name="Normal 19 31 2 9" xfId="13663" xr:uid="{00000000-0005-0000-0000-000063350000}"/>
    <cellStyle name="Normal 19 31 2 9 2" xfId="13664" xr:uid="{00000000-0005-0000-0000-000064350000}"/>
    <cellStyle name="Normal 19 31 2 9 3" xfId="13665" xr:uid="{00000000-0005-0000-0000-000065350000}"/>
    <cellStyle name="Normal 19 31 2 9 4" xfId="13666" xr:uid="{00000000-0005-0000-0000-000066350000}"/>
    <cellStyle name="Normal 19 31 2 9 5" xfId="13667" xr:uid="{00000000-0005-0000-0000-000067350000}"/>
    <cellStyle name="Normal 19 31 2 9 6" xfId="13668" xr:uid="{00000000-0005-0000-0000-000068350000}"/>
    <cellStyle name="Normal 19 31 3" xfId="13669" xr:uid="{00000000-0005-0000-0000-000069350000}"/>
    <cellStyle name="Normal 19 31 3 2" xfId="13670" xr:uid="{00000000-0005-0000-0000-00006A350000}"/>
    <cellStyle name="Normal 19 31 3 3" xfId="13671" xr:uid="{00000000-0005-0000-0000-00006B350000}"/>
    <cellStyle name="Normal 19 31 3 4" xfId="13672" xr:uid="{00000000-0005-0000-0000-00006C350000}"/>
    <cellStyle name="Normal 19 31 3 5" xfId="13673" xr:uid="{00000000-0005-0000-0000-00006D350000}"/>
    <cellStyle name="Normal 19 31 3 6" xfId="13674" xr:uid="{00000000-0005-0000-0000-00006E350000}"/>
    <cellStyle name="Normal 19 31 4" xfId="13675" xr:uid="{00000000-0005-0000-0000-00006F350000}"/>
    <cellStyle name="Normal 19 31 4 2" xfId="13676" xr:uid="{00000000-0005-0000-0000-000070350000}"/>
    <cellStyle name="Normal 19 31 4 3" xfId="13677" xr:uid="{00000000-0005-0000-0000-000071350000}"/>
    <cellStyle name="Normal 19 31 4 4" xfId="13678" xr:uid="{00000000-0005-0000-0000-000072350000}"/>
    <cellStyle name="Normal 19 31 4 5" xfId="13679" xr:uid="{00000000-0005-0000-0000-000073350000}"/>
    <cellStyle name="Normal 19 31 4 6" xfId="13680" xr:uid="{00000000-0005-0000-0000-000074350000}"/>
    <cellStyle name="Normal 19 31 5" xfId="13681" xr:uid="{00000000-0005-0000-0000-000075350000}"/>
    <cellStyle name="Normal 19 31 5 2" xfId="13682" xr:uid="{00000000-0005-0000-0000-000076350000}"/>
    <cellStyle name="Normal 19 31 5 3" xfId="13683" xr:uid="{00000000-0005-0000-0000-000077350000}"/>
    <cellStyle name="Normal 19 31 5 4" xfId="13684" xr:uid="{00000000-0005-0000-0000-000078350000}"/>
    <cellStyle name="Normal 19 31 5 5" xfId="13685" xr:uid="{00000000-0005-0000-0000-000079350000}"/>
    <cellStyle name="Normal 19 31 5 6" xfId="13686" xr:uid="{00000000-0005-0000-0000-00007A350000}"/>
    <cellStyle name="Normal 19 31 6" xfId="13687" xr:uid="{00000000-0005-0000-0000-00007B350000}"/>
    <cellStyle name="Normal 19 31 6 2" xfId="13688" xr:uid="{00000000-0005-0000-0000-00007C350000}"/>
    <cellStyle name="Normal 19 31 6 3" xfId="13689" xr:uid="{00000000-0005-0000-0000-00007D350000}"/>
    <cellStyle name="Normal 19 31 6 4" xfId="13690" xr:uid="{00000000-0005-0000-0000-00007E350000}"/>
    <cellStyle name="Normal 19 31 6 5" xfId="13691" xr:uid="{00000000-0005-0000-0000-00007F350000}"/>
    <cellStyle name="Normal 19 31 6 6" xfId="13692" xr:uid="{00000000-0005-0000-0000-000080350000}"/>
    <cellStyle name="Normal 19 31 7" xfId="13693" xr:uid="{00000000-0005-0000-0000-000081350000}"/>
    <cellStyle name="Normal 19 31 7 2" xfId="13694" xr:uid="{00000000-0005-0000-0000-000082350000}"/>
    <cellStyle name="Normal 19 31 7 3" xfId="13695" xr:uid="{00000000-0005-0000-0000-000083350000}"/>
    <cellStyle name="Normal 19 31 7 4" xfId="13696" xr:uid="{00000000-0005-0000-0000-000084350000}"/>
    <cellStyle name="Normal 19 31 7 5" xfId="13697" xr:uid="{00000000-0005-0000-0000-000085350000}"/>
    <cellStyle name="Normal 19 31 7 6" xfId="13698" xr:uid="{00000000-0005-0000-0000-000086350000}"/>
    <cellStyle name="Normal 19 31 8" xfId="13699" xr:uid="{00000000-0005-0000-0000-000087350000}"/>
    <cellStyle name="Normal 19 31 8 2" xfId="13700" xr:uid="{00000000-0005-0000-0000-000088350000}"/>
    <cellStyle name="Normal 19 31 8 3" xfId="13701" xr:uid="{00000000-0005-0000-0000-000089350000}"/>
    <cellStyle name="Normal 19 31 8 4" xfId="13702" xr:uid="{00000000-0005-0000-0000-00008A350000}"/>
    <cellStyle name="Normal 19 31 8 5" xfId="13703" xr:uid="{00000000-0005-0000-0000-00008B350000}"/>
    <cellStyle name="Normal 19 31 8 6" xfId="13704" xr:uid="{00000000-0005-0000-0000-00008C350000}"/>
    <cellStyle name="Normal 19 31 9" xfId="13705" xr:uid="{00000000-0005-0000-0000-00008D350000}"/>
    <cellStyle name="Normal 19 31 9 2" xfId="13706" xr:uid="{00000000-0005-0000-0000-00008E350000}"/>
    <cellStyle name="Normal 19 31 9 3" xfId="13707" xr:uid="{00000000-0005-0000-0000-00008F350000}"/>
    <cellStyle name="Normal 19 31 9 4" xfId="13708" xr:uid="{00000000-0005-0000-0000-000090350000}"/>
    <cellStyle name="Normal 19 31 9 5" xfId="13709" xr:uid="{00000000-0005-0000-0000-000091350000}"/>
    <cellStyle name="Normal 19 31 9 6" xfId="13710" xr:uid="{00000000-0005-0000-0000-000092350000}"/>
    <cellStyle name="Normal 19 32" xfId="13711" xr:uid="{00000000-0005-0000-0000-000093350000}"/>
    <cellStyle name="Normal 19 32 10" xfId="13712" xr:uid="{00000000-0005-0000-0000-000094350000}"/>
    <cellStyle name="Normal 19 32 10 2" xfId="13713" xr:uid="{00000000-0005-0000-0000-000095350000}"/>
    <cellStyle name="Normal 19 32 10 3" xfId="13714" xr:uid="{00000000-0005-0000-0000-000096350000}"/>
    <cellStyle name="Normal 19 32 10 4" xfId="13715" xr:uid="{00000000-0005-0000-0000-000097350000}"/>
    <cellStyle name="Normal 19 32 10 5" xfId="13716" xr:uid="{00000000-0005-0000-0000-000098350000}"/>
    <cellStyle name="Normal 19 32 10 6" xfId="13717" xr:uid="{00000000-0005-0000-0000-000099350000}"/>
    <cellStyle name="Normal 19 32 11" xfId="13718" xr:uid="{00000000-0005-0000-0000-00009A350000}"/>
    <cellStyle name="Normal 19 32 12" xfId="13719" xr:uid="{00000000-0005-0000-0000-00009B350000}"/>
    <cellStyle name="Normal 19 32 13" xfId="13720" xr:uid="{00000000-0005-0000-0000-00009C350000}"/>
    <cellStyle name="Normal 19 32 14" xfId="13721" xr:uid="{00000000-0005-0000-0000-00009D350000}"/>
    <cellStyle name="Normal 19 32 15" xfId="13722" xr:uid="{00000000-0005-0000-0000-00009E350000}"/>
    <cellStyle name="Normal 19 32 2" xfId="13723" xr:uid="{00000000-0005-0000-0000-00009F350000}"/>
    <cellStyle name="Normal 19 32 2 10" xfId="13724" xr:uid="{00000000-0005-0000-0000-0000A0350000}"/>
    <cellStyle name="Normal 19 32 2 11" xfId="13725" xr:uid="{00000000-0005-0000-0000-0000A1350000}"/>
    <cellStyle name="Normal 19 32 2 12" xfId="13726" xr:uid="{00000000-0005-0000-0000-0000A2350000}"/>
    <cellStyle name="Normal 19 32 2 13" xfId="13727" xr:uid="{00000000-0005-0000-0000-0000A3350000}"/>
    <cellStyle name="Normal 19 32 2 14" xfId="13728" xr:uid="{00000000-0005-0000-0000-0000A4350000}"/>
    <cellStyle name="Normal 19 32 2 2" xfId="13729" xr:uid="{00000000-0005-0000-0000-0000A5350000}"/>
    <cellStyle name="Normal 19 32 2 2 2" xfId="13730" xr:uid="{00000000-0005-0000-0000-0000A6350000}"/>
    <cellStyle name="Normal 19 32 2 2 3" xfId="13731" xr:uid="{00000000-0005-0000-0000-0000A7350000}"/>
    <cellStyle name="Normal 19 32 2 2 4" xfId="13732" xr:uid="{00000000-0005-0000-0000-0000A8350000}"/>
    <cellStyle name="Normal 19 32 2 2 5" xfId="13733" xr:uid="{00000000-0005-0000-0000-0000A9350000}"/>
    <cellStyle name="Normal 19 32 2 2 6" xfId="13734" xr:uid="{00000000-0005-0000-0000-0000AA350000}"/>
    <cellStyle name="Normal 19 32 2 3" xfId="13735" xr:uid="{00000000-0005-0000-0000-0000AB350000}"/>
    <cellStyle name="Normal 19 32 2 3 2" xfId="13736" xr:uid="{00000000-0005-0000-0000-0000AC350000}"/>
    <cellStyle name="Normal 19 32 2 3 3" xfId="13737" xr:uid="{00000000-0005-0000-0000-0000AD350000}"/>
    <cellStyle name="Normal 19 32 2 3 4" xfId="13738" xr:uid="{00000000-0005-0000-0000-0000AE350000}"/>
    <cellStyle name="Normal 19 32 2 3 5" xfId="13739" xr:uid="{00000000-0005-0000-0000-0000AF350000}"/>
    <cellStyle name="Normal 19 32 2 3 6" xfId="13740" xr:uid="{00000000-0005-0000-0000-0000B0350000}"/>
    <cellStyle name="Normal 19 32 2 4" xfId="13741" xr:uid="{00000000-0005-0000-0000-0000B1350000}"/>
    <cellStyle name="Normal 19 32 2 4 2" xfId="13742" xr:uid="{00000000-0005-0000-0000-0000B2350000}"/>
    <cellStyle name="Normal 19 32 2 4 3" xfId="13743" xr:uid="{00000000-0005-0000-0000-0000B3350000}"/>
    <cellStyle name="Normal 19 32 2 4 4" xfId="13744" xr:uid="{00000000-0005-0000-0000-0000B4350000}"/>
    <cellStyle name="Normal 19 32 2 4 5" xfId="13745" xr:uid="{00000000-0005-0000-0000-0000B5350000}"/>
    <cellStyle name="Normal 19 32 2 4 6" xfId="13746" xr:uid="{00000000-0005-0000-0000-0000B6350000}"/>
    <cellStyle name="Normal 19 32 2 5" xfId="13747" xr:uid="{00000000-0005-0000-0000-0000B7350000}"/>
    <cellStyle name="Normal 19 32 2 5 2" xfId="13748" xr:uid="{00000000-0005-0000-0000-0000B8350000}"/>
    <cellStyle name="Normal 19 32 2 5 3" xfId="13749" xr:uid="{00000000-0005-0000-0000-0000B9350000}"/>
    <cellStyle name="Normal 19 32 2 5 4" xfId="13750" xr:uid="{00000000-0005-0000-0000-0000BA350000}"/>
    <cellStyle name="Normal 19 32 2 5 5" xfId="13751" xr:uid="{00000000-0005-0000-0000-0000BB350000}"/>
    <cellStyle name="Normal 19 32 2 5 6" xfId="13752" xr:uid="{00000000-0005-0000-0000-0000BC350000}"/>
    <cellStyle name="Normal 19 32 2 6" xfId="13753" xr:uid="{00000000-0005-0000-0000-0000BD350000}"/>
    <cellStyle name="Normal 19 32 2 6 2" xfId="13754" xr:uid="{00000000-0005-0000-0000-0000BE350000}"/>
    <cellStyle name="Normal 19 32 2 6 3" xfId="13755" xr:uid="{00000000-0005-0000-0000-0000BF350000}"/>
    <cellStyle name="Normal 19 32 2 6 4" xfId="13756" xr:uid="{00000000-0005-0000-0000-0000C0350000}"/>
    <cellStyle name="Normal 19 32 2 6 5" xfId="13757" xr:uid="{00000000-0005-0000-0000-0000C1350000}"/>
    <cellStyle name="Normal 19 32 2 6 6" xfId="13758" xr:uid="{00000000-0005-0000-0000-0000C2350000}"/>
    <cellStyle name="Normal 19 32 2 7" xfId="13759" xr:uid="{00000000-0005-0000-0000-0000C3350000}"/>
    <cellStyle name="Normal 19 32 2 7 2" xfId="13760" xr:uid="{00000000-0005-0000-0000-0000C4350000}"/>
    <cellStyle name="Normal 19 32 2 7 3" xfId="13761" xr:uid="{00000000-0005-0000-0000-0000C5350000}"/>
    <cellStyle name="Normal 19 32 2 7 4" xfId="13762" xr:uid="{00000000-0005-0000-0000-0000C6350000}"/>
    <cellStyle name="Normal 19 32 2 7 5" xfId="13763" xr:uid="{00000000-0005-0000-0000-0000C7350000}"/>
    <cellStyle name="Normal 19 32 2 7 6" xfId="13764" xr:uid="{00000000-0005-0000-0000-0000C8350000}"/>
    <cellStyle name="Normal 19 32 2 8" xfId="13765" xr:uid="{00000000-0005-0000-0000-0000C9350000}"/>
    <cellStyle name="Normal 19 32 2 8 2" xfId="13766" xr:uid="{00000000-0005-0000-0000-0000CA350000}"/>
    <cellStyle name="Normal 19 32 2 8 3" xfId="13767" xr:uid="{00000000-0005-0000-0000-0000CB350000}"/>
    <cellStyle name="Normal 19 32 2 8 4" xfId="13768" xr:uid="{00000000-0005-0000-0000-0000CC350000}"/>
    <cellStyle name="Normal 19 32 2 8 5" xfId="13769" xr:uid="{00000000-0005-0000-0000-0000CD350000}"/>
    <cellStyle name="Normal 19 32 2 8 6" xfId="13770" xr:uid="{00000000-0005-0000-0000-0000CE350000}"/>
    <cellStyle name="Normal 19 32 2 9" xfId="13771" xr:uid="{00000000-0005-0000-0000-0000CF350000}"/>
    <cellStyle name="Normal 19 32 2 9 2" xfId="13772" xr:uid="{00000000-0005-0000-0000-0000D0350000}"/>
    <cellStyle name="Normal 19 32 2 9 3" xfId="13773" xr:uid="{00000000-0005-0000-0000-0000D1350000}"/>
    <cellStyle name="Normal 19 32 2 9 4" xfId="13774" xr:uid="{00000000-0005-0000-0000-0000D2350000}"/>
    <cellStyle name="Normal 19 32 2 9 5" xfId="13775" xr:uid="{00000000-0005-0000-0000-0000D3350000}"/>
    <cellStyle name="Normal 19 32 2 9 6" xfId="13776" xr:uid="{00000000-0005-0000-0000-0000D4350000}"/>
    <cellStyle name="Normal 19 32 3" xfId="13777" xr:uid="{00000000-0005-0000-0000-0000D5350000}"/>
    <cellStyle name="Normal 19 32 3 2" xfId="13778" xr:uid="{00000000-0005-0000-0000-0000D6350000}"/>
    <cellStyle name="Normal 19 32 3 3" xfId="13779" xr:uid="{00000000-0005-0000-0000-0000D7350000}"/>
    <cellStyle name="Normal 19 32 3 4" xfId="13780" xr:uid="{00000000-0005-0000-0000-0000D8350000}"/>
    <cellStyle name="Normal 19 32 3 5" xfId="13781" xr:uid="{00000000-0005-0000-0000-0000D9350000}"/>
    <cellStyle name="Normal 19 32 3 6" xfId="13782" xr:uid="{00000000-0005-0000-0000-0000DA350000}"/>
    <cellStyle name="Normal 19 32 4" xfId="13783" xr:uid="{00000000-0005-0000-0000-0000DB350000}"/>
    <cellStyle name="Normal 19 32 4 2" xfId="13784" xr:uid="{00000000-0005-0000-0000-0000DC350000}"/>
    <cellStyle name="Normal 19 32 4 3" xfId="13785" xr:uid="{00000000-0005-0000-0000-0000DD350000}"/>
    <cellStyle name="Normal 19 32 4 4" xfId="13786" xr:uid="{00000000-0005-0000-0000-0000DE350000}"/>
    <cellStyle name="Normal 19 32 4 5" xfId="13787" xr:uid="{00000000-0005-0000-0000-0000DF350000}"/>
    <cellStyle name="Normal 19 32 4 6" xfId="13788" xr:uid="{00000000-0005-0000-0000-0000E0350000}"/>
    <cellStyle name="Normal 19 32 5" xfId="13789" xr:uid="{00000000-0005-0000-0000-0000E1350000}"/>
    <cellStyle name="Normal 19 32 5 2" xfId="13790" xr:uid="{00000000-0005-0000-0000-0000E2350000}"/>
    <cellStyle name="Normal 19 32 5 3" xfId="13791" xr:uid="{00000000-0005-0000-0000-0000E3350000}"/>
    <cellStyle name="Normal 19 32 5 4" xfId="13792" xr:uid="{00000000-0005-0000-0000-0000E4350000}"/>
    <cellStyle name="Normal 19 32 5 5" xfId="13793" xr:uid="{00000000-0005-0000-0000-0000E5350000}"/>
    <cellStyle name="Normal 19 32 5 6" xfId="13794" xr:uid="{00000000-0005-0000-0000-0000E6350000}"/>
    <cellStyle name="Normal 19 32 6" xfId="13795" xr:uid="{00000000-0005-0000-0000-0000E7350000}"/>
    <cellStyle name="Normal 19 32 6 2" xfId="13796" xr:uid="{00000000-0005-0000-0000-0000E8350000}"/>
    <cellStyle name="Normal 19 32 6 3" xfId="13797" xr:uid="{00000000-0005-0000-0000-0000E9350000}"/>
    <cellStyle name="Normal 19 32 6 4" xfId="13798" xr:uid="{00000000-0005-0000-0000-0000EA350000}"/>
    <cellStyle name="Normal 19 32 6 5" xfId="13799" xr:uid="{00000000-0005-0000-0000-0000EB350000}"/>
    <cellStyle name="Normal 19 32 6 6" xfId="13800" xr:uid="{00000000-0005-0000-0000-0000EC350000}"/>
    <cellStyle name="Normal 19 32 7" xfId="13801" xr:uid="{00000000-0005-0000-0000-0000ED350000}"/>
    <cellStyle name="Normal 19 32 7 2" xfId="13802" xr:uid="{00000000-0005-0000-0000-0000EE350000}"/>
    <cellStyle name="Normal 19 32 7 3" xfId="13803" xr:uid="{00000000-0005-0000-0000-0000EF350000}"/>
    <cellStyle name="Normal 19 32 7 4" xfId="13804" xr:uid="{00000000-0005-0000-0000-0000F0350000}"/>
    <cellStyle name="Normal 19 32 7 5" xfId="13805" xr:uid="{00000000-0005-0000-0000-0000F1350000}"/>
    <cellStyle name="Normal 19 32 7 6" xfId="13806" xr:uid="{00000000-0005-0000-0000-0000F2350000}"/>
    <cellStyle name="Normal 19 32 8" xfId="13807" xr:uid="{00000000-0005-0000-0000-0000F3350000}"/>
    <cellStyle name="Normal 19 32 8 2" xfId="13808" xr:uid="{00000000-0005-0000-0000-0000F4350000}"/>
    <cellStyle name="Normal 19 32 8 3" xfId="13809" xr:uid="{00000000-0005-0000-0000-0000F5350000}"/>
    <cellStyle name="Normal 19 32 8 4" xfId="13810" xr:uid="{00000000-0005-0000-0000-0000F6350000}"/>
    <cellStyle name="Normal 19 32 8 5" xfId="13811" xr:uid="{00000000-0005-0000-0000-0000F7350000}"/>
    <cellStyle name="Normal 19 32 8 6" xfId="13812" xr:uid="{00000000-0005-0000-0000-0000F8350000}"/>
    <cellStyle name="Normal 19 32 9" xfId="13813" xr:uid="{00000000-0005-0000-0000-0000F9350000}"/>
    <cellStyle name="Normal 19 32 9 2" xfId="13814" xr:uid="{00000000-0005-0000-0000-0000FA350000}"/>
    <cellStyle name="Normal 19 32 9 3" xfId="13815" xr:uid="{00000000-0005-0000-0000-0000FB350000}"/>
    <cellStyle name="Normal 19 32 9 4" xfId="13816" xr:uid="{00000000-0005-0000-0000-0000FC350000}"/>
    <cellStyle name="Normal 19 32 9 5" xfId="13817" xr:uid="{00000000-0005-0000-0000-0000FD350000}"/>
    <cellStyle name="Normal 19 32 9 6" xfId="13818" xr:uid="{00000000-0005-0000-0000-0000FE350000}"/>
    <cellStyle name="Normal 19 33" xfId="13819" xr:uid="{00000000-0005-0000-0000-0000FF350000}"/>
    <cellStyle name="Normal 19 33 10" xfId="13820" xr:uid="{00000000-0005-0000-0000-000000360000}"/>
    <cellStyle name="Normal 19 33 10 2" xfId="13821" xr:uid="{00000000-0005-0000-0000-000001360000}"/>
    <cellStyle name="Normal 19 33 10 3" xfId="13822" xr:uid="{00000000-0005-0000-0000-000002360000}"/>
    <cellStyle name="Normal 19 33 10 4" xfId="13823" xr:uid="{00000000-0005-0000-0000-000003360000}"/>
    <cellStyle name="Normal 19 33 10 5" xfId="13824" xr:uid="{00000000-0005-0000-0000-000004360000}"/>
    <cellStyle name="Normal 19 33 10 6" xfId="13825" xr:uid="{00000000-0005-0000-0000-000005360000}"/>
    <cellStyle name="Normal 19 33 11" xfId="13826" xr:uid="{00000000-0005-0000-0000-000006360000}"/>
    <cellStyle name="Normal 19 33 11 2" xfId="13827" xr:uid="{00000000-0005-0000-0000-000007360000}"/>
    <cellStyle name="Normal 19 33 11 3" xfId="13828" xr:uid="{00000000-0005-0000-0000-000008360000}"/>
    <cellStyle name="Normal 19 33 11 4" xfId="13829" xr:uid="{00000000-0005-0000-0000-000009360000}"/>
    <cellStyle name="Normal 19 33 11 5" xfId="13830" xr:uid="{00000000-0005-0000-0000-00000A360000}"/>
    <cellStyle name="Normal 19 33 11 6" xfId="13831" xr:uid="{00000000-0005-0000-0000-00000B360000}"/>
    <cellStyle name="Normal 19 33 12" xfId="13832" xr:uid="{00000000-0005-0000-0000-00000C360000}"/>
    <cellStyle name="Normal 19 33 12 2" xfId="13833" xr:uid="{00000000-0005-0000-0000-00000D360000}"/>
    <cellStyle name="Normal 19 33 12 3" xfId="13834" xr:uid="{00000000-0005-0000-0000-00000E360000}"/>
    <cellStyle name="Normal 19 33 12 4" xfId="13835" xr:uid="{00000000-0005-0000-0000-00000F360000}"/>
    <cellStyle name="Normal 19 33 12 5" xfId="13836" xr:uid="{00000000-0005-0000-0000-000010360000}"/>
    <cellStyle name="Normal 19 33 12 6" xfId="13837" xr:uid="{00000000-0005-0000-0000-000011360000}"/>
    <cellStyle name="Normal 19 33 13" xfId="13838" xr:uid="{00000000-0005-0000-0000-000012360000}"/>
    <cellStyle name="Normal 19 33 13 2" xfId="13839" xr:uid="{00000000-0005-0000-0000-000013360000}"/>
    <cellStyle name="Normal 19 33 13 3" xfId="13840" xr:uid="{00000000-0005-0000-0000-000014360000}"/>
    <cellStyle name="Normal 19 33 13 4" xfId="13841" xr:uid="{00000000-0005-0000-0000-000015360000}"/>
    <cellStyle name="Normal 19 33 13 5" xfId="13842" xr:uid="{00000000-0005-0000-0000-000016360000}"/>
    <cellStyle name="Normal 19 33 13 6" xfId="13843" xr:uid="{00000000-0005-0000-0000-000017360000}"/>
    <cellStyle name="Normal 19 33 14" xfId="13844" xr:uid="{00000000-0005-0000-0000-000018360000}"/>
    <cellStyle name="Normal 19 33 14 2" xfId="13845" xr:uid="{00000000-0005-0000-0000-000019360000}"/>
    <cellStyle name="Normal 19 33 14 3" xfId="13846" xr:uid="{00000000-0005-0000-0000-00001A360000}"/>
    <cellStyle name="Normal 19 33 14 4" xfId="13847" xr:uid="{00000000-0005-0000-0000-00001B360000}"/>
    <cellStyle name="Normal 19 33 14 5" xfId="13848" xr:uid="{00000000-0005-0000-0000-00001C360000}"/>
    <cellStyle name="Normal 19 33 14 6" xfId="13849" xr:uid="{00000000-0005-0000-0000-00001D360000}"/>
    <cellStyle name="Normal 19 33 15" xfId="13850" xr:uid="{00000000-0005-0000-0000-00001E360000}"/>
    <cellStyle name="Normal 19 33 16" xfId="13851" xr:uid="{00000000-0005-0000-0000-00001F360000}"/>
    <cellStyle name="Normal 19 33 17" xfId="13852" xr:uid="{00000000-0005-0000-0000-000020360000}"/>
    <cellStyle name="Normal 19 33 18" xfId="13853" xr:uid="{00000000-0005-0000-0000-000021360000}"/>
    <cellStyle name="Normal 19 33 19" xfId="13854" xr:uid="{00000000-0005-0000-0000-000022360000}"/>
    <cellStyle name="Normal 19 33 2" xfId="13855" xr:uid="{00000000-0005-0000-0000-000023360000}"/>
    <cellStyle name="Normal 19 33 2 10" xfId="13856" xr:uid="{00000000-0005-0000-0000-000024360000}"/>
    <cellStyle name="Normal 19 33 2 11" xfId="13857" xr:uid="{00000000-0005-0000-0000-000025360000}"/>
    <cellStyle name="Normal 19 33 2 12" xfId="13858" xr:uid="{00000000-0005-0000-0000-000026360000}"/>
    <cellStyle name="Normal 19 33 2 13" xfId="13859" xr:uid="{00000000-0005-0000-0000-000027360000}"/>
    <cellStyle name="Normal 19 33 2 14" xfId="13860" xr:uid="{00000000-0005-0000-0000-000028360000}"/>
    <cellStyle name="Normal 19 33 2 2" xfId="13861" xr:uid="{00000000-0005-0000-0000-000029360000}"/>
    <cellStyle name="Normal 19 33 2 2 2" xfId="13862" xr:uid="{00000000-0005-0000-0000-00002A360000}"/>
    <cellStyle name="Normal 19 33 2 2 3" xfId="13863" xr:uid="{00000000-0005-0000-0000-00002B360000}"/>
    <cellStyle name="Normal 19 33 2 2 4" xfId="13864" xr:uid="{00000000-0005-0000-0000-00002C360000}"/>
    <cellStyle name="Normal 19 33 2 2 5" xfId="13865" xr:uid="{00000000-0005-0000-0000-00002D360000}"/>
    <cellStyle name="Normal 19 33 2 2 6" xfId="13866" xr:uid="{00000000-0005-0000-0000-00002E360000}"/>
    <cellStyle name="Normal 19 33 2 3" xfId="13867" xr:uid="{00000000-0005-0000-0000-00002F360000}"/>
    <cellStyle name="Normal 19 33 2 3 2" xfId="13868" xr:uid="{00000000-0005-0000-0000-000030360000}"/>
    <cellStyle name="Normal 19 33 2 3 3" xfId="13869" xr:uid="{00000000-0005-0000-0000-000031360000}"/>
    <cellStyle name="Normal 19 33 2 3 4" xfId="13870" xr:uid="{00000000-0005-0000-0000-000032360000}"/>
    <cellStyle name="Normal 19 33 2 3 5" xfId="13871" xr:uid="{00000000-0005-0000-0000-000033360000}"/>
    <cellStyle name="Normal 19 33 2 3 6" xfId="13872" xr:uid="{00000000-0005-0000-0000-000034360000}"/>
    <cellStyle name="Normal 19 33 2 4" xfId="13873" xr:uid="{00000000-0005-0000-0000-000035360000}"/>
    <cellStyle name="Normal 19 33 2 4 2" xfId="13874" xr:uid="{00000000-0005-0000-0000-000036360000}"/>
    <cellStyle name="Normal 19 33 2 4 3" xfId="13875" xr:uid="{00000000-0005-0000-0000-000037360000}"/>
    <cellStyle name="Normal 19 33 2 4 4" xfId="13876" xr:uid="{00000000-0005-0000-0000-000038360000}"/>
    <cellStyle name="Normal 19 33 2 4 5" xfId="13877" xr:uid="{00000000-0005-0000-0000-000039360000}"/>
    <cellStyle name="Normal 19 33 2 4 6" xfId="13878" xr:uid="{00000000-0005-0000-0000-00003A360000}"/>
    <cellStyle name="Normal 19 33 2 5" xfId="13879" xr:uid="{00000000-0005-0000-0000-00003B360000}"/>
    <cellStyle name="Normal 19 33 2 5 2" xfId="13880" xr:uid="{00000000-0005-0000-0000-00003C360000}"/>
    <cellStyle name="Normal 19 33 2 5 3" xfId="13881" xr:uid="{00000000-0005-0000-0000-00003D360000}"/>
    <cellStyle name="Normal 19 33 2 5 4" xfId="13882" xr:uid="{00000000-0005-0000-0000-00003E360000}"/>
    <cellStyle name="Normal 19 33 2 5 5" xfId="13883" xr:uid="{00000000-0005-0000-0000-00003F360000}"/>
    <cellStyle name="Normal 19 33 2 5 6" xfId="13884" xr:uid="{00000000-0005-0000-0000-000040360000}"/>
    <cellStyle name="Normal 19 33 2 6" xfId="13885" xr:uid="{00000000-0005-0000-0000-000041360000}"/>
    <cellStyle name="Normal 19 33 2 6 2" xfId="13886" xr:uid="{00000000-0005-0000-0000-000042360000}"/>
    <cellStyle name="Normal 19 33 2 6 3" xfId="13887" xr:uid="{00000000-0005-0000-0000-000043360000}"/>
    <cellStyle name="Normal 19 33 2 6 4" xfId="13888" xr:uid="{00000000-0005-0000-0000-000044360000}"/>
    <cellStyle name="Normal 19 33 2 6 5" xfId="13889" xr:uid="{00000000-0005-0000-0000-000045360000}"/>
    <cellStyle name="Normal 19 33 2 6 6" xfId="13890" xr:uid="{00000000-0005-0000-0000-000046360000}"/>
    <cellStyle name="Normal 19 33 2 7" xfId="13891" xr:uid="{00000000-0005-0000-0000-000047360000}"/>
    <cellStyle name="Normal 19 33 2 7 2" xfId="13892" xr:uid="{00000000-0005-0000-0000-000048360000}"/>
    <cellStyle name="Normal 19 33 2 7 3" xfId="13893" xr:uid="{00000000-0005-0000-0000-000049360000}"/>
    <cellStyle name="Normal 19 33 2 7 4" xfId="13894" xr:uid="{00000000-0005-0000-0000-00004A360000}"/>
    <cellStyle name="Normal 19 33 2 7 5" xfId="13895" xr:uid="{00000000-0005-0000-0000-00004B360000}"/>
    <cellStyle name="Normal 19 33 2 7 6" xfId="13896" xr:uid="{00000000-0005-0000-0000-00004C360000}"/>
    <cellStyle name="Normal 19 33 2 8" xfId="13897" xr:uid="{00000000-0005-0000-0000-00004D360000}"/>
    <cellStyle name="Normal 19 33 2 8 2" xfId="13898" xr:uid="{00000000-0005-0000-0000-00004E360000}"/>
    <cellStyle name="Normal 19 33 2 8 3" xfId="13899" xr:uid="{00000000-0005-0000-0000-00004F360000}"/>
    <cellStyle name="Normal 19 33 2 8 4" xfId="13900" xr:uid="{00000000-0005-0000-0000-000050360000}"/>
    <cellStyle name="Normal 19 33 2 8 5" xfId="13901" xr:uid="{00000000-0005-0000-0000-000051360000}"/>
    <cellStyle name="Normal 19 33 2 8 6" xfId="13902" xr:uid="{00000000-0005-0000-0000-000052360000}"/>
    <cellStyle name="Normal 19 33 2 9" xfId="13903" xr:uid="{00000000-0005-0000-0000-000053360000}"/>
    <cellStyle name="Normal 19 33 2 9 2" xfId="13904" xr:uid="{00000000-0005-0000-0000-000054360000}"/>
    <cellStyle name="Normal 19 33 2 9 3" xfId="13905" xr:uid="{00000000-0005-0000-0000-000055360000}"/>
    <cellStyle name="Normal 19 33 2 9 4" xfId="13906" xr:uid="{00000000-0005-0000-0000-000056360000}"/>
    <cellStyle name="Normal 19 33 2 9 5" xfId="13907" xr:uid="{00000000-0005-0000-0000-000057360000}"/>
    <cellStyle name="Normal 19 33 2 9 6" xfId="13908" xr:uid="{00000000-0005-0000-0000-000058360000}"/>
    <cellStyle name="Normal 19 33 3" xfId="13909" xr:uid="{00000000-0005-0000-0000-000059360000}"/>
    <cellStyle name="Normal 19 33 3 10" xfId="13910" xr:uid="{00000000-0005-0000-0000-00005A360000}"/>
    <cellStyle name="Normal 19 33 3 11" xfId="13911" xr:uid="{00000000-0005-0000-0000-00005B360000}"/>
    <cellStyle name="Normal 19 33 3 12" xfId="13912" xr:uid="{00000000-0005-0000-0000-00005C360000}"/>
    <cellStyle name="Normal 19 33 3 13" xfId="13913" xr:uid="{00000000-0005-0000-0000-00005D360000}"/>
    <cellStyle name="Normal 19 33 3 14" xfId="13914" xr:uid="{00000000-0005-0000-0000-00005E360000}"/>
    <cellStyle name="Normal 19 33 3 2" xfId="13915" xr:uid="{00000000-0005-0000-0000-00005F360000}"/>
    <cellStyle name="Normal 19 33 3 2 2" xfId="13916" xr:uid="{00000000-0005-0000-0000-000060360000}"/>
    <cellStyle name="Normal 19 33 3 2 3" xfId="13917" xr:uid="{00000000-0005-0000-0000-000061360000}"/>
    <cellStyle name="Normal 19 33 3 2 4" xfId="13918" xr:uid="{00000000-0005-0000-0000-000062360000}"/>
    <cellStyle name="Normal 19 33 3 2 5" xfId="13919" xr:uid="{00000000-0005-0000-0000-000063360000}"/>
    <cellStyle name="Normal 19 33 3 2 6" xfId="13920" xr:uid="{00000000-0005-0000-0000-000064360000}"/>
    <cellStyle name="Normal 19 33 3 3" xfId="13921" xr:uid="{00000000-0005-0000-0000-000065360000}"/>
    <cellStyle name="Normal 19 33 3 3 2" xfId="13922" xr:uid="{00000000-0005-0000-0000-000066360000}"/>
    <cellStyle name="Normal 19 33 3 3 3" xfId="13923" xr:uid="{00000000-0005-0000-0000-000067360000}"/>
    <cellStyle name="Normal 19 33 3 3 4" xfId="13924" xr:uid="{00000000-0005-0000-0000-000068360000}"/>
    <cellStyle name="Normal 19 33 3 3 5" xfId="13925" xr:uid="{00000000-0005-0000-0000-000069360000}"/>
    <cellStyle name="Normal 19 33 3 3 6" xfId="13926" xr:uid="{00000000-0005-0000-0000-00006A360000}"/>
    <cellStyle name="Normal 19 33 3 4" xfId="13927" xr:uid="{00000000-0005-0000-0000-00006B360000}"/>
    <cellStyle name="Normal 19 33 3 4 2" xfId="13928" xr:uid="{00000000-0005-0000-0000-00006C360000}"/>
    <cellStyle name="Normal 19 33 3 4 3" xfId="13929" xr:uid="{00000000-0005-0000-0000-00006D360000}"/>
    <cellStyle name="Normal 19 33 3 4 4" xfId="13930" xr:uid="{00000000-0005-0000-0000-00006E360000}"/>
    <cellStyle name="Normal 19 33 3 4 5" xfId="13931" xr:uid="{00000000-0005-0000-0000-00006F360000}"/>
    <cellStyle name="Normal 19 33 3 4 6" xfId="13932" xr:uid="{00000000-0005-0000-0000-000070360000}"/>
    <cellStyle name="Normal 19 33 3 5" xfId="13933" xr:uid="{00000000-0005-0000-0000-000071360000}"/>
    <cellStyle name="Normal 19 33 3 5 2" xfId="13934" xr:uid="{00000000-0005-0000-0000-000072360000}"/>
    <cellStyle name="Normal 19 33 3 5 3" xfId="13935" xr:uid="{00000000-0005-0000-0000-000073360000}"/>
    <cellStyle name="Normal 19 33 3 5 4" xfId="13936" xr:uid="{00000000-0005-0000-0000-000074360000}"/>
    <cellStyle name="Normal 19 33 3 5 5" xfId="13937" xr:uid="{00000000-0005-0000-0000-000075360000}"/>
    <cellStyle name="Normal 19 33 3 5 6" xfId="13938" xr:uid="{00000000-0005-0000-0000-000076360000}"/>
    <cellStyle name="Normal 19 33 3 6" xfId="13939" xr:uid="{00000000-0005-0000-0000-000077360000}"/>
    <cellStyle name="Normal 19 33 3 6 2" xfId="13940" xr:uid="{00000000-0005-0000-0000-000078360000}"/>
    <cellStyle name="Normal 19 33 3 6 3" xfId="13941" xr:uid="{00000000-0005-0000-0000-000079360000}"/>
    <cellStyle name="Normal 19 33 3 6 4" xfId="13942" xr:uid="{00000000-0005-0000-0000-00007A360000}"/>
    <cellStyle name="Normal 19 33 3 6 5" xfId="13943" xr:uid="{00000000-0005-0000-0000-00007B360000}"/>
    <cellStyle name="Normal 19 33 3 6 6" xfId="13944" xr:uid="{00000000-0005-0000-0000-00007C360000}"/>
    <cellStyle name="Normal 19 33 3 7" xfId="13945" xr:uid="{00000000-0005-0000-0000-00007D360000}"/>
    <cellStyle name="Normal 19 33 3 7 2" xfId="13946" xr:uid="{00000000-0005-0000-0000-00007E360000}"/>
    <cellStyle name="Normal 19 33 3 7 3" xfId="13947" xr:uid="{00000000-0005-0000-0000-00007F360000}"/>
    <cellStyle name="Normal 19 33 3 7 4" xfId="13948" xr:uid="{00000000-0005-0000-0000-000080360000}"/>
    <cellStyle name="Normal 19 33 3 7 5" xfId="13949" xr:uid="{00000000-0005-0000-0000-000081360000}"/>
    <cellStyle name="Normal 19 33 3 7 6" xfId="13950" xr:uid="{00000000-0005-0000-0000-000082360000}"/>
    <cellStyle name="Normal 19 33 3 8" xfId="13951" xr:uid="{00000000-0005-0000-0000-000083360000}"/>
    <cellStyle name="Normal 19 33 3 8 2" xfId="13952" xr:uid="{00000000-0005-0000-0000-000084360000}"/>
    <cellStyle name="Normal 19 33 3 8 3" xfId="13953" xr:uid="{00000000-0005-0000-0000-000085360000}"/>
    <cellStyle name="Normal 19 33 3 8 4" xfId="13954" xr:uid="{00000000-0005-0000-0000-000086360000}"/>
    <cellStyle name="Normal 19 33 3 8 5" xfId="13955" xr:uid="{00000000-0005-0000-0000-000087360000}"/>
    <cellStyle name="Normal 19 33 3 8 6" xfId="13956" xr:uid="{00000000-0005-0000-0000-000088360000}"/>
    <cellStyle name="Normal 19 33 3 9" xfId="13957" xr:uid="{00000000-0005-0000-0000-000089360000}"/>
    <cellStyle name="Normal 19 33 3 9 2" xfId="13958" xr:uid="{00000000-0005-0000-0000-00008A360000}"/>
    <cellStyle name="Normal 19 33 3 9 3" xfId="13959" xr:uid="{00000000-0005-0000-0000-00008B360000}"/>
    <cellStyle name="Normal 19 33 3 9 4" xfId="13960" xr:uid="{00000000-0005-0000-0000-00008C360000}"/>
    <cellStyle name="Normal 19 33 3 9 5" xfId="13961" xr:uid="{00000000-0005-0000-0000-00008D360000}"/>
    <cellStyle name="Normal 19 33 3 9 6" xfId="13962" xr:uid="{00000000-0005-0000-0000-00008E360000}"/>
    <cellStyle name="Normal 19 33 4" xfId="13963" xr:uid="{00000000-0005-0000-0000-00008F360000}"/>
    <cellStyle name="Normal 19 33 4 10" xfId="13964" xr:uid="{00000000-0005-0000-0000-000090360000}"/>
    <cellStyle name="Normal 19 33 4 11" xfId="13965" xr:uid="{00000000-0005-0000-0000-000091360000}"/>
    <cellStyle name="Normal 19 33 4 12" xfId="13966" xr:uid="{00000000-0005-0000-0000-000092360000}"/>
    <cellStyle name="Normal 19 33 4 13" xfId="13967" xr:uid="{00000000-0005-0000-0000-000093360000}"/>
    <cellStyle name="Normal 19 33 4 14" xfId="13968" xr:uid="{00000000-0005-0000-0000-000094360000}"/>
    <cellStyle name="Normal 19 33 4 2" xfId="13969" xr:uid="{00000000-0005-0000-0000-000095360000}"/>
    <cellStyle name="Normal 19 33 4 2 2" xfId="13970" xr:uid="{00000000-0005-0000-0000-000096360000}"/>
    <cellStyle name="Normal 19 33 4 2 3" xfId="13971" xr:uid="{00000000-0005-0000-0000-000097360000}"/>
    <cellStyle name="Normal 19 33 4 2 4" xfId="13972" xr:uid="{00000000-0005-0000-0000-000098360000}"/>
    <cellStyle name="Normal 19 33 4 2 5" xfId="13973" xr:uid="{00000000-0005-0000-0000-000099360000}"/>
    <cellStyle name="Normal 19 33 4 2 6" xfId="13974" xr:uid="{00000000-0005-0000-0000-00009A360000}"/>
    <cellStyle name="Normal 19 33 4 3" xfId="13975" xr:uid="{00000000-0005-0000-0000-00009B360000}"/>
    <cellStyle name="Normal 19 33 4 3 2" xfId="13976" xr:uid="{00000000-0005-0000-0000-00009C360000}"/>
    <cellStyle name="Normal 19 33 4 3 3" xfId="13977" xr:uid="{00000000-0005-0000-0000-00009D360000}"/>
    <cellStyle name="Normal 19 33 4 3 4" xfId="13978" xr:uid="{00000000-0005-0000-0000-00009E360000}"/>
    <cellStyle name="Normal 19 33 4 3 5" xfId="13979" xr:uid="{00000000-0005-0000-0000-00009F360000}"/>
    <cellStyle name="Normal 19 33 4 3 6" xfId="13980" xr:uid="{00000000-0005-0000-0000-0000A0360000}"/>
    <cellStyle name="Normal 19 33 4 4" xfId="13981" xr:uid="{00000000-0005-0000-0000-0000A1360000}"/>
    <cellStyle name="Normal 19 33 4 4 2" xfId="13982" xr:uid="{00000000-0005-0000-0000-0000A2360000}"/>
    <cellStyle name="Normal 19 33 4 4 3" xfId="13983" xr:uid="{00000000-0005-0000-0000-0000A3360000}"/>
    <cellStyle name="Normal 19 33 4 4 4" xfId="13984" xr:uid="{00000000-0005-0000-0000-0000A4360000}"/>
    <cellStyle name="Normal 19 33 4 4 5" xfId="13985" xr:uid="{00000000-0005-0000-0000-0000A5360000}"/>
    <cellStyle name="Normal 19 33 4 4 6" xfId="13986" xr:uid="{00000000-0005-0000-0000-0000A6360000}"/>
    <cellStyle name="Normal 19 33 4 5" xfId="13987" xr:uid="{00000000-0005-0000-0000-0000A7360000}"/>
    <cellStyle name="Normal 19 33 4 5 2" xfId="13988" xr:uid="{00000000-0005-0000-0000-0000A8360000}"/>
    <cellStyle name="Normal 19 33 4 5 3" xfId="13989" xr:uid="{00000000-0005-0000-0000-0000A9360000}"/>
    <cellStyle name="Normal 19 33 4 5 4" xfId="13990" xr:uid="{00000000-0005-0000-0000-0000AA360000}"/>
    <cellStyle name="Normal 19 33 4 5 5" xfId="13991" xr:uid="{00000000-0005-0000-0000-0000AB360000}"/>
    <cellStyle name="Normal 19 33 4 5 6" xfId="13992" xr:uid="{00000000-0005-0000-0000-0000AC360000}"/>
    <cellStyle name="Normal 19 33 4 6" xfId="13993" xr:uid="{00000000-0005-0000-0000-0000AD360000}"/>
    <cellStyle name="Normal 19 33 4 6 2" xfId="13994" xr:uid="{00000000-0005-0000-0000-0000AE360000}"/>
    <cellStyle name="Normal 19 33 4 6 3" xfId="13995" xr:uid="{00000000-0005-0000-0000-0000AF360000}"/>
    <cellStyle name="Normal 19 33 4 6 4" xfId="13996" xr:uid="{00000000-0005-0000-0000-0000B0360000}"/>
    <cellStyle name="Normal 19 33 4 6 5" xfId="13997" xr:uid="{00000000-0005-0000-0000-0000B1360000}"/>
    <cellStyle name="Normal 19 33 4 6 6" xfId="13998" xr:uid="{00000000-0005-0000-0000-0000B2360000}"/>
    <cellStyle name="Normal 19 33 4 7" xfId="13999" xr:uid="{00000000-0005-0000-0000-0000B3360000}"/>
    <cellStyle name="Normal 19 33 4 7 2" xfId="14000" xr:uid="{00000000-0005-0000-0000-0000B4360000}"/>
    <cellStyle name="Normal 19 33 4 7 3" xfId="14001" xr:uid="{00000000-0005-0000-0000-0000B5360000}"/>
    <cellStyle name="Normal 19 33 4 7 4" xfId="14002" xr:uid="{00000000-0005-0000-0000-0000B6360000}"/>
    <cellStyle name="Normal 19 33 4 7 5" xfId="14003" xr:uid="{00000000-0005-0000-0000-0000B7360000}"/>
    <cellStyle name="Normal 19 33 4 7 6" xfId="14004" xr:uid="{00000000-0005-0000-0000-0000B8360000}"/>
    <cellStyle name="Normal 19 33 4 8" xfId="14005" xr:uid="{00000000-0005-0000-0000-0000B9360000}"/>
    <cellStyle name="Normal 19 33 4 8 2" xfId="14006" xr:uid="{00000000-0005-0000-0000-0000BA360000}"/>
    <cellStyle name="Normal 19 33 4 8 3" xfId="14007" xr:uid="{00000000-0005-0000-0000-0000BB360000}"/>
    <cellStyle name="Normal 19 33 4 8 4" xfId="14008" xr:uid="{00000000-0005-0000-0000-0000BC360000}"/>
    <cellStyle name="Normal 19 33 4 8 5" xfId="14009" xr:uid="{00000000-0005-0000-0000-0000BD360000}"/>
    <cellStyle name="Normal 19 33 4 8 6" xfId="14010" xr:uid="{00000000-0005-0000-0000-0000BE360000}"/>
    <cellStyle name="Normal 19 33 4 9" xfId="14011" xr:uid="{00000000-0005-0000-0000-0000BF360000}"/>
    <cellStyle name="Normal 19 33 4 9 2" xfId="14012" xr:uid="{00000000-0005-0000-0000-0000C0360000}"/>
    <cellStyle name="Normal 19 33 4 9 3" xfId="14013" xr:uid="{00000000-0005-0000-0000-0000C1360000}"/>
    <cellStyle name="Normal 19 33 4 9 4" xfId="14014" xr:uid="{00000000-0005-0000-0000-0000C2360000}"/>
    <cellStyle name="Normal 19 33 4 9 5" xfId="14015" xr:uid="{00000000-0005-0000-0000-0000C3360000}"/>
    <cellStyle name="Normal 19 33 4 9 6" xfId="14016" xr:uid="{00000000-0005-0000-0000-0000C4360000}"/>
    <cellStyle name="Normal 19 33 5" xfId="14017" xr:uid="{00000000-0005-0000-0000-0000C5360000}"/>
    <cellStyle name="Normal 19 33 5 10" xfId="14018" xr:uid="{00000000-0005-0000-0000-0000C6360000}"/>
    <cellStyle name="Normal 19 33 5 11" xfId="14019" xr:uid="{00000000-0005-0000-0000-0000C7360000}"/>
    <cellStyle name="Normal 19 33 5 12" xfId="14020" xr:uid="{00000000-0005-0000-0000-0000C8360000}"/>
    <cellStyle name="Normal 19 33 5 13" xfId="14021" xr:uid="{00000000-0005-0000-0000-0000C9360000}"/>
    <cellStyle name="Normal 19 33 5 14" xfId="14022" xr:uid="{00000000-0005-0000-0000-0000CA360000}"/>
    <cellStyle name="Normal 19 33 5 2" xfId="14023" xr:uid="{00000000-0005-0000-0000-0000CB360000}"/>
    <cellStyle name="Normal 19 33 5 2 2" xfId="14024" xr:uid="{00000000-0005-0000-0000-0000CC360000}"/>
    <cellStyle name="Normal 19 33 5 2 3" xfId="14025" xr:uid="{00000000-0005-0000-0000-0000CD360000}"/>
    <cellStyle name="Normal 19 33 5 2 4" xfId="14026" xr:uid="{00000000-0005-0000-0000-0000CE360000}"/>
    <cellStyle name="Normal 19 33 5 2 5" xfId="14027" xr:uid="{00000000-0005-0000-0000-0000CF360000}"/>
    <cellStyle name="Normal 19 33 5 2 6" xfId="14028" xr:uid="{00000000-0005-0000-0000-0000D0360000}"/>
    <cellStyle name="Normal 19 33 5 3" xfId="14029" xr:uid="{00000000-0005-0000-0000-0000D1360000}"/>
    <cellStyle name="Normal 19 33 5 3 2" xfId="14030" xr:uid="{00000000-0005-0000-0000-0000D2360000}"/>
    <cellStyle name="Normal 19 33 5 3 3" xfId="14031" xr:uid="{00000000-0005-0000-0000-0000D3360000}"/>
    <cellStyle name="Normal 19 33 5 3 4" xfId="14032" xr:uid="{00000000-0005-0000-0000-0000D4360000}"/>
    <cellStyle name="Normal 19 33 5 3 5" xfId="14033" xr:uid="{00000000-0005-0000-0000-0000D5360000}"/>
    <cellStyle name="Normal 19 33 5 3 6" xfId="14034" xr:uid="{00000000-0005-0000-0000-0000D6360000}"/>
    <cellStyle name="Normal 19 33 5 4" xfId="14035" xr:uid="{00000000-0005-0000-0000-0000D7360000}"/>
    <cellStyle name="Normal 19 33 5 4 2" xfId="14036" xr:uid="{00000000-0005-0000-0000-0000D8360000}"/>
    <cellStyle name="Normal 19 33 5 4 3" xfId="14037" xr:uid="{00000000-0005-0000-0000-0000D9360000}"/>
    <cellStyle name="Normal 19 33 5 4 4" xfId="14038" xr:uid="{00000000-0005-0000-0000-0000DA360000}"/>
    <cellStyle name="Normal 19 33 5 4 5" xfId="14039" xr:uid="{00000000-0005-0000-0000-0000DB360000}"/>
    <cellStyle name="Normal 19 33 5 4 6" xfId="14040" xr:uid="{00000000-0005-0000-0000-0000DC360000}"/>
    <cellStyle name="Normal 19 33 5 5" xfId="14041" xr:uid="{00000000-0005-0000-0000-0000DD360000}"/>
    <cellStyle name="Normal 19 33 5 5 2" xfId="14042" xr:uid="{00000000-0005-0000-0000-0000DE360000}"/>
    <cellStyle name="Normal 19 33 5 5 3" xfId="14043" xr:uid="{00000000-0005-0000-0000-0000DF360000}"/>
    <cellStyle name="Normal 19 33 5 5 4" xfId="14044" xr:uid="{00000000-0005-0000-0000-0000E0360000}"/>
    <cellStyle name="Normal 19 33 5 5 5" xfId="14045" xr:uid="{00000000-0005-0000-0000-0000E1360000}"/>
    <cellStyle name="Normal 19 33 5 5 6" xfId="14046" xr:uid="{00000000-0005-0000-0000-0000E2360000}"/>
    <cellStyle name="Normal 19 33 5 6" xfId="14047" xr:uid="{00000000-0005-0000-0000-0000E3360000}"/>
    <cellStyle name="Normal 19 33 5 6 2" xfId="14048" xr:uid="{00000000-0005-0000-0000-0000E4360000}"/>
    <cellStyle name="Normal 19 33 5 6 3" xfId="14049" xr:uid="{00000000-0005-0000-0000-0000E5360000}"/>
    <cellStyle name="Normal 19 33 5 6 4" xfId="14050" xr:uid="{00000000-0005-0000-0000-0000E6360000}"/>
    <cellStyle name="Normal 19 33 5 6 5" xfId="14051" xr:uid="{00000000-0005-0000-0000-0000E7360000}"/>
    <cellStyle name="Normal 19 33 5 6 6" xfId="14052" xr:uid="{00000000-0005-0000-0000-0000E8360000}"/>
    <cellStyle name="Normal 19 33 5 7" xfId="14053" xr:uid="{00000000-0005-0000-0000-0000E9360000}"/>
    <cellStyle name="Normal 19 33 5 7 2" xfId="14054" xr:uid="{00000000-0005-0000-0000-0000EA360000}"/>
    <cellStyle name="Normal 19 33 5 7 3" xfId="14055" xr:uid="{00000000-0005-0000-0000-0000EB360000}"/>
    <cellStyle name="Normal 19 33 5 7 4" xfId="14056" xr:uid="{00000000-0005-0000-0000-0000EC360000}"/>
    <cellStyle name="Normal 19 33 5 7 5" xfId="14057" xr:uid="{00000000-0005-0000-0000-0000ED360000}"/>
    <cellStyle name="Normal 19 33 5 7 6" xfId="14058" xr:uid="{00000000-0005-0000-0000-0000EE360000}"/>
    <cellStyle name="Normal 19 33 5 8" xfId="14059" xr:uid="{00000000-0005-0000-0000-0000EF360000}"/>
    <cellStyle name="Normal 19 33 5 8 2" xfId="14060" xr:uid="{00000000-0005-0000-0000-0000F0360000}"/>
    <cellStyle name="Normal 19 33 5 8 3" xfId="14061" xr:uid="{00000000-0005-0000-0000-0000F1360000}"/>
    <cellStyle name="Normal 19 33 5 8 4" xfId="14062" xr:uid="{00000000-0005-0000-0000-0000F2360000}"/>
    <cellStyle name="Normal 19 33 5 8 5" xfId="14063" xr:uid="{00000000-0005-0000-0000-0000F3360000}"/>
    <cellStyle name="Normal 19 33 5 8 6" xfId="14064" xr:uid="{00000000-0005-0000-0000-0000F4360000}"/>
    <cellStyle name="Normal 19 33 5 9" xfId="14065" xr:uid="{00000000-0005-0000-0000-0000F5360000}"/>
    <cellStyle name="Normal 19 33 5 9 2" xfId="14066" xr:uid="{00000000-0005-0000-0000-0000F6360000}"/>
    <cellStyle name="Normal 19 33 5 9 3" xfId="14067" xr:uid="{00000000-0005-0000-0000-0000F7360000}"/>
    <cellStyle name="Normal 19 33 5 9 4" xfId="14068" xr:uid="{00000000-0005-0000-0000-0000F8360000}"/>
    <cellStyle name="Normal 19 33 5 9 5" xfId="14069" xr:uid="{00000000-0005-0000-0000-0000F9360000}"/>
    <cellStyle name="Normal 19 33 5 9 6" xfId="14070" xr:uid="{00000000-0005-0000-0000-0000FA360000}"/>
    <cellStyle name="Normal 19 33 6" xfId="14071" xr:uid="{00000000-0005-0000-0000-0000FB360000}"/>
    <cellStyle name="Normal 19 33 6 10" xfId="14072" xr:uid="{00000000-0005-0000-0000-0000FC360000}"/>
    <cellStyle name="Normal 19 33 6 11" xfId="14073" xr:uid="{00000000-0005-0000-0000-0000FD360000}"/>
    <cellStyle name="Normal 19 33 6 12" xfId="14074" xr:uid="{00000000-0005-0000-0000-0000FE360000}"/>
    <cellStyle name="Normal 19 33 6 13" xfId="14075" xr:uid="{00000000-0005-0000-0000-0000FF360000}"/>
    <cellStyle name="Normal 19 33 6 14" xfId="14076" xr:uid="{00000000-0005-0000-0000-000000370000}"/>
    <cellStyle name="Normal 19 33 6 2" xfId="14077" xr:uid="{00000000-0005-0000-0000-000001370000}"/>
    <cellStyle name="Normal 19 33 6 2 2" xfId="14078" xr:uid="{00000000-0005-0000-0000-000002370000}"/>
    <cellStyle name="Normal 19 33 6 2 3" xfId="14079" xr:uid="{00000000-0005-0000-0000-000003370000}"/>
    <cellStyle name="Normal 19 33 6 2 4" xfId="14080" xr:uid="{00000000-0005-0000-0000-000004370000}"/>
    <cellStyle name="Normal 19 33 6 2 5" xfId="14081" xr:uid="{00000000-0005-0000-0000-000005370000}"/>
    <cellStyle name="Normal 19 33 6 2 6" xfId="14082" xr:uid="{00000000-0005-0000-0000-000006370000}"/>
    <cellStyle name="Normal 19 33 6 3" xfId="14083" xr:uid="{00000000-0005-0000-0000-000007370000}"/>
    <cellStyle name="Normal 19 33 6 3 2" xfId="14084" xr:uid="{00000000-0005-0000-0000-000008370000}"/>
    <cellStyle name="Normal 19 33 6 3 3" xfId="14085" xr:uid="{00000000-0005-0000-0000-000009370000}"/>
    <cellStyle name="Normal 19 33 6 3 4" xfId="14086" xr:uid="{00000000-0005-0000-0000-00000A370000}"/>
    <cellStyle name="Normal 19 33 6 3 5" xfId="14087" xr:uid="{00000000-0005-0000-0000-00000B370000}"/>
    <cellStyle name="Normal 19 33 6 3 6" xfId="14088" xr:uid="{00000000-0005-0000-0000-00000C370000}"/>
    <cellStyle name="Normal 19 33 6 4" xfId="14089" xr:uid="{00000000-0005-0000-0000-00000D370000}"/>
    <cellStyle name="Normal 19 33 6 4 2" xfId="14090" xr:uid="{00000000-0005-0000-0000-00000E370000}"/>
    <cellStyle name="Normal 19 33 6 4 3" xfId="14091" xr:uid="{00000000-0005-0000-0000-00000F370000}"/>
    <cellStyle name="Normal 19 33 6 4 4" xfId="14092" xr:uid="{00000000-0005-0000-0000-000010370000}"/>
    <cellStyle name="Normal 19 33 6 4 5" xfId="14093" xr:uid="{00000000-0005-0000-0000-000011370000}"/>
    <cellStyle name="Normal 19 33 6 4 6" xfId="14094" xr:uid="{00000000-0005-0000-0000-000012370000}"/>
    <cellStyle name="Normal 19 33 6 5" xfId="14095" xr:uid="{00000000-0005-0000-0000-000013370000}"/>
    <cellStyle name="Normal 19 33 6 5 2" xfId="14096" xr:uid="{00000000-0005-0000-0000-000014370000}"/>
    <cellStyle name="Normal 19 33 6 5 3" xfId="14097" xr:uid="{00000000-0005-0000-0000-000015370000}"/>
    <cellStyle name="Normal 19 33 6 5 4" xfId="14098" xr:uid="{00000000-0005-0000-0000-000016370000}"/>
    <cellStyle name="Normal 19 33 6 5 5" xfId="14099" xr:uid="{00000000-0005-0000-0000-000017370000}"/>
    <cellStyle name="Normal 19 33 6 5 6" xfId="14100" xr:uid="{00000000-0005-0000-0000-000018370000}"/>
    <cellStyle name="Normal 19 33 6 6" xfId="14101" xr:uid="{00000000-0005-0000-0000-000019370000}"/>
    <cellStyle name="Normal 19 33 6 6 2" xfId="14102" xr:uid="{00000000-0005-0000-0000-00001A370000}"/>
    <cellStyle name="Normal 19 33 6 6 3" xfId="14103" xr:uid="{00000000-0005-0000-0000-00001B370000}"/>
    <cellStyle name="Normal 19 33 6 6 4" xfId="14104" xr:uid="{00000000-0005-0000-0000-00001C370000}"/>
    <cellStyle name="Normal 19 33 6 6 5" xfId="14105" xr:uid="{00000000-0005-0000-0000-00001D370000}"/>
    <cellStyle name="Normal 19 33 6 6 6" xfId="14106" xr:uid="{00000000-0005-0000-0000-00001E370000}"/>
    <cellStyle name="Normal 19 33 6 7" xfId="14107" xr:uid="{00000000-0005-0000-0000-00001F370000}"/>
    <cellStyle name="Normal 19 33 6 7 2" xfId="14108" xr:uid="{00000000-0005-0000-0000-000020370000}"/>
    <cellStyle name="Normal 19 33 6 7 3" xfId="14109" xr:uid="{00000000-0005-0000-0000-000021370000}"/>
    <cellStyle name="Normal 19 33 6 7 4" xfId="14110" xr:uid="{00000000-0005-0000-0000-000022370000}"/>
    <cellStyle name="Normal 19 33 6 7 5" xfId="14111" xr:uid="{00000000-0005-0000-0000-000023370000}"/>
    <cellStyle name="Normal 19 33 6 7 6" xfId="14112" xr:uid="{00000000-0005-0000-0000-000024370000}"/>
    <cellStyle name="Normal 19 33 6 8" xfId="14113" xr:uid="{00000000-0005-0000-0000-000025370000}"/>
    <cellStyle name="Normal 19 33 6 8 2" xfId="14114" xr:uid="{00000000-0005-0000-0000-000026370000}"/>
    <cellStyle name="Normal 19 33 6 8 3" xfId="14115" xr:uid="{00000000-0005-0000-0000-000027370000}"/>
    <cellStyle name="Normal 19 33 6 8 4" xfId="14116" xr:uid="{00000000-0005-0000-0000-000028370000}"/>
    <cellStyle name="Normal 19 33 6 8 5" xfId="14117" xr:uid="{00000000-0005-0000-0000-000029370000}"/>
    <cellStyle name="Normal 19 33 6 8 6" xfId="14118" xr:uid="{00000000-0005-0000-0000-00002A370000}"/>
    <cellStyle name="Normal 19 33 6 9" xfId="14119" xr:uid="{00000000-0005-0000-0000-00002B370000}"/>
    <cellStyle name="Normal 19 33 6 9 2" xfId="14120" xr:uid="{00000000-0005-0000-0000-00002C370000}"/>
    <cellStyle name="Normal 19 33 6 9 3" xfId="14121" xr:uid="{00000000-0005-0000-0000-00002D370000}"/>
    <cellStyle name="Normal 19 33 6 9 4" xfId="14122" xr:uid="{00000000-0005-0000-0000-00002E370000}"/>
    <cellStyle name="Normal 19 33 6 9 5" xfId="14123" xr:uid="{00000000-0005-0000-0000-00002F370000}"/>
    <cellStyle name="Normal 19 33 6 9 6" xfId="14124" xr:uid="{00000000-0005-0000-0000-000030370000}"/>
    <cellStyle name="Normal 19 33 7" xfId="14125" xr:uid="{00000000-0005-0000-0000-000031370000}"/>
    <cellStyle name="Normal 19 33 7 2" xfId="14126" xr:uid="{00000000-0005-0000-0000-000032370000}"/>
    <cellStyle name="Normal 19 33 7 3" xfId="14127" xr:uid="{00000000-0005-0000-0000-000033370000}"/>
    <cellStyle name="Normal 19 33 7 4" xfId="14128" xr:uid="{00000000-0005-0000-0000-000034370000}"/>
    <cellStyle name="Normal 19 33 7 5" xfId="14129" xr:uid="{00000000-0005-0000-0000-000035370000}"/>
    <cellStyle name="Normal 19 33 7 6" xfId="14130" xr:uid="{00000000-0005-0000-0000-000036370000}"/>
    <cellStyle name="Normal 19 33 8" xfId="14131" xr:uid="{00000000-0005-0000-0000-000037370000}"/>
    <cellStyle name="Normal 19 33 8 2" xfId="14132" xr:uid="{00000000-0005-0000-0000-000038370000}"/>
    <cellStyle name="Normal 19 33 8 3" xfId="14133" xr:uid="{00000000-0005-0000-0000-000039370000}"/>
    <cellStyle name="Normal 19 33 8 4" xfId="14134" xr:uid="{00000000-0005-0000-0000-00003A370000}"/>
    <cellStyle name="Normal 19 33 8 5" xfId="14135" xr:uid="{00000000-0005-0000-0000-00003B370000}"/>
    <cellStyle name="Normal 19 33 8 6" xfId="14136" xr:uid="{00000000-0005-0000-0000-00003C370000}"/>
    <cellStyle name="Normal 19 33 9" xfId="14137" xr:uid="{00000000-0005-0000-0000-00003D370000}"/>
    <cellStyle name="Normal 19 33 9 2" xfId="14138" xr:uid="{00000000-0005-0000-0000-00003E370000}"/>
    <cellStyle name="Normal 19 33 9 3" xfId="14139" xr:uid="{00000000-0005-0000-0000-00003F370000}"/>
    <cellStyle name="Normal 19 33 9 4" xfId="14140" xr:uid="{00000000-0005-0000-0000-000040370000}"/>
    <cellStyle name="Normal 19 33 9 5" xfId="14141" xr:uid="{00000000-0005-0000-0000-000041370000}"/>
    <cellStyle name="Normal 19 33 9 6" xfId="14142" xr:uid="{00000000-0005-0000-0000-000042370000}"/>
    <cellStyle name="Normal 19 34" xfId="14143" xr:uid="{00000000-0005-0000-0000-000043370000}"/>
    <cellStyle name="Normal 19 34 10" xfId="14144" xr:uid="{00000000-0005-0000-0000-000044370000}"/>
    <cellStyle name="Normal 19 34 11" xfId="14145" xr:uid="{00000000-0005-0000-0000-000045370000}"/>
    <cellStyle name="Normal 19 34 12" xfId="14146" xr:uid="{00000000-0005-0000-0000-000046370000}"/>
    <cellStyle name="Normal 19 34 13" xfId="14147" xr:uid="{00000000-0005-0000-0000-000047370000}"/>
    <cellStyle name="Normal 19 34 14" xfId="14148" xr:uid="{00000000-0005-0000-0000-000048370000}"/>
    <cellStyle name="Normal 19 34 2" xfId="14149" xr:uid="{00000000-0005-0000-0000-000049370000}"/>
    <cellStyle name="Normal 19 34 2 2" xfId="14150" xr:uid="{00000000-0005-0000-0000-00004A370000}"/>
    <cellStyle name="Normal 19 34 2 3" xfId="14151" xr:uid="{00000000-0005-0000-0000-00004B370000}"/>
    <cellStyle name="Normal 19 34 2 4" xfId="14152" xr:uid="{00000000-0005-0000-0000-00004C370000}"/>
    <cellStyle name="Normal 19 34 2 5" xfId="14153" xr:uid="{00000000-0005-0000-0000-00004D370000}"/>
    <cellStyle name="Normal 19 34 2 6" xfId="14154" xr:uid="{00000000-0005-0000-0000-00004E370000}"/>
    <cellStyle name="Normal 19 34 3" xfId="14155" xr:uid="{00000000-0005-0000-0000-00004F370000}"/>
    <cellStyle name="Normal 19 34 3 2" xfId="14156" xr:uid="{00000000-0005-0000-0000-000050370000}"/>
    <cellStyle name="Normal 19 34 3 3" xfId="14157" xr:uid="{00000000-0005-0000-0000-000051370000}"/>
    <cellStyle name="Normal 19 34 3 4" xfId="14158" xr:uid="{00000000-0005-0000-0000-000052370000}"/>
    <cellStyle name="Normal 19 34 3 5" xfId="14159" xr:uid="{00000000-0005-0000-0000-000053370000}"/>
    <cellStyle name="Normal 19 34 3 6" xfId="14160" xr:uid="{00000000-0005-0000-0000-000054370000}"/>
    <cellStyle name="Normal 19 34 4" xfId="14161" xr:uid="{00000000-0005-0000-0000-000055370000}"/>
    <cellStyle name="Normal 19 34 4 2" xfId="14162" xr:uid="{00000000-0005-0000-0000-000056370000}"/>
    <cellStyle name="Normal 19 34 4 3" xfId="14163" xr:uid="{00000000-0005-0000-0000-000057370000}"/>
    <cellStyle name="Normal 19 34 4 4" xfId="14164" xr:uid="{00000000-0005-0000-0000-000058370000}"/>
    <cellStyle name="Normal 19 34 4 5" xfId="14165" xr:uid="{00000000-0005-0000-0000-000059370000}"/>
    <cellStyle name="Normal 19 34 4 6" xfId="14166" xr:uid="{00000000-0005-0000-0000-00005A370000}"/>
    <cellStyle name="Normal 19 34 5" xfId="14167" xr:uid="{00000000-0005-0000-0000-00005B370000}"/>
    <cellStyle name="Normal 19 34 5 2" xfId="14168" xr:uid="{00000000-0005-0000-0000-00005C370000}"/>
    <cellStyle name="Normal 19 34 5 3" xfId="14169" xr:uid="{00000000-0005-0000-0000-00005D370000}"/>
    <cellStyle name="Normal 19 34 5 4" xfId="14170" xr:uid="{00000000-0005-0000-0000-00005E370000}"/>
    <cellStyle name="Normal 19 34 5 5" xfId="14171" xr:uid="{00000000-0005-0000-0000-00005F370000}"/>
    <cellStyle name="Normal 19 34 5 6" xfId="14172" xr:uid="{00000000-0005-0000-0000-000060370000}"/>
    <cellStyle name="Normal 19 34 6" xfId="14173" xr:uid="{00000000-0005-0000-0000-000061370000}"/>
    <cellStyle name="Normal 19 34 6 2" xfId="14174" xr:uid="{00000000-0005-0000-0000-000062370000}"/>
    <cellStyle name="Normal 19 34 6 3" xfId="14175" xr:uid="{00000000-0005-0000-0000-000063370000}"/>
    <cellStyle name="Normal 19 34 6 4" xfId="14176" xr:uid="{00000000-0005-0000-0000-000064370000}"/>
    <cellStyle name="Normal 19 34 6 5" xfId="14177" xr:uid="{00000000-0005-0000-0000-000065370000}"/>
    <cellStyle name="Normal 19 34 6 6" xfId="14178" xr:uid="{00000000-0005-0000-0000-000066370000}"/>
    <cellStyle name="Normal 19 34 7" xfId="14179" xr:uid="{00000000-0005-0000-0000-000067370000}"/>
    <cellStyle name="Normal 19 34 7 2" xfId="14180" xr:uid="{00000000-0005-0000-0000-000068370000}"/>
    <cellStyle name="Normal 19 34 7 3" xfId="14181" xr:uid="{00000000-0005-0000-0000-000069370000}"/>
    <cellStyle name="Normal 19 34 7 4" xfId="14182" xr:uid="{00000000-0005-0000-0000-00006A370000}"/>
    <cellStyle name="Normal 19 34 7 5" xfId="14183" xr:uid="{00000000-0005-0000-0000-00006B370000}"/>
    <cellStyle name="Normal 19 34 7 6" xfId="14184" xr:uid="{00000000-0005-0000-0000-00006C370000}"/>
    <cellStyle name="Normal 19 34 8" xfId="14185" xr:uid="{00000000-0005-0000-0000-00006D370000}"/>
    <cellStyle name="Normal 19 34 8 2" xfId="14186" xr:uid="{00000000-0005-0000-0000-00006E370000}"/>
    <cellStyle name="Normal 19 34 8 3" xfId="14187" xr:uid="{00000000-0005-0000-0000-00006F370000}"/>
    <cellStyle name="Normal 19 34 8 4" xfId="14188" xr:uid="{00000000-0005-0000-0000-000070370000}"/>
    <cellStyle name="Normal 19 34 8 5" xfId="14189" xr:uid="{00000000-0005-0000-0000-000071370000}"/>
    <cellStyle name="Normal 19 34 8 6" xfId="14190" xr:uid="{00000000-0005-0000-0000-000072370000}"/>
    <cellStyle name="Normal 19 34 9" xfId="14191" xr:uid="{00000000-0005-0000-0000-000073370000}"/>
    <cellStyle name="Normal 19 34 9 2" xfId="14192" xr:uid="{00000000-0005-0000-0000-000074370000}"/>
    <cellStyle name="Normal 19 34 9 3" xfId="14193" xr:uid="{00000000-0005-0000-0000-000075370000}"/>
    <cellStyle name="Normal 19 34 9 4" xfId="14194" xr:uid="{00000000-0005-0000-0000-000076370000}"/>
    <cellStyle name="Normal 19 34 9 5" xfId="14195" xr:uid="{00000000-0005-0000-0000-000077370000}"/>
    <cellStyle name="Normal 19 34 9 6" xfId="14196" xr:uid="{00000000-0005-0000-0000-000078370000}"/>
    <cellStyle name="Normal 19 35" xfId="14197" xr:uid="{00000000-0005-0000-0000-000079370000}"/>
    <cellStyle name="Normal 19 35 2" xfId="14198" xr:uid="{00000000-0005-0000-0000-00007A370000}"/>
    <cellStyle name="Normal 19 35 3" xfId="14199" xr:uid="{00000000-0005-0000-0000-00007B370000}"/>
    <cellStyle name="Normal 19 35 4" xfId="14200" xr:uid="{00000000-0005-0000-0000-00007C370000}"/>
    <cellStyle name="Normal 19 35 5" xfId="14201" xr:uid="{00000000-0005-0000-0000-00007D370000}"/>
    <cellStyle name="Normal 19 35 6" xfId="14202" xr:uid="{00000000-0005-0000-0000-00007E370000}"/>
    <cellStyle name="Normal 19 36" xfId="14203" xr:uid="{00000000-0005-0000-0000-00007F370000}"/>
    <cellStyle name="Normal 19 36 2" xfId="14204" xr:uid="{00000000-0005-0000-0000-000080370000}"/>
    <cellStyle name="Normal 19 36 3" xfId="14205" xr:uid="{00000000-0005-0000-0000-000081370000}"/>
    <cellStyle name="Normal 19 36 4" xfId="14206" xr:uid="{00000000-0005-0000-0000-000082370000}"/>
    <cellStyle name="Normal 19 36 5" xfId="14207" xr:uid="{00000000-0005-0000-0000-000083370000}"/>
    <cellStyle name="Normal 19 36 6" xfId="14208" xr:uid="{00000000-0005-0000-0000-000084370000}"/>
    <cellStyle name="Normal 19 37" xfId="14209" xr:uid="{00000000-0005-0000-0000-000085370000}"/>
    <cellStyle name="Normal 19 37 2" xfId="14210" xr:uid="{00000000-0005-0000-0000-000086370000}"/>
    <cellStyle name="Normal 19 37 3" xfId="14211" xr:uid="{00000000-0005-0000-0000-000087370000}"/>
    <cellStyle name="Normal 19 37 4" xfId="14212" xr:uid="{00000000-0005-0000-0000-000088370000}"/>
    <cellStyle name="Normal 19 37 5" xfId="14213" xr:uid="{00000000-0005-0000-0000-000089370000}"/>
    <cellStyle name="Normal 19 37 6" xfId="14214" xr:uid="{00000000-0005-0000-0000-00008A370000}"/>
    <cellStyle name="Normal 19 38" xfId="14215" xr:uid="{00000000-0005-0000-0000-00008B370000}"/>
    <cellStyle name="Normal 19 38 2" xfId="14216" xr:uid="{00000000-0005-0000-0000-00008C370000}"/>
    <cellStyle name="Normal 19 38 3" xfId="14217" xr:uid="{00000000-0005-0000-0000-00008D370000}"/>
    <cellStyle name="Normal 19 38 4" xfId="14218" xr:uid="{00000000-0005-0000-0000-00008E370000}"/>
    <cellStyle name="Normal 19 38 5" xfId="14219" xr:uid="{00000000-0005-0000-0000-00008F370000}"/>
    <cellStyle name="Normal 19 38 6" xfId="14220" xr:uid="{00000000-0005-0000-0000-000090370000}"/>
    <cellStyle name="Normal 19 39" xfId="14221" xr:uid="{00000000-0005-0000-0000-000091370000}"/>
    <cellStyle name="Normal 19 39 2" xfId="14222" xr:uid="{00000000-0005-0000-0000-000092370000}"/>
    <cellStyle name="Normal 19 39 3" xfId="14223" xr:uid="{00000000-0005-0000-0000-000093370000}"/>
    <cellStyle name="Normal 19 39 4" xfId="14224" xr:uid="{00000000-0005-0000-0000-000094370000}"/>
    <cellStyle name="Normal 19 39 5" xfId="14225" xr:uid="{00000000-0005-0000-0000-000095370000}"/>
    <cellStyle name="Normal 19 39 6" xfId="14226" xr:uid="{00000000-0005-0000-0000-000096370000}"/>
    <cellStyle name="Normal 19 4" xfId="14227" xr:uid="{00000000-0005-0000-0000-000097370000}"/>
    <cellStyle name="Normal 19 4 10" xfId="14228" xr:uid="{00000000-0005-0000-0000-000098370000}"/>
    <cellStyle name="Normal 19 4 10 2" xfId="14229" xr:uid="{00000000-0005-0000-0000-000099370000}"/>
    <cellStyle name="Normal 19 4 10 3" xfId="14230" xr:uid="{00000000-0005-0000-0000-00009A370000}"/>
    <cellStyle name="Normal 19 4 10 4" xfId="14231" xr:uid="{00000000-0005-0000-0000-00009B370000}"/>
    <cellStyle name="Normal 19 4 10 5" xfId="14232" xr:uid="{00000000-0005-0000-0000-00009C370000}"/>
    <cellStyle name="Normal 19 4 10 6" xfId="14233" xr:uid="{00000000-0005-0000-0000-00009D370000}"/>
    <cellStyle name="Normal 19 4 11" xfId="14234" xr:uid="{00000000-0005-0000-0000-00009E370000}"/>
    <cellStyle name="Normal 19 4 12" xfId="14235" xr:uid="{00000000-0005-0000-0000-00009F370000}"/>
    <cellStyle name="Normal 19 4 13" xfId="14236" xr:uid="{00000000-0005-0000-0000-0000A0370000}"/>
    <cellStyle name="Normal 19 4 14" xfId="14237" xr:uid="{00000000-0005-0000-0000-0000A1370000}"/>
    <cellStyle name="Normal 19 4 15" xfId="14238" xr:uid="{00000000-0005-0000-0000-0000A2370000}"/>
    <cellStyle name="Normal 19 4 2" xfId="14239" xr:uid="{00000000-0005-0000-0000-0000A3370000}"/>
    <cellStyle name="Normal 19 4 2 10" xfId="14240" xr:uid="{00000000-0005-0000-0000-0000A4370000}"/>
    <cellStyle name="Normal 19 4 2 11" xfId="14241" xr:uid="{00000000-0005-0000-0000-0000A5370000}"/>
    <cellStyle name="Normal 19 4 2 12" xfId="14242" xr:uid="{00000000-0005-0000-0000-0000A6370000}"/>
    <cellStyle name="Normal 19 4 2 13" xfId="14243" xr:uid="{00000000-0005-0000-0000-0000A7370000}"/>
    <cellStyle name="Normal 19 4 2 14" xfId="14244" xr:uid="{00000000-0005-0000-0000-0000A8370000}"/>
    <cellStyle name="Normal 19 4 2 2" xfId="14245" xr:uid="{00000000-0005-0000-0000-0000A9370000}"/>
    <cellStyle name="Normal 19 4 2 2 2" xfId="14246" xr:uid="{00000000-0005-0000-0000-0000AA370000}"/>
    <cellStyle name="Normal 19 4 2 2 3" xfId="14247" xr:uid="{00000000-0005-0000-0000-0000AB370000}"/>
    <cellStyle name="Normal 19 4 2 2 4" xfId="14248" xr:uid="{00000000-0005-0000-0000-0000AC370000}"/>
    <cellStyle name="Normal 19 4 2 2 5" xfId="14249" xr:uid="{00000000-0005-0000-0000-0000AD370000}"/>
    <cellStyle name="Normal 19 4 2 2 6" xfId="14250" xr:uid="{00000000-0005-0000-0000-0000AE370000}"/>
    <cellStyle name="Normal 19 4 2 3" xfId="14251" xr:uid="{00000000-0005-0000-0000-0000AF370000}"/>
    <cellStyle name="Normal 19 4 2 3 2" xfId="14252" xr:uid="{00000000-0005-0000-0000-0000B0370000}"/>
    <cellStyle name="Normal 19 4 2 3 3" xfId="14253" xr:uid="{00000000-0005-0000-0000-0000B1370000}"/>
    <cellStyle name="Normal 19 4 2 3 4" xfId="14254" xr:uid="{00000000-0005-0000-0000-0000B2370000}"/>
    <cellStyle name="Normal 19 4 2 3 5" xfId="14255" xr:uid="{00000000-0005-0000-0000-0000B3370000}"/>
    <cellStyle name="Normal 19 4 2 3 6" xfId="14256" xr:uid="{00000000-0005-0000-0000-0000B4370000}"/>
    <cellStyle name="Normal 19 4 2 4" xfId="14257" xr:uid="{00000000-0005-0000-0000-0000B5370000}"/>
    <cellStyle name="Normal 19 4 2 4 2" xfId="14258" xr:uid="{00000000-0005-0000-0000-0000B6370000}"/>
    <cellStyle name="Normal 19 4 2 4 3" xfId="14259" xr:uid="{00000000-0005-0000-0000-0000B7370000}"/>
    <cellStyle name="Normal 19 4 2 4 4" xfId="14260" xr:uid="{00000000-0005-0000-0000-0000B8370000}"/>
    <cellStyle name="Normal 19 4 2 4 5" xfId="14261" xr:uid="{00000000-0005-0000-0000-0000B9370000}"/>
    <cellStyle name="Normal 19 4 2 4 6" xfId="14262" xr:uid="{00000000-0005-0000-0000-0000BA370000}"/>
    <cellStyle name="Normal 19 4 2 5" xfId="14263" xr:uid="{00000000-0005-0000-0000-0000BB370000}"/>
    <cellStyle name="Normal 19 4 2 5 2" xfId="14264" xr:uid="{00000000-0005-0000-0000-0000BC370000}"/>
    <cellStyle name="Normal 19 4 2 5 3" xfId="14265" xr:uid="{00000000-0005-0000-0000-0000BD370000}"/>
    <cellStyle name="Normal 19 4 2 5 4" xfId="14266" xr:uid="{00000000-0005-0000-0000-0000BE370000}"/>
    <cellStyle name="Normal 19 4 2 5 5" xfId="14267" xr:uid="{00000000-0005-0000-0000-0000BF370000}"/>
    <cellStyle name="Normal 19 4 2 5 6" xfId="14268" xr:uid="{00000000-0005-0000-0000-0000C0370000}"/>
    <cellStyle name="Normal 19 4 2 6" xfId="14269" xr:uid="{00000000-0005-0000-0000-0000C1370000}"/>
    <cellStyle name="Normal 19 4 2 6 2" xfId="14270" xr:uid="{00000000-0005-0000-0000-0000C2370000}"/>
    <cellStyle name="Normal 19 4 2 6 3" xfId="14271" xr:uid="{00000000-0005-0000-0000-0000C3370000}"/>
    <cellStyle name="Normal 19 4 2 6 4" xfId="14272" xr:uid="{00000000-0005-0000-0000-0000C4370000}"/>
    <cellStyle name="Normal 19 4 2 6 5" xfId="14273" xr:uid="{00000000-0005-0000-0000-0000C5370000}"/>
    <cellStyle name="Normal 19 4 2 6 6" xfId="14274" xr:uid="{00000000-0005-0000-0000-0000C6370000}"/>
    <cellStyle name="Normal 19 4 2 7" xfId="14275" xr:uid="{00000000-0005-0000-0000-0000C7370000}"/>
    <cellStyle name="Normal 19 4 2 7 2" xfId="14276" xr:uid="{00000000-0005-0000-0000-0000C8370000}"/>
    <cellStyle name="Normal 19 4 2 7 3" xfId="14277" xr:uid="{00000000-0005-0000-0000-0000C9370000}"/>
    <cellStyle name="Normal 19 4 2 7 4" xfId="14278" xr:uid="{00000000-0005-0000-0000-0000CA370000}"/>
    <cellStyle name="Normal 19 4 2 7 5" xfId="14279" xr:uid="{00000000-0005-0000-0000-0000CB370000}"/>
    <cellStyle name="Normal 19 4 2 7 6" xfId="14280" xr:uid="{00000000-0005-0000-0000-0000CC370000}"/>
    <cellStyle name="Normal 19 4 2 8" xfId="14281" xr:uid="{00000000-0005-0000-0000-0000CD370000}"/>
    <cellStyle name="Normal 19 4 2 8 2" xfId="14282" xr:uid="{00000000-0005-0000-0000-0000CE370000}"/>
    <cellStyle name="Normal 19 4 2 8 3" xfId="14283" xr:uid="{00000000-0005-0000-0000-0000CF370000}"/>
    <cellStyle name="Normal 19 4 2 8 4" xfId="14284" xr:uid="{00000000-0005-0000-0000-0000D0370000}"/>
    <cellStyle name="Normal 19 4 2 8 5" xfId="14285" xr:uid="{00000000-0005-0000-0000-0000D1370000}"/>
    <cellStyle name="Normal 19 4 2 8 6" xfId="14286" xr:uid="{00000000-0005-0000-0000-0000D2370000}"/>
    <cellStyle name="Normal 19 4 2 9" xfId="14287" xr:uid="{00000000-0005-0000-0000-0000D3370000}"/>
    <cellStyle name="Normal 19 4 2 9 2" xfId="14288" xr:uid="{00000000-0005-0000-0000-0000D4370000}"/>
    <cellStyle name="Normal 19 4 2 9 3" xfId="14289" xr:uid="{00000000-0005-0000-0000-0000D5370000}"/>
    <cellStyle name="Normal 19 4 2 9 4" xfId="14290" xr:uid="{00000000-0005-0000-0000-0000D6370000}"/>
    <cellStyle name="Normal 19 4 2 9 5" xfId="14291" xr:uid="{00000000-0005-0000-0000-0000D7370000}"/>
    <cellStyle name="Normal 19 4 2 9 6" xfId="14292" xr:uid="{00000000-0005-0000-0000-0000D8370000}"/>
    <cellStyle name="Normal 19 4 3" xfId="14293" xr:uid="{00000000-0005-0000-0000-0000D9370000}"/>
    <cellStyle name="Normal 19 4 3 2" xfId="14294" xr:uid="{00000000-0005-0000-0000-0000DA370000}"/>
    <cellStyle name="Normal 19 4 3 3" xfId="14295" xr:uid="{00000000-0005-0000-0000-0000DB370000}"/>
    <cellStyle name="Normal 19 4 3 4" xfId="14296" xr:uid="{00000000-0005-0000-0000-0000DC370000}"/>
    <cellStyle name="Normal 19 4 3 5" xfId="14297" xr:uid="{00000000-0005-0000-0000-0000DD370000}"/>
    <cellStyle name="Normal 19 4 3 6" xfId="14298" xr:uid="{00000000-0005-0000-0000-0000DE370000}"/>
    <cellStyle name="Normal 19 4 4" xfId="14299" xr:uid="{00000000-0005-0000-0000-0000DF370000}"/>
    <cellStyle name="Normal 19 4 4 2" xfId="14300" xr:uid="{00000000-0005-0000-0000-0000E0370000}"/>
    <cellStyle name="Normal 19 4 4 3" xfId="14301" xr:uid="{00000000-0005-0000-0000-0000E1370000}"/>
    <cellStyle name="Normal 19 4 4 4" xfId="14302" xr:uid="{00000000-0005-0000-0000-0000E2370000}"/>
    <cellStyle name="Normal 19 4 4 5" xfId="14303" xr:uid="{00000000-0005-0000-0000-0000E3370000}"/>
    <cellStyle name="Normal 19 4 4 6" xfId="14304" xr:uid="{00000000-0005-0000-0000-0000E4370000}"/>
    <cellStyle name="Normal 19 4 5" xfId="14305" xr:uid="{00000000-0005-0000-0000-0000E5370000}"/>
    <cellStyle name="Normal 19 4 5 2" xfId="14306" xr:uid="{00000000-0005-0000-0000-0000E6370000}"/>
    <cellStyle name="Normal 19 4 5 3" xfId="14307" xr:uid="{00000000-0005-0000-0000-0000E7370000}"/>
    <cellStyle name="Normal 19 4 5 4" xfId="14308" xr:uid="{00000000-0005-0000-0000-0000E8370000}"/>
    <cellStyle name="Normal 19 4 5 5" xfId="14309" xr:uid="{00000000-0005-0000-0000-0000E9370000}"/>
    <cellStyle name="Normal 19 4 5 6" xfId="14310" xr:uid="{00000000-0005-0000-0000-0000EA370000}"/>
    <cellStyle name="Normal 19 4 6" xfId="14311" xr:uid="{00000000-0005-0000-0000-0000EB370000}"/>
    <cellStyle name="Normal 19 4 6 2" xfId="14312" xr:uid="{00000000-0005-0000-0000-0000EC370000}"/>
    <cellStyle name="Normal 19 4 6 3" xfId="14313" xr:uid="{00000000-0005-0000-0000-0000ED370000}"/>
    <cellStyle name="Normal 19 4 6 4" xfId="14314" xr:uid="{00000000-0005-0000-0000-0000EE370000}"/>
    <cellStyle name="Normal 19 4 6 5" xfId="14315" xr:uid="{00000000-0005-0000-0000-0000EF370000}"/>
    <cellStyle name="Normal 19 4 6 6" xfId="14316" xr:uid="{00000000-0005-0000-0000-0000F0370000}"/>
    <cellStyle name="Normal 19 4 7" xfId="14317" xr:uid="{00000000-0005-0000-0000-0000F1370000}"/>
    <cellStyle name="Normal 19 4 7 2" xfId="14318" xr:uid="{00000000-0005-0000-0000-0000F2370000}"/>
    <cellStyle name="Normal 19 4 7 3" xfId="14319" xr:uid="{00000000-0005-0000-0000-0000F3370000}"/>
    <cellStyle name="Normal 19 4 7 4" xfId="14320" xr:uid="{00000000-0005-0000-0000-0000F4370000}"/>
    <cellStyle name="Normal 19 4 7 5" xfId="14321" xr:uid="{00000000-0005-0000-0000-0000F5370000}"/>
    <cellStyle name="Normal 19 4 7 6" xfId="14322" xr:uid="{00000000-0005-0000-0000-0000F6370000}"/>
    <cellStyle name="Normal 19 4 8" xfId="14323" xr:uid="{00000000-0005-0000-0000-0000F7370000}"/>
    <cellStyle name="Normal 19 4 8 2" xfId="14324" xr:uid="{00000000-0005-0000-0000-0000F8370000}"/>
    <cellStyle name="Normal 19 4 8 3" xfId="14325" xr:uid="{00000000-0005-0000-0000-0000F9370000}"/>
    <cellStyle name="Normal 19 4 8 4" xfId="14326" xr:uid="{00000000-0005-0000-0000-0000FA370000}"/>
    <cellStyle name="Normal 19 4 8 5" xfId="14327" xr:uid="{00000000-0005-0000-0000-0000FB370000}"/>
    <cellStyle name="Normal 19 4 8 6" xfId="14328" xr:uid="{00000000-0005-0000-0000-0000FC370000}"/>
    <cellStyle name="Normal 19 4 9" xfId="14329" xr:uid="{00000000-0005-0000-0000-0000FD370000}"/>
    <cellStyle name="Normal 19 4 9 2" xfId="14330" xr:uid="{00000000-0005-0000-0000-0000FE370000}"/>
    <cellStyle name="Normal 19 4 9 3" xfId="14331" xr:uid="{00000000-0005-0000-0000-0000FF370000}"/>
    <cellStyle name="Normal 19 4 9 4" xfId="14332" xr:uid="{00000000-0005-0000-0000-000000380000}"/>
    <cellStyle name="Normal 19 4 9 5" xfId="14333" xr:uid="{00000000-0005-0000-0000-000001380000}"/>
    <cellStyle name="Normal 19 4 9 6" xfId="14334" xr:uid="{00000000-0005-0000-0000-000002380000}"/>
    <cellStyle name="Normal 19 40" xfId="14335" xr:uid="{00000000-0005-0000-0000-000003380000}"/>
    <cellStyle name="Normal 19 40 2" xfId="14336" xr:uid="{00000000-0005-0000-0000-000004380000}"/>
    <cellStyle name="Normal 19 40 3" xfId="14337" xr:uid="{00000000-0005-0000-0000-000005380000}"/>
    <cellStyle name="Normal 19 40 4" xfId="14338" xr:uid="{00000000-0005-0000-0000-000006380000}"/>
    <cellStyle name="Normal 19 40 5" xfId="14339" xr:uid="{00000000-0005-0000-0000-000007380000}"/>
    <cellStyle name="Normal 19 40 6" xfId="14340" xr:uid="{00000000-0005-0000-0000-000008380000}"/>
    <cellStyle name="Normal 19 41" xfId="14341" xr:uid="{00000000-0005-0000-0000-000009380000}"/>
    <cellStyle name="Normal 19 41 2" xfId="14342" xr:uid="{00000000-0005-0000-0000-00000A380000}"/>
    <cellStyle name="Normal 19 41 3" xfId="14343" xr:uid="{00000000-0005-0000-0000-00000B380000}"/>
    <cellStyle name="Normal 19 41 4" xfId="14344" xr:uid="{00000000-0005-0000-0000-00000C380000}"/>
    <cellStyle name="Normal 19 41 5" xfId="14345" xr:uid="{00000000-0005-0000-0000-00000D380000}"/>
    <cellStyle name="Normal 19 41 6" xfId="14346" xr:uid="{00000000-0005-0000-0000-00000E380000}"/>
    <cellStyle name="Normal 19 42" xfId="14347" xr:uid="{00000000-0005-0000-0000-00000F380000}"/>
    <cellStyle name="Normal 19 42 2" xfId="14348" xr:uid="{00000000-0005-0000-0000-000010380000}"/>
    <cellStyle name="Normal 19 42 3" xfId="14349" xr:uid="{00000000-0005-0000-0000-000011380000}"/>
    <cellStyle name="Normal 19 42 4" xfId="14350" xr:uid="{00000000-0005-0000-0000-000012380000}"/>
    <cellStyle name="Normal 19 42 5" xfId="14351" xr:uid="{00000000-0005-0000-0000-000013380000}"/>
    <cellStyle name="Normal 19 42 6" xfId="14352" xr:uid="{00000000-0005-0000-0000-000014380000}"/>
    <cellStyle name="Normal 19 43" xfId="14353" xr:uid="{00000000-0005-0000-0000-000015380000}"/>
    <cellStyle name="Normal 19 44" xfId="14354" xr:uid="{00000000-0005-0000-0000-000016380000}"/>
    <cellStyle name="Normal 19 45" xfId="14355" xr:uid="{00000000-0005-0000-0000-000017380000}"/>
    <cellStyle name="Normal 19 46" xfId="14356" xr:uid="{00000000-0005-0000-0000-000018380000}"/>
    <cellStyle name="Normal 19 47" xfId="14357" xr:uid="{00000000-0005-0000-0000-000019380000}"/>
    <cellStyle name="Normal 19 5" xfId="14358" xr:uid="{00000000-0005-0000-0000-00001A380000}"/>
    <cellStyle name="Normal 19 5 10" xfId="14359" xr:uid="{00000000-0005-0000-0000-00001B380000}"/>
    <cellStyle name="Normal 19 5 10 2" xfId="14360" xr:uid="{00000000-0005-0000-0000-00001C380000}"/>
    <cellStyle name="Normal 19 5 10 3" xfId="14361" xr:uid="{00000000-0005-0000-0000-00001D380000}"/>
    <cellStyle name="Normal 19 5 10 4" xfId="14362" xr:uid="{00000000-0005-0000-0000-00001E380000}"/>
    <cellStyle name="Normal 19 5 10 5" xfId="14363" xr:uid="{00000000-0005-0000-0000-00001F380000}"/>
    <cellStyle name="Normal 19 5 10 6" xfId="14364" xr:uid="{00000000-0005-0000-0000-000020380000}"/>
    <cellStyle name="Normal 19 5 11" xfId="14365" xr:uid="{00000000-0005-0000-0000-000021380000}"/>
    <cellStyle name="Normal 19 5 12" xfId="14366" xr:uid="{00000000-0005-0000-0000-000022380000}"/>
    <cellStyle name="Normal 19 5 13" xfId="14367" xr:uid="{00000000-0005-0000-0000-000023380000}"/>
    <cellStyle name="Normal 19 5 14" xfId="14368" xr:uid="{00000000-0005-0000-0000-000024380000}"/>
    <cellStyle name="Normal 19 5 15" xfId="14369" xr:uid="{00000000-0005-0000-0000-000025380000}"/>
    <cellStyle name="Normal 19 5 2" xfId="14370" xr:uid="{00000000-0005-0000-0000-000026380000}"/>
    <cellStyle name="Normal 19 5 2 10" xfId="14371" xr:uid="{00000000-0005-0000-0000-000027380000}"/>
    <cellStyle name="Normal 19 5 2 11" xfId="14372" xr:uid="{00000000-0005-0000-0000-000028380000}"/>
    <cellStyle name="Normal 19 5 2 12" xfId="14373" xr:uid="{00000000-0005-0000-0000-000029380000}"/>
    <cellStyle name="Normal 19 5 2 13" xfId="14374" xr:uid="{00000000-0005-0000-0000-00002A380000}"/>
    <cellStyle name="Normal 19 5 2 14" xfId="14375" xr:uid="{00000000-0005-0000-0000-00002B380000}"/>
    <cellStyle name="Normal 19 5 2 2" xfId="14376" xr:uid="{00000000-0005-0000-0000-00002C380000}"/>
    <cellStyle name="Normal 19 5 2 2 2" xfId="14377" xr:uid="{00000000-0005-0000-0000-00002D380000}"/>
    <cellStyle name="Normal 19 5 2 2 3" xfId="14378" xr:uid="{00000000-0005-0000-0000-00002E380000}"/>
    <cellStyle name="Normal 19 5 2 2 4" xfId="14379" xr:uid="{00000000-0005-0000-0000-00002F380000}"/>
    <cellStyle name="Normal 19 5 2 2 5" xfId="14380" xr:uid="{00000000-0005-0000-0000-000030380000}"/>
    <cellStyle name="Normal 19 5 2 2 6" xfId="14381" xr:uid="{00000000-0005-0000-0000-000031380000}"/>
    <cellStyle name="Normal 19 5 2 3" xfId="14382" xr:uid="{00000000-0005-0000-0000-000032380000}"/>
    <cellStyle name="Normal 19 5 2 3 2" xfId="14383" xr:uid="{00000000-0005-0000-0000-000033380000}"/>
    <cellStyle name="Normal 19 5 2 3 3" xfId="14384" xr:uid="{00000000-0005-0000-0000-000034380000}"/>
    <cellStyle name="Normal 19 5 2 3 4" xfId="14385" xr:uid="{00000000-0005-0000-0000-000035380000}"/>
    <cellStyle name="Normal 19 5 2 3 5" xfId="14386" xr:uid="{00000000-0005-0000-0000-000036380000}"/>
    <cellStyle name="Normal 19 5 2 3 6" xfId="14387" xr:uid="{00000000-0005-0000-0000-000037380000}"/>
    <cellStyle name="Normal 19 5 2 4" xfId="14388" xr:uid="{00000000-0005-0000-0000-000038380000}"/>
    <cellStyle name="Normal 19 5 2 4 2" xfId="14389" xr:uid="{00000000-0005-0000-0000-000039380000}"/>
    <cellStyle name="Normal 19 5 2 4 3" xfId="14390" xr:uid="{00000000-0005-0000-0000-00003A380000}"/>
    <cellStyle name="Normal 19 5 2 4 4" xfId="14391" xr:uid="{00000000-0005-0000-0000-00003B380000}"/>
    <cellStyle name="Normal 19 5 2 4 5" xfId="14392" xr:uid="{00000000-0005-0000-0000-00003C380000}"/>
    <cellStyle name="Normal 19 5 2 4 6" xfId="14393" xr:uid="{00000000-0005-0000-0000-00003D380000}"/>
    <cellStyle name="Normal 19 5 2 5" xfId="14394" xr:uid="{00000000-0005-0000-0000-00003E380000}"/>
    <cellStyle name="Normal 19 5 2 5 2" xfId="14395" xr:uid="{00000000-0005-0000-0000-00003F380000}"/>
    <cellStyle name="Normal 19 5 2 5 3" xfId="14396" xr:uid="{00000000-0005-0000-0000-000040380000}"/>
    <cellStyle name="Normal 19 5 2 5 4" xfId="14397" xr:uid="{00000000-0005-0000-0000-000041380000}"/>
    <cellStyle name="Normal 19 5 2 5 5" xfId="14398" xr:uid="{00000000-0005-0000-0000-000042380000}"/>
    <cellStyle name="Normal 19 5 2 5 6" xfId="14399" xr:uid="{00000000-0005-0000-0000-000043380000}"/>
    <cellStyle name="Normal 19 5 2 6" xfId="14400" xr:uid="{00000000-0005-0000-0000-000044380000}"/>
    <cellStyle name="Normal 19 5 2 6 2" xfId="14401" xr:uid="{00000000-0005-0000-0000-000045380000}"/>
    <cellStyle name="Normal 19 5 2 6 3" xfId="14402" xr:uid="{00000000-0005-0000-0000-000046380000}"/>
    <cellStyle name="Normal 19 5 2 6 4" xfId="14403" xr:uid="{00000000-0005-0000-0000-000047380000}"/>
    <cellStyle name="Normal 19 5 2 6 5" xfId="14404" xr:uid="{00000000-0005-0000-0000-000048380000}"/>
    <cellStyle name="Normal 19 5 2 6 6" xfId="14405" xr:uid="{00000000-0005-0000-0000-000049380000}"/>
    <cellStyle name="Normal 19 5 2 7" xfId="14406" xr:uid="{00000000-0005-0000-0000-00004A380000}"/>
    <cellStyle name="Normal 19 5 2 7 2" xfId="14407" xr:uid="{00000000-0005-0000-0000-00004B380000}"/>
    <cellStyle name="Normal 19 5 2 7 3" xfId="14408" xr:uid="{00000000-0005-0000-0000-00004C380000}"/>
    <cellStyle name="Normal 19 5 2 7 4" xfId="14409" xr:uid="{00000000-0005-0000-0000-00004D380000}"/>
    <cellStyle name="Normal 19 5 2 7 5" xfId="14410" xr:uid="{00000000-0005-0000-0000-00004E380000}"/>
    <cellStyle name="Normal 19 5 2 7 6" xfId="14411" xr:uid="{00000000-0005-0000-0000-00004F380000}"/>
    <cellStyle name="Normal 19 5 2 8" xfId="14412" xr:uid="{00000000-0005-0000-0000-000050380000}"/>
    <cellStyle name="Normal 19 5 2 8 2" xfId="14413" xr:uid="{00000000-0005-0000-0000-000051380000}"/>
    <cellStyle name="Normal 19 5 2 8 3" xfId="14414" xr:uid="{00000000-0005-0000-0000-000052380000}"/>
    <cellStyle name="Normal 19 5 2 8 4" xfId="14415" xr:uid="{00000000-0005-0000-0000-000053380000}"/>
    <cellStyle name="Normal 19 5 2 8 5" xfId="14416" xr:uid="{00000000-0005-0000-0000-000054380000}"/>
    <cellStyle name="Normal 19 5 2 8 6" xfId="14417" xr:uid="{00000000-0005-0000-0000-000055380000}"/>
    <cellStyle name="Normal 19 5 2 9" xfId="14418" xr:uid="{00000000-0005-0000-0000-000056380000}"/>
    <cellStyle name="Normal 19 5 2 9 2" xfId="14419" xr:uid="{00000000-0005-0000-0000-000057380000}"/>
    <cellStyle name="Normal 19 5 2 9 3" xfId="14420" xr:uid="{00000000-0005-0000-0000-000058380000}"/>
    <cellStyle name="Normal 19 5 2 9 4" xfId="14421" xr:uid="{00000000-0005-0000-0000-000059380000}"/>
    <cellStyle name="Normal 19 5 2 9 5" xfId="14422" xr:uid="{00000000-0005-0000-0000-00005A380000}"/>
    <cellStyle name="Normal 19 5 2 9 6" xfId="14423" xr:uid="{00000000-0005-0000-0000-00005B380000}"/>
    <cellStyle name="Normal 19 5 3" xfId="14424" xr:uid="{00000000-0005-0000-0000-00005C380000}"/>
    <cellStyle name="Normal 19 5 3 2" xfId="14425" xr:uid="{00000000-0005-0000-0000-00005D380000}"/>
    <cellStyle name="Normal 19 5 3 3" xfId="14426" xr:uid="{00000000-0005-0000-0000-00005E380000}"/>
    <cellStyle name="Normal 19 5 3 4" xfId="14427" xr:uid="{00000000-0005-0000-0000-00005F380000}"/>
    <cellStyle name="Normal 19 5 3 5" xfId="14428" xr:uid="{00000000-0005-0000-0000-000060380000}"/>
    <cellStyle name="Normal 19 5 3 6" xfId="14429" xr:uid="{00000000-0005-0000-0000-000061380000}"/>
    <cellStyle name="Normal 19 5 4" xfId="14430" xr:uid="{00000000-0005-0000-0000-000062380000}"/>
    <cellStyle name="Normal 19 5 4 2" xfId="14431" xr:uid="{00000000-0005-0000-0000-000063380000}"/>
    <cellStyle name="Normal 19 5 4 3" xfId="14432" xr:uid="{00000000-0005-0000-0000-000064380000}"/>
    <cellStyle name="Normal 19 5 4 4" xfId="14433" xr:uid="{00000000-0005-0000-0000-000065380000}"/>
    <cellStyle name="Normal 19 5 4 5" xfId="14434" xr:uid="{00000000-0005-0000-0000-000066380000}"/>
    <cellStyle name="Normal 19 5 4 6" xfId="14435" xr:uid="{00000000-0005-0000-0000-000067380000}"/>
    <cellStyle name="Normal 19 5 5" xfId="14436" xr:uid="{00000000-0005-0000-0000-000068380000}"/>
    <cellStyle name="Normal 19 5 5 2" xfId="14437" xr:uid="{00000000-0005-0000-0000-000069380000}"/>
    <cellStyle name="Normal 19 5 5 3" xfId="14438" xr:uid="{00000000-0005-0000-0000-00006A380000}"/>
    <cellStyle name="Normal 19 5 5 4" xfId="14439" xr:uid="{00000000-0005-0000-0000-00006B380000}"/>
    <cellStyle name="Normal 19 5 5 5" xfId="14440" xr:uid="{00000000-0005-0000-0000-00006C380000}"/>
    <cellStyle name="Normal 19 5 5 6" xfId="14441" xr:uid="{00000000-0005-0000-0000-00006D380000}"/>
    <cellStyle name="Normal 19 5 6" xfId="14442" xr:uid="{00000000-0005-0000-0000-00006E380000}"/>
    <cellStyle name="Normal 19 5 6 2" xfId="14443" xr:uid="{00000000-0005-0000-0000-00006F380000}"/>
    <cellStyle name="Normal 19 5 6 3" xfId="14444" xr:uid="{00000000-0005-0000-0000-000070380000}"/>
    <cellStyle name="Normal 19 5 6 4" xfId="14445" xr:uid="{00000000-0005-0000-0000-000071380000}"/>
    <cellStyle name="Normal 19 5 6 5" xfId="14446" xr:uid="{00000000-0005-0000-0000-000072380000}"/>
    <cellStyle name="Normal 19 5 6 6" xfId="14447" xr:uid="{00000000-0005-0000-0000-000073380000}"/>
    <cellStyle name="Normal 19 5 7" xfId="14448" xr:uid="{00000000-0005-0000-0000-000074380000}"/>
    <cellStyle name="Normal 19 5 7 2" xfId="14449" xr:uid="{00000000-0005-0000-0000-000075380000}"/>
    <cellStyle name="Normal 19 5 7 3" xfId="14450" xr:uid="{00000000-0005-0000-0000-000076380000}"/>
    <cellStyle name="Normal 19 5 7 4" xfId="14451" xr:uid="{00000000-0005-0000-0000-000077380000}"/>
    <cellStyle name="Normal 19 5 7 5" xfId="14452" xr:uid="{00000000-0005-0000-0000-000078380000}"/>
    <cellStyle name="Normal 19 5 7 6" xfId="14453" xr:uid="{00000000-0005-0000-0000-000079380000}"/>
    <cellStyle name="Normal 19 5 8" xfId="14454" xr:uid="{00000000-0005-0000-0000-00007A380000}"/>
    <cellStyle name="Normal 19 5 8 2" xfId="14455" xr:uid="{00000000-0005-0000-0000-00007B380000}"/>
    <cellStyle name="Normal 19 5 8 3" xfId="14456" xr:uid="{00000000-0005-0000-0000-00007C380000}"/>
    <cellStyle name="Normal 19 5 8 4" xfId="14457" xr:uid="{00000000-0005-0000-0000-00007D380000}"/>
    <cellStyle name="Normal 19 5 8 5" xfId="14458" xr:uid="{00000000-0005-0000-0000-00007E380000}"/>
    <cellStyle name="Normal 19 5 8 6" xfId="14459" xr:uid="{00000000-0005-0000-0000-00007F380000}"/>
    <cellStyle name="Normal 19 5 9" xfId="14460" xr:uid="{00000000-0005-0000-0000-000080380000}"/>
    <cellStyle name="Normal 19 5 9 2" xfId="14461" xr:uid="{00000000-0005-0000-0000-000081380000}"/>
    <cellStyle name="Normal 19 5 9 3" xfId="14462" xr:uid="{00000000-0005-0000-0000-000082380000}"/>
    <cellStyle name="Normal 19 5 9 4" xfId="14463" xr:uid="{00000000-0005-0000-0000-000083380000}"/>
    <cellStyle name="Normal 19 5 9 5" xfId="14464" xr:uid="{00000000-0005-0000-0000-000084380000}"/>
    <cellStyle name="Normal 19 5 9 6" xfId="14465" xr:uid="{00000000-0005-0000-0000-000085380000}"/>
    <cellStyle name="Normal 19 6" xfId="14466" xr:uid="{00000000-0005-0000-0000-000086380000}"/>
    <cellStyle name="Normal 19 6 10" xfId="14467" xr:uid="{00000000-0005-0000-0000-000087380000}"/>
    <cellStyle name="Normal 19 6 10 2" xfId="14468" xr:uid="{00000000-0005-0000-0000-000088380000}"/>
    <cellStyle name="Normal 19 6 10 3" xfId="14469" xr:uid="{00000000-0005-0000-0000-000089380000}"/>
    <cellStyle name="Normal 19 6 10 4" xfId="14470" xr:uid="{00000000-0005-0000-0000-00008A380000}"/>
    <cellStyle name="Normal 19 6 10 5" xfId="14471" xr:uid="{00000000-0005-0000-0000-00008B380000}"/>
    <cellStyle name="Normal 19 6 10 6" xfId="14472" xr:uid="{00000000-0005-0000-0000-00008C380000}"/>
    <cellStyle name="Normal 19 6 11" xfId="14473" xr:uid="{00000000-0005-0000-0000-00008D380000}"/>
    <cellStyle name="Normal 19 6 12" xfId="14474" xr:uid="{00000000-0005-0000-0000-00008E380000}"/>
    <cellStyle name="Normal 19 6 13" xfId="14475" xr:uid="{00000000-0005-0000-0000-00008F380000}"/>
    <cellStyle name="Normal 19 6 14" xfId="14476" xr:uid="{00000000-0005-0000-0000-000090380000}"/>
    <cellStyle name="Normal 19 6 15" xfId="14477" xr:uid="{00000000-0005-0000-0000-000091380000}"/>
    <cellStyle name="Normal 19 6 2" xfId="14478" xr:uid="{00000000-0005-0000-0000-000092380000}"/>
    <cellStyle name="Normal 19 6 2 10" xfId="14479" xr:uid="{00000000-0005-0000-0000-000093380000}"/>
    <cellStyle name="Normal 19 6 2 11" xfId="14480" xr:uid="{00000000-0005-0000-0000-000094380000}"/>
    <cellStyle name="Normal 19 6 2 12" xfId="14481" xr:uid="{00000000-0005-0000-0000-000095380000}"/>
    <cellStyle name="Normal 19 6 2 13" xfId="14482" xr:uid="{00000000-0005-0000-0000-000096380000}"/>
    <cellStyle name="Normal 19 6 2 14" xfId="14483" xr:uid="{00000000-0005-0000-0000-000097380000}"/>
    <cellStyle name="Normal 19 6 2 2" xfId="14484" xr:uid="{00000000-0005-0000-0000-000098380000}"/>
    <cellStyle name="Normal 19 6 2 2 2" xfId="14485" xr:uid="{00000000-0005-0000-0000-000099380000}"/>
    <cellStyle name="Normal 19 6 2 2 3" xfId="14486" xr:uid="{00000000-0005-0000-0000-00009A380000}"/>
    <cellStyle name="Normal 19 6 2 2 4" xfId="14487" xr:uid="{00000000-0005-0000-0000-00009B380000}"/>
    <cellStyle name="Normal 19 6 2 2 5" xfId="14488" xr:uid="{00000000-0005-0000-0000-00009C380000}"/>
    <cellStyle name="Normal 19 6 2 2 6" xfId="14489" xr:uid="{00000000-0005-0000-0000-00009D380000}"/>
    <cellStyle name="Normal 19 6 2 3" xfId="14490" xr:uid="{00000000-0005-0000-0000-00009E380000}"/>
    <cellStyle name="Normal 19 6 2 3 2" xfId="14491" xr:uid="{00000000-0005-0000-0000-00009F380000}"/>
    <cellStyle name="Normal 19 6 2 3 3" xfId="14492" xr:uid="{00000000-0005-0000-0000-0000A0380000}"/>
    <cellStyle name="Normal 19 6 2 3 4" xfId="14493" xr:uid="{00000000-0005-0000-0000-0000A1380000}"/>
    <cellStyle name="Normal 19 6 2 3 5" xfId="14494" xr:uid="{00000000-0005-0000-0000-0000A2380000}"/>
    <cellStyle name="Normal 19 6 2 3 6" xfId="14495" xr:uid="{00000000-0005-0000-0000-0000A3380000}"/>
    <cellStyle name="Normal 19 6 2 4" xfId="14496" xr:uid="{00000000-0005-0000-0000-0000A4380000}"/>
    <cellStyle name="Normal 19 6 2 4 2" xfId="14497" xr:uid="{00000000-0005-0000-0000-0000A5380000}"/>
    <cellStyle name="Normal 19 6 2 4 3" xfId="14498" xr:uid="{00000000-0005-0000-0000-0000A6380000}"/>
    <cellStyle name="Normal 19 6 2 4 4" xfId="14499" xr:uid="{00000000-0005-0000-0000-0000A7380000}"/>
    <cellStyle name="Normal 19 6 2 4 5" xfId="14500" xr:uid="{00000000-0005-0000-0000-0000A8380000}"/>
    <cellStyle name="Normal 19 6 2 4 6" xfId="14501" xr:uid="{00000000-0005-0000-0000-0000A9380000}"/>
    <cellStyle name="Normal 19 6 2 5" xfId="14502" xr:uid="{00000000-0005-0000-0000-0000AA380000}"/>
    <cellStyle name="Normal 19 6 2 5 2" xfId="14503" xr:uid="{00000000-0005-0000-0000-0000AB380000}"/>
    <cellStyle name="Normal 19 6 2 5 3" xfId="14504" xr:uid="{00000000-0005-0000-0000-0000AC380000}"/>
    <cellStyle name="Normal 19 6 2 5 4" xfId="14505" xr:uid="{00000000-0005-0000-0000-0000AD380000}"/>
    <cellStyle name="Normal 19 6 2 5 5" xfId="14506" xr:uid="{00000000-0005-0000-0000-0000AE380000}"/>
    <cellStyle name="Normal 19 6 2 5 6" xfId="14507" xr:uid="{00000000-0005-0000-0000-0000AF380000}"/>
    <cellStyle name="Normal 19 6 2 6" xfId="14508" xr:uid="{00000000-0005-0000-0000-0000B0380000}"/>
    <cellStyle name="Normal 19 6 2 6 2" xfId="14509" xr:uid="{00000000-0005-0000-0000-0000B1380000}"/>
    <cellStyle name="Normal 19 6 2 6 3" xfId="14510" xr:uid="{00000000-0005-0000-0000-0000B2380000}"/>
    <cellStyle name="Normal 19 6 2 6 4" xfId="14511" xr:uid="{00000000-0005-0000-0000-0000B3380000}"/>
    <cellStyle name="Normal 19 6 2 6 5" xfId="14512" xr:uid="{00000000-0005-0000-0000-0000B4380000}"/>
    <cellStyle name="Normal 19 6 2 6 6" xfId="14513" xr:uid="{00000000-0005-0000-0000-0000B5380000}"/>
    <cellStyle name="Normal 19 6 2 7" xfId="14514" xr:uid="{00000000-0005-0000-0000-0000B6380000}"/>
    <cellStyle name="Normal 19 6 2 7 2" xfId="14515" xr:uid="{00000000-0005-0000-0000-0000B7380000}"/>
    <cellStyle name="Normal 19 6 2 7 3" xfId="14516" xr:uid="{00000000-0005-0000-0000-0000B8380000}"/>
    <cellStyle name="Normal 19 6 2 7 4" xfId="14517" xr:uid="{00000000-0005-0000-0000-0000B9380000}"/>
    <cellStyle name="Normal 19 6 2 7 5" xfId="14518" xr:uid="{00000000-0005-0000-0000-0000BA380000}"/>
    <cellStyle name="Normal 19 6 2 7 6" xfId="14519" xr:uid="{00000000-0005-0000-0000-0000BB380000}"/>
    <cellStyle name="Normal 19 6 2 8" xfId="14520" xr:uid="{00000000-0005-0000-0000-0000BC380000}"/>
    <cellStyle name="Normal 19 6 2 8 2" xfId="14521" xr:uid="{00000000-0005-0000-0000-0000BD380000}"/>
    <cellStyle name="Normal 19 6 2 8 3" xfId="14522" xr:uid="{00000000-0005-0000-0000-0000BE380000}"/>
    <cellStyle name="Normal 19 6 2 8 4" xfId="14523" xr:uid="{00000000-0005-0000-0000-0000BF380000}"/>
    <cellStyle name="Normal 19 6 2 8 5" xfId="14524" xr:uid="{00000000-0005-0000-0000-0000C0380000}"/>
    <cellStyle name="Normal 19 6 2 8 6" xfId="14525" xr:uid="{00000000-0005-0000-0000-0000C1380000}"/>
    <cellStyle name="Normal 19 6 2 9" xfId="14526" xr:uid="{00000000-0005-0000-0000-0000C2380000}"/>
    <cellStyle name="Normal 19 6 2 9 2" xfId="14527" xr:uid="{00000000-0005-0000-0000-0000C3380000}"/>
    <cellStyle name="Normal 19 6 2 9 3" xfId="14528" xr:uid="{00000000-0005-0000-0000-0000C4380000}"/>
    <cellStyle name="Normal 19 6 2 9 4" xfId="14529" xr:uid="{00000000-0005-0000-0000-0000C5380000}"/>
    <cellStyle name="Normal 19 6 2 9 5" xfId="14530" xr:uid="{00000000-0005-0000-0000-0000C6380000}"/>
    <cellStyle name="Normal 19 6 2 9 6" xfId="14531" xr:uid="{00000000-0005-0000-0000-0000C7380000}"/>
    <cellStyle name="Normal 19 6 3" xfId="14532" xr:uid="{00000000-0005-0000-0000-0000C8380000}"/>
    <cellStyle name="Normal 19 6 3 2" xfId="14533" xr:uid="{00000000-0005-0000-0000-0000C9380000}"/>
    <cellStyle name="Normal 19 6 3 3" xfId="14534" xr:uid="{00000000-0005-0000-0000-0000CA380000}"/>
    <cellStyle name="Normal 19 6 3 4" xfId="14535" xr:uid="{00000000-0005-0000-0000-0000CB380000}"/>
    <cellStyle name="Normal 19 6 3 5" xfId="14536" xr:uid="{00000000-0005-0000-0000-0000CC380000}"/>
    <cellStyle name="Normal 19 6 3 6" xfId="14537" xr:uid="{00000000-0005-0000-0000-0000CD380000}"/>
    <cellStyle name="Normal 19 6 4" xfId="14538" xr:uid="{00000000-0005-0000-0000-0000CE380000}"/>
    <cellStyle name="Normal 19 6 4 2" xfId="14539" xr:uid="{00000000-0005-0000-0000-0000CF380000}"/>
    <cellStyle name="Normal 19 6 4 3" xfId="14540" xr:uid="{00000000-0005-0000-0000-0000D0380000}"/>
    <cellStyle name="Normal 19 6 4 4" xfId="14541" xr:uid="{00000000-0005-0000-0000-0000D1380000}"/>
    <cellStyle name="Normal 19 6 4 5" xfId="14542" xr:uid="{00000000-0005-0000-0000-0000D2380000}"/>
    <cellStyle name="Normal 19 6 4 6" xfId="14543" xr:uid="{00000000-0005-0000-0000-0000D3380000}"/>
    <cellStyle name="Normal 19 6 5" xfId="14544" xr:uid="{00000000-0005-0000-0000-0000D4380000}"/>
    <cellStyle name="Normal 19 6 5 2" xfId="14545" xr:uid="{00000000-0005-0000-0000-0000D5380000}"/>
    <cellStyle name="Normal 19 6 5 3" xfId="14546" xr:uid="{00000000-0005-0000-0000-0000D6380000}"/>
    <cellStyle name="Normal 19 6 5 4" xfId="14547" xr:uid="{00000000-0005-0000-0000-0000D7380000}"/>
    <cellStyle name="Normal 19 6 5 5" xfId="14548" xr:uid="{00000000-0005-0000-0000-0000D8380000}"/>
    <cellStyle name="Normal 19 6 5 6" xfId="14549" xr:uid="{00000000-0005-0000-0000-0000D9380000}"/>
    <cellStyle name="Normal 19 6 6" xfId="14550" xr:uid="{00000000-0005-0000-0000-0000DA380000}"/>
    <cellStyle name="Normal 19 6 6 2" xfId="14551" xr:uid="{00000000-0005-0000-0000-0000DB380000}"/>
    <cellStyle name="Normal 19 6 6 3" xfId="14552" xr:uid="{00000000-0005-0000-0000-0000DC380000}"/>
    <cellStyle name="Normal 19 6 6 4" xfId="14553" xr:uid="{00000000-0005-0000-0000-0000DD380000}"/>
    <cellStyle name="Normal 19 6 6 5" xfId="14554" xr:uid="{00000000-0005-0000-0000-0000DE380000}"/>
    <cellStyle name="Normal 19 6 6 6" xfId="14555" xr:uid="{00000000-0005-0000-0000-0000DF380000}"/>
    <cellStyle name="Normal 19 6 7" xfId="14556" xr:uid="{00000000-0005-0000-0000-0000E0380000}"/>
    <cellStyle name="Normal 19 6 7 2" xfId="14557" xr:uid="{00000000-0005-0000-0000-0000E1380000}"/>
    <cellStyle name="Normal 19 6 7 3" xfId="14558" xr:uid="{00000000-0005-0000-0000-0000E2380000}"/>
    <cellStyle name="Normal 19 6 7 4" xfId="14559" xr:uid="{00000000-0005-0000-0000-0000E3380000}"/>
    <cellStyle name="Normal 19 6 7 5" xfId="14560" xr:uid="{00000000-0005-0000-0000-0000E4380000}"/>
    <cellStyle name="Normal 19 6 7 6" xfId="14561" xr:uid="{00000000-0005-0000-0000-0000E5380000}"/>
    <cellStyle name="Normal 19 6 8" xfId="14562" xr:uid="{00000000-0005-0000-0000-0000E6380000}"/>
    <cellStyle name="Normal 19 6 8 2" xfId="14563" xr:uid="{00000000-0005-0000-0000-0000E7380000}"/>
    <cellStyle name="Normal 19 6 8 3" xfId="14564" xr:uid="{00000000-0005-0000-0000-0000E8380000}"/>
    <cellStyle name="Normal 19 6 8 4" xfId="14565" xr:uid="{00000000-0005-0000-0000-0000E9380000}"/>
    <cellStyle name="Normal 19 6 8 5" xfId="14566" xr:uid="{00000000-0005-0000-0000-0000EA380000}"/>
    <cellStyle name="Normal 19 6 8 6" xfId="14567" xr:uid="{00000000-0005-0000-0000-0000EB380000}"/>
    <cellStyle name="Normal 19 6 9" xfId="14568" xr:uid="{00000000-0005-0000-0000-0000EC380000}"/>
    <cellStyle name="Normal 19 6 9 2" xfId="14569" xr:uid="{00000000-0005-0000-0000-0000ED380000}"/>
    <cellStyle name="Normal 19 6 9 3" xfId="14570" xr:uid="{00000000-0005-0000-0000-0000EE380000}"/>
    <cellStyle name="Normal 19 6 9 4" xfId="14571" xr:uid="{00000000-0005-0000-0000-0000EF380000}"/>
    <cellStyle name="Normal 19 6 9 5" xfId="14572" xr:uid="{00000000-0005-0000-0000-0000F0380000}"/>
    <cellStyle name="Normal 19 6 9 6" xfId="14573" xr:uid="{00000000-0005-0000-0000-0000F1380000}"/>
    <cellStyle name="Normal 19 7" xfId="14574" xr:uid="{00000000-0005-0000-0000-0000F2380000}"/>
    <cellStyle name="Normal 19 7 10" xfId="14575" xr:uid="{00000000-0005-0000-0000-0000F3380000}"/>
    <cellStyle name="Normal 19 7 10 2" xfId="14576" xr:uid="{00000000-0005-0000-0000-0000F4380000}"/>
    <cellStyle name="Normal 19 7 10 3" xfId="14577" xr:uid="{00000000-0005-0000-0000-0000F5380000}"/>
    <cellStyle name="Normal 19 7 10 4" xfId="14578" xr:uid="{00000000-0005-0000-0000-0000F6380000}"/>
    <cellStyle name="Normal 19 7 10 5" xfId="14579" xr:uid="{00000000-0005-0000-0000-0000F7380000}"/>
    <cellStyle name="Normal 19 7 10 6" xfId="14580" xr:uid="{00000000-0005-0000-0000-0000F8380000}"/>
    <cellStyle name="Normal 19 7 11" xfId="14581" xr:uid="{00000000-0005-0000-0000-0000F9380000}"/>
    <cellStyle name="Normal 19 7 12" xfId="14582" xr:uid="{00000000-0005-0000-0000-0000FA380000}"/>
    <cellStyle name="Normal 19 7 13" xfId="14583" xr:uid="{00000000-0005-0000-0000-0000FB380000}"/>
    <cellStyle name="Normal 19 7 14" xfId="14584" xr:uid="{00000000-0005-0000-0000-0000FC380000}"/>
    <cellStyle name="Normal 19 7 15" xfId="14585" xr:uid="{00000000-0005-0000-0000-0000FD380000}"/>
    <cellStyle name="Normal 19 7 2" xfId="14586" xr:uid="{00000000-0005-0000-0000-0000FE380000}"/>
    <cellStyle name="Normal 19 7 2 10" xfId="14587" xr:uid="{00000000-0005-0000-0000-0000FF380000}"/>
    <cellStyle name="Normal 19 7 2 11" xfId="14588" xr:uid="{00000000-0005-0000-0000-000000390000}"/>
    <cellStyle name="Normal 19 7 2 12" xfId="14589" xr:uid="{00000000-0005-0000-0000-000001390000}"/>
    <cellStyle name="Normal 19 7 2 13" xfId="14590" xr:uid="{00000000-0005-0000-0000-000002390000}"/>
    <cellStyle name="Normal 19 7 2 14" xfId="14591" xr:uid="{00000000-0005-0000-0000-000003390000}"/>
    <cellStyle name="Normal 19 7 2 2" xfId="14592" xr:uid="{00000000-0005-0000-0000-000004390000}"/>
    <cellStyle name="Normal 19 7 2 2 2" xfId="14593" xr:uid="{00000000-0005-0000-0000-000005390000}"/>
    <cellStyle name="Normal 19 7 2 2 3" xfId="14594" xr:uid="{00000000-0005-0000-0000-000006390000}"/>
    <cellStyle name="Normal 19 7 2 2 4" xfId="14595" xr:uid="{00000000-0005-0000-0000-000007390000}"/>
    <cellStyle name="Normal 19 7 2 2 5" xfId="14596" xr:uid="{00000000-0005-0000-0000-000008390000}"/>
    <cellStyle name="Normal 19 7 2 2 6" xfId="14597" xr:uid="{00000000-0005-0000-0000-000009390000}"/>
    <cellStyle name="Normal 19 7 2 3" xfId="14598" xr:uid="{00000000-0005-0000-0000-00000A390000}"/>
    <cellStyle name="Normal 19 7 2 3 2" xfId="14599" xr:uid="{00000000-0005-0000-0000-00000B390000}"/>
    <cellStyle name="Normal 19 7 2 3 3" xfId="14600" xr:uid="{00000000-0005-0000-0000-00000C390000}"/>
    <cellStyle name="Normal 19 7 2 3 4" xfId="14601" xr:uid="{00000000-0005-0000-0000-00000D390000}"/>
    <cellStyle name="Normal 19 7 2 3 5" xfId="14602" xr:uid="{00000000-0005-0000-0000-00000E390000}"/>
    <cellStyle name="Normal 19 7 2 3 6" xfId="14603" xr:uid="{00000000-0005-0000-0000-00000F390000}"/>
    <cellStyle name="Normal 19 7 2 4" xfId="14604" xr:uid="{00000000-0005-0000-0000-000010390000}"/>
    <cellStyle name="Normal 19 7 2 4 2" xfId="14605" xr:uid="{00000000-0005-0000-0000-000011390000}"/>
    <cellStyle name="Normal 19 7 2 4 3" xfId="14606" xr:uid="{00000000-0005-0000-0000-000012390000}"/>
    <cellStyle name="Normal 19 7 2 4 4" xfId="14607" xr:uid="{00000000-0005-0000-0000-000013390000}"/>
    <cellStyle name="Normal 19 7 2 4 5" xfId="14608" xr:uid="{00000000-0005-0000-0000-000014390000}"/>
    <cellStyle name="Normal 19 7 2 4 6" xfId="14609" xr:uid="{00000000-0005-0000-0000-000015390000}"/>
    <cellStyle name="Normal 19 7 2 5" xfId="14610" xr:uid="{00000000-0005-0000-0000-000016390000}"/>
    <cellStyle name="Normal 19 7 2 5 2" xfId="14611" xr:uid="{00000000-0005-0000-0000-000017390000}"/>
    <cellStyle name="Normal 19 7 2 5 3" xfId="14612" xr:uid="{00000000-0005-0000-0000-000018390000}"/>
    <cellStyle name="Normal 19 7 2 5 4" xfId="14613" xr:uid="{00000000-0005-0000-0000-000019390000}"/>
    <cellStyle name="Normal 19 7 2 5 5" xfId="14614" xr:uid="{00000000-0005-0000-0000-00001A390000}"/>
    <cellStyle name="Normal 19 7 2 5 6" xfId="14615" xr:uid="{00000000-0005-0000-0000-00001B390000}"/>
    <cellStyle name="Normal 19 7 2 6" xfId="14616" xr:uid="{00000000-0005-0000-0000-00001C390000}"/>
    <cellStyle name="Normal 19 7 2 6 2" xfId="14617" xr:uid="{00000000-0005-0000-0000-00001D390000}"/>
    <cellStyle name="Normal 19 7 2 6 3" xfId="14618" xr:uid="{00000000-0005-0000-0000-00001E390000}"/>
    <cellStyle name="Normal 19 7 2 6 4" xfId="14619" xr:uid="{00000000-0005-0000-0000-00001F390000}"/>
    <cellStyle name="Normal 19 7 2 6 5" xfId="14620" xr:uid="{00000000-0005-0000-0000-000020390000}"/>
    <cellStyle name="Normal 19 7 2 6 6" xfId="14621" xr:uid="{00000000-0005-0000-0000-000021390000}"/>
    <cellStyle name="Normal 19 7 2 7" xfId="14622" xr:uid="{00000000-0005-0000-0000-000022390000}"/>
    <cellStyle name="Normal 19 7 2 7 2" xfId="14623" xr:uid="{00000000-0005-0000-0000-000023390000}"/>
    <cellStyle name="Normal 19 7 2 7 3" xfId="14624" xr:uid="{00000000-0005-0000-0000-000024390000}"/>
    <cellStyle name="Normal 19 7 2 7 4" xfId="14625" xr:uid="{00000000-0005-0000-0000-000025390000}"/>
    <cellStyle name="Normal 19 7 2 7 5" xfId="14626" xr:uid="{00000000-0005-0000-0000-000026390000}"/>
    <cellStyle name="Normal 19 7 2 7 6" xfId="14627" xr:uid="{00000000-0005-0000-0000-000027390000}"/>
    <cellStyle name="Normal 19 7 2 8" xfId="14628" xr:uid="{00000000-0005-0000-0000-000028390000}"/>
    <cellStyle name="Normal 19 7 2 8 2" xfId="14629" xr:uid="{00000000-0005-0000-0000-000029390000}"/>
    <cellStyle name="Normal 19 7 2 8 3" xfId="14630" xr:uid="{00000000-0005-0000-0000-00002A390000}"/>
    <cellStyle name="Normal 19 7 2 8 4" xfId="14631" xr:uid="{00000000-0005-0000-0000-00002B390000}"/>
    <cellStyle name="Normal 19 7 2 8 5" xfId="14632" xr:uid="{00000000-0005-0000-0000-00002C390000}"/>
    <cellStyle name="Normal 19 7 2 8 6" xfId="14633" xr:uid="{00000000-0005-0000-0000-00002D390000}"/>
    <cellStyle name="Normal 19 7 2 9" xfId="14634" xr:uid="{00000000-0005-0000-0000-00002E390000}"/>
    <cellStyle name="Normal 19 7 2 9 2" xfId="14635" xr:uid="{00000000-0005-0000-0000-00002F390000}"/>
    <cellStyle name="Normal 19 7 2 9 3" xfId="14636" xr:uid="{00000000-0005-0000-0000-000030390000}"/>
    <cellStyle name="Normal 19 7 2 9 4" xfId="14637" xr:uid="{00000000-0005-0000-0000-000031390000}"/>
    <cellStyle name="Normal 19 7 2 9 5" xfId="14638" xr:uid="{00000000-0005-0000-0000-000032390000}"/>
    <cellStyle name="Normal 19 7 2 9 6" xfId="14639" xr:uid="{00000000-0005-0000-0000-000033390000}"/>
    <cellStyle name="Normal 19 7 3" xfId="14640" xr:uid="{00000000-0005-0000-0000-000034390000}"/>
    <cellStyle name="Normal 19 7 3 2" xfId="14641" xr:uid="{00000000-0005-0000-0000-000035390000}"/>
    <cellStyle name="Normal 19 7 3 3" xfId="14642" xr:uid="{00000000-0005-0000-0000-000036390000}"/>
    <cellStyle name="Normal 19 7 3 4" xfId="14643" xr:uid="{00000000-0005-0000-0000-000037390000}"/>
    <cellStyle name="Normal 19 7 3 5" xfId="14644" xr:uid="{00000000-0005-0000-0000-000038390000}"/>
    <cellStyle name="Normal 19 7 3 6" xfId="14645" xr:uid="{00000000-0005-0000-0000-000039390000}"/>
    <cellStyle name="Normal 19 7 4" xfId="14646" xr:uid="{00000000-0005-0000-0000-00003A390000}"/>
    <cellStyle name="Normal 19 7 4 2" xfId="14647" xr:uid="{00000000-0005-0000-0000-00003B390000}"/>
    <cellStyle name="Normal 19 7 4 3" xfId="14648" xr:uid="{00000000-0005-0000-0000-00003C390000}"/>
    <cellStyle name="Normal 19 7 4 4" xfId="14649" xr:uid="{00000000-0005-0000-0000-00003D390000}"/>
    <cellStyle name="Normal 19 7 4 5" xfId="14650" xr:uid="{00000000-0005-0000-0000-00003E390000}"/>
    <cellStyle name="Normal 19 7 4 6" xfId="14651" xr:uid="{00000000-0005-0000-0000-00003F390000}"/>
    <cellStyle name="Normal 19 7 5" xfId="14652" xr:uid="{00000000-0005-0000-0000-000040390000}"/>
    <cellStyle name="Normal 19 7 5 2" xfId="14653" xr:uid="{00000000-0005-0000-0000-000041390000}"/>
    <cellStyle name="Normal 19 7 5 3" xfId="14654" xr:uid="{00000000-0005-0000-0000-000042390000}"/>
    <cellStyle name="Normal 19 7 5 4" xfId="14655" xr:uid="{00000000-0005-0000-0000-000043390000}"/>
    <cellStyle name="Normal 19 7 5 5" xfId="14656" xr:uid="{00000000-0005-0000-0000-000044390000}"/>
    <cellStyle name="Normal 19 7 5 6" xfId="14657" xr:uid="{00000000-0005-0000-0000-000045390000}"/>
    <cellStyle name="Normal 19 7 6" xfId="14658" xr:uid="{00000000-0005-0000-0000-000046390000}"/>
    <cellStyle name="Normal 19 7 6 2" xfId="14659" xr:uid="{00000000-0005-0000-0000-000047390000}"/>
    <cellStyle name="Normal 19 7 6 3" xfId="14660" xr:uid="{00000000-0005-0000-0000-000048390000}"/>
    <cellStyle name="Normal 19 7 6 4" xfId="14661" xr:uid="{00000000-0005-0000-0000-000049390000}"/>
    <cellStyle name="Normal 19 7 6 5" xfId="14662" xr:uid="{00000000-0005-0000-0000-00004A390000}"/>
    <cellStyle name="Normal 19 7 6 6" xfId="14663" xr:uid="{00000000-0005-0000-0000-00004B390000}"/>
    <cellStyle name="Normal 19 7 7" xfId="14664" xr:uid="{00000000-0005-0000-0000-00004C390000}"/>
    <cellStyle name="Normal 19 7 7 2" xfId="14665" xr:uid="{00000000-0005-0000-0000-00004D390000}"/>
    <cellStyle name="Normal 19 7 7 3" xfId="14666" xr:uid="{00000000-0005-0000-0000-00004E390000}"/>
    <cellStyle name="Normal 19 7 7 4" xfId="14667" xr:uid="{00000000-0005-0000-0000-00004F390000}"/>
    <cellStyle name="Normal 19 7 7 5" xfId="14668" xr:uid="{00000000-0005-0000-0000-000050390000}"/>
    <cellStyle name="Normal 19 7 7 6" xfId="14669" xr:uid="{00000000-0005-0000-0000-000051390000}"/>
    <cellStyle name="Normal 19 7 8" xfId="14670" xr:uid="{00000000-0005-0000-0000-000052390000}"/>
    <cellStyle name="Normal 19 7 8 2" xfId="14671" xr:uid="{00000000-0005-0000-0000-000053390000}"/>
    <cellStyle name="Normal 19 7 8 3" xfId="14672" xr:uid="{00000000-0005-0000-0000-000054390000}"/>
    <cellStyle name="Normal 19 7 8 4" xfId="14673" xr:uid="{00000000-0005-0000-0000-000055390000}"/>
    <cellStyle name="Normal 19 7 8 5" xfId="14674" xr:uid="{00000000-0005-0000-0000-000056390000}"/>
    <cellStyle name="Normal 19 7 8 6" xfId="14675" xr:uid="{00000000-0005-0000-0000-000057390000}"/>
    <cellStyle name="Normal 19 7 9" xfId="14676" xr:uid="{00000000-0005-0000-0000-000058390000}"/>
    <cellStyle name="Normal 19 7 9 2" xfId="14677" xr:uid="{00000000-0005-0000-0000-000059390000}"/>
    <cellStyle name="Normal 19 7 9 3" xfId="14678" xr:uid="{00000000-0005-0000-0000-00005A390000}"/>
    <cellStyle name="Normal 19 7 9 4" xfId="14679" xr:uid="{00000000-0005-0000-0000-00005B390000}"/>
    <cellStyle name="Normal 19 7 9 5" xfId="14680" xr:uid="{00000000-0005-0000-0000-00005C390000}"/>
    <cellStyle name="Normal 19 7 9 6" xfId="14681" xr:uid="{00000000-0005-0000-0000-00005D390000}"/>
    <cellStyle name="Normal 19 8" xfId="14682" xr:uid="{00000000-0005-0000-0000-00005E390000}"/>
    <cellStyle name="Normal 19 8 10" xfId="14683" xr:uid="{00000000-0005-0000-0000-00005F390000}"/>
    <cellStyle name="Normal 19 8 10 2" xfId="14684" xr:uid="{00000000-0005-0000-0000-000060390000}"/>
    <cellStyle name="Normal 19 8 10 3" xfId="14685" xr:uid="{00000000-0005-0000-0000-000061390000}"/>
    <cellStyle name="Normal 19 8 10 4" xfId="14686" xr:uid="{00000000-0005-0000-0000-000062390000}"/>
    <cellStyle name="Normal 19 8 10 5" xfId="14687" xr:uid="{00000000-0005-0000-0000-000063390000}"/>
    <cellStyle name="Normal 19 8 10 6" xfId="14688" xr:uid="{00000000-0005-0000-0000-000064390000}"/>
    <cellStyle name="Normal 19 8 11" xfId="14689" xr:uid="{00000000-0005-0000-0000-000065390000}"/>
    <cellStyle name="Normal 19 8 12" xfId="14690" xr:uid="{00000000-0005-0000-0000-000066390000}"/>
    <cellStyle name="Normal 19 8 13" xfId="14691" xr:uid="{00000000-0005-0000-0000-000067390000}"/>
    <cellStyle name="Normal 19 8 14" xfId="14692" xr:uid="{00000000-0005-0000-0000-000068390000}"/>
    <cellStyle name="Normal 19 8 15" xfId="14693" xr:uid="{00000000-0005-0000-0000-000069390000}"/>
    <cellStyle name="Normal 19 8 2" xfId="14694" xr:uid="{00000000-0005-0000-0000-00006A390000}"/>
    <cellStyle name="Normal 19 8 2 10" xfId="14695" xr:uid="{00000000-0005-0000-0000-00006B390000}"/>
    <cellStyle name="Normal 19 8 2 11" xfId="14696" xr:uid="{00000000-0005-0000-0000-00006C390000}"/>
    <cellStyle name="Normal 19 8 2 12" xfId="14697" xr:uid="{00000000-0005-0000-0000-00006D390000}"/>
    <cellStyle name="Normal 19 8 2 13" xfId="14698" xr:uid="{00000000-0005-0000-0000-00006E390000}"/>
    <cellStyle name="Normal 19 8 2 14" xfId="14699" xr:uid="{00000000-0005-0000-0000-00006F390000}"/>
    <cellStyle name="Normal 19 8 2 2" xfId="14700" xr:uid="{00000000-0005-0000-0000-000070390000}"/>
    <cellStyle name="Normal 19 8 2 2 2" xfId="14701" xr:uid="{00000000-0005-0000-0000-000071390000}"/>
    <cellStyle name="Normal 19 8 2 2 3" xfId="14702" xr:uid="{00000000-0005-0000-0000-000072390000}"/>
    <cellStyle name="Normal 19 8 2 2 4" xfId="14703" xr:uid="{00000000-0005-0000-0000-000073390000}"/>
    <cellStyle name="Normal 19 8 2 2 5" xfId="14704" xr:uid="{00000000-0005-0000-0000-000074390000}"/>
    <cellStyle name="Normal 19 8 2 2 6" xfId="14705" xr:uid="{00000000-0005-0000-0000-000075390000}"/>
    <cellStyle name="Normal 19 8 2 3" xfId="14706" xr:uid="{00000000-0005-0000-0000-000076390000}"/>
    <cellStyle name="Normal 19 8 2 3 2" xfId="14707" xr:uid="{00000000-0005-0000-0000-000077390000}"/>
    <cellStyle name="Normal 19 8 2 3 3" xfId="14708" xr:uid="{00000000-0005-0000-0000-000078390000}"/>
    <cellStyle name="Normal 19 8 2 3 4" xfId="14709" xr:uid="{00000000-0005-0000-0000-000079390000}"/>
    <cellStyle name="Normal 19 8 2 3 5" xfId="14710" xr:uid="{00000000-0005-0000-0000-00007A390000}"/>
    <cellStyle name="Normal 19 8 2 3 6" xfId="14711" xr:uid="{00000000-0005-0000-0000-00007B390000}"/>
    <cellStyle name="Normal 19 8 2 4" xfId="14712" xr:uid="{00000000-0005-0000-0000-00007C390000}"/>
    <cellStyle name="Normal 19 8 2 4 2" xfId="14713" xr:uid="{00000000-0005-0000-0000-00007D390000}"/>
    <cellStyle name="Normal 19 8 2 4 3" xfId="14714" xr:uid="{00000000-0005-0000-0000-00007E390000}"/>
    <cellStyle name="Normal 19 8 2 4 4" xfId="14715" xr:uid="{00000000-0005-0000-0000-00007F390000}"/>
    <cellStyle name="Normal 19 8 2 4 5" xfId="14716" xr:uid="{00000000-0005-0000-0000-000080390000}"/>
    <cellStyle name="Normal 19 8 2 4 6" xfId="14717" xr:uid="{00000000-0005-0000-0000-000081390000}"/>
    <cellStyle name="Normal 19 8 2 5" xfId="14718" xr:uid="{00000000-0005-0000-0000-000082390000}"/>
    <cellStyle name="Normal 19 8 2 5 2" xfId="14719" xr:uid="{00000000-0005-0000-0000-000083390000}"/>
    <cellStyle name="Normal 19 8 2 5 3" xfId="14720" xr:uid="{00000000-0005-0000-0000-000084390000}"/>
    <cellStyle name="Normal 19 8 2 5 4" xfId="14721" xr:uid="{00000000-0005-0000-0000-000085390000}"/>
    <cellStyle name="Normal 19 8 2 5 5" xfId="14722" xr:uid="{00000000-0005-0000-0000-000086390000}"/>
    <cellStyle name="Normal 19 8 2 5 6" xfId="14723" xr:uid="{00000000-0005-0000-0000-000087390000}"/>
    <cellStyle name="Normal 19 8 2 6" xfId="14724" xr:uid="{00000000-0005-0000-0000-000088390000}"/>
    <cellStyle name="Normal 19 8 2 6 2" xfId="14725" xr:uid="{00000000-0005-0000-0000-000089390000}"/>
    <cellStyle name="Normal 19 8 2 6 3" xfId="14726" xr:uid="{00000000-0005-0000-0000-00008A390000}"/>
    <cellStyle name="Normal 19 8 2 6 4" xfId="14727" xr:uid="{00000000-0005-0000-0000-00008B390000}"/>
    <cellStyle name="Normal 19 8 2 6 5" xfId="14728" xr:uid="{00000000-0005-0000-0000-00008C390000}"/>
    <cellStyle name="Normal 19 8 2 6 6" xfId="14729" xr:uid="{00000000-0005-0000-0000-00008D390000}"/>
    <cellStyle name="Normal 19 8 2 7" xfId="14730" xr:uid="{00000000-0005-0000-0000-00008E390000}"/>
    <cellStyle name="Normal 19 8 2 7 2" xfId="14731" xr:uid="{00000000-0005-0000-0000-00008F390000}"/>
    <cellStyle name="Normal 19 8 2 7 3" xfId="14732" xr:uid="{00000000-0005-0000-0000-000090390000}"/>
    <cellStyle name="Normal 19 8 2 7 4" xfId="14733" xr:uid="{00000000-0005-0000-0000-000091390000}"/>
    <cellStyle name="Normal 19 8 2 7 5" xfId="14734" xr:uid="{00000000-0005-0000-0000-000092390000}"/>
    <cellStyle name="Normal 19 8 2 7 6" xfId="14735" xr:uid="{00000000-0005-0000-0000-000093390000}"/>
    <cellStyle name="Normal 19 8 2 8" xfId="14736" xr:uid="{00000000-0005-0000-0000-000094390000}"/>
    <cellStyle name="Normal 19 8 2 8 2" xfId="14737" xr:uid="{00000000-0005-0000-0000-000095390000}"/>
    <cellStyle name="Normal 19 8 2 8 3" xfId="14738" xr:uid="{00000000-0005-0000-0000-000096390000}"/>
    <cellStyle name="Normal 19 8 2 8 4" xfId="14739" xr:uid="{00000000-0005-0000-0000-000097390000}"/>
    <cellStyle name="Normal 19 8 2 8 5" xfId="14740" xr:uid="{00000000-0005-0000-0000-000098390000}"/>
    <cellStyle name="Normal 19 8 2 8 6" xfId="14741" xr:uid="{00000000-0005-0000-0000-000099390000}"/>
    <cellStyle name="Normal 19 8 2 9" xfId="14742" xr:uid="{00000000-0005-0000-0000-00009A390000}"/>
    <cellStyle name="Normal 19 8 2 9 2" xfId="14743" xr:uid="{00000000-0005-0000-0000-00009B390000}"/>
    <cellStyle name="Normal 19 8 2 9 3" xfId="14744" xr:uid="{00000000-0005-0000-0000-00009C390000}"/>
    <cellStyle name="Normal 19 8 2 9 4" xfId="14745" xr:uid="{00000000-0005-0000-0000-00009D390000}"/>
    <cellStyle name="Normal 19 8 2 9 5" xfId="14746" xr:uid="{00000000-0005-0000-0000-00009E390000}"/>
    <cellStyle name="Normal 19 8 2 9 6" xfId="14747" xr:uid="{00000000-0005-0000-0000-00009F390000}"/>
    <cellStyle name="Normal 19 8 3" xfId="14748" xr:uid="{00000000-0005-0000-0000-0000A0390000}"/>
    <cellStyle name="Normal 19 8 3 2" xfId="14749" xr:uid="{00000000-0005-0000-0000-0000A1390000}"/>
    <cellStyle name="Normal 19 8 3 3" xfId="14750" xr:uid="{00000000-0005-0000-0000-0000A2390000}"/>
    <cellStyle name="Normal 19 8 3 4" xfId="14751" xr:uid="{00000000-0005-0000-0000-0000A3390000}"/>
    <cellStyle name="Normal 19 8 3 5" xfId="14752" xr:uid="{00000000-0005-0000-0000-0000A4390000}"/>
    <cellStyle name="Normal 19 8 3 6" xfId="14753" xr:uid="{00000000-0005-0000-0000-0000A5390000}"/>
    <cellStyle name="Normal 19 8 4" xfId="14754" xr:uid="{00000000-0005-0000-0000-0000A6390000}"/>
    <cellStyle name="Normal 19 8 4 2" xfId="14755" xr:uid="{00000000-0005-0000-0000-0000A7390000}"/>
    <cellStyle name="Normal 19 8 4 3" xfId="14756" xr:uid="{00000000-0005-0000-0000-0000A8390000}"/>
    <cellStyle name="Normal 19 8 4 4" xfId="14757" xr:uid="{00000000-0005-0000-0000-0000A9390000}"/>
    <cellStyle name="Normal 19 8 4 5" xfId="14758" xr:uid="{00000000-0005-0000-0000-0000AA390000}"/>
    <cellStyle name="Normal 19 8 4 6" xfId="14759" xr:uid="{00000000-0005-0000-0000-0000AB390000}"/>
    <cellStyle name="Normal 19 8 5" xfId="14760" xr:uid="{00000000-0005-0000-0000-0000AC390000}"/>
    <cellStyle name="Normal 19 8 5 2" xfId="14761" xr:uid="{00000000-0005-0000-0000-0000AD390000}"/>
    <cellStyle name="Normal 19 8 5 3" xfId="14762" xr:uid="{00000000-0005-0000-0000-0000AE390000}"/>
    <cellStyle name="Normal 19 8 5 4" xfId="14763" xr:uid="{00000000-0005-0000-0000-0000AF390000}"/>
    <cellStyle name="Normal 19 8 5 5" xfId="14764" xr:uid="{00000000-0005-0000-0000-0000B0390000}"/>
    <cellStyle name="Normal 19 8 5 6" xfId="14765" xr:uid="{00000000-0005-0000-0000-0000B1390000}"/>
    <cellStyle name="Normal 19 8 6" xfId="14766" xr:uid="{00000000-0005-0000-0000-0000B2390000}"/>
    <cellStyle name="Normal 19 8 6 2" xfId="14767" xr:uid="{00000000-0005-0000-0000-0000B3390000}"/>
    <cellStyle name="Normal 19 8 6 3" xfId="14768" xr:uid="{00000000-0005-0000-0000-0000B4390000}"/>
    <cellStyle name="Normal 19 8 6 4" xfId="14769" xr:uid="{00000000-0005-0000-0000-0000B5390000}"/>
    <cellStyle name="Normal 19 8 6 5" xfId="14770" xr:uid="{00000000-0005-0000-0000-0000B6390000}"/>
    <cellStyle name="Normal 19 8 6 6" xfId="14771" xr:uid="{00000000-0005-0000-0000-0000B7390000}"/>
    <cellStyle name="Normal 19 8 7" xfId="14772" xr:uid="{00000000-0005-0000-0000-0000B8390000}"/>
    <cellStyle name="Normal 19 8 7 2" xfId="14773" xr:uid="{00000000-0005-0000-0000-0000B9390000}"/>
    <cellStyle name="Normal 19 8 7 3" xfId="14774" xr:uid="{00000000-0005-0000-0000-0000BA390000}"/>
    <cellStyle name="Normal 19 8 7 4" xfId="14775" xr:uid="{00000000-0005-0000-0000-0000BB390000}"/>
    <cellStyle name="Normal 19 8 7 5" xfId="14776" xr:uid="{00000000-0005-0000-0000-0000BC390000}"/>
    <cellStyle name="Normal 19 8 7 6" xfId="14777" xr:uid="{00000000-0005-0000-0000-0000BD390000}"/>
    <cellStyle name="Normal 19 8 8" xfId="14778" xr:uid="{00000000-0005-0000-0000-0000BE390000}"/>
    <cellStyle name="Normal 19 8 8 2" xfId="14779" xr:uid="{00000000-0005-0000-0000-0000BF390000}"/>
    <cellStyle name="Normal 19 8 8 3" xfId="14780" xr:uid="{00000000-0005-0000-0000-0000C0390000}"/>
    <cellStyle name="Normal 19 8 8 4" xfId="14781" xr:uid="{00000000-0005-0000-0000-0000C1390000}"/>
    <cellStyle name="Normal 19 8 8 5" xfId="14782" xr:uid="{00000000-0005-0000-0000-0000C2390000}"/>
    <cellStyle name="Normal 19 8 8 6" xfId="14783" xr:uid="{00000000-0005-0000-0000-0000C3390000}"/>
    <cellStyle name="Normal 19 8 9" xfId="14784" xr:uid="{00000000-0005-0000-0000-0000C4390000}"/>
    <cellStyle name="Normal 19 8 9 2" xfId="14785" xr:uid="{00000000-0005-0000-0000-0000C5390000}"/>
    <cellStyle name="Normal 19 8 9 3" xfId="14786" xr:uid="{00000000-0005-0000-0000-0000C6390000}"/>
    <cellStyle name="Normal 19 8 9 4" xfId="14787" xr:uid="{00000000-0005-0000-0000-0000C7390000}"/>
    <cellStyle name="Normal 19 8 9 5" xfId="14788" xr:uid="{00000000-0005-0000-0000-0000C8390000}"/>
    <cellStyle name="Normal 19 8 9 6" xfId="14789" xr:uid="{00000000-0005-0000-0000-0000C9390000}"/>
    <cellStyle name="Normal 19 9" xfId="14790" xr:uid="{00000000-0005-0000-0000-0000CA390000}"/>
    <cellStyle name="Normal 19 9 10" xfId="14791" xr:uid="{00000000-0005-0000-0000-0000CB390000}"/>
    <cellStyle name="Normal 19 9 10 2" xfId="14792" xr:uid="{00000000-0005-0000-0000-0000CC390000}"/>
    <cellStyle name="Normal 19 9 10 3" xfId="14793" xr:uid="{00000000-0005-0000-0000-0000CD390000}"/>
    <cellStyle name="Normal 19 9 10 4" xfId="14794" xr:uid="{00000000-0005-0000-0000-0000CE390000}"/>
    <cellStyle name="Normal 19 9 10 5" xfId="14795" xr:uid="{00000000-0005-0000-0000-0000CF390000}"/>
    <cellStyle name="Normal 19 9 10 6" xfId="14796" xr:uid="{00000000-0005-0000-0000-0000D0390000}"/>
    <cellStyle name="Normal 19 9 11" xfId="14797" xr:uid="{00000000-0005-0000-0000-0000D1390000}"/>
    <cellStyle name="Normal 19 9 12" xfId="14798" xr:uid="{00000000-0005-0000-0000-0000D2390000}"/>
    <cellStyle name="Normal 19 9 13" xfId="14799" xr:uid="{00000000-0005-0000-0000-0000D3390000}"/>
    <cellStyle name="Normal 19 9 14" xfId="14800" xr:uid="{00000000-0005-0000-0000-0000D4390000}"/>
    <cellStyle name="Normal 19 9 15" xfId="14801" xr:uid="{00000000-0005-0000-0000-0000D5390000}"/>
    <cellStyle name="Normal 19 9 2" xfId="14802" xr:uid="{00000000-0005-0000-0000-0000D6390000}"/>
    <cellStyle name="Normal 19 9 2 10" xfId="14803" xr:uid="{00000000-0005-0000-0000-0000D7390000}"/>
    <cellStyle name="Normal 19 9 2 11" xfId="14804" xr:uid="{00000000-0005-0000-0000-0000D8390000}"/>
    <cellStyle name="Normal 19 9 2 12" xfId="14805" xr:uid="{00000000-0005-0000-0000-0000D9390000}"/>
    <cellStyle name="Normal 19 9 2 13" xfId="14806" xr:uid="{00000000-0005-0000-0000-0000DA390000}"/>
    <cellStyle name="Normal 19 9 2 14" xfId="14807" xr:uid="{00000000-0005-0000-0000-0000DB390000}"/>
    <cellStyle name="Normal 19 9 2 2" xfId="14808" xr:uid="{00000000-0005-0000-0000-0000DC390000}"/>
    <cellStyle name="Normal 19 9 2 2 2" xfId="14809" xr:uid="{00000000-0005-0000-0000-0000DD390000}"/>
    <cellStyle name="Normal 19 9 2 2 3" xfId="14810" xr:uid="{00000000-0005-0000-0000-0000DE390000}"/>
    <cellStyle name="Normal 19 9 2 2 4" xfId="14811" xr:uid="{00000000-0005-0000-0000-0000DF390000}"/>
    <cellStyle name="Normal 19 9 2 2 5" xfId="14812" xr:uid="{00000000-0005-0000-0000-0000E0390000}"/>
    <cellStyle name="Normal 19 9 2 2 6" xfId="14813" xr:uid="{00000000-0005-0000-0000-0000E1390000}"/>
    <cellStyle name="Normal 19 9 2 3" xfId="14814" xr:uid="{00000000-0005-0000-0000-0000E2390000}"/>
    <cellStyle name="Normal 19 9 2 3 2" xfId="14815" xr:uid="{00000000-0005-0000-0000-0000E3390000}"/>
    <cellStyle name="Normal 19 9 2 3 3" xfId="14816" xr:uid="{00000000-0005-0000-0000-0000E4390000}"/>
    <cellStyle name="Normal 19 9 2 3 4" xfId="14817" xr:uid="{00000000-0005-0000-0000-0000E5390000}"/>
    <cellStyle name="Normal 19 9 2 3 5" xfId="14818" xr:uid="{00000000-0005-0000-0000-0000E6390000}"/>
    <cellStyle name="Normal 19 9 2 3 6" xfId="14819" xr:uid="{00000000-0005-0000-0000-0000E7390000}"/>
    <cellStyle name="Normal 19 9 2 4" xfId="14820" xr:uid="{00000000-0005-0000-0000-0000E8390000}"/>
    <cellStyle name="Normal 19 9 2 4 2" xfId="14821" xr:uid="{00000000-0005-0000-0000-0000E9390000}"/>
    <cellStyle name="Normal 19 9 2 4 3" xfId="14822" xr:uid="{00000000-0005-0000-0000-0000EA390000}"/>
    <cellStyle name="Normal 19 9 2 4 4" xfId="14823" xr:uid="{00000000-0005-0000-0000-0000EB390000}"/>
    <cellStyle name="Normal 19 9 2 4 5" xfId="14824" xr:uid="{00000000-0005-0000-0000-0000EC390000}"/>
    <cellStyle name="Normal 19 9 2 4 6" xfId="14825" xr:uid="{00000000-0005-0000-0000-0000ED390000}"/>
    <cellStyle name="Normal 19 9 2 5" xfId="14826" xr:uid="{00000000-0005-0000-0000-0000EE390000}"/>
    <cellStyle name="Normal 19 9 2 5 2" xfId="14827" xr:uid="{00000000-0005-0000-0000-0000EF390000}"/>
    <cellStyle name="Normal 19 9 2 5 3" xfId="14828" xr:uid="{00000000-0005-0000-0000-0000F0390000}"/>
    <cellStyle name="Normal 19 9 2 5 4" xfId="14829" xr:uid="{00000000-0005-0000-0000-0000F1390000}"/>
    <cellStyle name="Normal 19 9 2 5 5" xfId="14830" xr:uid="{00000000-0005-0000-0000-0000F2390000}"/>
    <cellStyle name="Normal 19 9 2 5 6" xfId="14831" xr:uid="{00000000-0005-0000-0000-0000F3390000}"/>
    <cellStyle name="Normal 19 9 2 6" xfId="14832" xr:uid="{00000000-0005-0000-0000-0000F4390000}"/>
    <cellStyle name="Normal 19 9 2 6 2" xfId="14833" xr:uid="{00000000-0005-0000-0000-0000F5390000}"/>
    <cellStyle name="Normal 19 9 2 6 3" xfId="14834" xr:uid="{00000000-0005-0000-0000-0000F6390000}"/>
    <cellStyle name="Normal 19 9 2 6 4" xfId="14835" xr:uid="{00000000-0005-0000-0000-0000F7390000}"/>
    <cellStyle name="Normal 19 9 2 6 5" xfId="14836" xr:uid="{00000000-0005-0000-0000-0000F8390000}"/>
    <cellStyle name="Normal 19 9 2 6 6" xfId="14837" xr:uid="{00000000-0005-0000-0000-0000F9390000}"/>
    <cellStyle name="Normal 19 9 2 7" xfId="14838" xr:uid="{00000000-0005-0000-0000-0000FA390000}"/>
    <cellStyle name="Normal 19 9 2 7 2" xfId="14839" xr:uid="{00000000-0005-0000-0000-0000FB390000}"/>
    <cellStyle name="Normal 19 9 2 7 3" xfId="14840" xr:uid="{00000000-0005-0000-0000-0000FC390000}"/>
    <cellStyle name="Normal 19 9 2 7 4" xfId="14841" xr:uid="{00000000-0005-0000-0000-0000FD390000}"/>
    <cellStyle name="Normal 19 9 2 7 5" xfId="14842" xr:uid="{00000000-0005-0000-0000-0000FE390000}"/>
    <cellStyle name="Normal 19 9 2 7 6" xfId="14843" xr:uid="{00000000-0005-0000-0000-0000FF390000}"/>
    <cellStyle name="Normal 19 9 2 8" xfId="14844" xr:uid="{00000000-0005-0000-0000-0000003A0000}"/>
    <cellStyle name="Normal 19 9 2 8 2" xfId="14845" xr:uid="{00000000-0005-0000-0000-0000013A0000}"/>
    <cellStyle name="Normal 19 9 2 8 3" xfId="14846" xr:uid="{00000000-0005-0000-0000-0000023A0000}"/>
    <cellStyle name="Normal 19 9 2 8 4" xfId="14847" xr:uid="{00000000-0005-0000-0000-0000033A0000}"/>
    <cellStyle name="Normal 19 9 2 8 5" xfId="14848" xr:uid="{00000000-0005-0000-0000-0000043A0000}"/>
    <cellStyle name="Normal 19 9 2 8 6" xfId="14849" xr:uid="{00000000-0005-0000-0000-0000053A0000}"/>
    <cellStyle name="Normal 19 9 2 9" xfId="14850" xr:uid="{00000000-0005-0000-0000-0000063A0000}"/>
    <cellStyle name="Normal 19 9 2 9 2" xfId="14851" xr:uid="{00000000-0005-0000-0000-0000073A0000}"/>
    <cellStyle name="Normal 19 9 2 9 3" xfId="14852" xr:uid="{00000000-0005-0000-0000-0000083A0000}"/>
    <cellStyle name="Normal 19 9 2 9 4" xfId="14853" xr:uid="{00000000-0005-0000-0000-0000093A0000}"/>
    <cellStyle name="Normal 19 9 2 9 5" xfId="14854" xr:uid="{00000000-0005-0000-0000-00000A3A0000}"/>
    <cellStyle name="Normal 19 9 2 9 6" xfId="14855" xr:uid="{00000000-0005-0000-0000-00000B3A0000}"/>
    <cellStyle name="Normal 19 9 3" xfId="14856" xr:uid="{00000000-0005-0000-0000-00000C3A0000}"/>
    <cellStyle name="Normal 19 9 3 2" xfId="14857" xr:uid="{00000000-0005-0000-0000-00000D3A0000}"/>
    <cellStyle name="Normal 19 9 3 3" xfId="14858" xr:uid="{00000000-0005-0000-0000-00000E3A0000}"/>
    <cellStyle name="Normal 19 9 3 4" xfId="14859" xr:uid="{00000000-0005-0000-0000-00000F3A0000}"/>
    <cellStyle name="Normal 19 9 3 5" xfId="14860" xr:uid="{00000000-0005-0000-0000-0000103A0000}"/>
    <cellStyle name="Normal 19 9 3 6" xfId="14861" xr:uid="{00000000-0005-0000-0000-0000113A0000}"/>
    <cellStyle name="Normal 19 9 4" xfId="14862" xr:uid="{00000000-0005-0000-0000-0000123A0000}"/>
    <cellStyle name="Normal 19 9 4 2" xfId="14863" xr:uid="{00000000-0005-0000-0000-0000133A0000}"/>
    <cellStyle name="Normal 19 9 4 3" xfId="14864" xr:uid="{00000000-0005-0000-0000-0000143A0000}"/>
    <cellStyle name="Normal 19 9 4 4" xfId="14865" xr:uid="{00000000-0005-0000-0000-0000153A0000}"/>
    <cellStyle name="Normal 19 9 4 5" xfId="14866" xr:uid="{00000000-0005-0000-0000-0000163A0000}"/>
    <cellStyle name="Normal 19 9 4 6" xfId="14867" xr:uid="{00000000-0005-0000-0000-0000173A0000}"/>
    <cellStyle name="Normal 19 9 5" xfId="14868" xr:uid="{00000000-0005-0000-0000-0000183A0000}"/>
    <cellStyle name="Normal 19 9 5 2" xfId="14869" xr:uid="{00000000-0005-0000-0000-0000193A0000}"/>
    <cellStyle name="Normal 19 9 5 3" xfId="14870" xr:uid="{00000000-0005-0000-0000-00001A3A0000}"/>
    <cellStyle name="Normal 19 9 5 4" xfId="14871" xr:uid="{00000000-0005-0000-0000-00001B3A0000}"/>
    <cellStyle name="Normal 19 9 5 5" xfId="14872" xr:uid="{00000000-0005-0000-0000-00001C3A0000}"/>
    <cellStyle name="Normal 19 9 5 6" xfId="14873" xr:uid="{00000000-0005-0000-0000-00001D3A0000}"/>
    <cellStyle name="Normal 19 9 6" xfId="14874" xr:uid="{00000000-0005-0000-0000-00001E3A0000}"/>
    <cellStyle name="Normal 19 9 6 2" xfId="14875" xr:uid="{00000000-0005-0000-0000-00001F3A0000}"/>
    <cellStyle name="Normal 19 9 6 3" xfId="14876" xr:uid="{00000000-0005-0000-0000-0000203A0000}"/>
    <cellStyle name="Normal 19 9 6 4" xfId="14877" xr:uid="{00000000-0005-0000-0000-0000213A0000}"/>
    <cellStyle name="Normal 19 9 6 5" xfId="14878" xr:uid="{00000000-0005-0000-0000-0000223A0000}"/>
    <cellStyle name="Normal 19 9 6 6" xfId="14879" xr:uid="{00000000-0005-0000-0000-0000233A0000}"/>
    <cellStyle name="Normal 19 9 7" xfId="14880" xr:uid="{00000000-0005-0000-0000-0000243A0000}"/>
    <cellStyle name="Normal 19 9 7 2" xfId="14881" xr:uid="{00000000-0005-0000-0000-0000253A0000}"/>
    <cellStyle name="Normal 19 9 7 3" xfId="14882" xr:uid="{00000000-0005-0000-0000-0000263A0000}"/>
    <cellStyle name="Normal 19 9 7 4" xfId="14883" xr:uid="{00000000-0005-0000-0000-0000273A0000}"/>
    <cellStyle name="Normal 19 9 7 5" xfId="14884" xr:uid="{00000000-0005-0000-0000-0000283A0000}"/>
    <cellStyle name="Normal 19 9 7 6" xfId="14885" xr:uid="{00000000-0005-0000-0000-0000293A0000}"/>
    <cellStyle name="Normal 19 9 8" xfId="14886" xr:uid="{00000000-0005-0000-0000-00002A3A0000}"/>
    <cellStyle name="Normal 19 9 8 2" xfId="14887" xr:uid="{00000000-0005-0000-0000-00002B3A0000}"/>
    <cellStyle name="Normal 19 9 8 3" xfId="14888" xr:uid="{00000000-0005-0000-0000-00002C3A0000}"/>
    <cellStyle name="Normal 19 9 8 4" xfId="14889" xr:uid="{00000000-0005-0000-0000-00002D3A0000}"/>
    <cellStyle name="Normal 19 9 8 5" xfId="14890" xr:uid="{00000000-0005-0000-0000-00002E3A0000}"/>
    <cellStyle name="Normal 19 9 8 6" xfId="14891" xr:uid="{00000000-0005-0000-0000-00002F3A0000}"/>
    <cellStyle name="Normal 19 9 9" xfId="14892" xr:uid="{00000000-0005-0000-0000-0000303A0000}"/>
    <cellStyle name="Normal 19 9 9 2" xfId="14893" xr:uid="{00000000-0005-0000-0000-0000313A0000}"/>
    <cellStyle name="Normal 19 9 9 3" xfId="14894" xr:uid="{00000000-0005-0000-0000-0000323A0000}"/>
    <cellStyle name="Normal 19 9 9 4" xfId="14895" xr:uid="{00000000-0005-0000-0000-0000333A0000}"/>
    <cellStyle name="Normal 19 9 9 5" xfId="14896" xr:uid="{00000000-0005-0000-0000-0000343A0000}"/>
    <cellStyle name="Normal 19 9 9 6" xfId="14897" xr:uid="{00000000-0005-0000-0000-0000353A0000}"/>
    <cellStyle name="Normal 2" xfId="14898" xr:uid="{00000000-0005-0000-0000-0000363A0000}"/>
    <cellStyle name="Normal 2 2" xfId="14899" xr:uid="{00000000-0005-0000-0000-0000373A0000}"/>
    <cellStyle name="Normal 2 2 2" xfId="14900" xr:uid="{00000000-0005-0000-0000-0000383A0000}"/>
    <cellStyle name="Normal 2 2 3" xfId="14901" xr:uid="{00000000-0005-0000-0000-0000393A0000}"/>
    <cellStyle name="Normal 2 3" xfId="14902" xr:uid="{00000000-0005-0000-0000-00003A3A0000}"/>
    <cellStyle name="Normal 2 3 10" xfId="14903" xr:uid="{00000000-0005-0000-0000-00003B3A0000}"/>
    <cellStyle name="Normal 2 3 11" xfId="14904" xr:uid="{00000000-0005-0000-0000-00003C3A0000}"/>
    <cellStyle name="Normal 2 3 12" xfId="14905" xr:uid="{00000000-0005-0000-0000-00003D3A0000}"/>
    <cellStyle name="Normal 2 3 13" xfId="14906" xr:uid="{00000000-0005-0000-0000-00003E3A0000}"/>
    <cellStyle name="Normal 2 3 14" xfId="14907" xr:uid="{00000000-0005-0000-0000-00003F3A0000}"/>
    <cellStyle name="Normal 2 3 15" xfId="14908" xr:uid="{00000000-0005-0000-0000-0000403A0000}"/>
    <cellStyle name="Normal 2 3 16" xfId="14909" xr:uid="{00000000-0005-0000-0000-0000413A0000}"/>
    <cellStyle name="Normal 2 3 17" xfId="14910" xr:uid="{00000000-0005-0000-0000-0000423A0000}"/>
    <cellStyle name="Normal 2 3 18" xfId="14911" xr:uid="{00000000-0005-0000-0000-0000433A0000}"/>
    <cellStyle name="Normal 2 3 19" xfId="14912" xr:uid="{00000000-0005-0000-0000-0000443A0000}"/>
    <cellStyle name="Normal 2 3 2" xfId="14913" xr:uid="{00000000-0005-0000-0000-0000453A0000}"/>
    <cellStyle name="Normal 2 3 3" xfId="14914" xr:uid="{00000000-0005-0000-0000-0000463A0000}"/>
    <cellStyle name="Normal 2 3 4" xfId="14915" xr:uid="{00000000-0005-0000-0000-0000473A0000}"/>
    <cellStyle name="Normal 2 3 5" xfId="14916" xr:uid="{00000000-0005-0000-0000-0000483A0000}"/>
    <cellStyle name="Normal 2 3 6" xfId="14917" xr:uid="{00000000-0005-0000-0000-0000493A0000}"/>
    <cellStyle name="Normal 2 3 7" xfId="14918" xr:uid="{00000000-0005-0000-0000-00004A3A0000}"/>
    <cellStyle name="Normal 2 3 8" xfId="14919" xr:uid="{00000000-0005-0000-0000-00004B3A0000}"/>
    <cellStyle name="Normal 2 3 9" xfId="14920" xr:uid="{00000000-0005-0000-0000-00004C3A0000}"/>
    <cellStyle name="Normal 2 4" xfId="14921" xr:uid="{00000000-0005-0000-0000-00004D3A0000}"/>
    <cellStyle name="Normal 2 5" xfId="14922" xr:uid="{00000000-0005-0000-0000-00004E3A0000}"/>
    <cellStyle name="Normal 2_Copy of Neelam DPR1" xfId="16161" xr:uid="{00000000-0005-0000-0000-00004F3A0000}"/>
    <cellStyle name="Normal 20" xfId="14923" xr:uid="{00000000-0005-0000-0000-0000503A0000}"/>
    <cellStyle name="Normal 20 2" xfId="14924" xr:uid="{00000000-0005-0000-0000-0000513A0000}"/>
    <cellStyle name="Normal 21" xfId="14925" xr:uid="{00000000-0005-0000-0000-0000523A0000}"/>
    <cellStyle name="Normal 21 10" xfId="14926" xr:uid="{00000000-0005-0000-0000-0000533A0000}"/>
    <cellStyle name="Normal 21 10 2" xfId="14927" xr:uid="{00000000-0005-0000-0000-0000543A0000}"/>
    <cellStyle name="Normal 21 10 3" xfId="14928" xr:uid="{00000000-0005-0000-0000-0000553A0000}"/>
    <cellStyle name="Normal 21 10 4" xfId="14929" xr:uid="{00000000-0005-0000-0000-0000563A0000}"/>
    <cellStyle name="Normal 21 10 5" xfId="14930" xr:uid="{00000000-0005-0000-0000-0000573A0000}"/>
    <cellStyle name="Normal 21 10 6" xfId="14931" xr:uid="{00000000-0005-0000-0000-0000583A0000}"/>
    <cellStyle name="Normal 21 11" xfId="14932" xr:uid="{00000000-0005-0000-0000-0000593A0000}"/>
    <cellStyle name="Normal 21 12" xfId="14933" xr:uid="{00000000-0005-0000-0000-00005A3A0000}"/>
    <cellStyle name="Normal 21 13" xfId="14934" xr:uid="{00000000-0005-0000-0000-00005B3A0000}"/>
    <cellStyle name="Normal 21 14" xfId="14935" xr:uid="{00000000-0005-0000-0000-00005C3A0000}"/>
    <cellStyle name="Normal 21 15" xfId="14936" xr:uid="{00000000-0005-0000-0000-00005D3A0000}"/>
    <cellStyle name="Normal 21 2" xfId="14937" xr:uid="{00000000-0005-0000-0000-00005E3A0000}"/>
    <cellStyle name="Normal 21 2 10" xfId="14938" xr:uid="{00000000-0005-0000-0000-00005F3A0000}"/>
    <cellStyle name="Normal 21 2 11" xfId="14939" xr:uid="{00000000-0005-0000-0000-0000603A0000}"/>
    <cellStyle name="Normal 21 2 12" xfId="14940" xr:uid="{00000000-0005-0000-0000-0000613A0000}"/>
    <cellStyle name="Normal 21 2 13" xfId="14941" xr:uid="{00000000-0005-0000-0000-0000623A0000}"/>
    <cellStyle name="Normal 21 2 14" xfId="14942" xr:uid="{00000000-0005-0000-0000-0000633A0000}"/>
    <cellStyle name="Normal 21 2 2" xfId="14943" xr:uid="{00000000-0005-0000-0000-0000643A0000}"/>
    <cellStyle name="Normal 21 2 2 2" xfId="14944" xr:uid="{00000000-0005-0000-0000-0000653A0000}"/>
    <cellStyle name="Normal 21 2 2 3" xfId="14945" xr:uid="{00000000-0005-0000-0000-0000663A0000}"/>
    <cellStyle name="Normal 21 2 2 4" xfId="14946" xr:uid="{00000000-0005-0000-0000-0000673A0000}"/>
    <cellStyle name="Normal 21 2 2 5" xfId="14947" xr:uid="{00000000-0005-0000-0000-0000683A0000}"/>
    <cellStyle name="Normal 21 2 2 6" xfId="14948" xr:uid="{00000000-0005-0000-0000-0000693A0000}"/>
    <cellStyle name="Normal 21 2 3" xfId="14949" xr:uid="{00000000-0005-0000-0000-00006A3A0000}"/>
    <cellStyle name="Normal 21 2 3 2" xfId="14950" xr:uid="{00000000-0005-0000-0000-00006B3A0000}"/>
    <cellStyle name="Normal 21 2 3 3" xfId="14951" xr:uid="{00000000-0005-0000-0000-00006C3A0000}"/>
    <cellStyle name="Normal 21 2 3 4" xfId="14952" xr:uid="{00000000-0005-0000-0000-00006D3A0000}"/>
    <cellStyle name="Normal 21 2 3 5" xfId="14953" xr:uid="{00000000-0005-0000-0000-00006E3A0000}"/>
    <cellStyle name="Normal 21 2 3 6" xfId="14954" xr:uid="{00000000-0005-0000-0000-00006F3A0000}"/>
    <cellStyle name="Normal 21 2 4" xfId="14955" xr:uid="{00000000-0005-0000-0000-0000703A0000}"/>
    <cellStyle name="Normal 21 2 4 2" xfId="14956" xr:uid="{00000000-0005-0000-0000-0000713A0000}"/>
    <cellStyle name="Normal 21 2 4 3" xfId="14957" xr:uid="{00000000-0005-0000-0000-0000723A0000}"/>
    <cellStyle name="Normal 21 2 4 4" xfId="14958" xr:uid="{00000000-0005-0000-0000-0000733A0000}"/>
    <cellStyle name="Normal 21 2 4 5" xfId="14959" xr:uid="{00000000-0005-0000-0000-0000743A0000}"/>
    <cellStyle name="Normal 21 2 4 6" xfId="14960" xr:uid="{00000000-0005-0000-0000-0000753A0000}"/>
    <cellStyle name="Normal 21 2 5" xfId="14961" xr:uid="{00000000-0005-0000-0000-0000763A0000}"/>
    <cellStyle name="Normal 21 2 5 2" xfId="14962" xr:uid="{00000000-0005-0000-0000-0000773A0000}"/>
    <cellStyle name="Normal 21 2 5 3" xfId="14963" xr:uid="{00000000-0005-0000-0000-0000783A0000}"/>
    <cellStyle name="Normal 21 2 5 4" xfId="14964" xr:uid="{00000000-0005-0000-0000-0000793A0000}"/>
    <cellStyle name="Normal 21 2 5 5" xfId="14965" xr:uid="{00000000-0005-0000-0000-00007A3A0000}"/>
    <cellStyle name="Normal 21 2 5 6" xfId="14966" xr:uid="{00000000-0005-0000-0000-00007B3A0000}"/>
    <cellStyle name="Normal 21 2 6" xfId="14967" xr:uid="{00000000-0005-0000-0000-00007C3A0000}"/>
    <cellStyle name="Normal 21 2 6 2" xfId="14968" xr:uid="{00000000-0005-0000-0000-00007D3A0000}"/>
    <cellStyle name="Normal 21 2 6 3" xfId="14969" xr:uid="{00000000-0005-0000-0000-00007E3A0000}"/>
    <cellStyle name="Normal 21 2 6 4" xfId="14970" xr:uid="{00000000-0005-0000-0000-00007F3A0000}"/>
    <cellStyle name="Normal 21 2 6 5" xfId="14971" xr:uid="{00000000-0005-0000-0000-0000803A0000}"/>
    <cellStyle name="Normal 21 2 6 6" xfId="14972" xr:uid="{00000000-0005-0000-0000-0000813A0000}"/>
    <cellStyle name="Normal 21 2 7" xfId="14973" xr:uid="{00000000-0005-0000-0000-0000823A0000}"/>
    <cellStyle name="Normal 21 2 7 2" xfId="14974" xr:uid="{00000000-0005-0000-0000-0000833A0000}"/>
    <cellStyle name="Normal 21 2 7 3" xfId="14975" xr:uid="{00000000-0005-0000-0000-0000843A0000}"/>
    <cellStyle name="Normal 21 2 7 4" xfId="14976" xr:uid="{00000000-0005-0000-0000-0000853A0000}"/>
    <cellStyle name="Normal 21 2 7 5" xfId="14977" xr:uid="{00000000-0005-0000-0000-0000863A0000}"/>
    <cellStyle name="Normal 21 2 7 6" xfId="14978" xr:uid="{00000000-0005-0000-0000-0000873A0000}"/>
    <cellStyle name="Normal 21 2 8" xfId="14979" xr:uid="{00000000-0005-0000-0000-0000883A0000}"/>
    <cellStyle name="Normal 21 2 8 2" xfId="14980" xr:uid="{00000000-0005-0000-0000-0000893A0000}"/>
    <cellStyle name="Normal 21 2 8 3" xfId="14981" xr:uid="{00000000-0005-0000-0000-00008A3A0000}"/>
    <cellStyle name="Normal 21 2 8 4" xfId="14982" xr:uid="{00000000-0005-0000-0000-00008B3A0000}"/>
    <cellStyle name="Normal 21 2 8 5" xfId="14983" xr:uid="{00000000-0005-0000-0000-00008C3A0000}"/>
    <cellStyle name="Normal 21 2 8 6" xfId="14984" xr:uid="{00000000-0005-0000-0000-00008D3A0000}"/>
    <cellStyle name="Normal 21 2 9" xfId="14985" xr:uid="{00000000-0005-0000-0000-00008E3A0000}"/>
    <cellStyle name="Normal 21 2 9 2" xfId="14986" xr:uid="{00000000-0005-0000-0000-00008F3A0000}"/>
    <cellStyle name="Normal 21 2 9 3" xfId="14987" xr:uid="{00000000-0005-0000-0000-0000903A0000}"/>
    <cellStyle name="Normal 21 2 9 4" xfId="14988" xr:uid="{00000000-0005-0000-0000-0000913A0000}"/>
    <cellStyle name="Normal 21 2 9 5" xfId="14989" xr:uid="{00000000-0005-0000-0000-0000923A0000}"/>
    <cellStyle name="Normal 21 2 9 6" xfId="14990" xr:uid="{00000000-0005-0000-0000-0000933A0000}"/>
    <cellStyle name="Normal 21 3" xfId="14991" xr:uid="{00000000-0005-0000-0000-0000943A0000}"/>
    <cellStyle name="Normal 21 3 2" xfId="14992" xr:uid="{00000000-0005-0000-0000-0000953A0000}"/>
    <cellStyle name="Normal 21 3 3" xfId="14993" xr:uid="{00000000-0005-0000-0000-0000963A0000}"/>
    <cellStyle name="Normal 21 3 4" xfId="14994" xr:uid="{00000000-0005-0000-0000-0000973A0000}"/>
    <cellStyle name="Normal 21 3 5" xfId="14995" xr:uid="{00000000-0005-0000-0000-0000983A0000}"/>
    <cellStyle name="Normal 21 3 6" xfId="14996" xr:uid="{00000000-0005-0000-0000-0000993A0000}"/>
    <cellStyle name="Normal 21 4" xfId="14997" xr:uid="{00000000-0005-0000-0000-00009A3A0000}"/>
    <cellStyle name="Normal 21 4 2" xfId="14998" xr:uid="{00000000-0005-0000-0000-00009B3A0000}"/>
    <cellStyle name="Normal 21 4 3" xfId="14999" xr:uid="{00000000-0005-0000-0000-00009C3A0000}"/>
    <cellStyle name="Normal 21 4 4" xfId="15000" xr:uid="{00000000-0005-0000-0000-00009D3A0000}"/>
    <cellStyle name="Normal 21 4 5" xfId="15001" xr:uid="{00000000-0005-0000-0000-00009E3A0000}"/>
    <cellStyle name="Normal 21 4 6" xfId="15002" xr:uid="{00000000-0005-0000-0000-00009F3A0000}"/>
    <cellStyle name="Normal 21 5" xfId="15003" xr:uid="{00000000-0005-0000-0000-0000A03A0000}"/>
    <cellStyle name="Normal 21 5 2" xfId="15004" xr:uid="{00000000-0005-0000-0000-0000A13A0000}"/>
    <cellStyle name="Normal 21 5 3" xfId="15005" xr:uid="{00000000-0005-0000-0000-0000A23A0000}"/>
    <cellStyle name="Normal 21 5 4" xfId="15006" xr:uid="{00000000-0005-0000-0000-0000A33A0000}"/>
    <cellStyle name="Normal 21 5 5" xfId="15007" xr:uid="{00000000-0005-0000-0000-0000A43A0000}"/>
    <cellStyle name="Normal 21 5 6" xfId="15008" xr:uid="{00000000-0005-0000-0000-0000A53A0000}"/>
    <cellStyle name="Normal 21 6" xfId="15009" xr:uid="{00000000-0005-0000-0000-0000A63A0000}"/>
    <cellStyle name="Normal 21 6 2" xfId="15010" xr:uid="{00000000-0005-0000-0000-0000A73A0000}"/>
    <cellStyle name="Normal 21 6 3" xfId="15011" xr:uid="{00000000-0005-0000-0000-0000A83A0000}"/>
    <cellStyle name="Normal 21 6 4" xfId="15012" xr:uid="{00000000-0005-0000-0000-0000A93A0000}"/>
    <cellStyle name="Normal 21 6 5" xfId="15013" xr:uid="{00000000-0005-0000-0000-0000AA3A0000}"/>
    <cellStyle name="Normal 21 6 6" xfId="15014" xr:uid="{00000000-0005-0000-0000-0000AB3A0000}"/>
    <cellStyle name="Normal 21 7" xfId="15015" xr:uid="{00000000-0005-0000-0000-0000AC3A0000}"/>
    <cellStyle name="Normal 21 7 2" xfId="15016" xr:uid="{00000000-0005-0000-0000-0000AD3A0000}"/>
    <cellStyle name="Normal 21 7 3" xfId="15017" xr:uid="{00000000-0005-0000-0000-0000AE3A0000}"/>
    <cellStyle name="Normal 21 7 4" xfId="15018" xr:uid="{00000000-0005-0000-0000-0000AF3A0000}"/>
    <cellStyle name="Normal 21 7 5" xfId="15019" xr:uid="{00000000-0005-0000-0000-0000B03A0000}"/>
    <cellStyle name="Normal 21 7 6" xfId="15020" xr:uid="{00000000-0005-0000-0000-0000B13A0000}"/>
    <cellStyle name="Normal 21 8" xfId="15021" xr:uid="{00000000-0005-0000-0000-0000B23A0000}"/>
    <cellStyle name="Normal 21 8 2" xfId="15022" xr:uid="{00000000-0005-0000-0000-0000B33A0000}"/>
    <cellStyle name="Normal 21 8 3" xfId="15023" xr:uid="{00000000-0005-0000-0000-0000B43A0000}"/>
    <cellStyle name="Normal 21 8 4" xfId="15024" xr:uid="{00000000-0005-0000-0000-0000B53A0000}"/>
    <cellStyle name="Normal 21 8 5" xfId="15025" xr:uid="{00000000-0005-0000-0000-0000B63A0000}"/>
    <cellStyle name="Normal 21 8 6" xfId="15026" xr:uid="{00000000-0005-0000-0000-0000B73A0000}"/>
    <cellStyle name="Normal 21 9" xfId="15027" xr:uid="{00000000-0005-0000-0000-0000B83A0000}"/>
    <cellStyle name="Normal 21 9 2" xfId="15028" xr:uid="{00000000-0005-0000-0000-0000B93A0000}"/>
    <cellStyle name="Normal 21 9 3" xfId="15029" xr:uid="{00000000-0005-0000-0000-0000BA3A0000}"/>
    <cellStyle name="Normal 21 9 4" xfId="15030" xr:uid="{00000000-0005-0000-0000-0000BB3A0000}"/>
    <cellStyle name="Normal 21 9 5" xfId="15031" xr:uid="{00000000-0005-0000-0000-0000BC3A0000}"/>
    <cellStyle name="Normal 21 9 6" xfId="15032" xr:uid="{00000000-0005-0000-0000-0000BD3A0000}"/>
    <cellStyle name="Normal 22" xfId="15033" xr:uid="{00000000-0005-0000-0000-0000BE3A0000}"/>
    <cellStyle name="Normal 22 10" xfId="15034" xr:uid="{00000000-0005-0000-0000-0000BF3A0000}"/>
    <cellStyle name="Normal 22 10 2" xfId="15035" xr:uid="{00000000-0005-0000-0000-0000C03A0000}"/>
    <cellStyle name="Normal 22 10 3" xfId="15036" xr:uid="{00000000-0005-0000-0000-0000C13A0000}"/>
    <cellStyle name="Normal 22 10 4" xfId="15037" xr:uid="{00000000-0005-0000-0000-0000C23A0000}"/>
    <cellStyle name="Normal 22 10 5" xfId="15038" xr:uid="{00000000-0005-0000-0000-0000C33A0000}"/>
    <cellStyle name="Normal 22 10 6" xfId="15039" xr:uid="{00000000-0005-0000-0000-0000C43A0000}"/>
    <cellStyle name="Normal 22 11" xfId="15040" xr:uid="{00000000-0005-0000-0000-0000C53A0000}"/>
    <cellStyle name="Normal 22 12" xfId="15041" xr:uid="{00000000-0005-0000-0000-0000C63A0000}"/>
    <cellStyle name="Normal 22 13" xfId="15042" xr:uid="{00000000-0005-0000-0000-0000C73A0000}"/>
    <cellStyle name="Normal 22 14" xfId="15043" xr:uid="{00000000-0005-0000-0000-0000C83A0000}"/>
    <cellStyle name="Normal 22 15" xfId="15044" xr:uid="{00000000-0005-0000-0000-0000C93A0000}"/>
    <cellStyle name="Normal 22 2" xfId="15045" xr:uid="{00000000-0005-0000-0000-0000CA3A0000}"/>
    <cellStyle name="Normal 22 2 10" xfId="15046" xr:uid="{00000000-0005-0000-0000-0000CB3A0000}"/>
    <cellStyle name="Normal 22 2 11" xfId="15047" xr:uid="{00000000-0005-0000-0000-0000CC3A0000}"/>
    <cellStyle name="Normal 22 2 12" xfId="15048" xr:uid="{00000000-0005-0000-0000-0000CD3A0000}"/>
    <cellStyle name="Normal 22 2 13" xfId="15049" xr:uid="{00000000-0005-0000-0000-0000CE3A0000}"/>
    <cellStyle name="Normal 22 2 14" xfId="15050" xr:uid="{00000000-0005-0000-0000-0000CF3A0000}"/>
    <cellStyle name="Normal 22 2 2" xfId="15051" xr:uid="{00000000-0005-0000-0000-0000D03A0000}"/>
    <cellStyle name="Normal 22 2 2 2" xfId="15052" xr:uid="{00000000-0005-0000-0000-0000D13A0000}"/>
    <cellStyle name="Normal 22 2 2 3" xfId="15053" xr:uid="{00000000-0005-0000-0000-0000D23A0000}"/>
    <cellStyle name="Normal 22 2 2 4" xfId="15054" xr:uid="{00000000-0005-0000-0000-0000D33A0000}"/>
    <cellStyle name="Normal 22 2 2 5" xfId="15055" xr:uid="{00000000-0005-0000-0000-0000D43A0000}"/>
    <cellStyle name="Normal 22 2 2 6" xfId="15056" xr:uid="{00000000-0005-0000-0000-0000D53A0000}"/>
    <cellStyle name="Normal 22 2 3" xfId="15057" xr:uid="{00000000-0005-0000-0000-0000D63A0000}"/>
    <cellStyle name="Normal 22 2 3 2" xfId="15058" xr:uid="{00000000-0005-0000-0000-0000D73A0000}"/>
    <cellStyle name="Normal 22 2 3 3" xfId="15059" xr:uid="{00000000-0005-0000-0000-0000D83A0000}"/>
    <cellStyle name="Normal 22 2 3 4" xfId="15060" xr:uid="{00000000-0005-0000-0000-0000D93A0000}"/>
    <cellStyle name="Normal 22 2 3 5" xfId="15061" xr:uid="{00000000-0005-0000-0000-0000DA3A0000}"/>
    <cellStyle name="Normal 22 2 3 6" xfId="15062" xr:uid="{00000000-0005-0000-0000-0000DB3A0000}"/>
    <cellStyle name="Normal 22 2 4" xfId="15063" xr:uid="{00000000-0005-0000-0000-0000DC3A0000}"/>
    <cellStyle name="Normal 22 2 4 2" xfId="15064" xr:uid="{00000000-0005-0000-0000-0000DD3A0000}"/>
    <cellStyle name="Normal 22 2 4 3" xfId="15065" xr:uid="{00000000-0005-0000-0000-0000DE3A0000}"/>
    <cellStyle name="Normal 22 2 4 4" xfId="15066" xr:uid="{00000000-0005-0000-0000-0000DF3A0000}"/>
    <cellStyle name="Normal 22 2 4 5" xfId="15067" xr:uid="{00000000-0005-0000-0000-0000E03A0000}"/>
    <cellStyle name="Normal 22 2 4 6" xfId="15068" xr:uid="{00000000-0005-0000-0000-0000E13A0000}"/>
    <cellStyle name="Normal 22 2 5" xfId="15069" xr:uid="{00000000-0005-0000-0000-0000E23A0000}"/>
    <cellStyle name="Normal 22 2 5 2" xfId="15070" xr:uid="{00000000-0005-0000-0000-0000E33A0000}"/>
    <cellStyle name="Normal 22 2 5 3" xfId="15071" xr:uid="{00000000-0005-0000-0000-0000E43A0000}"/>
    <cellStyle name="Normal 22 2 5 4" xfId="15072" xr:uid="{00000000-0005-0000-0000-0000E53A0000}"/>
    <cellStyle name="Normal 22 2 5 5" xfId="15073" xr:uid="{00000000-0005-0000-0000-0000E63A0000}"/>
    <cellStyle name="Normal 22 2 5 6" xfId="15074" xr:uid="{00000000-0005-0000-0000-0000E73A0000}"/>
    <cellStyle name="Normal 22 2 6" xfId="15075" xr:uid="{00000000-0005-0000-0000-0000E83A0000}"/>
    <cellStyle name="Normal 22 2 6 2" xfId="15076" xr:uid="{00000000-0005-0000-0000-0000E93A0000}"/>
    <cellStyle name="Normal 22 2 6 3" xfId="15077" xr:uid="{00000000-0005-0000-0000-0000EA3A0000}"/>
    <cellStyle name="Normal 22 2 6 4" xfId="15078" xr:uid="{00000000-0005-0000-0000-0000EB3A0000}"/>
    <cellStyle name="Normal 22 2 6 5" xfId="15079" xr:uid="{00000000-0005-0000-0000-0000EC3A0000}"/>
    <cellStyle name="Normal 22 2 6 6" xfId="15080" xr:uid="{00000000-0005-0000-0000-0000ED3A0000}"/>
    <cellStyle name="Normal 22 2 7" xfId="15081" xr:uid="{00000000-0005-0000-0000-0000EE3A0000}"/>
    <cellStyle name="Normal 22 2 7 2" xfId="15082" xr:uid="{00000000-0005-0000-0000-0000EF3A0000}"/>
    <cellStyle name="Normal 22 2 7 3" xfId="15083" xr:uid="{00000000-0005-0000-0000-0000F03A0000}"/>
    <cellStyle name="Normal 22 2 7 4" xfId="15084" xr:uid="{00000000-0005-0000-0000-0000F13A0000}"/>
    <cellStyle name="Normal 22 2 7 5" xfId="15085" xr:uid="{00000000-0005-0000-0000-0000F23A0000}"/>
    <cellStyle name="Normal 22 2 7 6" xfId="15086" xr:uid="{00000000-0005-0000-0000-0000F33A0000}"/>
    <cellStyle name="Normal 22 2 8" xfId="15087" xr:uid="{00000000-0005-0000-0000-0000F43A0000}"/>
    <cellStyle name="Normal 22 2 8 2" xfId="15088" xr:uid="{00000000-0005-0000-0000-0000F53A0000}"/>
    <cellStyle name="Normal 22 2 8 3" xfId="15089" xr:uid="{00000000-0005-0000-0000-0000F63A0000}"/>
    <cellStyle name="Normal 22 2 8 4" xfId="15090" xr:uid="{00000000-0005-0000-0000-0000F73A0000}"/>
    <cellStyle name="Normal 22 2 8 5" xfId="15091" xr:uid="{00000000-0005-0000-0000-0000F83A0000}"/>
    <cellStyle name="Normal 22 2 8 6" xfId="15092" xr:uid="{00000000-0005-0000-0000-0000F93A0000}"/>
    <cellStyle name="Normal 22 2 9" xfId="15093" xr:uid="{00000000-0005-0000-0000-0000FA3A0000}"/>
    <cellStyle name="Normal 22 2 9 2" xfId="15094" xr:uid="{00000000-0005-0000-0000-0000FB3A0000}"/>
    <cellStyle name="Normal 22 2 9 3" xfId="15095" xr:uid="{00000000-0005-0000-0000-0000FC3A0000}"/>
    <cellStyle name="Normal 22 2 9 4" xfId="15096" xr:uid="{00000000-0005-0000-0000-0000FD3A0000}"/>
    <cellStyle name="Normal 22 2 9 5" xfId="15097" xr:uid="{00000000-0005-0000-0000-0000FE3A0000}"/>
    <cellStyle name="Normal 22 2 9 6" xfId="15098" xr:uid="{00000000-0005-0000-0000-0000FF3A0000}"/>
    <cellStyle name="Normal 22 3" xfId="15099" xr:uid="{00000000-0005-0000-0000-0000003B0000}"/>
    <cellStyle name="Normal 22 3 2" xfId="15100" xr:uid="{00000000-0005-0000-0000-0000013B0000}"/>
    <cellStyle name="Normal 22 3 3" xfId="15101" xr:uid="{00000000-0005-0000-0000-0000023B0000}"/>
    <cellStyle name="Normal 22 3 4" xfId="15102" xr:uid="{00000000-0005-0000-0000-0000033B0000}"/>
    <cellStyle name="Normal 22 3 5" xfId="15103" xr:uid="{00000000-0005-0000-0000-0000043B0000}"/>
    <cellStyle name="Normal 22 3 6" xfId="15104" xr:uid="{00000000-0005-0000-0000-0000053B0000}"/>
    <cellStyle name="Normal 22 4" xfId="15105" xr:uid="{00000000-0005-0000-0000-0000063B0000}"/>
    <cellStyle name="Normal 22 4 2" xfId="15106" xr:uid="{00000000-0005-0000-0000-0000073B0000}"/>
    <cellStyle name="Normal 22 4 3" xfId="15107" xr:uid="{00000000-0005-0000-0000-0000083B0000}"/>
    <cellStyle name="Normal 22 4 4" xfId="15108" xr:uid="{00000000-0005-0000-0000-0000093B0000}"/>
    <cellStyle name="Normal 22 4 5" xfId="15109" xr:uid="{00000000-0005-0000-0000-00000A3B0000}"/>
    <cellStyle name="Normal 22 4 6" xfId="15110" xr:uid="{00000000-0005-0000-0000-00000B3B0000}"/>
    <cellStyle name="Normal 22 5" xfId="15111" xr:uid="{00000000-0005-0000-0000-00000C3B0000}"/>
    <cellStyle name="Normal 22 5 2" xfId="15112" xr:uid="{00000000-0005-0000-0000-00000D3B0000}"/>
    <cellStyle name="Normal 22 5 3" xfId="15113" xr:uid="{00000000-0005-0000-0000-00000E3B0000}"/>
    <cellStyle name="Normal 22 5 4" xfId="15114" xr:uid="{00000000-0005-0000-0000-00000F3B0000}"/>
    <cellStyle name="Normal 22 5 5" xfId="15115" xr:uid="{00000000-0005-0000-0000-0000103B0000}"/>
    <cellStyle name="Normal 22 5 6" xfId="15116" xr:uid="{00000000-0005-0000-0000-0000113B0000}"/>
    <cellStyle name="Normal 22 6" xfId="15117" xr:uid="{00000000-0005-0000-0000-0000123B0000}"/>
    <cellStyle name="Normal 22 6 2" xfId="15118" xr:uid="{00000000-0005-0000-0000-0000133B0000}"/>
    <cellStyle name="Normal 22 6 3" xfId="15119" xr:uid="{00000000-0005-0000-0000-0000143B0000}"/>
    <cellStyle name="Normal 22 6 4" xfId="15120" xr:uid="{00000000-0005-0000-0000-0000153B0000}"/>
    <cellStyle name="Normal 22 6 5" xfId="15121" xr:uid="{00000000-0005-0000-0000-0000163B0000}"/>
    <cellStyle name="Normal 22 6 6" xfId="15122" xr:uid="{00000000-0005-0000-0000-0000173B0000}"/>
    <cellStyle name="Normal 22 7" xfId="15123" xr:uid="{00000000-0005-0000-0000-0000183B0000}"/>
    <cellStyle name="Normal 22 7 2" xfId="15124" xr:uid="{00000000-0005-0000-0000-0000193B0000}"/>
    <cellStyle name="Normal 22 7 3" xfId="15125" xr:uid="{00000000-0005-0000-0000-00001A3B0000}"/>
    <cellStyle name="Normal 22 7 4" xfId="15126" xr:uid="{00000000-0005-0000-0000-00001B3B0000}"/>
    <cellStyle name="Normal 22 7 5" xfId="15127" xr:uid="{00000000-0005-0000-0000-00001C3B0000}"/>
    <cellStyle name="Normal 22 7 6" xfId="15128" xr:uid="{00000000-0005-0000-0000-00001D3B0000}"/>
    <cellStyle name="Normal 22 8" xfId="15129" xr:uid="{00000000-0005-0000-0000-00001E3B0000}"/>
    <cellStyle name="Normal 22 8 2" xfId="15130" xr:uid="{00000000-0005-0000-0000-00001F3B0000}"/>
    <cellStyle name="Normal 22 8 3" xfId="15131" xr:uid="{00000000-0005-0000-0000-0000203B0000}"/>
    <cellStyle name="Normal 22 8 4" xfId="15132" xr:uid="{00000000-0005-0000-0000-0000213B0000}"/>
    <cellStyle name="Normal 22 8 5" xfId="15133" xr:uid="{00000000-0005-0000-0000-0000223B0000}"/>
    <cellStyle name="Normal 22 8 6" xfId="15134" xr:uid="{00000000-0005-0000-0000-0000233B0000}"/>
    <cellStyle name="Normal 22 9" xfId="15135" xr:uid="{00000000-0005-0000-0000-0000243B0000}"/>
    <cellStyle name="Normal 22 9 2" xfId="15136" xr:uid="{00000000-0005-0000-0000-0000253B0000}"/>
    <cellStyle name="Normal 22 9 3" xfId="15137" xr:uid="{00000000-0005-0000-0000-0000263B0000}"/>
    <cellStyle name="Normal 22 9 4" xfId="15138" xr:uid="{00000000-0005-0000-0000-0000273B0000}"/>
    <cellStyle name="Normal 22 9 5" xfId="15139" xr:uid="{00000000-0005-0000-0000-0000283B0000}"/>
    <cellStyle name="Normal 22 9 6" xfId="15140" xr:uid="{00000000-0005-0000-0000-0000293B0000}"/>
    <cellStyle name="Normal 23" xfId="15141" xr:uid="{00000000-0005-0000-0000-00002A3B0000}"/>
    <cellStyle name="Normal 23 10" xfId="15142" xr:uid="{00000000-0005-0000-0000-00002B3B0000}"/>
    <cellStyle name="Normal 23 10 2" xfId="15143" xr:uid="{00000000-0005-0000-0000-00002C3B0000}"/>
    <cellStyle name="Normal 23 10 3" xfId="15144" xr:uid="{00000000-0005-0000-0000-00002D3B0000}"/>
    <cellStyle name="Normal 23 10 4" xfId="15145" xr:uid="{00000000-0005-0000-0000-00002E3B0000}"/>
    <cellStyle name="Normal 23 10 5" xfId="15146" xr:uid="{00000000-0005-0000-0000-00002F3B0000}"/>
    <cellStyle name="Normal 23 10 6" xfId="15147" xr:uid="{00000000-0005-0000-0000-0000303B0000}"/>
    <cellStyle name="Normal 23 11" xfId="15148" xr:uid="{00000000-0005-0000-0000-0000313B0000}"/>
    <cellStyle name="Normal 23 12" xfId="15149" xr:uid="{00000000-0005-0000-0000-0000323B0000}"/>
    <cellStyle name="Normal 23 13" xfId="15150" xr:uid="{00000000-0005-0000-0000-0000333B0000}"/>
    <cellStyle name="Normal 23 14" xfId="15151" xr:uid="{00000000-0005-0000-0000-0000343B0000}"/>
    <cellStyle name="Normal 23 15" xfId="15152" xr:uid="{00000000-0005-0000-0000-0000353B0000}"/>
    <cellStyle name="Normal 23 2" xfId="15153" xr:uid="{00000000-0005-0000-0000-0000363B0000}"/>
    <cellStyle name="Normal 23 2 10" xfId="15154" xr:uid="{00000000-0005-0000-0000-0000373B0000}"/>
    <cellStyle name="Normal 23 2 11" xfId="15155" xr:uid="{00000000-0005-0000-0000-0000383B0000}"/>
    <cellStyle name="Normal 23 2 12" xfId="15156" xr:uid="{00000000-0005-0000-0000-0000393B0000}"/>
    <cellStyle name="Normal 23 2 13" xfId="15157" xr:uid="{00000000-0005-0000-0000-00003A3B0000}"/>
    <cellStyle name="Normal 23 2 14" xfId="15158" xr:uid="{00000000-0005-0000-0000-00003B3B0000}"/>
    <cellStyle name="Normal 23 2 2" xfId="15159" xr:uid="{00000000-0005-0000-0000-00003C3B0000}"/>
    <cellStyle name="Normal 23 2 2 2" xfId="15160" xr:uid="{00000000-0005-0000-0000-00003D3B0000}"/>
    <cellStyle name="Normal 23 2 2 3" xfId="15161" xr:uid="{00000000-0005-0000-0000-00003E3B0000}"/>
    <cellStyle name="Normal 23 2 2 4" xfId="15162" xr:uid="{00000000-0005-0000-0000-00003F3B0000}"/>
    <cellStyle name="Normal 23 2 2 5" xfId="15163" xr:uid="{00000000-0005-0000-0000-0000403B0000}"/>
    <cellStyle name="Normal 23 2 2 6" xfId="15164" xr:uid="{00000000-0005-0000-0000-0000413B0000}"/>
    <cellStyle name="Normal 23 2 3" xfId="15165" xr:uid="{00000000-0005-0000-0000-0000423B0000}"/>
    <cellStyle name="Normal 23 2 3 2" xfId="15166" xr:uid="{00000000-0005-0000-0000-0000433B0000}"/>
    <cellStyle name="Normal 23 2 3 3" xfId="15167" xr:uid="{00000000-0005-0000-0000-0000443B0000}"/>
    <cellStyle name="Normal 23 2 3 4" xfId="15168" xr:uid="{00000000-0005-0000-0000-0000453B0000}"/>
    <cellStyle name="Normal 23 2 3 5" xfId="15169" xr:uid="{00000000-0005-0000-0000-0000463B0000}"/>
    <cellStyle name="Normal 23 2 3 6" xfId="15170" xr:uid="{00000000-0005-0000-0000-0000473B0000}"/>
    <cellStyle name="Normal 23 2 4" xfId="15171" xr:uid="{00000000-0005-0000-0000-0000483B0000}"/>
    <cellStyle name="Normal 23 2 4 2" xfId="15172" xr:uid="{00000000-0005-0000-0000-0000493B0000}"/>
    <cellStyle name="Normal 23 2 4 3" xfId="15173" xr:uid="{00000000-0005-0000-0000-00004A3B0000}"/>
    <cellStyle name="Normal 23 2 4 4" xfId="15174" xr:uid="{00000000-0005-0000-0000-00004B3B0000}"/>
    <cellStyle name="Normal 23 2 4 5" xfId="15175" xr:uid="{00000000-0005-0000-0000-00004C3B0000}"/>
    <cellStyle name="Normal 23 2 4 6" xfId="15176" xr:uid="{00000000-0005-0000-0000-00004D3B0000}"/>
    <cellStyle name="Normal 23 2 5" xfId="15177" xr:uid="{00000000-0005-0000-0000-00004E3B0000}"/>
    <cellStyle name="Normal 23 2 5 2" xfId="15178" xr:uid="{00000000-0005-0000-0000-00004F3B0000}"/>
    <cellStyle name="Normal 23 2 5 3" xfId="15179" xr:uid="{00000000-0005-0000-0000-0000503B0000}"/>
    <cellStyle name="Normal 23 2 5 4" xfId="15180" xr:uid="{00000000-0005-0000-0000-0000513B0000}"/>
    <cellStyle name="Normal 23 2 5 5" xfId="15181" xr:uid="{00000000-0005-0000-0000-0000523B0000}"/>
    <cellStyle name="Normal 23 2 5 6" xfId="15182" xr:uid="{00000000-0005-0000-0000-0000533B0000}"/>
    <cellStyle name="Normal 23 2 6" xfId="15183" xr:uid="{00000000-0005-0000-0000-0000543B0000}"/>
    <cellStyle name="Normal 23 2 6 2" xfId="15184" xr:uid="{00000000-0005-0000-0000-0000553B0000}"/>
    <cellStyle name="Normal 23 2 6 3" xfId="15185" xr:uid="{00000000-0005-0000-0000-0000563B0000}"/>
    <cellStyle name="Normal 23 2 6 4" xfId="15186" xr:uid="{00000000-0005-0000-0000-0000573B0000}"/>
    <cellStyle name="Normal 23 2 6 5" xfId="15187" xr:uid="{00000000-0005-0000-0000-0000583B0000}"/>
    <cellStyle name="Normal 23 2 6 6" xfId="15188" xr:uid="{00000000-0005-0000-0000-0000593B0000}"/>
    <cellStyle name="Normal 23 2 7" xfId="15189" xr:uid="{00000000-0005-0000-0000-00005A3B0000}"/>
    <cellStyle name="Normal 23 2 7 2" xfId="15190" xr:uid="{00000000-0005-0000-0000-00005B3B0000}"/>
    <cellStyle name="Normal 23 2 7 3" xfId="15191" xr:uid="{00000000-0005-0000-0000-00005C3B0000}"/>
    <cellStyle name="Normal 23 2 7 4" xfId="15192" xr:uid="{00000000-0005-0000-0000-00005D3B0000}"/>
    <cellStyle name="Normal 23 2 7 5" xfId="15193" xr:uid="{00000000-0005-0000-0000-00005E3B0000}"/>
    <cellStyle name="Normal 23 2 7 6" xfId="15194" xr:uid="{00000000-0005-0000-0000-00005F3B0000}"/>
    <cellStyle name="Normal 23 2 8" xfId="15195" xr:uid="{00000000-0005-0000-0000-0000603B0000}"/>
    <cellStyle name="Normal 23 2 8 2" xfId="15196" xr:uid="{00000000-0005-0000-0000-0000613B0000}"/>
    <cellStyle name="Normal 23 2 8 3" xfId="15197" xr:uid="{00000000-0005-0000-0000-0000623B0000}"/>
    <cellStyle name="Normal 23 2 8 4" xfId="15198" xr:uid="{00000000-0005-0000-0000-0000633B0000}"/>
    <cellStyle name="Normal 23 2 8 5" xfId="15199" xr:uid="{00000000-0005-0000-0000-0000643B0000}"/>
    <cellStyle name="Normal 23 2 8 6" xfId="15200" xr:uid="{00000000-0005-0000-0000-0000653B0000}"/>
    <cellStyle name="Normal 23 2 9" xfId="15201" xr:uid="{00000000-0005-0000-0000-0000663B0000}"/>
    <cellStyle name="Normal 23 2 9 2" xfId="15202" xr:uid="{00000000-0005-0000-0000-0000673B0000}"/>
    <cellStyle name="Normal 23 2 9 3" xfId="15203" xr:uid="{00000000-0005-0000-0000-0000683B0000}"/>
    <cellStyle name="Normal 23 2 9 4" xfId="15204" xr:uid="{00000000-0005-0000-0000-0000693B0000}"/>
    <cellStyle name="Normal 23 2 9 5" xfId="15205" xr:uid="{00000000-0005-0000-0000-00006A3B0000}"/>
    <cellStyle name="Normal 23 2 9 6" xfId="15206" xr:uid="{00000000-0005-0000-0000-00006B3B0000}"/>
    <cellStyle name="Normal 23 3" xfId="15207" xr:uid="{00000000-0005-0000-0000-00006C3B0000}"/>
    <cellStyle name="Normal 23 3 2" xfId="15208" xr:uid="{00000000-0005-0000-0000-00006D3B0000}"/>
    <cellStyle name="Normal 23 3 3" xfId="15209" xr:uid="{00000000-0005-0000-0000-00006E3B0000}"/>
    <cellStyle name="Normal 23 3 4" xfId="15210" xr:uid="{00000000-0005-0000-0000-00006F3B0000}"/>
    <cellStyle name="Normal 23 3 5" xfId="15211" xr:uid="{00000000-0005-0000-0000-0000703B0000}"/>
    <cellStyle name="Normal 23 3 6" xfId="15212" xr:uid="{00000000-0005-0000-0000-0000713B0000}"/>
    <cellStyle name="Normal 23 4" xfId="15213" xr:uid="{00000000-0005-0000-0000-0000723B0000}"/>
    <cellStyle name="Normal 23 4 2" xfId="15214" xr:uid="{00000000-0005-0000-0000-0000733B0000}"/>
    <cellStyle name="Normal 23 4 3" xfId="15215" xr:uid="{00000000-0005-0000-0000-0000743B0000}"/>
    <cellStyle name="Normal 23 4 4" xfId="15216" xr:uid="{00000000-0005-0000-0000-0000753B0000}"/>
    <cellStyle name="Normal 23 4 5" xfId="15217" xr:uid="{00000000-0005-0000-0000-0000763B0000}"/>
    <cellStyle name="Normal 23 4 6" xfId="15218" xr:uid="{00000000-0005-0000-0000-0000773B0000}"/>
    <cellStyle name="Normal 23 5" xfId="15219" xr:uid="{00000000-0005-0000-0000-0000783B0000}"/>
    <cellStyle name="Normal 23 5 2" xfId="15220" xr:uid="{00000000-0005-0000-0000-0000793B0000}"/>
    <cellStyle name="Normal 23 5 3" xfId="15221" xr:uid="{00000000-0005-0000-0000-00007A3B0000}"/>
    <cellStyle name="Normal 23 5 4" xfId="15222" xr:uid="{00000000-0005-0000-0000-00007B3B0000}"/>
    <cellStyle name="Normal 23 5 5" xfId="15223" xr:uid="{00000000-0005-0000-0000-00007C3B0000}"/>
    <cellStyle name="Normal 23 5 6" xfId="15224" xr:uid="{00000000-0005-0000-0000-00007D3B0000}"/>
    <cellStyle name="Normal 23 6" xfId="15225" xr:uid="{00000000-0005-0000-0000-00007E3B0000}"/>
    <cellStyle name="Normal 23 6 2" xfId="15226" xr:uid="{00000000-0005-0000-0000-00007F3B0000}"/>
    <cellStyle name="Normal 23 6 3" xfId="15227" xr:uid="{00000000-0005-0000-0000-0000803B0000}"/>
    <cellStyle name="Normal 23 6 4" xfId="15228" xr:uid="{00000000-0005-0000-0000-0000813B0000}"/>
    <cellStyle name="Normal 23 6 5" xfId="15229" xr:uid="{00000000-0005-0000-0000-0000823B0000}"/>
    <cellStyle name="Normal 23 6 6" xfId="15230" xr:uid="{00000000-0005-0000-0000-0000833B0000}"/>
    <cellStyle name="Normal 23 7" xfId="15231" xr:uid="{00000000-0005-0000-0000-0000843B0000}"/>
    <cellStyle name="Normal 23 7 2" xfId="15232" xr:uid="{00000000-0005-0000-0000-0000853B0000}"/>
    <cellStyle name="Normal 23 7 3" xfId="15233" xr:uid="{00000000-0005-0000-0000-0000863B0000}"/>
    <cellStyle name="Normal 23 7 4" xfId="15234" xr:uid="{00000000-0005-0000-0000-0000873B0000}"/>
    <cellStyle name="Normal 23 7 5" xfId="15235" xr:uid="{00000000-0005-0000-0000-0000883B0000}"/>
    <cellStyle name="Normal 23 7 6" xfId="15236" xr:uid="{00000000-0005-0000-0000-0000893B0000}"/>
    <cellStyle name="Normal 23 8" xfId="15237" xr:uid="{00000000-0005-0000-0000-00008A3B0000}"/>
    <cellStyle name="Normal 23 8 2" xfId="15238" xr:uid="{00000000-0005-0000-0000-00008B3B0000}"/>
    <cellStyle name="Normal 23 8 3" xfId="15239" xr:uid="{00000000-0005-0000-0000-00008C3B0000}"/>
    <cellStyle name="Normal 23 8 4" xfId="15240" xr:uid="{00000000-0005-0000-0000-00008D3B0000}"/>
    <cellStyle name="Normal 23 8 5" xfId="15241" xr:uid="{00000000-0005-0000-0000-00008E3B0000}"/>
    <cellStyle name="Normal 23 8 6" xfId="15242" xr:uid="{00000000-0005-0000-0000-00008F3B0000}"/>
    <cellStyle name="Normal 23 9" xfId="15243" xr:uid="{00000000-0005-0000-0000-0000903B0000}"/>
    <cellStyle name="Normal 23 9 2" xfId="15244" xr:uid="{00000000-0005-0000-0000-0000913B0000}"/>
    <cellStyle name="Normal 23 9 3" xfId="15245" xr:uid="{00000000-0005-0000-0000-0000923B0000}"/>
    <cellStyle name="Normal 23 9 4" xfId="15246" xr:uid="{00000000-0005-0000-0000-0000933B0000}"/>
    <cellStyle name="Normal 23 9 5" xfId="15247" xr:uid="{00000000-0005-0000-0000-0000943B0000}"/>
    <cellStyle name="Normal 23 9 6" xfId="15248" xr:uid="{00000000-0005-0000-0000-0000953B0000}"/>
    <cellStyle name="Normal 24" xfId="15249" xr:uid="{00000000-0005-0000-0000-0000963B0000}"/>
    <cellStyle name="Normal 24 10" xfId="15250" xr:uid="{00000000-0005-0000-0000-0000973B0000}"/>
    <cellStyle name="Normal 24 11" xfId="15251" xr:uid="{00000000-0005-0000-0000-0000983B0000}"/>
    <cellStyle name="Normal 24 12" xfId="15252" xr:uid="{00000000-0005-0000-0000-0000993B0000}"/>
    <cellStyle name="Normal 24 13" xfId="15253" xr:uid="{00000000-0005-0000-0000-00009A3B0000}"/>
    <cellStyle name="Normal 24 14" xfId="15254" xr:uid="{00000000-0005-0000-0000-00009B3B0000}"/>
    <cellStyle name="Normal 24 15" xfId="15255" xr:uid="{00000000-0005-0000-0000-00009C3B0000}"/>
    <cellStyle name="Normal 24 15 2" xfId="15256" xr:uid="{00000000-0005-0000-0000-00009D3B0000}"/>
    <cellStyle name="Normal 24 15 3" xfId="15257" xr:uid="{00000000-0005-0000-0000-00009E3B0000}"/>
    <cellStyle name="Normal 24 15 4" xfId="15258" xr:uid="{00000000-0005-0000-0000-00009F3B0000}"/>
    <cellStyle name="Normal 24 15 5" xfId="15259" xr:uid="{00000000-0005-0000-0000-0000A03B0000}"/>
    <cellStyle name="Normal 24 15 6" xfId="15260" xr:uid="{00000000-0005-0000-0000-0000A13B0000}"/>
    <cellStyle name="Normal 24 16" xfId="15261" xr:uid="{00000000-0005-0000-0000-0000A23B0000}"/>
    <cellStyle name="Normal 24 17" xfId="15262" xr:uid="{00000000-0005-0000-0000-0000A33B0000}"/>
    <cellStyle name="Normal 24 18" xfId="15263" xr:uid="{00000000-0005-0000-0000-0000A43B0000}"/>
    <cellStyle name="Normal 24 19" xfId="15264" xr:uid="{00000000-0005-0000-0000-0000A53B0000}"/>
    <cellStyle name="Normal 24 2" xfId="15265" xr:uid="{00000000-0005-0000-0000-0000A63B0000}"/>
    <cellStyle name="Normal 24 2 10" xfId="15266" xr:uid="{00000000-0005-0000-0000-0000A73B0000}"/>
    <cellStyle name="Normal 24 2 11" xfId="15267" xr:uid="{00000000-0005-0000-0000-0000A83B0000}"/>
    <cellStyle name="Normal 24 2 12" xfId="15268" xr:uid="{00000000-0005-0000-0000-0000A93B0000}"/>
    <cellStyle name="Normal 24 2 13" xfId="15269" xr:uid="{00000000-0005-0000-0000-0000AA3B0000}"/>
    <cellStyle name="Normal 24 2 14" xfId="15270" xr:uid="{00000000-0005-0000-0000-0000AB3B0000}"/>
    <cellStyle name="Normal 24 2 2" xfId="15271" xr:uid="{00000000-0005-0000-0000-0000AC3B0000}"/>
    <cellStyle name="Normal 24 2 2 2" xfId="15272" xr:uid="{00000000-0005-0000-0000-0000AD3B0000}"/>
    <cellStyle name="Normal 24 2 2 3" xfId="15273" xr:uid="{00000000-0005-0000-0000-0000AE3B0000}"/>
    <cellStyle name="Normal 24 2 2 4" xfId="15274" xr:uid="{00000000-0005-0000-0000-0000AF3B0000}"/>
    <cellStyle name="Normal 24 2 2 5" xfId="15275" xr:uid="{00000000-0005-0000-0000-0000B03B0000}"/>
    <cellStyle name="Normal 24 2 2 6" xfId="15276" xr:uid="{00000000-0005-0000-0000-0000B13B0000}"/>
    <cellStyle name="Normal 24 2 3" xfId="15277" xr:uid="{00000000-0005-0000-0000-0000B23B0000}"/>
    <cellStyle name="Normal 24 2 3 2" xfId="15278" xr:uid="{00000000-0005-0000-0000-0000B33B0000}"/>
    <cellStyle name="Normal 24 2 3 3" xfId="15279" xr:uid="{00000000-0005-0000-0000-0000B43B0000}"/>
    <cellStyle name="Normal 24 2 3 4" xfId="15280" xr:uid="{00000000-0005-0000-0000-0000B53B0000}"/>
    <cellStyle name="Normal 24 2 3 5" xfId="15281" xr:uid="{00000000-0005-0000-0000-0000B63B0000}"/>
    <cellStyle name="Normal 24 2 3 6" xfId="15282" xr:uid="{00000000-0005-0000-0000-0000B73B0000}"/>
    <cellStyle name="Normal 24 2 4" xfId="15283" xr:uid="{00000000-0005-0000-0000-0000B83B0000}"/>
    <cellStyle name="Normal 24 2 4 2" xfId="15284" xr:uid="{00000000-0005-0000-0000-0000B93B0000}"/>
    <cellStyle name="Normal 24 2 4 3" xfId="15285" xr:uid="{00000000-0005-0000-0000-0000BA3B0000}"/>
    <cellStyle name="Normal 24 2 4 4" xfId="15286" xr:uid="{00000000-0005-0000-0000-0000BB3B0000}"/>
    <cellStyle name="Normal 24 2 4 5" xfId="15287" xr:uid="{00000000-0005-0000-0000-0000BC3B0000}"/>
    <cellStyle name="Normal 24 2 4 6" xfId="15288" xr:uid="{00000000-0005-0000-0000-0000BD3B0000}"/>
    <cellStyle name="Normal 24 2 5" xfId="15289" xr:uid="{00000000-0005-0000-0000-0000BE3B0000}"/>
    <cellStyle name="Normal 24 2 5 2" xfId="15290" xr:uid="{00000000-0005-0000-0000-0000BF3B0000}"/>
    <cellStyle name="Normal 24 2 5 3" xfId="15291" xr:uid="{00000000-0005-0000-0000-0000C03B0000}"/>
    <cellStyle name="Normal 24 2 5 4" xfId="15292" xr:uid="{00000000-0005-0000-0000-0000C13B0000}"/>
    <cellStyle name="Normal 24 2 5 5" xfId="15293" xr:uid="{00000000-0005-0000-0000-0000C23B0000}"/>
    <cellStyle name="Normal 24 2 5 6" xfId="15294" xr:uid="{00000000-0005-0000-0000-0000C33B0000}"/>
    <cellStyle name="Normal 24 2 6" xfId="15295" xr:uid="{00000000-0005-0000-0000-0000C43B0000}"/>
    <cellStyle name="Normal 24 2 6 2" xfId="15296" xr:uid="{00000000-0005-0000-0000-0000C53B0000}"/>
    <cellStyle name="Normal 24 2 6 3" xfId="15297" xr:uid="{00000000-0005-0000-0000-0000C63B0000}"/>
    <cellStyle name="Normal 24 2 6 4" xfId="15298" xr:uid="{00000000-0005-0000-0000-0000C73B0000}"/>
    <cellStyle name="Normal 24 2 6 5" xfId="15299" xr:uid="{00000000-0005-0000-0000-0000C83B0000}"/>
    <cellStyle name="Normal 24 2 6 6" xfId="15300" xr:uid="{00000000-0005-0000-0000-0000C93B0000}"/>
    <cellStyle name="Normal 24 2 7" xfId="15301" xr:uid="{00000000-0005-0000-0000-0000CA3B0000}"/>
    <cellStyle name="Normal 24 2 7 2" xfId="15302" xr:uid="{00000000-0005-0000-0000-0000CB3B0000}"/>
    <cellStyle name="Normal 24 2 7 3" xfId="15303" xr:uid="{00000000-0005-0000-0000-0000CC3B0000}"/>
    <cellStyle name="Normal 24 2 7 4" xfId="15304" xr:uid="{00000000-0005-0000-0000-0000CD3B0000}"/>
    <cellStyle name="Normal 24 2 7 5" xfId="15305" xr:uid="{00000000-0005-0000-0000-0000CE3B0000}"/>
    <cellStyle name="Normal 24 2 7 6" xfId="15306" xr:uid="{00000000-0005-0000-0000-0000CF3B0000}"/>
    <cellStyle name="Normal 24 2 8" xfId="15307" xr:uid="{00000000-0005-0000-0000-0000D03B0000}"/>
    <cellStyle name="Normal 24 2 8 2" xfId="15308" xr:uid="{00000000-0005-0000-0000-0000D13B0000}"/>
    <cellStyle name="Normal 24 2 8 3" xfId="15309" xr:uid="{00000000-0005-0000-0000-0000D23B0000}"/>
    <cellStyle name="Normal 24 2 8 4" xfId="15310" xr:uid="{00000000-0005-0000-0000-0000D33B0000}"/>
    <cellStyle name="Normal 24 2 8 5" xfId="15311" xr:uid="{00000000-0005-0000-0000-0000D43B0000}"/>
    <cellStyle name="Normal 24 2 8 6" xfId="15312" xr:uid="{00000000-0005-0000-0000-0000D53B0000}"/>
    <cellStyle name="Normal 24 2 9" xfId="15313" xr:uid="{00000000-0005-0000-0000-0000D63B0000}"/>
    <cellStyle name="Normal 24 2 9 2" xfId="15314" xr:uid="{00000000-0005-0000-0000-0000D73B0000}"/>
    <cellStyle name="Normal 24 2 9 3" xfId="15315" xr:uid="{00000000-0005-0000-0000-0000D83B0000}"/>
    <cellStyle name="Normal 24 2 9 4" xfId="15316" xr:uid="{00000000-0005-0000-0000-0000D93B0000}"/>
    <cellStyle name="Normal 24 2 9 5" xfId="15317" xr:uid="{00000000-0005-0000-0000-0000DA3B0000}"/>
    <cellStyle name="Normal 24 2 9 6" xfId="15318" xr:uid="{00000000-0005-0000-0000-0000DB3B0000}"/>
    <cellStyle name="Normal 24 20" xfId="15319" xr:uid="{00000000-0005-0000-0000-0000DC3B0000}"/>
    <cellStyle name="Normal 24 21" xfId="15320" xr:uid="{00000000-0005-0000-0000-0000DD3B0000}"/>
    <cellStyle name="Normal 24 22" xfId="15321" xr:uid="{00000000-0005-0000-0000-0000DE3B0000}"/>
    <cellStyle name="Normal 24 23" xfId="15322" xr:uid="{00000000-0005-0000-0000-0000DF3B0000}"/>
    <cellStyle name="Normal 24 24" xfId="15323" xr:uid="{00000000-0005-0000-0000-0000E03B0000}"/>
    <cellStyle name="Normal 24 25" xfId="15324" xr:uid="{00000000-0005-0000-0000-0000E13B0000}"/>
    <cellStyle name="Normal 24 26" xfId="15325" xr:uid="{00000000-0005-0000-0000-0000E23B0000}"/>
    <cellStyle name="Normal 24 27" xfId="15326" xr:uid="{00000000-0005-0000-0000-0000E33B0000}"/>
    <cellStyle name="Normal 24 28" xfId="15327" xr:uid="{00000000-0005-0000-0000-0000E43B0000}"/>
    <cellStyle name="Normal 24 29" xfId="15328" xr:uid="{00000000-0005-0000-0000-0000E53B0000}"/>
    <cellStyle name="Normal 24 3" xfId="15329" xr:uid="{00000000-0005-0000-0000-0000E63B0000}"/>
    <cellStyle name="Normal 24 3 10" xfId="15330" xr:uid="{00000000-0005-0000-0000-0000E73B0000}"/>
    <cellStyle name="Normal 24 3 10 2" xfId="15331" xr:uid="{00000000-0005-0000-0000-0000E83B0000}"/>
    <cellStyle name="Normal 24 3 10 3" xfId="15332" xr:uid="{00000000-0005-0000-0000-0000E93B0000}"/>
    <cellStyle name="Normal 24 3 10 4" xfId="15333" xr:uid="{00000000-0005-0000-0000-0000EA3B0000}"/>
    <cellStyle name="Normal 24 3 10 5" xfId="15334" xr:uid="{00000000-0005-0000-0000-0000EB3B0000}"/>
    <cellStyle name="Normal 24 3 10 6" xfId="15335" xr:uid="{00000000-0005-0000-0000-0000EC3B0000}"/>
    <cellStyle name="Normal 24 3 11" xfId="15336" xr:uid="{00000000-0005-0000-0000-0000ED3B0000}"/>
    <cellStyle name="Normal 24 3 12" xfId="15337" xr:uid="{00000000-0005-0000-0000-0000EE3B0000}"/>
    <cellStyle name="Normal 24 3 13" xfId="15338" xr:uid="{00000000-0005-0000-0000-0000EF3B0000}"/>
    <cellStyle name="Normal 24 3 14" xfId="15339" xr:uid="{00000000-0005-0000-0000-0000F03B0000}"/>
    <cellStyle name="Normal 24 3 15" xfId="15340" xr:uid="{00000000-0005-0000-0000-0000F13B0000}"/>
    <cellStyle name="Normal 24 3 16" xfId="15341" xr:uid="{00000000-0005-0000-0000-0000F23B0000}"/>
    <cellStyle name="Normal 24 3 17" xfId="15342" xr:uid="{00000000-0005-0000-0000-0000F33B0000}"/>
    <cellStyle name="Normal 24 3 18" xfId="15343" xr:uid="{00000000-0005-0000-0000-0000F43B0000}"/>
    <cellStyle name="Normal 24 3 19" xfId="15344" xr:uid="{00000000-0005-0000-0000-0000F53B0000}"/>
    <cellStyle name="Normal 24 3 2" xfId="15345" xr:uid="{00000000-0005-0000-0000-0000F63B0000}"/>
    <cellStyle name="Normal 24 3 2 10" xfId="15346" xr:uid="{00000000-0005-0000-0000-0000F73B0000}"/>
    <cellStyle name="Normal 24 3 2 11" xfId="15347" xr:uid="{00000000-0005-0000-0000-0000F83B0000}"/>
    <cellStyle name="Normal 24 3 2 12" xfId="15348" xr:uid="{00000000-0005-0000-0000-0000F93B0000}"/>
    <cellStyle name="Normal 24 3 2 13" xfId="15349" xr:uid="{00000000-0005-0000-0000-0000FA3B0000}"/>
    <cellStyle name="Normal 24 3 2 14" xfId="15350" xr:uid="{00000000-0005-0000-0000-0000FB3B0000}"/>
    <cellStyle name="Normal 24 3 2 15" xfId="15351" xr:uid="{00000000-0005-0000-0000-0000FC3B0000}"/>
    <cellStyle name="Normal 24 3 2 16" xfId="15352" xr:uid="{00000000-0005-0000-0000-0000FD3B0000}"/>
    <cellStyle name="Normal 24 3 2 17" xfId="15353" xr:uid="{00000000-0005-0000-0000-0000FE3B0000}"/>
    <cellStyle name="Normal 24 3 2 18" xfId="15354" xr:uid="{00000000-0005-0000-0000-0000FF3B0000}"/>
    <cellStyle name="Normal 24 3 2 19" xfId="15355" xr:uid="{00000000-0005-0000-0000-0000003C0000}"/>
    <cellStyle name="Normal 24 3 2 2" xfId="15356" xr:uid="{00000000-0005-0000-0000-0000013C0000}"/>
    <cellStyle name="Normal 24 3 2 2 2" xfId="15357" xr:uid="{00000000-0005-0000-0000-0000023C0000}"/>
    <cellStyle name="Normal 24 3 2 2 3" xfId="15358" xr:uid="{00000000-0005-0000-0000-0000033C0000}"/>
    <cellStyle name="Normal 24 3 2 2 4" xfId="15359" xr:uid="{00000000-0005-0000-0000-0000043C0000}"/>
    <cellStyle name="Normal 24 3 2 2 5" xfId="15360" xr:uid="{00000000-0005-0000-0000-0000053C0000}"/>
    <cellStyle name="Normal 24 3 2 2 6" xfId="15361" xr:uid="{00000000-0005-0000-0000-0000063C0000}"/>
    <cellStyle name="Normal 24 3 2 20" xfId="15362" xr:uid="{00000000-0005-0000-0000-0000073C0000}"/>
    <cellStyle name="Normal 24 3 2 21" xfId="15363" xr:uid="{00000000-0005-0000-0000-0000083C0000}"/>
    <cellStyle name="Normal 24 3 2 22" xfId="15364" xr:uid="{00000000-0005-0000-0000-0000093C0000}"/>
    <cellStyle name="Normal 24 3 2 23" xfId="15365" xr:uid="{00000000-0005-0000-0000-00000A3C0000}"/>
    <cellStyle name="Normal 24 3 2 24" xfId="15366" xr:uid="{00000000-0005-0000-0000-00000B3C0000}"/>
    <cellStyle name="Normal 24 3 2 25" xfId="15367" xr:uid="{00000000-0005-0000-0000-00000C3C0000}"/>
    <cellStyle name="Normal 24 3 2 26" xfId="15368" xr:uid="{00000000-0005-0000-0000-00000D3C0000}"/>
    <cellStyle name="Normal 24 3 2 27" xfId="15369" xr:uid="{00000000-0005-0000-0000-00000E3C0000}"/>
    <cellStyle name="Normal 24 3 2 28" xfId="15370" xr:uid="{00000000-0005-0000-0000-00000F3C0000}"/>
    <cellStyle name="Normal 24 3 2 29" xfId="15371" xr:uid="{00000000-0005-0000-0000-0000103C0000}"/>
    <cellStyle name="Normal 24 3 2 3" xfId="15372" xr:uid="{00000000-0005-0000-0000-0000113C0000}"/>
    <cellStyle name="Normal 24 3 2 30" xfId="15373" xr:uid="{00000000-0005-0000-0000-0000123C0000}"/>
    <cellStyle name="Normal 24 3 2 31" xfId="15374" xr:uid="{00000000-0005-0000-0000-0000133C0000}"/>
    <cellStyle name="Normal 24 3 2 32" xfId="15375" xr:uid="{00000000-0005-0000-0000-0000143C0000}"/>
    <cellStyle name="Normal 24 3 2 33" xfId="15376" xr:uid="{00000000-0005-0000-0000-0000153C0000}"/>
    <cellStyle name="Normal 24 3 2 4" xfId="15377" xr:uid="{00000000-0005-0000-0000-0000163C0000}"/>
    <cellStyle name="Normal 24 3 2 5" xfId="15378" xr:uid="{00000000-0005-0000-0000-0000173C0000}"/>
    <cellStyle name="Normal 24 3 2 6" xfId="15379" xr:uid="{00000000-0005-0000-0000-0000183C0000}"/>
    <cellStyle name="Normal 24 3 2 7" xfId="15380" xr:uid="{00000000-0005-0000-0000-0000193C0000}"/>
    <cellStyle name="Normal 24 3 2 8" xfId="15381" xr:uid="{00000000-0005-0000-0000-00001A3C0000}"/>
    <cellStyle name="Normal 24 3 2 9" xfId="15382" xr:uid="{00000000-0005-0000-0000-00001B3C0000}"/>
    <cellStyle name="Normal 24 3 20" xfId="15383" xr:uid="{00000000-0005-0000-0000-00001C3C0000}"/>
    <cellStyle name="Normal 24 3 21" xfId="15384" xr:uid="{00000000-0005-0000-0000-00001D3C0000}"/>
    <cellStyle name="Normal 24 3 22" xfId="15385" xr:uid="{00000000-0005-0000-0000-00001E3C0000}"/>
    <cellStyle name="Normal 24 3 23" xfId="15386" xr:uid="{00000000-0005-0000-0000-00001F3C0000}"/>
    <cellStyle name="Normal 24 3 24" xfId="15387" xr:uid="{00000000-0005-0000-0000-0000203C0000}"/>
    <cellStyle name="Normal 24 3 25" xfId="15388" xr:uid="{00000000-0005-0000-0000-0000213C0000}"/>
    <cellStyle name="Normal 24 3 26" xfId="15389" xr:uid="{00000000-0005-0000-0000-0000223C0000}"/>
    <cellStyle name="Normal 24 3 27" xfId="15390" xr:uid="{00000000-0005-0000-0000-0000233C0000}"/>
    <cellStyle name="Normal 24 3 28" xfId="15391" xr:uid="{00000000-0005-0000-0000-0000243C0000}"/>
    <cellStyle name="Normal 24 3 29" xfId="15392" xr:uid="{00000000-0005-0000-0000-0000253C0000}"/>
    <cellStyle name="Normal 24 3 3" xfId="15393" xr:uid="{00000000-0005-0000-0000-0000263C0000}"/>
    <cellStyle name="Normal 24 3 3 2" xfId="15394" xr:uid="{00000000-0005-0000-0000-0000273C0000}"/>
    <cellStyle name="Normal 24 3 3 3" xfId="15395" xr:uid="{00000000-0005-0000-0000-0000283C0000}"/>
    <cellStyle name="Normal 24 3 3 4" xfId="15396" xr:uid="{00000000-0005-0000-0000-0000293C0000}"/>
    <cellStyle name="Normal 24 3 3 5" xfId="15397" xr:uid="{00000000-0005-0000-0000-00002A3C0000}"/>
    <cellStyle name="Normal 24 3 3 6" xfId="15398" xr:uid="{00000000-0005-0000-0000-00002B3C0000}"/>
    <cellStyle name="Normal 24 3 30" xfId="15399" xr:uid="{00000000-0005-0000-0000-00002C3C0000}"/>
    <cellStyle name="Normal 24 3 31" xfId="15400" xr:uid="{00000000-0005-0000-0000-00002D3C0000}"/>
    <cellStyle name="Normal 24 3 32" xfId="15401" xr:uid="{00000000-0005-0000-0000-00002E3C0000}"/>
    <cellStyle name="Normal 24 3 33" xfId="15402" xr:uid="{00000000-0005-0000-0000-00002F3C0000}"/>
    <cellStyle name="Normal 24 3 34" xfId="15403" xr:uid="{00000000-0005-0000-0000-0000303C0000}"/>
    <cellStyle name="Normal 24 3 35" xfId="15404" xr:uid="{00000000-0005-0000-0000-0000313C0000}"/>
    <cellStyle name="Normal 24 3 36" xfId="15405" xr:uid="{00000000-0005-0000-0000-0000323C0000}"/>
    <cellStyle name="Normal 24 3 37" xfId="15406" xr:uid="{00000000-0005-0000-0000-0000333C0000}"/>
    <cellStyle name="Normal 24 3 38" xfId="15407" xr:uid="{00000000-0005-0000-0000-0000343C0000}"/>
    <cellStyle name="Normal 24 3 39" xfId="15408" xr:uid="{00000000-0005-0000-0000-0000353C0000}"/>
    <cellStyle name="Normal 24 3 4" xfId="15409" xr:uid="{00000000-0005-0000-0000-0000363C0000}"/>
    <cellStyle name="Normal 24 3 4 2" xfId="15410" xr:uid="{00000000-0005-0000-0000-0000373C0000}"/>
    <cellStyle name="Normal 24 3 4 3" xfId="15411" xr:uid="{00000000-0005-0000-0000-0000383C0000}"/>
    <cellStyle name="Normal 24 3 4 4" xfId="15412" xr:uid="{00000000-0005-0000-0000-0000393C0000}"/>
    <cellStyle name="Normal 24 3 4 5" xfId="15413" xr:uid="{00000000-0005-0000-0000-00003A3C0000}"/>
    <cellStyle name="Normal 24 3 4 6" xfId="15414" xr:uid="{00000000-0005-0000-0000-00003B3C0000}"/>
    <cellStyle name="Normal 24 3 40" xfId="15415" xr:uid="{00000000-0005-0000-0000-00003C3C0000}"/>
    <cellStyle name="Normal 24 3 5" xfId="15416" xr:uid="{00000000-0005-0000-0000-00003D3C0000}"/>
    <cellStyle name="Normal 24 3 5 2" xfId="15417" xr:uid="{00000000-0005-0000-0000-00003E3C0000}"/>
    <cellStyle name="Normal 24 3 5 3" xfId="15418" xr:uid="{00000000-0005-0000-0000-00003F3C0000}"/>
    <cellStyle name="Normal 24 3 5 4" xfId="15419" xr:uid="{00000000-0005-0000-0000-0000403C0000}"/>
    <cellStyle name="Normal 24 3 5 5" xfId="15420" xr:uid="{00000000-0005-0000-0000-0000413C0000}"/>
    <cellStyle name="Normal 24 3 5 6" xfId="15421" xr:uid="{00000000-0005-0000-0000-0000423C0000}"/>
    <cellStyle name="Normal 24 3 6" xfId="15422" xr:uid="{00000000-0005-0000-0000-0000433C0000}"/>
    <cellStyle name="Normal 24 3 6 2" xfId="15423" xr:uid="{00000000-0005-0000-0000-0000443C0000}"/>
    <cellStyle name="Normal 24 3 6 3" xfId="15424" xr:uid="{00000000-0005-0000-0000-0000453C0000}"/>
    <cellStyle name="Normal 24 3 6 4" xfId="15425" xr:uid="{00000000-0005-0000-0000-0000463C0000}"/>
    <cellStyle name="Normal 24 3 6 5" xfId="15426" xr:uid="{00000000-0005-0000-0000-0000473C0000}"/>
    <cellStyle name="Normal 24 3 6 6" xfId="15427" xr:uid="{00000000-0005-0000-0000-0000483C0000}"/>
    <cellStyle name="Normal 24 3 7" xfId="15428" xr:uid="{00000000-0005-0000-0000-0000493C0000}"/>
    <cellStyle name="Normal 24 3 7 2" xfId="15429" xr:uid="{00000000-0005-0000-0000-00004A3C0000}"/>
    <cellStyle name="Normal 24 3 7 3" xfId="15430" xr:uid="{00000000-0005-0000-0000-00004B3C0000}"/>
    <cellStyle name="Normal 24 3 7 4" xfId="15431" xr:uid="{00000000-0005-0000-0000-00004C3C0000}"/>
    <cellStyle name="Normal 24 3 7 5" xfId="15432" xr:uid="{00000000-0005-0000-0000-00004D3C0000}"/>
    <cellStyle name="Normal 24 3 7 6" xfId="15433" xr:uid="{00000000-0005-0000-0000-00004E3C0000}"/>
    <cellStyle name="Normal 24 3 8" xfId="15434" xr:uid="{00000000-0005-0000-0000-00004F3C0000}"/>
    <cellStyle name="Normal 24 3 8 2" xfId="15435" xr:uid="{00000000-0005-0000-0000-0000503C0000}"/>
    <cellStyle name="Normal 24 3 8 3" xfId="15436" xr:uid="{00000000-0005-0000-0000-0000513C0000}"/>
    <cellStyle name="Normal 24 3 8 4" xfId="15437" xr:uid="{00000000-0005-0000-0000-0000523C0000}"/>
    <cellStyle name="Normal 24 3 8 5" xfId="15438" xr:uid="{00000000-0005-0000-0000-0000533C0000}"/>
    <cellStyle name="Normal 24 3 8 6" xfId="15439" xr:uid="{00000000-0005-0000-0000-0000543C0000}"/>
    <cellStyle name="Normal 24 3 9" xfId="15440" xr:uid="{00000000-0005-0000-0000-0000553C0000}"/>
    <cellStyle name="Normal 24 3 9 2" xfId="15441" xr:uid="{00000000-0005-0000-0000-0000563C0000}"/>
    <cellStyle name="Normal 24 3 9 3" xfId="15442" xr:uid="{00000000-0005-0000-0000-0000573C0000}"/>
    <cellStyle name="Normal 24 3 9 4" xfId="15443" xr:uid="{00000000-0005-0000-0000-0000583C0000}"/>
    <cellStyle name="Normal 24 3 9 5" xfId="15444" xr:uid="{00000000-0005-0000-0000-0000593C0000}"/>
    <cellStyle name="Normal 24 3 9 6" xfId="15445" xr:uid="{00000000-0005-0000-0000-00005A3C0000}"/>
    <cellStyle name="Normal 24 30" xfId="15446" xr:uid="{00000000-0005-0000-0000-00005B3C0000}"/>
    <cellStyle name="Normal 24 31" xfId="15447" xr:uid="{00000000-0005-0000-0000-00005C3C0000}"/>
    <cellStyle name="Normal 24 32" xfId="15448" xr:uid="{00000000-0005-0000-0000-00005D3C0000}"/>
    <cellStyle name="Normal 24 33" xfId="15449" xr:uid="{00000000-0005-0000-0000-00005E3C0000}"/>
    <cellStyle name="Normal 24 34" xfId="15450" xr:uid="{00000000-0005-0000-0000-00005F3C0000}"/>
    <cellStyle name="Normal 24 35" xfId="15451" xr:uid="{00000000-0005-0000-0000-0000603C0000}"/>
    <cellStyle name="Normal 24 36" xfId="15452" xr:uid="{00000000-0005-0000-0000-0000613C0000}"/>
    <cellStyle name="Normal 24 37" xfId="15453" xr:uid="{00000000-0005-0000-0000-0000623C0000}"/>
    <cellStyle name="Normal 24 38" xfId="15454" xr:uid="{00000000-0005-0000-0000-0000633C0000}"/>
    <cellStyle name="Normal 24 39" xfId="15455" xr:uid="{00000000-0005-0000-0000-0000643C0000}"/>
    <cellStyle name="Normal 24 4" xfId="15456" xr:uid="{00000000-0005-0000-0000-0000653C0000}"/>
    <cellStyle name="Normal 24 4 10" xfId="15457" xr:uid="{00000000-0005-0000-0000-0000663C0000}"/>
    <cellStyle name="Normal 24 4 2" xfId="15458" xr:uid="{00000000-0005-0000-0000-0000673C0000}"/>
    <cellStyle name="Normal 24 4 2 2" xfId="15459" xr:uid="{00000000-0005-0000-0000-0000683C0000}"/>
    <cellStyle name="Normal 24 4 2 3" xfId="15460" xr:uid="{00000000-0005-0000-0000-0000693C0000}"/>
    <cellStyle name="Normal 24 4 2 4" xfId="15461" xr:uid="{00000000-0005-0000-0000-00006A3C0000}"/>
    <cellStyle name="Normal 24 4 2 5" xfId="15462" xr:uid="{00000000-0005-0000-0000-00006B3C0000}"/>
    <cellStyle name="Normal 24 4 2 6" xfId="15463" xr:uid="{00000000-0005-0000-0000-00006C3C0000}"/>
    <cellStyle name="Normal 24 4 3" xfId="15464" xr:uid="{00000000-0005-0000-0000-00006D3C0000}"/>
    <cellStyle name="Normal 24 4 3 2" xfId="15465" xr:uid="{00000000-0005-0000-0000-00006E3C0000}"/>
    <cellStyle name="Normal 24 4 3 3" xfId="15466" xr:uid="{00000000-0005-0000-0000-00006F3C0000}"/>
    <cellStyle name="Normal 24 4 3 4" xfId="15467" xr:uid="{00000000-0005-0000-0000-0000703C0000}"/>
    <cellStyle name="Normal 24 4 3 5" xfId="15468" xr:uid="{00000000-0005-0000-0000-0000713C0000}"/>
    <cellStyle name="Normal 24 4 3 6" xfId="15469" xr:uid="{00000000-0005-0000-0000-0000723C0000}"/>
    <cellStyle name="Normal 24 4 4" xfId="15470" xr:uid="{00000000-0005-0000-0000-0000733C0000}"/>
    <cellStyle name="Normal 24 4 4 2" xfId="15471" xr:uid="{00000000-0005-0000-0000-0000743C0000}"/>
    <cellStyle name="Normal 24 4 4 3" xfId="15472" xr:uid="{00000000-0005-0000-0000-0000753C0000}"/>
    <cellStyle name="Normal 24 4 4 4" xfId="15473" xr:uid="{00000000-0005-0000-0000-0000763C0000}"/>
    <cellStyle name="Normal 24 4 4 5" xfId="15474" xr:uid="{00000000-0005-0000-0000-0000773C0000}"/>
    <cellStyle name="Normal 24 4 4 6" xfId="15475" xr:uid="{00000000-0005-0000-0000-0000783C0000}"/>
    <cellStyle name="Normal 24 4 5" xfId="15476" xr:uid="{00000000-0005-0000-0000-0000793C0000}"/>
    <cellStyle name="Normal 24 4 5 2" xfId="15477" xr:uid="{00000000-0005-0000-0000-00007A3C0000}"/>
    <cellStyle name="Normal 24 4 5 3" xfId="15478" xr:uid="{00000000-0005-0000-0000-00007B3C0000}"/>
    <cellStyle name="Normal 24 4 5 4" xfId="15479" xr:uid="{00000000-0005-0000-0000-00007C3C0000}"/>
    <cellStyle name="Normal 24 4 5 5" xfId="15480" xr:uid="{00000000-0005-0000-0000-00007D3C0000}"/>
    <cellStyle name="Normal 24 4 5 6" xfId="15481" xr:uid="{00000000-0005-0000-0000-00007E3C0000}"/>
    <cellStyle name="Normal 24 4 6" xfId="15482" xr:uid="{00000000-0005-0000-0000-00007F3C0000}"/>
    <cellStyle name="Normal 24 4 7" xfId="15483" xr:uid="{00000000-0005-0000-0000-0000803C0000}"/>
    <cellStyle name="Normal 24 4 8" xfId="15484" xr:uid="{00000000-0005-0000-0000-0000813C0000}"/>
    <cellStyle name="Normal 24 4 9" xfId="15485" xr:uid="{00000000-0005-0000-0000-0000823C0000}"/>
    <cellStyle name="Normal 24 40" xfId="15486" xr:uid="{00000000-0005-0000-0000-0000833C0000}"/>
    <cellStyle name="Normal 24 41" xfId="15487" xr:uid="{00000000-0005-0000-0000-0000843C0000}"/>
    <cellStyle name="Normal 24 42" xfId="15488" xr:uid="{00000000-0005-0000-0000-0000853C0000}"/>
    <cellStyle name="Normal 24 43" xfId="15489" xr:uid="{00000000-0005-0000-0000-0000863C0000}"/>
    <cellStyle name="Normal 24 44" xfId="15490" xr:uid="{00000000-0005-0000-0000-0000873C0000}"/>
    <cellStyle name="Normal 24 45" xfId="15491" xr:uid="{00000000-0005-0000-0000-0000883C0000}"/>
    <cellStyle name="Normal 24 5" xfId="15492" xr:uid="{00000000-0005-0000-0000-0000893C0000}"/>
    <cellStyle name="Normal 24 5 10" xfId="15493" xr:uid="{00000000-0005-0000-0000-00008A3C0000}"/>
    <cellStyle name="Normal 24 5 2" xfId="15494" xr:uid="{00000000-0005-0000-0000-00008B3C0000}"/>
    <cellStyle name="Normal 24 5 2 2" xfId="15495" xr:uid="{00000000-0005-0000-0000-00008C3C0000}"/>
    <cellStyle name="Normal 24 5 2 3" xfId="15496" xr:uid="{00000000-0005-0000-0000-00008D3C0000}"/>
    <cellStyle name="Normal 24 5 2 4" xfId="15497" xr:uid="{00000000-0005-0000-0000-00008E3C0000}"/>
    <cellStyle name="Normal 24 5 2 5" xfId="15498" xr:uid="{00000000-0005-0000-0000-00008F3C0000}"/>
    <cellStyle name="Normal 24 5 2 6" xfId="15499" xr:uid="{00000000-0005-0000-0000-0000903C0000}"/>
    <cellStyle name="Normal 24 5 3" xfId="15500" xr:uid="{00000000-0005-0000-0000-0000913C0000}"/>
    <cellStyle name="Normal 24 5 3 2" xfId="15501" xr:uid="{00000000-0005-0000-0000-0000923C0000}"/>
    <cellStyle name="Normal 24 5 3 3" xfId="15502" xr:uid="{00000000-0005-0000-0000-0000933C0000}"/>
    <cellStyle name="Normal 24 5 3 4" xfId="15503" xr:uid="{00000000-0005-0000-0000-0000943C0000}"/>
    <cellStyle name="Normal 24 5 3 5" xfId="15504" xr:uid="{00000000-0005-0000-0000-0000953C0000}"/>
    <cellStyle name="Normal 24 5 3 6" xfId="15505" xr:uid="{00000000-0005-0000-0000-0000963C0000}"/>
    <cellStyle name="Normal 24 5 4" xfId="15506" xr:uid="{00000000-0005-0000-0000-0000973C0000}"/>
    <cellStyle name="Normal 24 5 4 2" xfId="15507" xr:uid="{00000000-0005-0000-0000-0000983C0000}"/>
    <cellStyle name="Normal 24 5 4 3" xfId="15508" xr:uid="{00000000-0005-0000-0000-0000993C0000}"/>
    <cellStyle name="Normal 24 5 4 4" xfId="15509" xr:uid="{00000000-0005-0000-0000-00009A3C0000}"/>
    <cellStyle name="Normal 24 5 4 5" xfId="15510" xr:uid="{00000000-0005-0000-0000-00009B3C0000}"/>
    <cellStyle name="Normal 24 5 4 6" xfId="15511" xr:uid="{00000000-0005-0000-0000-00009C3C0000}"/>
    <cellStyle name="Normal 24 5 5" xfId="15512" xr:uid="{00000000-0005-0000-0000-00009D3C0000}"/>
    <cellStyle name="Normal 24 5 5 2" xfId="15513" xr:uid="{00000000-0005-0000-0000-00009E3C0000}"/>
    <cellStyle name="Normal 24 5 5 3" xfId="15514" xr:uid="{00000000-0005-0000-0000-00009F3C0000}"/>
    <cellStyle name="Normal 24 5 5 4" xfId="15515" xr:uid="{00000000-0005-0000-0000-0000A03C0000}"/>
    <cellStyle name="Normal 24 5 5 5" xfId="15516" xr:uid="{00000000-0005-0000-0000-0000A13C0000}"/>
    <cellStyle name="Normal 24 5 5 6" xfId="15517" xr:uid="{00000000-0005-0000-0000-0000A23C0000}"/>
    <cellStyle name="Normal 24 5 6" xfId="15518" xr:uid="{00000000-0005-0000-0000-0000A33C0000}"/>
    <cellStyle name="Normal 24 5 7" xfId="15519" xr:uid="{00000000-0005-0000-0000-0000A43C0000}"/>
    <cellStyle name="Normal 24 5 8" xfId="15520" xr:uid="{00000000-0005-0000-0000-0000A53C0000}"/>
    <cellStyle name="Normal 24 5 9" xfId="15521" xr:uid="{00000000-0005-0000-0000-0000A63C0000}"/>
    <cellStyle name="Normal 24 6" xfId="15522" xr:uid="{00000000-0005-0000-0000-0000A73C0000}"/>
    <cellStyle name="Normal 24 6 10" xfId="15523" xr:uid="{00000000-0005-0000-0000-0000A83C0000}"/>
    <cellStyle name="Normal 24 6 2" xfId="15524" xr:uid="{00000000-0005-0000-0000-0000A93C0000}"/>
    <cellStyle name="Normal 24 6 2 2" xfId="15525" xr:uid="{00000000-0005-0000-0000-0000AA3C0000}"/>
    <cellStyle name="Normal 24 6 2 3" xfId="15526" xr:uid="{00000000-0005-0000-0000-0000AB3C0000}"/>
    <cellStyle name="Normal 24 6 2 4" xfId="15527" xr:uid="{00000000-0005-0000-0000-0000AC3C0000}"/>
    <cellStyle name="Normal 24 6 2 5" xfId="15528" xr:uid="{00000000-0005-0000-0000-0000AD3C0000}"/>
    <cellStyle name="Normal 24 6 2 6" xfId="15529" xr:uid="{00000000-0005-0000-0000-0000AE3C0000}"/>
    <cellStyle name="Normal 24 6 3" xfId="15530" xr:uid="{00000000-0005-0000-0000-0000AF3C0000}"/>
    <cellStyle name="Normal 24 6 3 2" xfId="15531" xr:uid="{00000000-0005-0000-0000-0000B03C0000}"/>
    <cellStyle name="Normal 24 6 3 3" xfId="15532" xr:uid="{00000000-0005-0000-0000-0000B13C0000}"/>
    <cellStyle name="Normal 24 6 3 4" xfId="15533" xr:uid="{00000000-0005-0000-0000-0000B23C0000}"/>
    <cellStyle name="Normal 24 6 3 5" xfId="15534" xr:uid="{00000000-0005-0000-0000-0000B33C0000}"/>
    <cellStyle name="Normal 24 6 3 6" xfId="15535" xr:uid="{00000000-0005-0000-0000-0000B43C0000}"/>
    <cellStyle name="Normal 24 6 4" xfId="15536" xr:uid="{00000000-0005-0000-0000-0000B53C0000}"/>
    <cellStyle name="Normal 24 6 4 2" xfId="15537" xr:uid="{00000000-0005-0000-0000-0000B63C0000}"/>
    <cellStyle name="Normal 24 6 4 3" xfId="15538" xr:uid="{00000000-0005-0000-0000-0000B73C0000}"/>
    <cellStyle name="Normal 24 6 4 4" xfId="15539" xr:uid="{00000000-0005-0000-0000-0000B83C0000}"/>
    <cellStyle name="Normal 24 6 4 5" xfId="15540" xr:uid="{00000000-0005-0000-0000-0000B93C0000}"/>
    <cellStyle name="Normal 24 6 4 6" xfId="15541" xr:uid="{00000000-0005-0000-0000-0000BA3C0000}"/>
    <cellStyle name="Normal 24 6 5" xfId="15542" xr:uid="{00000000-0005-0000-0000-0000BB3C0000}"/>
    <cellStyle name="Normal 24 6 5 2" xfId="15543" xr:uid="{00000000-0005-0000-0000-0000BC3C0000}"/>
    <cellStyle name="Normal 24 6 5 3" xfId="15544" xr:uid="{00000000-0005-0000-0000-0000BD3C0000}"/>
    <cellStyle name="Normal 24 6 5 4" xfId="15545" xr:uid="{00000000-0005-0000-0000-0000BE3C0000}"/>
    <cellStyle name="Normal 24 6 5 5" xfId="15546" xr:uid="{00000000-0005-0000-0000-0000BF3C0000}"/>
    <cellStyle name="Normal 24 6 5 6" xfId="15547" xr:uid="{00000000-0005-0000-0000-0000C03C0000}"/>
    <cellStyle name="Normal 24 6 6" xfId="15548" xr:uid="{00000000-0005-0000-0000-0000C13C0000}"/>
    <cellStyle name="Normal 24 6 7" xfId="15549" xr:uid="{00000000-0005-0000-0000-0000C23C0000}"/>
    <cellStyle name="Normal 24 6 8" xfId="15550" xr:uid="{00000000-0005-0000-0000-0000C33C0000}"/>
    <cellStyle name="Normal 24 6 9" xfId="15551" xr:uid="{00000000-0005-0000-0000-0000C43C0000}"/>
    <cellStyle name="Normal 24 7" xfId="15552" xr:uid="{00000000-0005-0000-0000-0000C53C0000}"/>
    <cellStyle name="Normal 24 7 10" xfId="15553" xr:uid="{00000000-0005-0000-0000-0000C63C0000}"/>
    <cellStyle name="Normal 24 7 2" xfId="15554" xr:uid="{00000000-0005-0000-0000-0000C73C0000}"/>
    <cellStyle name="Normal 24 7 2 2" xfId="15555" xr:uid="{00000000-0005-0000-0000-0000C83C0000}"/>
    <cellStyle name="Normal 24 7 2 3" xfId="15556" xr:uid="{00000000-0005-0000-0000-0000C93C0000}"/>
    <cellStyle name="Normal 24 7 2 4" xfId="15557" xr:uid="{00000000-0005-0000-0000-0000CA3C0000}"/>
    <cellStyle name="Normal 24 7 2 5" xfId="15558" xr:uid="{00000000-0005-0000-0000-0000CB3C0000}"/>
    <cellStyle name="Normal 24 7 2 6" xfId="15559" xr:uid="{00000000-0005-0000-0000-0000CC3C0000}"/>
    <cellStyle name="Normal 24 7 3" xfId="15560" xr:uid="{00000000-0005-0000-0000-0000CD3C0000}"/>
    <cellStyle name="Normal 24 7 3 2" xfId="15561" xr:uid="{00000000-0005-0000-0000-0000CE3C0000}"/>
    <cellStyle name="Normal 24 7 3 3" xfId="15562" xr:uid="{00000000-0005-0000-0000-0000CF3C0000}"/>
    <cellStyle name="Normal 24 7 3 4" xfId="15563" xr:uid="{00000000-0005-0000-0000-0000D03C0000}"/>
    <cellStyle name="Normal 24 7 3 5" xfId="15564" xr:uid="{00000000-0005-0000-0000-0000D13C0000}"/>
    <cellStyle name="Normal 24 7 3 6" xfId="15565" xr:uid="{00000000-0005-0000-0000-0000D23C0000}"/>
    <cellStyle name="Normal 24 7 4" xfId="15566" xr:uid="{00000000-0005-0000-0000-0000D33C0000}"/>
    <cellStyle name="Normal 24 7 4 2" xfId="15567" xr:uid="{00000000-0005-0000-0000-0000D43C0000}"/>
    <cellStyle name="Normal 24 7 4 3" xfId="15568" xr:uid="{00000000-0005-0000-0000-0000D53C0000}"/>
    <cellStyle name="Normal 24 7 4 4" xfId="15569" xr:uid="{00000000-0005-0000-0000-0000D63C0000}"/>
    <cellStyle name="Normal 24 7 4 5" xfId="15570" xr:uid="{00000000-0005-0000-0000-0000D73C0000}"/>
    <cellStyle name="Normal 24 7 4 6" xfId="15571" xr:uid="{00000000-0005-0000-0000-0000D83C0000}"/>
    <cellStyle name="Normal 24 7 5" xfId="15572" xr:uid="{00000000-0005-0000-0000-0000D93C0000}"/>
    <cellStyle name="Normal 24 7 5 2" xfId="15573" xr:uid="{00000000-0005-0000-0000-0000DA3C0000}"/>
    <cellStyle name="Normal 24 7 5 3" xfId="15574" xr:uid="{00000000-0005-0000-0000-0000DB3C0000}"/>
    <cellStyle name="Normal 24 7 5 4" xfId="15575" xr:uid="{00000000-0005-0000-0000-0000DC3C0000}"/>
    <cellStyle name="Normal 24 7 5 5" xfId="15576" xr:uid="{00000000-0005-0000-0000-0000DD3C0000}"/>
    <cellStyle name="Normal 24 7 5 6" xfId="15577" xr:uid="{00000000-0005-0000-0000-0000DE3C0000}"/>
    <cellStyle name="Normal 24 7 6" xfId="15578" xr:uid="{00000000-0005-0000-0000-0000DF3C0000}"/>
    <cellStyle name="Normal 24 7 7" xfId="15579" xr:uid="{00000000-0005-0000-0000-0000E03C0000}"/>
    <cellStyle name="Normal 24 7 8" xfId="15580" xr:uid="{00000000-0005-0000-0000-0000E13C0000}"/>
    <cellStyle name="Normal 24 7 9" xfId="15581" xr:uid="{00000000-0005-0000-0000-0000E23C0000}"/>
    <cellStyle name="Normal 24 8" xfId="15582" xr:uid="{00000000-0005-0000-0000-0000E33C0000}"/>
    <cellStyle name="Normal 24 8 10" xfId="15583" xr:uid="{00000000-0005-0000-0000-0000E43C0000}"/>
    <cellStyle name="Normal 24 8 11" xfId="15584" xr:uid="{00000000-0005-0000-0000-0000E53C0000}"/>
    <cellStyle name="Normal 24 8 12" xfId="15585" xr:uid="{00000000-0005-0000-0000-0000E63C0000}"/>
    <cellStyle name="Normal 24 8 13" xfId="15586" xr:uid="{00000000-0005-0000-0000-0000E73C0000}"/>
    <cellStyle name="Normal 24 8 14" xfId="15587" xr:uid="{00000000-0005-0000-0000-0000E83C0000}"/>
    <cellStyle name="Normal 24 8 15" xfId="15588" xr:uid="{00000000-0005-0000-0000-0000E93C0000}"/>
    <cellStyle name="Normal 24 8 16" xfId="15589" xr:uid="{00000000-0005-0000-0000-0000EA3C0000}"/>
    <cellStyle name="Normal 24 8 17" xfId="15590" xr:uid="{00000000-0005-0000-0000-0000EB3C0000}"/>
    <cellStyle name="Normal 24 8 18" xfId="15591" xr:uid="{00000000-0005-0000-0000-0000EC3C0000}"/>
    <cellStyle name="Normal 24 8 19" xfId="15592" xr:uid="{00000000-0005-0000-0000-0000ED3C0000}"/>
    <cellStyle name="Normal 24 8 2" xfId="15593" xr:uid="{00000000-0005-0000-0000-0000EE3C0000}"/>
    <cellStyle name="Normal 24 8 2 2" xfId="15594" xr:uid="{00000000-0005-0000-0000-0000EF3C0000}"/>
    <cellStyle name="Normal 24 8 2 3" xfId="15595" xr:uid="{00000000-0005-0000-0000-0000F03C0000}"/>
    <cellStyle name="Normal 24 8 2 4" xfId="15596" xr:uid="{00000000-0005-0000-0000-0000F13C0000}"/>
    <cellStyle name="Normal 24 8 2 5" xfId="15597" xr:uid="{00000000-0005-0000-0000-0000F23C0000}"/>
    <cellStyle name="Normal 24 8 2 6" xfId="15598" xr:uid="{00000000-0005-0000-0000-0000F33C0000}"/>
    <cellStyle name="Normal 24 8 20" xfId="15599" xr:uid="{00000000-0005-0000-0000-0000F43C0000}"/>
    <cellStyle name="Normal 24 8 21" xfId="15600" xr:uid="{00000000-0005-0000-0000-0000F53C0000}"/>
    <cellStyle name="Normal 24 8 22" xfId="15601" xr:uid="{00000000-0005-0000-0000-0000F63C0000}"/>
    <cellStyle name="Normal 24 8 23" xfId="15602" xr:uid="{00000000-0005-0000-0000-0000F73C0000}"/>
    <cellStyle name="Normal 24 8 24" xfId="15603" xr:uid="{00000000-0005-0000-0000-0000F83C0000}"/>
    <cellStyle name="Normal 24 8 25" xfId="15604" xr:uid="{00000000-0005-0000-0000-0000F93C0000}"/>
    <cellStyle name="Normal 24 8 26" xfId="15605" xr:uid="{00000000-0005-0000-0000-0000FA3C0000}"/>
    <cellStyle name="Normal 24 8 27" xfId="15606" xr:uid="{00000000-0005-0000-0000-0000FB3C0000}"/>
    <cellStyle name="Normal 24 8 28" xfId="15607" xr:uid="{00000000-0005-0000-0000-0000FC3C0000}"/>
    <cellStyle name="Normal 24 8 29" xfId="15608" xr:uid="{00000000-0005-0000-0000-0000FD3C0000}"/>
    <cellStyle name="Normal 24 8 3" xfId="15609" xr:uid="{00000000-0005-0000-0000-0000FE3C0000}"/>
    <cellStyle name="Normal 24 8 30" xfId="15610" xr:uid="{00000000-0005-0000-0000-0000FF3C0000}"/>
    <cellStyle name="Normal 24 8 31" xfId="15611" xr:uid="{00000000-0005-0000-0000-0000003D0000}"/>
    <cellStyle name="Normal 24 8 32" xfId="15612" xr:uid="{00000000-0005-0000-0000-0000013D0000}"/>
    <cellStyle name="Normal 24 8 33" xfId="15613" xr:uid="{00000000-0005-0000-0000-0000023D0000}"/>
    <cellStyle name="Normal 24 8 4" xfId="15614" xr:uid="{00000000-0005-0000-0000-0000033D0000}"/>
    <cellStyle name="Normal 24 8 5" xfId="15615" xr:uid="{00000000-0005-0000-0000-0000043D0000}"/>
    <cellStyle name="Normal 24 8 6" xfId="15616" xr:uid="{00000000-0005-0000-0000-0000053D0000}"/>
    <cellStyle name="Normal 24 8 7" xfId="15617" xr:uid="{00000000-0005-0000-0000-0000063D0000}"/>
    <cellStyle name="Normal 24 8 8" xfId="15618" xr:uid="{00000000-0005-0000-0000-0000073D0000}"/>
    <cellStyle name="Normal 24 8 9" xfId="15619" xr:uid="{00000000-0005-0000-0000-0000083D0000}"/>
    <cellStyle name="Normal 24 9" xfId="15620" xr:uid="{00000000-0005-0000-0000-0000093D0000}"/>
    <cellStyle name="Normal 25" xfId="15621" xr:uid="{00000000-0005-0000-0000-00000A3D0000}"/>
    <cellStyle name="Normal 25 10" xfId="15622" xr:uid="{00000000-0005-0000-0000-00000B3D0000}"/>
    <cellStyle name="Normal 25 10 2" xfId="15623" xr:uid="{00000000-0005-0000-0000-00000C3D0000}"/>
    <cellStyle name="Normal 25 10 3" xfId="15624" xr:uid="{00000000-0005-0000-0000-00000D3D0000}"/>
    <cellStyle name="Normal 25 10 4" xfId="15625" xr:uid="{00000000-0005-0000-0000-00000E3D0000}"/>
    <cellStyle name="Normal 25 10 5" xfId="15626" xr:uid="{00000000-0005-0000-0000-00000F3D0000}"/>
    <cellStyle name="Normal 25 10 6" xfId="15627" xr:uid="{00000000-0005-0000-0000-0000103D0000}"/>
    <cellStyle name="Normal 25 11" xfId="15628" xr:uid="{00000000-0005-0000-0000-0000113D0000}"/>
    <cellStyle name="Normal 25 12" xfId="15629" xr:uid="{00000000-0005-0000-0000-0000123D0000}"/>
    <cellStyle name="Normal 25 13" xfId="15630" xr:uid="{00000000-0005-0000-0000-0000133D0000}"/>
    <cellStyle name="Normal 25 14" xfId="15631" xr:uid="{00000000-0005-0000-0000-0000143D0000}"/>
    <cellStyle name="Normal 25 15" xfId="15632" xr:uid="{00000000-0005-0000-0000-0000153D0000}"/>
    <cellStyle name="Normal 25 2" xfId="15633" xr:uid="{00000000-0005-0000-0000-0000163D0000}"/>
    <cellStyle name="Normal 25 2 10" xfId="15634" xr:uid="{00000000-0005-0000-0000-0000173D0000}"/>
    <cellStyle name="Normal 25 2 11" xfId="15635" xr:uid="{00000000-0005-0000-0000-0000183D0000}"/>
    <cellStyle name="Normal 25 2 12" xfId="15636" xr:uid="{00000000-0005-0000-0000-0000193D0000}"/>
    <cellStyle name="Normal 25 2 13" xfId="15637" xr:uid="{00000000-0005-0000-0000-00001A3D0000}"/>
    <cellStyle name="Normal 25 2 14" xfId="15638" xr:uid="{00000000-0005-0000-0000-00001B3D0000}"/>
    <cellStyle name="Normal 25 2 2" xfId="15639" xr:uid="{00000000-0005-0000-0000-00001C3D0000}"/>
    <cellStyle name="Normal 25 2 2 2" xfId="15640" xr:uid="{00000000-0005-0000-0000-00001D3D0000}"/>
    <cellStyle name="Normal 25 2 2 3" xfId="15641" xr:uid="{00000000-0005-0000-0000-00001E3D0000}"/>
    <cellStyle name="Normal 25 2 2 4" xfId="15642" xr:uid="{00000000-0005-0000-0000-00001F3D0000}"/>
    <cellStyle name="Normal 25 2 2 5" xfId="15643" xr:uid="{00000000-0005-0000-0000-0000203D0000}"/>
    <cellStyle name="Normal 25 2 2 6" xfId="15644" xr:uid="{00000000-0005-0000-0000-0000213D0000}"/>
    <cellStyle name="Normal 25 2 3" xfId="15645" xr:uid="{00000000-0005-0000-0000-0000223D0000}"/>
    <cellStyle name="Normal 25 2 3 2" xfId="15646" xr:uid="{00000000-0005-0000-0000-0000233D0000}"/>
    <cellStyle name="Normal 25 2 3 3" xfId="15647" xr:uid="{00000000-0005-0000-0000-0000243D0000}"/>
    <cellStyle name="Normal 25 2 3 4" xfId="15648" xr:uid="{00000000-0005-0000-0000-0000253D0000}"/>
    <cellStyle name="Normal 25 2 3 5" xfId="15649" xr:uid="{00000000-0005-0000-0000-0000263D0000}"/>
    <cellStyle name="Normal 25 2 3 6" xfId="15650" xr:uid="{00000000-0005-0000-0000-0000273D0000}"/>
    <cellStyle name="Normal 25 2 4" xfId="15651" xr:uid="{00000000-0005-0000-0000-0000283D0000}"/>
    <cellStyle name="Normal 25 2 4 2" xfId="15652" xr:uid="{00000000-0005-0000-0000-0000293D0000}"/>
    <cellStyle name="Normal 25 2 4 3" xfId="15653" xr:uid="{00000000-0005-0000-0000-00002A3D0000}"/>
    <cellStyle name="Normal 25 2 4 4" xfId="15654" xr:uid="{00000000-0005-0000-0000-00002B3D0000}"/>
    <cellStyle name="Normal 25 2 4 5" xfId="15655" xr:uid="{00000000-0005-0000-0000-00002C3D0000}"/>
    <cellStyle name="Normal 25 2 4 6" xfId="15656" xr:uid="{00000000-0005-0000-0000-00002D3D0000}"/>
    <cellStyle name="Normal 25 2 5" xfId="15657" xr:uid="{00000000-0005-0000-0000-00002E3D0000}"/>
    <cellStyle name="Normal 25 2 5 2" xfId="15658" xr:uid="{00000000-0005-0000-0000-00002F3D0000}"/>
    <cellStyle name="Normal 25 2 5 3" xfId="15659" xr:uid="{00000000-0005-0000-0000-0000303D0000}"/>
    <cellStyle name="Normal 25 2 5 4" xfId="15660" xr:uid="{00000000-0005-0000-0000-0000313D0000}"/>
    <cellStyle name="Normal 25 2 5 5" xfId="15661" xr:uid="{00000000-0005-0000-0000-0000323D0000}"/>
    <cellStyle name="Normal 25 2 5 6" xfId="15662" xr:uid="{00000000-0005-0000-0000-0000333D0000}"/>
    <cellStyle name="Normal 25 2 6" xfId="15663" xr:uid="{00000000-0005-0000-0000-0000343D0000}"/>
    <cellStyle name="Normal 25 2 6 2" xfId="15664" xr:uid="{00000000-0005-0000-0000-0000353D0000}"/>
    <cellStyle name="Normal 25 2 6 3" xfId="15665" xr:uid="{00000000-0005-0000-0000-0000363D0000}"/>
    <cellStyle name="Normal 25 2 6 4" xfId="15666" xr:uid="{00000000-0005-0000-0000-0000373D0000}"/>
    <cellStyle name="Normal 25 2 6 5" xfId="15667" xr:uid="{00000000-0005-0000-0000-0000383D0000}"/>
    <cellStyle name="Normal 25 2 6 6" xfId="15668" xr:uid="{00000000-0005-0000-0000-0000393D0000}"/>
    <cellStyle name="Normal 25 2 7" xfId="15669" xr:uid="{00000000-0005-0000-0000-00003A3D0000}"/>
    <cellStyle name="Normal 25 2 7 2" xfId="15670" xr:uid="{00000000-0005-0000-0000-00003B3D0000}"/>
    <cellStyle name="Normal 25 2 7 3" xfId="15671" xr:uid="{00000000-0005-0000-0000-00003C3D0000}"/>
    <cellStyle name="Normal 25 2 7 4" xfId="15672" xr:uid="{00000000-0005-0000-0000-00003D3D0000}"/>
    <cellStyle name="Normal 25 2 7 5" xfId="15673" xr:uid="{00000000-0005-0000-0000-00003E3D0000}"/>
    <cellStyle name="Normal 25 2 7 6" xfId="15674" xr:uid="{00000000-0005-0000-0000-00003F3D0000}"/>
    <cellStyle name="Normal 25 2 8" xfId="15675" xr:uid="{00000000-0005-0000-0000-0000403D0000}"/>
    <cellStyle name="Normal 25 2 8 2" xfId="15676" xr:uid="{00000000-0005-0000-0000-0000413D0000}"/>
    <cellStyle name="Normal 25 2 8 3" xfId="15677" xr:uid="{00000000-0005-0000-0000-0000423D0000}"/>
    <cellStyle name="Normal 25 2 8 4" xfId="15678" xr:uid="{00000000-0005-0000-0000-0000433D0000}"/>
    <cellStyle name="Normal 25 2 8 5" xfId="15679" xr:uid="{00000000-0005-0000-0000-0000443D0000}"/>
    <cellStyle name="Normal 25 2 8 6" xfId="15680" xr:uid="{00000000-0005-0000-0000-0000453D0000}"/>
    <cellStyle name="Normal 25 2 9" xfId="15681" xr:uid="{00000000-0005-0000-0000-0000463D0000}"/>
    <cellStyle name="Normal 25 2 9 2" xfId="15682" xr:uid="{00000000-0005-0000-0000-0000473D0000}"/>
    <cellStyle name="Normal 25 2 9 3" xfId="15683" xr:uid="{00000000-0005-0000-0000-0000483D0000}"/>
    <cellStyle name="Normal 25 2 9 4" xfId="15684" xr:uid="{00000000-0005-0000-0000-0000493D0000}"/>
    <cellStyle name="Normal 25 2 9 5" xfId="15685" xr:uid="{00000000-0005-0000-0000-00004A3D0000}"/>
    <cellStyle name="Normal 25 2 9 6" xfId="15686" xr:uid="{00000000-0005-0000-0000-00004B3D0000}"/>
    <cellStyle name="Normal 25 3" xfId="15687" xr:uid="{00000000-0005-0000-0000-00004C3D0000}"/>
    <cellStyle name="Normal 25 3 2" xfId="15688" xr:uid="{00000000-0005-0000-0000-00004D3D0000}"/>
    <cellStyle name="Normal 25 3 3" xfId="15689" xr:uid="{00000000-0005-0000-0000-00004E3D0000}"/>
    <cellStyle name="Normal 25 3 4" xfId="15690" xr:uid="{00000000-0005-0000-0000-00004F3D0000}"/>
    <cellStyle name="Normal 25 3 5" xfId="15691" xr:uid="{00000000-0005-0000-0000-0000503D0000}"/>
    <cellStyle name="Normal 25 3 6" xfId="15692" xr:uid="{00000000-0005-0000-0000-0000513D0000}"/>
    <cellStyle name="Normal 25 4" xfId="15693" xr:uid="{00000000-0005-0000-0000-0000523D0000}"/>
    <cellStyle name="Normal 25 4 2" xfId="15694" xr:uid="{00000000-0005-0000-0000-0000533D0000}"/>
    <cellStyle name="Normal 25 4 3" xfId="15695" xr:uid="{00000000-0005-0000-0000-0000543D0000}"/>
    <cellStyle name="Normal 25 4 4" xfId="15696" xr:uid="{00000000-0005-0000-0000-0000553D0000}"/>
    <cellStyle name="Normal 25 4 5" xfId="15697" xr:uid="{00000000-0005-0000-0000-0000563D0000}"/>
    <cellStyle name="Normal 25 4 6" xfId="15698" xr:uid="{00000000-0005-0000-0000-0000573D0000}"/>
    <cellStyle name="Normal 25 5" xfId="15699" xr:uid="{00000000-0005-0000-0000-0000583D0000}"/>
    <cellStyle name="Normal 25 5 2" xfId="15700" xr:uid="{00000000-0005-0000-0000-0000593D0000}"/>
    <cellStyle name="Normal 25 5 3" xfId="15701" xr:uid="{00000000-0005-0000-0000-00005A3D0000}"/>
    <cellStyle name="Normal 25 5 4" xfId="15702" xr:uid="{00000000-0005-0000-0000-00005B3D0000}"/>
    <cellStyle name="Normal 25 5 5" xfId="15703" xr:uid="{00000000-0005-0000-0000-00005C3D0000}"/>
    <cellStyle name="Normal 25 5 6" xfId="15704" xr:uid="{00000000-0005-0000-0000-00005D3D0000}"/>
    <cellStyle name="Normal 25 6" xfId="15705" xr:uid="{00000000-0005-0000-0000-00005E3D0000}"/>
    <cellStyle name="Normal 25 6 2" xfId="15706" xr:uid="{00000000-0005-0000-0000-00005F3D0000}"/>
    <cellStyle name="Normal 25 6 3" xfId="15707" xr:uid="{00000000-0005-0000-0000-0000603D0000}"/>
    <cellStyle name="Normal 25 6 4" xfId="15708" xr:uid="{00000000-0005-0000-0000-0000613D0000}"/>
    <cellStyle name="Normal 25 6 5" xfId="15709" xr:uid="{00000000-0005-0000-0000-0000623D0000}"/>
    <cellStyle name="Normal 25 6 6" xfId="15710" xr:uid="{00000000-0005-0000-0000-0000633D0000}"/>
    <cellStyle name="Normal 25 7" xfId="15711" xr:uid="{00000000-0005-0000-0000-0000643D0000}"/>
    <cellStyle name="Normal 25 7 2" xfId="15712" xr:uid="{00000000-0005-0000-0000-0000653D0000}"/>
    <cellStyle name="Normal 25 7 3" xfId="15713" xr:uid="{00000000-0005-0000-0000-0000663D0000}"/>
    <cellStyle name="Normal 25 7 4" xfId="15714" xr:uid="{00000000-0005-0000-0000-0000673D0000}"/>
    <cellStyle name="Normal 25 7 5" xfId="15715" xr:uid="{00000000-0005-0000-0000-0000683D0000}"/>
    <cellStyle name="Normal 25 7 6" xfId="15716" xr:uid="{00000000-0005-0000-0000-0000693D0000}"/>
    <cellStyle name="Normal 25 8" xfId="15717" xr:uid="{00000000-0005-0000-0000-00006A3D0000}"/>
    <cellStyle name="Normal 25 8 2" xfId="15718" xr:uid="{00000000-0005-0000-0000-00006B3D0000}"/>
    <cellStyle name="Normal 25 8 3" xfId="15719" xr:uid="{00000000-0005-0000-0000-00006C3D0000}"/>
    <cellStyle name="Normal 25 8 4" xfId="15720" xr:uid="{00000000-0005-0000-0000-00006D3D0000}"/>
    <cellStyle name="Normal 25 8 5" xfId="15721" xr:uid="{00000000-0005-0000-0000-00006E3D0000}"/>
    <cellStyle name="Normal 25 8 6" xfId="15722" xr:uid="{00000000-0005-0000-0000-00006F3D0000}"/>
    <cellStyle name="Normal 25 9" xfId="15723" xr:uid="{00000000-0005-0000-0000-0000703D0000}"/>
    <cellStyle name="Normal 25 9 2" xfId="15724" xr:uid="{00000000-0005-0000-0000-0000713D0000}"/>
    <cellStyle name="Normal 25 9 3" xfId="15725" xr:uid="{00000000-0005-0000-0000-0000723D0000}"/>
    <cellStyle name="Normal 25 9 4" xfId="15726" xr:uid="{00000000-0005-0000-0000-0000733D0000}"/>
    <cellStyle name="Normal 25 9 5" xfId="15727" xr:uid="{00000000-0005-0000-0000-0000743D0000}"/>
    <cellStyle name="Normal 25 9 6" xfId="15728" xr:uid="{00000000-0005-0000-0000-0000753D0000}"/>
    <cellStyle name="Normal 26" xfId="15729" xr:uid="{00000000-0005-0000-0000-0000763D0000}"/>
    <cellStyle name="Normal 26 10" xfId="15730" xr:uid="{00000000-0005-0000-0000-0000773D0000}"/>
    <cellStyle name="Normal 26 10 2" xfId="15731" xr:uid="{00000000-0005-0000-0000-0000783D0000}"/>
    <cellStyle name="Normal 26 10 3" xfId="15732" xr:uid="{00000000-0005-0000-0000-0000793D0000}"/>
    <cellStyle name="Normal 26 10 4" xfId="15733" xr:uid="{00000000-0005-0000-0000-00007A3D0000}"/>
    <cellStyle name="Normal 26 10 5" xfId="15734" xr:uid="{00000000-0005-0000-0000-00007B3D0000}"/>
    <cellStyle name="Normal 26 10 6" xfId="15735" xr:uid="{00000000-0005-0000-0000-00007C3D0000}"/>
    <cellStyle name="Normal 26 11" xfId="15736" xr:uid="{00000000-0005-0000-0000-00007D3D0000}"/>
    <cellStyle name="Normal 26 12" xfId="15737" xr:uid="{00000000-0005-0000-0000-00007E3D0000}"/>
    <cellStyle name="Normal 26 13" xfId="15738" xr:uid="{00000000-0005-0000-0000-00007F3D0000}"/>
    <cellStyle name="Normal 26 14" xfId="15739" xr:uid="{00000000-0005-0000-0000-0000803D0000}"/>
    <cellStyle name="Normal 26 15" xfId="15740" xr:uid="{00000000-0005-0000-0000-0000813D0000}"/>
    <cellStyle name="Normal 26 2" xfId="15741" xr:uid="{00000000-0005-0000-0000-0000823D0000}"/>
    <cellStyle name="Normal 26 2 10" xfId="15742" xr:uid="{00000000-0005-0000-0000-0000833D0000}"/>
    <cellStyle name="Normal 26 2 11" xfId="15743" xr:uid="{00000000-0005-0000-0000-0000843D0000}"/>
    <cellStyle name="Normal 26 2 12" xfId="15744" xr:uid="{00000000-0005-0000-0000-0000853D0000}"/>
    <cellStyle name="Normal 26 2 13" xfId="15745" xr:uid="{00000000-0005-0000-0000-0000863D0000}"/>
    <cellStyle name="Normal 26 2 14" xfId="15746" xr:uid="{00000000-0005-0000-0000-0000873D0000}"/>
    <cellStyle name="Normal 26 2 2" xfId="15747" xr:uid="{00000000-0005-0000-0000-0000883D0000}"/>
    <cellStyle name="Normal 26 2 2 2" xfId="15748" xr:uid="{00000000-0005-0000-0000-0000893D0000}"/>
    <cellStyle name="Normal 26 2 2 3" xfId="15749" xr:uid="{00000000-0005-0000-0000-00008A3D0000}"/>
    <cellStyle name="Normal 26 2 2 4" xfId="15750" xr:uid="{00000000-0005-0000-0000-00008B3D0000}"/>
    <cellStyle name="Normal 26 2 2 5" xfId="15751" xr:uid="{00000000-0005-0000-0000-00008C3D0000}"/>
    <cellStyle name="Normal 26 2 2 6" xfId="15752" xr:uid="{00000000-0005-0000-0000-00008D3D0000}"/>
    <cellStyle name="Normal 26 2 3" xfId="15753" xr:uid="{00000000-0005-0000-0000-00008E3D0000}"/>
    <cellStyle name="Normal 26 2 3 2" xfId="15754" xr:uid="{00000000-0005-0000-0000-00008F3D0000}"/>
    <cellStyle name="Normal 26 2 3 3" xfId="15755" xr:uid="{00000000-0005-0000-0000-0000903D0000}"/>
    <cellStyle name="Normal 26 2 3 4" xfId="15756" xr:uid="{00000000-0005-0000-0000-0000913D0000}"/>
    <cellStyle name="Normal 26 2 3 5" xfId="15757" xr:uid="{00000000-0005-0000-0000-0000923D0000}"/>
    <cellStyle name="Normal 26 2 3 6" xfId="15758" xr:uid="{00000000-0005-0000-0000-0000933D0000}"/>
    <cellStyle name="Normal 26 2 4" xfId="15759" xr:uid="{00000000-0005-0000-0000-0000943D0000}"/>
    <cellStyle name="Normal 26 2 4 2" xfId="15760" xr:uid="{00000000-0005-0000-0000-0000953D0000}"/>
    <cellStyle name="Normal 26 2 4 3" xfId="15761" xr:uid="{00000000-0005-0000-0000-0000963D0000}"/>
    <cellStyle name="Normal 26 2 4 4" xfId="15762" xr:uid="{00000000-0005-0000-0000-0000973D0000}"/>
    <cellStyle name="Normal 26 2 4 5" xfId="15763" xr:uid="{00000000-0005-0000-0000-0000983D0000}"/>
    <cellStyle name="Normal 26 2 4 6" xfId="15764" xr:uid="{00000000-0005-0000-0000-0000993D0000}"/>
    <cellStyle name="Normal 26 2 5" xfId="15765" xr:uid="{00000000-0005-0000-0000-00009A3D0000}"/>
    <cellStyle name="Normal 26 2 5 2" xfId="15766" xr:uid="{00000000-0005-0000-0000-00009B3D0000}"/>
    <cellStyle name="Normal 26 2 5 3" xfId="15767" xr:uid="{00000000-0005-0000-0000-00009C3D0000}"/>
    <cellStyle name="Normal 26 2 5 4" xfId="15768" xr:uid="{00000000-0005-0000-0000-00009D3D0000}"/>
    <cellStyle name="Normal 26 2 5 5" xfId="15769" xr:uid="{00000000-0005-0000-0000-00009E3D0000}"/>
    <cellStyle name="Normal 26 2 5 6" xfId="15770" xr:uid="{00000000-0005-0000-0000-00009F3D0000}"/>
    <cellStyle name="Normal 26 2 6" xfId="15771" xr:uid="{00000000-0005-0000-0000-0000A03D0000}"/>
    <cellStyle name="Normal 26 2 6 2" xfId="15772" xr:uid="{00000000-0005-0000-0000-0000A13D0000}"/>
    <cellStyle name="Normal 26 2 6 3" xfId="15773" xr:uid="{00000000-0005-0000-0000-0000A23D0000}"/>
    <cellStyle name="Normal 26 2 6 4" xfId="15774" xr:uid="{00000000-0005-0000-0000-0000A33D0000}"/>
    <cellStyle name="Normal 26 2 6 5" xfId="15775" xr:uid="{00000000-0005-0000-0000-0000A43D0000}"/>
    <cellStyle name="Normal 26 2 6 6" xfId="15776" xr:uid="{00000000-0005-0000-0000-0000A53D0000}"/>
    <cellStyle name="Normal 26 2 7" xfId="15777" xr:uid="{00000000-0005-0000-0000-0000A63D0000}"/>
    <cellStyle name="Normal 26 2 7 2" xfId="15778" xr:uid="{00000000-0005-0000-0000-0000A73D0000}"/>
    <cellStyle name="Normal 26 2 7 3" xfId="15779" xr:uid="{00000000-0005-0000-0000-0000A83D0000}"/>
    <cellStyle name="Normal 26 2 7 4" xfId="15780" xr:uid="{00000000-0005-0000-0000-0000A93D0000}"/>
    <cellStyle name="Normal 26 2 7 5" xfId="15781" xr:uid="{00000000-0005-0000-0000-0000AA3D0000}"/>
    <cellStyle name="Normal 26 2 7 6" xfId="15782" xr:uid="{00000000-0005-0000-0000-0000AB3D0000}"/>
    <cellStyle name="Normal 26 2 8" xfId="15783" xr:uid="{00000000-0005-0000-0000-0000AC3D0000}"/>
    <cellStyle name="Normal 26 2 8 2" xfId="15784" xr:uid="{00000000-0005-0000-0000-0000AD3D0000}"/>
    <cellStyle name="Normal 26 2 8 3" xfId="15785" xr:uid="{00000000-0005-0000-0000-0000AE3D0000}"/>
    <cellStyle name="Normal 26 2 8 4" xfId="15786" xr:uid="{00000000-0005-0000-0000-0000AF3D0000}"/>
    <cellStyle name="Normal 26 2 8 5" xfId="15787" xr:uid="{00000000-0005-0000-0000-0000B03D0000}"/>
    <cellStyle name="Normal 26 2 8 6" xfId="15788" xr:uid="{00000000-0005-0000-0000-0000B13D0000}"/>
    <cellStyle name="Normal 26 2 9" xfId="15789" xr:uid="{00000000-0005-0000-0000-0000B23D0000}"/>
    <cellStyle name="Normal 26 2 9 2" xfId="15790" xr:uid="{00000000-0005-0000-0000-0000B33D0000}"/>
    <cellStyle name="Normal 26 2 9 3" xfId="15791" xr:uid="{00000000-0005-0000-0000-0000B43D0000}"/>
    <cellStyle name="Normal 26 2 9 4" xfId="15792" xr:uid="{00000000-0005-0000-0000-0000B53D0000}"/>
    <cellStyle name="Normal 26 2 9 5" xfId="15793" xr:uid="{00000000-0005-0000-0000-0000B63D0000}"/>
    <cellStyle name="Normal 26 2 9 6" xfId="15794" xr:uid="{00000000-0005-0000-0000-0000B73D0000}"/>
    <cellStyle name="Normal 26 3" xfId="15795" xr:uid="{00000000-0005-0000-0000-0000B83D0000}"/>
    <cellStyle name="Normal 26 3 2" xfId="15796" xr:uid="{00000000-0005-0000-0000-0000B93D0000}"/>
    <cellStyle name="Normal 26 3 3" xfId="15797" xr:uid="{00000000-0005-0000-0000-0000BA3D0000}"/>
    <cellStyle name="Normal 26 3 4" xfId="15798" xr:uid="{00000000-0005-0000-0000-0000BB3D0000}"/>
    <cellStyle name="Normal 26 3 5" xfId="15799" xr:uid="{00000000-0005-0000-0000-0000BC3D0000}"/>
    <cellStyle name="Normal 26 3 6" xfId="15800" xr:uid="{00000000-0005-0000-0000-0000BD3D0000}"/>
    <cellStyle name="Normal 26 4" xfId="15801" xr:uid="{00000000-0005-0000-0000-0000BE3D0000}"/>
    <cellStyle name="Normal 26 4 2" xfId="15802" xr:uid="{00000000-0005-0000-0000-0000BF3D0000}"/>
    <cellStyle name="Normal 26 4 3" xfId="15803" xr:uid="{00000000-0005-0000-0000-0000C03D0000}"/>
    <cellStyle name="Normal 26 4 4" xfId="15804" xr:uid="{00000000-0005-0000-0000-0000C13D0000}"/>
    <cellStyle name="Normal 26 4 5" xfId="15805" xr:uid="{00000000-0005-0000-0000-0000C23D0000}"/>
    <cellStyle name="Normal 26 4 6" xfId="15806" xr:uid="{00000000-0005-0000-0000-0000C33D0000}"/>
    <cellStyle name="Normal 26 5" xfId="15807" xr:uid="{00000000-0005-0000-0000-0000C43D0000}"/>
    <cellStyle name="Normal 26 5 2" xfId="15808" xr:uid="{00000000-0005-0000-0000-0000C53D0000}"/>
    <cellStyle name="Normal 26 5 3" xfId="15809" xr:uid="{00000000-0005-0000-0000-0000C63D0000}"/>
    <cellStyle name="Normal 26 5 4" xfId="15810" xr:uid="{00000000-0005-0000-0000-0000C73D0000}"/>
    <cellStyle name="Normal 26 5 5" xfId="15811" xr:uid="{00000000-0005-0000-0000-0000C83D0000}"/>
    <cellStyle name="Normal 26 5 6" xfId="15812" xr:uid="{00000000-0005-0000-0000-0000C93D0000}"/>
    <cellStyle name="Normal 26 6" xfId="15813" xr:uid="{00000000-0005-0000-0000-0000CA3D0000}"/>
    <cellStyle name="Normal 26 6 2" xfId="15814" xr:uid="{00000000-0005-0000-0000-0000CB3D0000}"/>
    <cellStyle name="Normal 26 6 3" xfId="15815" xr:uid="{00000000-0005-0000-0000-0000CC3D0000}"/>
    <cellStyle name="Normal 26 6 4" xfId="15816" xr:uid="{00000000-0005-0000-0000-0000CD3D0000}"/>
    <cellStyle name="Normal 26 6 5" xfId="15817" xr:uid="{00000000-0005-0000-0000-0000CE3D0000}"/>
    <cellStyle name="Normal 26 6 6" xfId="15818" xr:uid="{00000000-0005-0000-0000-0000CF3D0000}"/>
    <cellStyle name="Normal 26 7" xfId="15819" xr:uid="{00000000-0005-0000-0000-0000D03D0000}"/>
    <cellStyle name="Normal 26 7 2" xfId="15820" xr:uid="{00000000-0005-0000-0000-0000D13D0000}"/>
    <cellStyle name="Normal 26 7 3" xfId="15821" xr:uid="{00000000-0005-0000-0000-0000D23D0000}"/>
    <cellStyle name="Normal 26 7 4" xfId="15822" xr:uid="{00000000-0005-0000-0000-0000D33D0000}"/>
    <cellStyle name="Normal 26 7 5" xfId="15823" xr:uid="{00000000-0005-0000-0000-0000D43D0000}"/>
    <cellStyle name="Normal 26 7 6" xfId="15824" xr:uid="{00000000-0005-0000-0000-0000D53D0000}"/>
    <cellStyle name="Normal 26 8" xfId="15825" xr:uid="{00000000-0005-0000-0000-0000D63D0000}"/>
    <cellStyle name="Normal 26 8 2" xfId="15826" xr:uid="{00000000-0005-0000-0000-0000D73D0000}"/>
    <cellStyle name="Normal 26 8 3" xfId="15827" xr:uid="{00000000-0005-0000-0000-0000D83D0000}"/>
    <cellStyle name="Normal 26 8 4" xfId="15828" xr:uid="{00000000-0005-0000-0000-0000D93D0000}"/>
    <cellStyle name="Normal 26 8 5" xfId="15829" xr:uid="{00000000-0005-0000-0000-0000DA3D0000}"/>
    <cellStyle name="Normal 26 8 6" xfId="15830" xr:uid="{00000000-0005-0000-0000-0000DB3D0000}"/>
    <cellStyle name="Normal 26 9" xfId="15831" xr:uid="{00000000-0005-0000-0000-0000DC3D0000}"/>
    <cellStyle name="Normal 26 9 2" xfId="15832" xr:uid="{00000000-0005-0000-0000-0000DD3D0000}"/>
    <cellStyle name="Normal 26 9 3" xfId="15833" xr:uid="{00000000-0005-0000-0000-0000DE3D0000}"/>
    <cellStyle name="Normal 26 9 4" xfId="15834" xr:uid="{00000000-0005-0000-0000-0000DF3D0000}"/>
    <cellStyle name="Normal 26 9 5" xfId="15835" xr:uid="{00000000-0005-0000-0000-0000E03D0000}"/>
    <cellStyle name="Normal 26 9 6" xfId="15836" xr:uid="{00000000-0005-0000-0000-0000E13D0000}"/>
    <cellStyle name="Normal 27" xfId="15837" xr:uid="{00000000-0005-0000-0000-0000E23D0000}"/>
    <cellStyle name="Normal 27 10" xfId="15838" xr:uid="{00000000-0005-0000-0000-0000E33D0000}"/>
    <cellStyle name="Normal 27 10 2" xfId="15839" xr:uid="{00000000-0005-0000-0000-0000E43D0000}"/>
    <cellStyle name="Normal 27 10 3" xfId="15840" xr:uid="{00000000-0005-0000-0000-0000E53D0000}"/>
    <cellStyle name="Normal 27 10 4" xfId="15841" xr:uid="{00000000-0005-0000-0000-0000E63D0000}"/>
    <cellStyle name="Normal 27 10 5" xfId="15842" xr:uid="{00000000-0005-0000-0000-0000E73D0000}"/>
    <cellStyle name="Normal 27 10 6" xfId="15843" xr:uid="{00000000-0005-0000-0000-0000E83D0000}"/>
    <cellStyle name="Normal 27 11" xfId="15844" xr:uid="{00000000-0005-0000-0000-0000E93D0000}"/>
    <cellStyle name="Normal 27 12" xfId="15845" xr:uid="{00000000-0005-0000-0000-0000EA3D0000}"/>
    <cellStyle name="Normal 27 13" xfId="15846" xr:uid="{00000000-0005-0000-0000-0000EB3D0000}"/>
    <cellStyle name="Normal 27 14" xfId="15847" xr:uid="{00000000-0005-0000-0000-0000EC3D0000}"/>
    <cellStyle name="Normal 27 15" xfId="15848" xr:uid="{00000000-0005-0000-0000-0000ED3D0000}"/>
    <cellStyle name="Normal 27 2" xfId="15849" xr:uid="{00000000-0005-0000-0000-0000EE3D0000}"/>
    <cellStyle name="Normal 27 2 10" xfId="15850" xr:uid="{00000000-0005-0000-0000-0000EF3D0000}"/>
    <cellStyle name="Normal 27 2 11" xfId="15851" xr:uid="{00000000-0005-0000-0000-0000F03D0000}"/>
    <cellStyle name="Normal 27 2 12" xfId="15852" xr:uid="{00000000-0005-0000-0000-0000F13D0000}"/>
    <cellStyle name="Normal 27 2 13" xfId="15853" xr:uid="{00000000-0005-0000-0000-0000F23D0000}"/>
    <cellStyle name="Normal 27 2 14" xfId="15854" xr:uid="{00000000-0005-0000-0000-0000F33D0000}"/>
    <cellStyle name="Normal 27 2 2" xfId="15855" xr:uid="{00000000-0005-0000-0000-0000F43D0000}"/>
    <cellStyle name="Normal 27 2 2 2" xfId="15856" xr:uid="{00000000-0005-0000-0000-0000F53D0000}"/>
    <cellStyle name="Normal 27 2 2 3" xfId="15857" xr:uid="{00000000-0005-0000-0000-0000F63D0000}"/>
    <cellStyle name="Normal 27 2 2 4" xfId="15858" xr:uid="{00000000-0005-0000-0000-0000F73D0000}"/>
    <cellStyle name="Normal 27 2 2 5" xfId="15859" xr:uid="{00000000-0005-0000-0000-0000F83D0000}"/>
    <cellStyle name="Normal 27 2 2 6" xfId="15860" xr:uid="{00000000-0005-0000-0000-0000F93D0000}"/>
    <cellStyle name="Normal 27 2 3" xfId="15861" xr:uid="{00000000-0005-0000-0000-0000FA3D0000}"/>
    <cellStyle name="Normal 27 2 3 2" xfId="15862" xr:uid="{00000000-0005-0000-0000-0000FB3D0000}"/>
    <cellStyle name="Normal 27 2 3 3" xfId="15863" xr:uid="{00000000-0005-0000-0000-0000FC3D0000}"/>
    <cellStyle name="Normal 27 2 3 4" xfId="15864" xr:uid="{00000000-0005-0000-0000-0000FD3D0000}"/>
    <cellStyle name="Normal 27 2 3 5" xfId="15865" xr:uid="{00000000-0005-0000-0000-0000FE3D0000}"/>
    <cellStyle name="Normal 27 2 3 6" xfId="15866" xr:uid="{00000000-0005-0000-0000-0000FF3D0000}"/>
    <cellStyle name="Normal 27 2 4" xfId="15867" xr:uid="{00000000-0005-0000-0000-0000003E0000}"/>
    <cellStyle name="Normal 27 2 4 2" xfId="15868" xr:uid="{00000000-0005-0000-0000-0000013E0000}"/>
    <cellStyle name="Normal 27 2 4 3" xfId="15869" xr:uid="{00000000-0005-0000-0000-0000023E0000}"/>
    <cellStyle name="Normal 27 2 4 4" xfId="15870" xr:uid="{00000000-0005-0000-0000-0000033E0000}"/>
    <cellStyle name="Normal 27 2 4 5" xfId="15871" xr:uid="{00000000-0005-0000-0000-0000043E0000}"/>
    <cellStyle name="Normal 27 2 4 6" xfId="15872" xr:uid="{00000000-0005-0000-0000-0000053E0000}"/>
    <cellStyle name="Normal 27 2 5" xfId="15873" xr:uid="{00000000-0005-0000-0000-0000063E0000}"/>
    <cellStyle name="Normal 27 2 5 2" xfId="15874" xr:uid="{00000000-0005-0000-0000-0000073E0000}"/>
    <cellStyle name="Normal 27 2 5 3" xfId="15875" xr:uid="{00000000-0005-0000-0000-0000083E0000}"/>
    <cellStyle name="Normal 27 2 5 4" xfId="15876" xr:uid="{00000000-0005-0000-0000-0000093E0000}"/>
    <cellStyle name="Normal 27 2 5 5" xfId="15877" xr:uid="{00000000-0005-0000-0000-00000A3E0000}"/>
    <cellStyle name="Normal 27 2 5 6" xfId="15878" xr:uid="{00000000-0005-0000-0000-00000B3E0000}"/>
    <cellStyle name="Normal 27 2 6" xfId="15879" xr:uid="{00000000-0005-0000-0000-00000C3E0000}"/>
    <cellStyle name="Normal 27 2 6 2" xfId="15880" xr:uid="{00000000-0005-0000-0000-00000D3E0000}"/>
    <cellStyle name="Normal 27 2 6 3" xfId="15881" xr:uid="{00000000-0005-0000-0000-00000E3E0000}"/>
    <cellStyle name="Normal 27 2 6 4" xfId="15882" xr:uid="{00000000-0005-0000-0000-00000F3E0000}"/>
    <cellStyle name="Normal 27 2 6 5" xfId="15883" xr:uid="{00000000-0005-0000-0000-0000103E0000}"/>
    <cellStyle name="Normal 27 2 6 6" xfId="15884" xr:uid="{00000000-0005-0000-0000-0000113E0000}"/>
    <cellStyle name="Normal 27 2 7" xfId="15885" xr:uid="{00000000-0005-0000-0000-0000123E0000}"/>
    <cellStyle name="Normal 27 2 7 2" xfId="15886" xr:uid="{00000000-0005-0000-0000-0000133E0000}"/>
    <cellStyle name="Normal 27 2 7 3" xfId="15887" xr:uid="{00000000-0005-0000-0000-0000143E0000}"/>
    <cellStyle name="Normal 27 2 7 4" xfId="15888" xr:uid="{00000000-0005-0000-0000-0000153E0000}"/>
    <cellStyle name="Normal 27 2 7 5" xfId="15889" xr:uid="{00000000-0005-0000-0000-0000163E0000}"/>
    <cellStyle name="Normal 27 2 7 6" xfId="15890" xr:uid="{00000000-0005-0000-0000-0000173E0000}"/>
    <cellStyle name="Normal 27 2 8" xfId="15891" xr:uid="{00000000-0005-0000-0000-0000183E0000}"/>
    <cellStyle name="Normal 27 2 8 2" xfId="15892" xr:uid="{00000000-0005-0000-0000-0000193E0000}"/>
    <cellStyle name="Normal 27 2 8 3" xfId="15893" xr:uid="{00000000-0005-0000-0000-00001A3E0000}"/>
    <cellStyle name="Normal 27 2 8 4" xfId="15894" xr:uid="{00000000-0005-0000-0000-00001B3E0000}"/>
    <cellStyle name="Normal 27 2 8 5" xfId="15895" xr:uid="{00000000-0005-0000-0000-00001C3E0000}"/>
    <cellStyle name="Normal 27 2 8 6" xfId="15896" xr:uid="{00000000-0005-0000-0000-00001D3E0000}"/>
    <cellStyle name="Normal 27 2 9" xfId="15897" xr:uid="{00000000-0005-0000-0000-00001E3E0000}"/>
    <cellStyle name="Normal 27 2 9 2" xfId="15898" xr:uid="{00000000-0005-0000-0000-00001F3E0000}"/>
    <cellStyle name="Normal 27 2 9 3" xfId="15899" xr:uid="{00000000-0005-0000-0000-0000203E0000}"/>
    <cellStyle name="Normal 27 2 9 4" xfId="15900" xr:uid="{00000000-0005-0000-0000-0000213E0000}"/>
    <cellStyle name="Normal 27 2 9 5" xfId="15901" xr:uid="{00000000-0005-0000-0000-0000223E0000}"/>
    <cellStyle name="Normal 27 2 9 6" xfId="15902" xr:uid="{00000000-0005-0000-0000-0000233E0000}"/>
    <cellStyle name="Normal 27 3" xfId="15903" xr:uid="{00000000-0005-0000-0000-0000243E0000}"/>
    <cellStyle name="Normal 27 3 2" xfId="15904" xr:uid="{00000000-0005-0000-0000-0000253E0000}"/>
    <cellStyle name="Normal 27 3 3" xfId="15905" xr:uid="{00000000-0005-0000-0000-0000263E0000}"/>
    <cellStyle name="Normal 27 3 4" xfId="15906" xr:uid="{00000000-0005-0000-0000-0000273E0000}"/>
    <cellStyle name="Normal 27 3 5" xfId="15907" xr:uid="{00000000-0005-0000-0000-0000283E0000}"/>
    <cellStyle name="Normal 27 3 6" xfId="15908" xr:uid="{00000000-0005-0000-0000-0000293E0000}"/>
    <cellStyle name="Normal 27 4" xfId="15909" xr:uid="{00000000-0005-0000-0000-00002A3E0000}"/>
    <cellStyle name="Normal 27 4 2" xfId="15910" xr:uid="{00000000-0005-0000-0000-00002B3E0000}"/>
    <cellStyle name="Normal 27 4 3" xfId="15911" xr:uid="{00000000-0005-0000-0000-00002C3E0000}"/>
    <cellStyle name="Normal 27 4 4" xfId="15912" xr:uid="{00000000-0005-0000-0000-00002D3E0000}"/>
    <cellStyle name="Normal 27 4 5" xfId="15913" xr:uid="{00000000-0005-0000-0000-00002E3E0000}"/>
    <cellStyle name="Normal 27 4 6" xfId="15914" xr:uid="{00000000-0005-0000-0000-00002F3E0000}"/>
    <cellStyle name="Normal 27 5" xfId="15915" xr:uid="{00000000-0005-0000-0000-0000303E0000}"/>
    <cellStyle name="Normal 27 5 2" xfId="15916" xr:uid="{00000000-0005-0000-0000-0000313E0000}"/>
    <cellStyle name="Normal 27 5 3" xfId="15917" xr:uid="{00000000-0005-0000-0000-0000323E0000}"/>
    <cellStyle name="Normal 27 5 4" xfId="15918" xr:uid="{00000000-0005-0000-0000-0000333E0000}"/>
    <cellStyle name="Normal 27 5 5" xfId="15919" xr:uid="{00000000-0005-0000-0000-0000343E0000}"/>
    <cellStyle name="Normal 27 5 6" xfId="15920" xr:uid="{00000000-0005-0000-0000-0000353E0000}"/>
    <cellStyle name="Normal 27 6" xfId="15921" xr:uid="{00000000-0005-0000-0000-0000363E0000}"/>
    <cellStyle name="Normal 27 6 2" xfId="15922" xr:uid="{00000000-0005-0000-0000-0000373E0000}"/>
    <cellStyle name="Normal 27 6 3" xfId="15923" xr:uid="{00000000-0005-0000-0000-0000383E0000}"/>
    <cellStyle name="Normal 27 6 4" xfId="15924" xr:uid="{00000000-0005-0000-0000-0000393E0000}"/>
    <cellStyle name="Normal 27 6 5" xfId="15925" xr:uid="{00000000-0005-0000-0000-00003A3E0000}"/>
    <cellStyle name="Normal 27 6 6" xfId="15926" xr:uid="{00000000-0005-0000-0000-00003B3E0000}"/>
    <cellStyle name="Normal 27 7" xfId="15927" xr:uid="{00000000-0005-0000-0000-00003C3E0000}"/>
    <cellStyle name="Normal 27 7 2" xfId="15928" xr:uid="{00000000-0005-0000-0000-00003D3E0000}"/>
    <cellStyle name="Normal 27 7 3" xfId="15929" xr:uid="{00000000-0005-0000-0000-00003E3E0000}"/>
    <cellStyle name="Normal 27 7 4" xfId="15930" xr:uid="{00000000-0005-0000-0000-00003F3E0000}"/>
    <cellStyle name="Normal 27 7 5" xfId="15931" xr:uid="{00000000-0005-0000-0000-0000403E0000}"/>
    <cellStyle name="Normal 27 7 6" xfId="15932" xr:uid="{00000000-0005-0000-0000-0000413E0000}"/>
    <cellStyle name="Normal 27 8" xfId="15933" xr:uid="{00000000-0005-0000-0000-0000423E0000}"/>
    <cellStyle name="Normal 27 8 2" xfId="15934" xr:uid="{00000000-0005-0000-0000-0000433E0000}"/>
    <cellStyle name="Normal 27 8 3" xfId="15935" xr:uid="{00000000-0005-0000-0000-0000443E0000}"/>
    <cellStyle name="Normal 27 8 4" xfId="15936" xr:uid="{00000000-0005-0000-0000-0000453E0000}"/>
    <cellStyle name="Normal 27 8 5" xfId="15937" xr:uid="{00000000-0005-0000-0000-0000463E0000}"/>
    <cellStyle name="Normal 27 8 6" xfId="15938" xr:uid="{00000000-0005-0000-0000-0000473E0000}"/>
    <cellStyle name="Normal 27 9" xfId="15939" xr:uid="{00000000-0005-0000-0000-0000483E0000}"/>
    <cellStyle name="Normal 27 9 2" xfId="15940" xr:uid="{00000000-0005-0000-0000-0000493E0000}"/>
    <cellStyle name="Normal 27 9 3" xfId="15941" xr:uid="{00000000-0005-0000-0000-00004A3E0000}"/>
    <cellStyle name="Normal 27 9 4" xfId="15942" xr:uid="{00000000-0005-0000-0000-00004B3E0000}"/>
    <cellStyle name="Normal 27 9 5" xfId="15943" xr:uid="{00000000-0005-0000-0000-00004C3E0000}"/>
    <cellStyle name="Normal 27 9 6" xfId="15944" xr:uid="{00000000-0005-0000-0000-00004D3E0000}"/>
    <cellStyle name="Normal 28" xfId="15945" xr:uid="{00000000-0005-0000-0000-00004E3E0000}"/>
    <cellStyle name="Normal 28 10" xfId="15946" xr:uid="{00000000-0005-0000-0000-00004F3E0000}"/>
    <cellStyle name="Normal 28 10 2" xfId="15947" xr:uid="{00000000-0005-0000-0000-0000503E0000}"/>
    <cellStyle name="Normal 28 10 3" xfId="15948" xr:uid="{00000000-0005-0000-0000-0000513E0000}"/>
    <cellStyle name="Normal 28 10 4" xfId="15949" xr:uid="{00000000-0005-0000-0000-0000523E0000}"/>
    <cellStyle name="Normal 28 10 5" xfId="15950" xr:uid="{00000000-0005-0000-0000-0000533E0000}"/>
    <cellStyle name="Normal 28 10 6" xfId="15951" xr:uid="{00000000-0005-0000-0000-0000543E0000}"/>
    <cellStyle name="Normal 28 11" xfId="15952" xr:uid="{00000000-0005-0000-0000-0000553E0000}"/>
    <cellStyle name="Normal 28 12" xfId="15953" xr:uid="{00000000-0005-0000-0000-0000563E0000}"/>
    <cellStyle name="Normal 28 13" xfId="15954" xr:uid="{00000000-0005-0000-0000-0000573E0000}"/>
    <cellStyle name="Normal 28 14" xfId="15955" xr:uid="{00000000-0005-0000-0000-0000583E0000}"/>
    <cellStyle name="Normal 28 15" xfId="15956" xr:uid="{00000000-0005-0000-0000-0000593E0000}"/>
    <cellStyle name="Normal 28 2" xfId="15957" xr:uid="{00000000-0005-0000-0000-00005A3E0000}"/>
    <cellStyle name="Normal 28 2 10" xfId="15958" xr:uid="{00000000-0005-0000-0000-00005B3E0000}"/>
    <cellStyle name="Normal 28 2 11" xfId="15959" xr:uid="{00000000-0005-0000-0000-00005C3E0000}"/>
    <cellStyle name="Normal 28 2 12" xfId="15960" xr:uid="{00000000-0005-0000-0000-00005D3E0000}"/>
    <cellStyle name="Normal 28 2 13" xfId="15961" xr:uid="{00000000-0005-0000-0000-00005E3E0000}"/>
    <cellStyle name="Normal 28 2 14" xfId="15962" xr:uid="{00000000-0005-0000-0000-00005F3E0000}"/>
    <cellStyle name="Normal 28 2 2" xfId="15963" xr:uid="{00000000-0005-0000-0000-0000603E0000}"/>
    <cellStyle name="Normal 28 2 2 2" xfId="15964" xr:uid="{00000000-0005-0000-0000-0000613E0000}"/>
    <cellStyle name="Normal 28 2 2 3" xfId="15965" xr:uid="{00000000-0005-0000-0000-0000623E0000}"/>
    <cellStyle name="Normal 28 2 2 4" xfId="15966" xr:uid="{00000000-0005-0000-0000-0000633E0000}"/>
    <cellStyle name="Normal 28 2 2 5" xfId="15967" xr:uid="{00000000-0005-0000-0000-0000643E0000}"/>
    <cellStyle name="Normal 28 2 2 6" xfId="15968" xr:uid="{00000000-0005-0000-0000-0000653E0000}"/>
    <cellStyle name="Normal 28 2 3" xfId="15969" xr:uid="{00000000-0005-0000-0000-0000663E0000}"/>
    <cellStyle name="Normal 28 2 3 2" xfId="15970" xr:uid="{00000000-0005-0000-0000-0000673E0000}"/>
    <cellStyle name="Normal 28 2 3 3" xfId="15971" xr:uid="{00000000-0005-0000-0000-0000683E0000}"/>
    <cellStyle name="Normal 28 2 3 4" xfId="15972" xr:uid="{00000000-0005-0000-0000-0000693E0000}"/>
    <cellStyle name="Normal 28 2 3 5" xfId="15973" xr:uid="{00000000-0005-0000-0000-00006A3E0000}"/>
    <cellStyle name="Normal 28 2 3 6" xfId="15974" xr:uid="{00000000-0005-0000-0000-00006B3E0000}"/>
    <cellStyle name="Normal 28 2 4" xfId="15975" xr:uid="{00000000-0005-0000-0000-00006C3E0000}"/>
    <cellStyle name="Normal 28 2 4 2" xfId="15976" xr:uid="{00000000-0005-0000-0000-00006D3E0000}"/>
    <cellStyle name="Normal 28 2 4 3" xfId="15977" xr:uid="{00000000-0005-0000-0000-00006E3E0000}"/>
    <cellStyle name="Normal 28 2 4 4" xfId="15978" xr:uid="{00000000-0005-0000-0000-00006F3E0000}"/>
    <cellStyle name="Normal 28 2 4 5" xfId="15979" xr:uid="{00000000-0005-0000-0000-0000703E0000}"/>
    <cellStyle name="Normal 28 2 4 6" xfId="15980" xr:uid="{00000000-0005-0000-0000-0000713E0000}"/>
    <cellStyle name="Normal 28 2 5" xfId="15981" xr:uid="{00000000-0005-0000-0000-0000723E0000}"/>
    <cellStyle name="Normal 28 2 5 2" xfId="15982" xr:uid="{00000000-0005-0000-0000-0000733E0000}"/>
    <cellStyle name="Normal 28 2 5 3" xfId="15983" xr:uid="{00000000-0005-0000-0000-0000743E0000}"/>
    <cellStyle name="Normal 28 2 5 4" xfId="15984" xr:uid="{00000000-0005-0000-0000-0000753E0000}"/>
    <cellStyle name="Normal 28 2 5 5" xfId="15985" xr:uid="{00000000-0005-0000-0000-0000763E0000}"/>
    <cellStyle name="Normal 28 2 5 6" xfId="15986" xr:uid="{00000000-0005-0000-0000-0000773E0000}"/>
    <cellStyle name="Normal 28 2 6" xfId="15987" xr:uid="{00000000-0005-0000-0000-0000783E0000}"/>
    <cellStyle name="Normal 28 2 6 2" xfId="15988" xr:uid="{00000000-0005-0000-0000-0000793E0000}"/>
    <cellStyle name="Normal 28 2 6 3" xfId="15989" xr:uid="{00000000-0005-0000-0000-00007A3E0000}"/>
    <cellStyle name="Normal 28 2 6 4" xfId="15990" xr:uid="{00000000-0005-0000-0000-00007B3E0000}"/>
    <cellStyle name="Normal 28 2 6 5" xfId="15991" xr:uid="{00000000-0005-0000-0000-00007C3E0000}"/>
    <cellStyle name="Normal 28 2 6 6" xfId="15992" xr:uid="{00000000-0005-0000-0000-00007D3E0000}"/>
    <cellStyle name="Normal 28 2 7" xfId="15993" xr:uid="{00000000-0005-0000-0000-00007E3E0000}"/>
    <cellStyle name="Normal 28 2 7 2" xfId="15994" xr:uid="{00000000-0005-0000-0000-00007F3E0000}"/>
    <cellStyle name="Normal 28 2 7 3" xfId="15995" xr:uid="{00000000-0005-0000-0000-0000803E0000}"/>
    <cellStyle name="Normal 28 2 7 4" xfId="15996" xr:uid="{00000000-0005-0000-0000-0000813E0000}"/>
    <cellStyle name="Normal 28 2 7 5" xfId="15997" xr:uid="{00000000-0005-0000-0000-0000823E0000}"/>
    <cellStyle name="Normal 28 2 7 6" xfId="15998" xr:uid="{00000000-0005-0000-0000-0000833E0000}"/>
    <cellStyle name="Normal 28 2 8" xfId="15999" xr:uid="{00000000-0005-0000-0000-0000843E0000}"/>
    <cellStyle name="Normal 28 2 8 2" xfId="16000" xr:uid="{00000000-0005-0000-0000-0000853E0000}"/>
    <cellStyle name="Normal 28 2 8 3" xfId="16001" xr:uid="{00000000-0005-0000-0000-0000863E0000}"/>
    <cellStyle name="Normal 28 2 8 4" xfId="16002" xr:uid="{00000000-0005-0000-0000-0000873E0000}"/>
    <cellStyle name="Normal 28 2 8 5" xfId="16003" xr:uid="{00000000-0005-0000-0000-0000883E0000}"/>
    <cellStyle name="Normal 28 2 8 6" xfId="16004" xr:uid="{00000000-0005-0000-0000-0000893E0000}"/>
    <cellStyle name="Normal 28 2 9" xfId="16005" xr:uid="{00000000-0005-0000-0000-00008A3E0000}"/>
    <cellStyle name="Normal 28 2 9 2" xfId="16006" xr:uid="{00000000-0005-0000-0000-00008B3E0000}"/>
    <cellStyle name="Normal 28 2 9 3" xfId="16007" xr:uid="{00000000-0005-0000-0000-00008C3E0000}"/>
    <cellStyle name="Normal 28 2 9 4" xfId="16008" xr:uid="{00000000-0005-0000-0000-00008D3E0000}"/>
    <cellStyle name="Normal 28 2 9 5" xfId="16009" xr:uid="{00000000-0005-0000-0000-00008E3E0000}"/>
    <cellStyle name="Normal 28 2 9 6" xfId="16010" xr:uid="{00000000-0005-0000-0000-00008F3E0000}"/>
    <cellStyle name="Normal 28 3" xfId="16011" xr:uid="{00000000-0005-0000-0000-0000903E0000}"/>
    <cellStyle name="Normal 28 3 2" xfId="16012" xr:uid="{00000000-0005-0000-0000-0000913E0000}"/>
    <cellStyle name="Normal 28 3 3" xfId="16013" xr:uid="{00000000-0005-0000-0000-0000923E0000}"/>
    <cellStyle name="Normal 28 3 4" xfId="16014" xr:uid="{00000000-0005-0000-0000-0000933E0000}"/>
    <cellStyle name="Normal 28 3 5" xfId="16015" xr:uid="{00000000-0005-0000-0000-0000943E0000}"/>
    <cellStyle name="Normal 28 3 6" xfId="16016" xr:uid="{00000000-0005-0000-0000-0000953E0000}"/>
    <cellStyle name="Normal 28 4" xfId="16017" xr:uid="{00000000-0005-0000-0000-0000963E0000}"/>
    <cellStyle name="Normal 28 4 2" xfId="16018" xr:uid="{00000000-0005-0000-0000-0000973E0000}"/>
    <cellStyle name="Normal 28 4 3" xfId="16019" xr:uid="{00000000-0005-0000-0000-0000983E0000}"/>
    <cellStyle name="Normal 28 4 4" xfId="16020" xr:uid="{00000000-0005-0000-0000-0000993E0000}"/>
    <cellStyle name="Normal 28 4 5" xfId="16021" xr:uid="{00000000-0005-0000-0000-00009A3E0000}"/>
    <cellStyle name="Normal 28 4 6" xfId="16022" xr:uid="{00000000-0005-0000-0000-00009B3E0000}"/>
    <cellStyle name="Normal 28 5" xfId="16023" xr:uid="{00000000-0005-0000-0000-00009C3E0000}"/>
    <cellStyle name="Normal 28 5 2" xfId="16024" xr:uid="{00000000-0005-0000-0000-00009D3E0000}"/>
    <cellStyle name="Normal 28 5 3" xfId="16025" xr:uid="{00000000-0005-0000-0000-00009E3E0000}"/>
    <cellStyle name="Normal 28 5 4" xfId="16026" xr:uid="{00000000-0005-0000-0000-00009F3E0000}"/>
    <cellStyle name="Normal 28 5 5" xfId="16027" xr:uid="{00000000-0005-0000-0000-0000A03E0000}"/>
    <cellStyle name="Normal 28 5 6" xfId="16028" xr:uid="{00000000-0005-0000-0000-0000A13E0000}"/>
    <cellStyle name="Normal 28 6" xfId="16029" xr:uid="{00000000-0005-0000-0000-0000A23E0000}"/>
    <cellStyle name="Normal 28 6 2" xfId="16030" xr:uid="{00000000-0005-0000-0000-0000A33E0000}"/>
    <cellStyle name="Normal 28 6 3" xfId="16031" xr:uid="{00000000-0005-0000-0000-0000A43E0000}"/>
    <cellStyle name="Normal 28 6 4" xfId="16032" xr:uid="{00000000-0005-0000-0000-0000A53E0000}"/>
    <cellStyle name="Normal 28 6 5" xfId="16033" xr:uid="{00000000-0005-0000-0000-0000A63E0000}"/>
    <cellStyle name="Normal 28 6 6" xfId="16034" xr:uid="{00000000-0005-0000-0000-0000A73E0000}"/>
    <cellStyle name="Normal 28 7" xfId="16035" xr:uid="{00000000-0005-0000-0000-0000A83E0000}"/>
    <cellStyle name="Normal 28 7 2" xfId="16036" xr:uid="{00000000-0005-0000-0000-0000A93E0000}"/>
    <cellStyle name="Normal 28 7 3" xfId="16037" xr:uid="{00000000-0005-0000-0000-0000AA3E0000}"/>
    <cellStyle name="Normal 28 7 4" xfId="16038" xr:uid="{00000000-0005-0000-0000-0000AB3E0000}"/>
    <cellStyle name="Normal 28 7 5" xfId="16039" xr:uid="{00000000-0005-0000-0000-0000AC3E0000}"/>
    <cellStyle name="Normal 28 7 6" xfId="16040" xr:uid="{00000000-0005-0000-0000-0000AD3E0000}"/>
    <cellStyle name="Normal 28 8" xfId="16041" xr:uid="{00000000-0005-0000-0000-0000AE3E0000}"/>
    <cellStyle name="Normal 28 8 2" xfId="16042" xr:uid="{00000000-0005-0000-0000-0000AF3E0000}"/>
    <cellStyle name="Normal 28 8 3" xfId="16043" xr:uid="{00000000-0005-0000-0000-0000B03E0000}"/>
    <cellStyle name="Normal 28 8 4" xfId="16044" xr:uid="{00000000-0005-0000-0000-0000B13E0000}"/>
    <cellStyle name="Normal 28 8 5" xfId="16045" xr:uid="{00000000-0005-0000-0000-0000B23E0000}"/>
    <cellStyle name="Normal 28 8 6" xfId="16046" xr:uid="{00000000-0005-0000-0000-0000B33E0000}"/>
    <cellStyle name="Normal 28 9" xfId="16047" xr:uid="{00000000-0005-0000-0000-0000B43E0000}"/>
    <cellStyle name="Normal 28 9 2" xfId="16048" xr:uid="{00000000-0005-0000-0000-0000B53E0000}"/>
    <cellStyle name="Normal 28 9 3" xfId="16049" xr:uid="{00000000-0005-0000-0000-0000B63E0000}"/>
    <cellStyle name="Normal 28 9 4" xfId="16050" xr:uid="{00000000-0005-0000-0000-0000B73E0000}"/>
    <cellStyle name="Normal 28 9 5" xfId="16051" xr:uid="{00000000-0005-0000-0000-0000B83E0000}"/>
    <cellStyle name="Normal 28 9 6" xfId="16052" xr:uid="{00000000-0005-0000-0000-0000B93E0000}"/>
    <cellStyle name="Normal 29" xfId="16053" xr:uid="{00000000-0005-0000-0000-0000BA3E0000}"/>
    <cellStyle name="Normal 29 10" xfId="16054" xr:uid="{00000000-0005-0000-0000-0000BB3E0000}"/>
    <cellStyle name="Normal 29 10 2" xfId="16055" xr:uid="{00000000-0005-0000-0000-0000BC3E0000}"/>
    <cellStyle name="Normal 29 10 3" xfId="16056" xr:uid="{00000000-0005-0000-0000-0000BD3E0000}"/>
    <cellStyle name="Normal 29 10 4" xfId="16057" xr:uid="{00000000-0005-0000-0000-0000BE3E0000}"/>
    <cellStyle name="Normal 29 10 5" xfId="16058" xr:uid="{00000000-0005-0000-0000-0000BF3E0000}"/>
    <cellStyle name="Normal 29 10 6" xfId="16059" xr:uid="{00000000-0005-0000-0000-0000C03E0000}"/>
    <cellStyle name="Normal 29 11" xfId="16060" xr:uid="{00000000-0005-0000-0000-0000C13E0000}"/>
    <cellStyle name="Normal 29 12" xfId="16061" xr:uid="{00000000-0005-0000-0000-0000C23E0000}"/>
    <cellStyle name="Normal 29 13" xfId="16062" xr:uid="{00000000-0005-0000-0000-0000C33E0000}"/>
    <cellStyle name="Normal 29 14" xfId="16063" xr:uid="{00000000-0005-0000-0000-0000C43E0000}"/>
    <cellStyle name="Normal 29 15" xfId="16064" xr:uid="{00000000-0005-0000-0000-0000C53E0000}"/>
    <cellStyle name="Normal 29 2" xfId="16065" xr:uid="{00000000-0005-0000-0000-0000C63E0000}"/>
    <cellStyle name="Normal 29 2 10" xfId="16066" xr:uid="{00000000-0005-0000-0000-0000C73E0000}"/>
    <cellStyle name="Normal 29 2 11" xfId="16067" xr:uid="{00000000-0005-0000-0000-0000C83E0000}"/>
    <cellStyle name="Normal 29 2 12" xfId="16068" xr:uid="{00000000-0005-0000-0000-0000C93E0000}"/>
    <cellStyle name="Normal 29 2 13" xfId="16069" xr:uid="{00000000-0005-0000-0000-0000CA3E0000}"/>
    <cellStyle name="Normal 29 2 14" xfId="16070" xr:uid="{00000000-0005-0000-0000-0000CB3E0000}"/>
    <cellStyle name="Normal 29 2 2" xfId="16071" xr:uid="{00000000-0005-0000-0000-0000CC3E0000}"/>
    <cellStyle name="Normal 29 2 2 2" xfId="16072" xr:uid="{00000000-0005-0000-0000-0000CD3E0000}"/>
    <cellStyle name="Normal 29 2 2 3" xfId="16073" xr:uid="{00000000-0005-0000-0000-0000CE3E0000}"/>
    <cellStyle name="Normal 29 2 2 4" xfId="16074" xr:uid="{00000000-0005-0000-0000-0000CF3E0000}"/>
    <cellStyle name="Normal 29 2 2 5" xfId="16075" xr:uid="{00000000-0005-0000-0000-0000D03E0000}"/>
    <cellStyle name="Normal 29 2 2 6" xfId="16076" xr:uid="{00000000-0005-0000-0000-0000D13E0000}"/>
    <cellStyle name="Normal 29 2 3" xfId="16077" xr:uid="{00000000-0005-0000-0000-0000D23E0000}"/>
    <cellStyle name="Normal 29 2 3 2" xfId="16078" xr:uid="{00000000-0005-0000-0000-0000D33E0000}"/>
    <cellStyle name="Normal 29 2 3 3" xfId="16079" xr:uid="{00000000-0005-0000-0000-0000D43E0000}"/>
    <cellStyle name="Normal 29 2 3 4" xfId="16080" xr:uid="{00000000-0005-0000-0000-0000D53E0000}"/>
    <cellStyle name="Normal 29 2 3 5" xfId="16081" xr:uid="{00000000-0005-0000-0000-0000D63E0000}"/>
    <cellStyle name="Normal 29 2 3 6" xfId="16082" xr:uid="{00000000-0005-0000-0000-0000D73E0000}"/>
    <cellStyle name="Normal 29 2 4" xfId="16083" xr:uid="{00000000-0005-0000-0000-0000D83E0000}"/>
    <cellStyle name="Normal 29 2 4 2" xfId="16084" xr:uid="{00000000-0005-0000-0000-0000D93E0000}"/>
    <cellStyle name="Normal 29 2 4 3" xfId="16085" xr:uid="{00000000-0005-0000-0000-0000DA3E0000}"/>
    <cellStyle name="Normal 29 2 4 4" xfId="16086" xr:uid="{00000000-0005-0000-0000-0000DB3E0000}"/>
    <cellStyle name="Normal 29 2 4 5" xfId="16087" xr:uid="{00000000-0005-0000-0000-0000DC3E0000}"/>
    <cellStyle name="Normal 29 2 4 6" xfId="16088" xr:uid="{00000000-0005-0000-0000-0000DD3E0000}"/>
    <cellStyle name="Normal 29 2 5" xfId="16089" xr:uid="{00000000-0005-0000-0000-0000DE3E0000}"/>
    <cellStyle name="Normal 29 2 5 2" xfId="16090" xr:uid="{00000000-0005-0000-0000-0000DF3E0000}"/>
    <cellStyle name="Normal 29 2 5 3" xfId="16091" xr:uid="{00000000-0005-0000-0000-0000E03E0000}"/>
    <cellStyle name="Normal 29 2 5 4" xfId="16092" xr:uid="{00000000-0005-0000-0000-0000E13E0000}"/>
    <cellStyle name="Normal 29 2 5 5" xfId="16093" xr:uid="{00000000-0005-0000-0000-0000E23E0000}"/>
    <cellStyle name="Normal 29 2 5 6" xfId="16094" xr:uid="{00000000-0005-0000-0000-0000E33E0000}"/>
    <cellStyle name="Normal 29 2 6" xfId="16095" xr:uid="{00000000-0005-0000-0000-0000E43E0000}"/>
    <cellStyle name="Normal 29 2 6 2" xfId="16096" xr:uid="{00000000-0005-0000-0000-0000E53E0000}"/>
    <cellStyle name="Normal 29 2 6 3" xfId="16097" xr:uid="{00000000-0005-0000-0000-0000E63E0000}"/>
    <cellStyle name="Normal 29 2 6 4" xfId="16098" xr:uid="{00000000-0005-0000-0000-0000E73E0000}"/>
    <cellStyle name="Normal 29 2 6 5" xfId="16099" xr:uid="{00000000-0005-0000-0000-0000E83E0000}"/>
    <cellStyle name="Normal 29 2 6 6" xfId="16100" xr:uid="{00000000-0005-0000-0000-0000E93E0000}"/>
    <cellStyle name="Normal 29 2 7" xfId="16101" xr:uid="{00000000-0005-0000-0000-0000EA3E0000}"/>
    <cellStyle name="Normal 29 2 7 2" xfId="16102" xr:uid="{00000000-0005-0000-0000-0000EB3E0000}"/>
    <cellStyle name="Normal 29 2 7 3" xfId="16103" xr:uid="{00000000-0005-0000-0000-0000EC3E0000}"/>
    <cellStyle name="Normal 29 2 7 4" xfId="16104" xr:uid="{00000000-0005-0000-0000-0000ED3E0000}"/>
    <cellStyle name="Normal 29 2 7 5" xfId="16105" xr:uid="{00000000-0005-0000-0000-0000EE3E0000}"/>
    <cellStyle name="Normal 29 2 7 6" xfId="16106" xr:uid="{00000000-0005-0000-0000-0000EF3E0000}"/>
    <cellStyle name="Normal 29 2 8" xfId="16107" xr:uid="{00000000-0005-0000-0000-0000F03E0000}"/>
    <cellStyle name="Normal 29 2 8 2" xfId="16108" xr:uid="{00000000-0005-0000-0000-0000F13E0000}"/>
    <cellStyle name="Normal 29 2 8 3" xfId="16109" xr:uid="{00000000-0005-0000-0000-0000F23E0000}"/>
    <cellStyle name="Normal 29 2 8 4" xfId="16110" xr:uid="{00000000-0005-0000-0000-0000F33E0000}"/>
    <cellStyle name="Normal 29 2 8 5" xfId="16111" xr:uid="{00000000-0005-0000-0000-0000F43E0000}"/>
    <cellStyle name="Normal 29 2 8 6" xfId="16112" xr:uid="{00000000-0005-0000-0000-0000F53E0000}"/>
    <cellStyle name="Normal 29 2 9" xfId="16113" xr:uid="{00000000-0005-0000-0000-0000F63E0000}"/>
    <cellStyle name="Normal 29 2 9 2" xfId="16114" xr:uid="{00000000-0005-0000-0000-0000F73E0000}"/>
    <cellStyle name="Normal 29 2 9 3" xfId="16115" xr:uid="{00000000-0005-0000-0000-0000F83E0000}"/>
    <cellStyle name="Normal 29 2 9 4" xfId="16116" xr:uid="{00000000-0005-0000-0000-0000F93E0000}"/>
    <cellStyle name="Normal 29 2 9 5" xfId="16117" xr:uid="{00000000-0005-0000-0000-0000FA3E0000}"/>
    <cellStyle name="Normal 29 2 9 6" xfId="16118" xr:uid="{00000000-0005-0000-0000-0000FB3E0000}"/>
    <cellStyle name="Normal 29 3" xfId="16119" xr:uid="{00000000-0005-0000-0000-0000FC3E0000}"/>
    <cellStyle name="Normal 29 3 2" xfId="16120" xr:uid="{00000000-0005-0000-0000-0000FD3E0000}"/>
    <cellStyle name="Normal 29 3 3" xfId="16121" xr:uid="{00000000-0005-0000-0000-0000FE3E0000}"/>
    <cellStyle name="Normal 29 3 4" xfId="16122" xr:uid="{00000000-0005-0000-0000-0000FF3E0000}"/>
    <cellStyle name="Normal 29 3 5" xfId="16123" xr:uid="{00000000-0005-0000-0000-0000003F0000}"/>
    <cellStyle name="Normal 29 3 6" xfId="16124" xr:uid="{00000000-0005-0000-0000-0000013F0000}"/>
    <cellStyle name="Normal 29 4" xfId="16125" xr:uid="{00000000-0005-0000-0000-0000023F0000}"/>
    <cellStyle name="Normal 29 4 2" xfId="16126" xr:uid="{00000000-0005-0000-0000-0000033F0000}"/>
    <cellStyle name="Normal 29 4 3" xfId="16127" xr:uid="{00000000-0005-0000-0000-0000043F0000}"/>
    <cellStyle name="Normal 29 4 4" xfId="16128" xr:uid="{00000000-0005-0000-0000-0000053F0000}"/>
    <cellStyle name="Normal 29 4 5" xfId="16129" xr:uid="{00000000-0005-0000-0000-0000063F0000}"/>
    <cellStyle name="Normal 29 4 6" xfId="16130" xr:uid="{00000000-0005-0000-0000-0000073F0000}"/>
    <cellStyle name="Normal 29 5" xfId="16131" xr:uid="{00000000-0005-0000-0000-0000083F0000}"/>
    <cellStyle name="Normal 29 5 2" xfId="16132" xr:uid="{00000000-0005-0000-0000-0000093F0000}"/>
    <cellStyle name="Normal 29 5 3" xfId="16133" xr:uid="{00000000-0005-0000-0000-00000A3F0000}"/>
    <cellStyle name="Normal 29 5 4" xfId="16134" xr:uid="{00000000-0005-0000-0000-00000B3F0000}"/>
    <cellStyle name="Normal 29 5 5" xfId="16135" xr:uid="{00000000-0005-0000-0000-00000C3F0000}"/>
    <cellStyle name="Normal 29 5 6" xfId="16136" xr:uid="{00000000-0005-0000-0000-00000D3F0000}"/>
    <cellStyle name="Normal 29 6" xfId="16137" xr:uid="{00000000-0005-0000-0000-00000E3F0000}"/>
    <cellStyle name="Normal 29 6 2" xfId="16138" xr:uid="{00000000-0005-0000-0000-00000F3F0000}"/>
    <cellStyle name="Normal 29 6 3" xfId="16139" xr:uid="{00000000-0005-0000-0000-0000103F0000}"/>
    <cellStyle name="Normal 29 6 4" xfId="16140" xr:uid="{00000000-0005-0000-0000-0000113F0000}"/>
    <cellStyle name="Normal 29 6 5" xfId="16141" xr:uid="{00000000-0005-0000-0000-0000123F0000}"/>
    <cellStyle name="Normal 29 6 6" xfId="16142" xr:uid="{00000000-0005-0000-0000-0000133F0000}"/>
    <cellStyle name="Normal 29 7" xfId="16143" xr:uid="{00000000-0005-0000-0000-0000143F0000}"/>
    <cellStyle name="Normal 29 7 2" xfId="16144" xr:uid="{00000000-0005-0000-0000-0000153F0000}"/>
    <cellStyle name="Normal 29 7 3" xfId="16145" xr:uid="{00000000-0005-0000-0000-0000163F0000}"/>
    <cellStyle name="Normal 29 7 4" xfId="16146" xr:uid="{00000000-0005-0000-0000-0000173F0000}"/>
    <cellStyle name="Normal 29 7 5" xfId="16147" xr:uid="{00000000-0005-0000-0000-0000183F0000}"/>
    <cellStyle name="Normal 29 7 6" xfId="16148" xr:uid="{00000000-0005-0000-0000-0000193F0000}"/>
    <cellStyle name="Normal 29 8" xfId="16149" xr:uid="{00000000-0005-0000-0000-00001A3F0000}"/>
    <cellStyle name="Normal 29 8 2" xfId="16150" xr:uid="{00000000-0005-0000-0000-00001B3F0000}"/>
    <cellStyle name="Normal 29 8 3" xfId="16151" xr:uid="{00000000-0005-0000-0000-00001C3F0000}"/>
    <cellStyle name="Normal 29 8 4" xfId="16152" xr:uid="{00000000-0005-0000-0000-00001D3F0000}"/>
    <cellStyle name="Normal 29 8 5" xfId="16153" xr:uid="{00000000-0005-0000-0000-00001E3F0000}"/>
    <cellStyle name="Normal 29 8 6" xfId="16154" xr:uid="{00000000-0005-0000-0000-00001F3F0000}"/>
    <cellStyle name="Normal 29 9" xfId="16155" xr:uid="{00000000-0005-0000-0000-0000203F0000}"/>
    <cellStyle name="Normal 29 9 2" xfId="16156" xr:uid="{00000000-0005-0000-0000-0000213F0000}"/>
    <cellStyle name="Normal 29 9 3" xfId="16157" xr:uid="{00000000-0005-0000-0000-0000223F0000}"/>
    <cellStyle name="Normal 29 9 4" xfId="16158" xr:uid="{00000000-0005-0000-0000-0000233F0000}"/>
    <cellStyle name="Normal 29 9 5" xfId="16159" xr:uid="{00000000-0005-0000-0000-0000243F0000}"/>
    <cellStyle name="Normal 29 9 6" xfId="16160" xr:uid="{00000000-0005-0000-0000-0000253F0000}"/>
    <cellStyle name="Normal 3" xfId="16162" xr:uid="{00000000-0005-0000-0000-0000263F0000}"/>
    <cellStyle name="Normal 3 10" xfId="16163" xr:uid="{00000000-0005-0000-0000-0000273F0000}"/>
    <cellStyle name="Normal 3 11" xfId="16164" xr:uid="{00000000-0005-0000-0000-0000283F0000}"/>
    <cellStyle name="Normal 3 12" xfId="16165" xr:uid="{00000000-0005-0000-0000-0000293F0000}"/>
    <cellStyle name="Normal 3 13" xfId="16166" xr:uid="{00000000-0005-0000-0000-00002A3F0000}"/>
    <cellStyle name="Normal 3 14" xfId="16167" xr:uid="{00000000-0005-0000-0000-00002B3F0000}"/>
    <cellStyle name="Normal 3 15" xfId="16168" xr:uid="{00000000-0005-0000-0000-00002C3F0000}"/>
    <cellStyle name="Normal 3 16" xfId="16169" xr:uid="{00000000-0005-0000-0000-00002D3F0000}"/>
    <cellStyle name="Normal 3 17" xfId="16170" xr:uid="{00000000-0005-0000-0000-00002E3F0000}"/>
    <cellStyle name="Normal 3 18" xfId="16171" xr:uid="{00000000-0005-0000-0000-00002F3F0000}"/>
    <cellStyle name="Normal 3 19" xfId="16172" xr:uid="{00000000-0005-0000-0000-0000303F0000}"/>
    <cellStyle name="Normal 3 2" xfId="16173" xr:uid="{00000000-0005-0000-0000-0000313F0000}"/>
    <cellStyle name="Normal 3 2 10" xfId="16174" xr:uid="{00000000-0005-0000-0000-0000323F0000}"/>
    <cellStyle name="Normal 3 2 11" xfId="16175" xr:uid="{00000000-0005-0000-0000-0000333F0000}"/>
    <cellStyle name="Normal 3 2 12" xfId="16176" xr:uid="{00000000-0005-0000-0000-0000343F0000}"/>
    <cellStyle name="Normal 3 2 13" xfId="16177" xr:uid="{00000000-0005-0000-0000-0000353F0000}"/>
    <cellStyle name="Normal 3 2 14" xfId="16178" xr:uid="{00000000-0005-0000-0000-0000363F0000}"/>
    <cellStyle name="Normal 3 2 15" xfId="16179" xr:uid="{00000000-0005-0000-0000-0000373F0000}"/>
    <cellStyle name="Normal 3 2 16" xfId="16180" xr:uid="{00000000-0005-0000-0000-0000383F0000}"/>
    <cellStyle name="Normal 3 2 17" xfId="16181" xr:uid="{00000000-0005-0000-0000-0000393F0000}"/>
    <cellStyle name="Normal 3 2 18" xfId="16182" xr:uid="{00000000-0005-0000-0000-00003A3F0000}"/>
    <cellStyle name="Normal 3 2 19" xfId="16183" xr:uid="{00000000-0005-0000-0000-00003B3F0000}"/>
    <cellStyle name="Normal 3 2 2" xfId="16184" xr:uid="{00000000-0005-0000-0000-00003C3F0000}"/>
    <cellStyle name="Normal 3 2 20" xfId="16185" xr:uid="{00000000-0005-0000-0000-00003D3F0000}"/>
    <cellStyle name="Normal 3 2 21" xfId="16186" xr:uid="{00000000-0005-0000-0000-00003E3F0000}"/>
    <cellStyle name="Normal 3 2 22" xfId="16187" xr:uid="{00000000-0005-0000-0000-00003F3F0000}"/>
    <cellStyle name="Normal 3 2 23" xfId="16188" xr:uid="{00000000-0005-0000-0000-0000403F0000}"/>
    <cellStyle name="Normal 3 2 24" xfId="16189" xr:uid="{00000000-0005-0000-0000-0000413F0000}"/>
    <cellStyle name="Normal 3 2 25" xfId="16190" xr:uid="{00000000-0005-0000-0000-0000423F0000}"/>
    <cellStyle name="Normal 3 2 26" xfId="16191" xr:uid="{00000000-0005-0000-0000-0000433F0000}"/>
    <cellStyle name="Normal 3 2 27" xfId="16192" xr:uid="{00000000-0005-0000-0000-0000443F0000}"/>
    <cellStyle name="Normal 3 2 28" xfId="16193" xr:uid="{00000000-0005-0000-0000-0000453F0000}"/>
    <cellStyle name="Normal 3 2 29" xfId="16194" xr:uid="{00000000-0005-0000-0000-0000463F0000}"/>
    <cellStyle name="Normal 3 2 3" xfId="16195" xr:uid="{00000000-0005-0000-0000-0000473F0000}"/>
    <cellStyle name="Normal 3 2 30" xfId="16196" xr:uid="{00000000-0005-0000-0000-0000483F0000}"/>
    <cellStyle name="Normal 3 2 31" xfId="16197" xr:uid="{00000000-0005-0000-0000-0000493F0000}"/>
    <cellStyle name="Normal 3 2 32" xfId="16198" xr:uid="{00000000-0005-0000-0000-00004A3F0000}"/>
    <cellStyle name="Normal 3 2 33" xfId="16199" xr:uid="{00000000-0005-0000-0000-00004B3F0000}"/>
    <cellStyle name="Normal 3 2 34" xfId="16200" xr:uid="{00000000-0005-0000-0000-00004C3F0000}"/>
    <cellStyle name="Normal 3 2 35" xfId="16201" xr:uid="{00000000-0005-0000-0000-00004D3F0000}"/>
    <cellStyle name="Normal 3 2 4" xfId="16202" xr:uid="{00000000-0005-0000-0000-00004E3F0000}"/>
    <cellStyle name="Normal 3 2 5" xfId="16203" xr:uid="{00000000-0005-0000-0000-00004F3F0000}"/>
    <cellStyle name="Normal 3 2 6" xfId="16204" xr:uid="{00000000-0005-0000-0000-0000503F0000}"/>
    <cellStyle name="Normal 3 2 7" xfId="16205" xr:uid="{00000000-0005-0000-0000-0000513F0000}"/>
    <cellStyle name="Normal 3 2 8" xfId="16206" xr:uid="{00000000-0005-0000-0000-0000523F0000}"/>
    <cellStyle name="Normal 3 2 9" xfId="16207" xr:uid="{00000000-0005-0000-0000-0000533F0000}"/>
    <cellStyle name="Normal 3 20" xfId="16208" xr:uid="{00000000-0005-0000-0000-0000543F0000}"/>
    <cellStyle name="Normal 3 21" xfId="16209" xr:uid="{00000000-0005-0000-0000-0000553F0000}"/>
    <cellStyle name="Normal 3 22" xfId="16210" xr:uid="{00000000-0005-0000-0000-0000563F0000}"/>
    <cellStyle name="Normal 3 23" xfId="16211" xr:uid="{00000000-0005-0000-0000-0000573F0000}"/>
    <cellStyle name="Normal 3 24" xfId="16212" xr:uid="{00000000-0005-0000-0000-0000583F0000}"/>
    <cellStyle name="Normal 3 25" xfId="16213" xr:uid="{00000000-0005-0000-0000-0000593F0000}"/>
    <cellStyle name="Normal 3 26" xfId="16214" xr:uid="{00000000-0005-0000-0000-00005A3F0000}"/>
    <cellStyle name="Normal 3 27" xfId="16215" xr:uid="{00000000-0005-0000-0000-00005B3F0000}"/>
    <cellStyle name="Normal 3 28" xfId="16216" xr:uid="{00000000-0005-0000-0000-00005C3F0000}"/>
    <cellStyle name="Normal 3 29" xfId="16217" xr:uid="{00000000-0005-0000-0000-00005D3F0000}"/>
    <cellStyle name="Normal 3 3" xfId="16218" xr:uid="{00000000-0005-0000-0000-00005E3F0000}"/>
    <cellStyle name="Normal 3 3 10" xfId="16219" xr:uid="{00000000-0005-0000-0000-00005F3F0000}"/>
    <cellStyle name="Normal 3 3 10 2" xfId="16220" xr:uid="{00000000-0005-0000-0000-0000603F0000}"/>
    <cellStyle name="Normal 3 3 10 3" xfId="16221" xr:uid="{00000000-0005-0000-0000-0000613F0000}"/>
    <cellStyle name="Normal 3 3 10 4" xfId="16222" xr:uid="{00000000-0005-0000-0000-0000623F0000}"/>
    <cellStyle name="Normal 3 3 10 5" xfId="16223" xr:uid="{00000000-0005-0000-0000-0000633F0000}"/>
    <cellStyle name="Normal 3 3 10 6" xfId="16224" xr:uid="{00000000-0005-0000-0000-0000643F0000}"/>
    <cellStyle name="Normal 3 3 11" xfId="16225" xr:uid="{00000000-0005-0000-0000-0000653F0000}"/>
    <cellStyle name="Normal 3 3 11 2" xfId="16226" xr:uid="{00000000-0005-0000-0000-0000663F0000}"/>
    <cellStyle name="Normal 3 3 11 3" xfId="16227" xr:uid="{00000000-0005-0000-0000-0000673F0000}"/>
    <cellStyle name="Normal 3 3 11 4" xfId="16228" xr:uid="{00000000-0005-0000-0000-0000683F0000}"/>
    <cellStyle name="Normal 3 3 11 5" xfId="16229" xr:uid="{00000000-0005-0000-0000-0000693F0000}"/>
    <cellStyle name="Normal 3 3 11 6" xfId="16230" xr:uid="{00000000-0005-0000-0000-00006A3F0000}"/>
    <cellStyle name="Normal 3 3 12" xfId="16231" xr:uid="{00000000-0005-0000-0000-00006B3F0000}"/>
    <cellStyle name="Normal 3 3 13" xfId="16232" xr:uid="{00000000-0005-0000-0000-00006C3F0000}"/>
    <cellStyle name="Normal 3 3 14" xfId="16233" xr:uid="{00000000-0005-0000-0000-00006D3F0000}"/>
    <cellStyle name="Normal 3 3 15" xfId="16234" xr:uid="{00000000-0005-0000-0000-00006E3F0000}"/>
    <cellStyle name="Normal 3 3 16" xfId="16235" xr:uid="{00000000-0005-0000-0000-00006F3F0000}"/>
    <cellStyle name="Normal 3 3 2" xfId="16236" xr:uid="{00000000-0005-0000-0000-0000703F0000}"/>
    <cellStyle name="Normal 3 3 2 10" xfId="16237" xr:uid="{00000000-0005-0000-0000-0000713F0000}"/>
    <cellStyle name="Normal 3 3 2 10 2" xfId="16238" xr:uid="{00000000-0005-0000-0000-0000723F0000}"/>
    <cellStyle name="Normal 3 3 2 10 3" xfId="16239" xr:uid="{00000000-0005-0000-0000-0000733F0000}"/>
    <cellStyle name="Normal 3 3 2 10 4" xfId="16240" xr:uid="{00000000-0005-0000-0000-0000743F0000}"/>
    <cellStyle name="Normal 3 3 2 10 5" xfId="16241" xr:uid="{00000000-0005-0000-0000-0000753F0000}"/>
    <cellStyle name="Normal 3 3 2 10 6" xfId="16242" xr:uid="{00000000-0005-0000-0000-0000763F0000}"/>
    <cellStyle name="Normal 3 3 2 11" xfId="16243" xr:uid="{00000000-0005-0000-0000-0000773F0000}"/>
    <cellStyle name="Normal 3 3 2 12" xfId="16244" xr:uid="{00000000-0005-0000-0000-0000783F0000}"/>
    <cellStyle name="Normal 3 3 2 13" xfId="16245" xr:uid="{00000000-0005-0000-0000-0000793F0000}"/>
    <cellStyle name="Normal 3 3 2 14" xfId="16246" xr:uid="{00000000-0005-0000-0000-00007A3F0000}"/>
    <cellStyle name="Normal 3 3 2 15" xfId="16247" xr:uid="{00000000-0005-0000-0000-00007B3F0000}"/>
    <cellStyle name="Normal 3 3 2 2" xfId="16248" xr:uid="{00000000-0005-0000-0000-00007C3F0000}"/>
    <cellStyle name="Normal 3 3 2 2 10" xfId="16249" xr:uid="{00000000-0005-0000-0000-00007D3F0000}"/>
    <cellStyle name="Normal 3 3 2 2 11" xfId="16250" xr:uid="{00000000-0005-0000-0000-00007E3F0000}"/>
    <cellStyle name="Normal 3 3 2 2 12" xfId="16251" xr:uid="{00000000-0005-0000-0000-00007F3F0000}"/>
    <cellStyle name="Normal 3 3 2 2 13" xfId="16252" xr:uid="{00000000-0005-0000-0000-0000803F0000}"/>
    <cellStyle name="Normal 3 3 2 2 14" xfId="16253" xr:uid="{00000000-0005-0000-0000-0000813F0000}"/>
    <cellStyle name="Normal 3 3 2 2 2" xfId="16254" xr:uid="{00000000-0005-0000-0000-0000823F0000}"/>
    <cellStyle name="Normal 3 3 2 2 2 2" xfId="16255" xr:uid="{00000000-0005-0000-0000-0000833F0000}"/>
    <cellStyle name="Normal 3 3 2 2 2 3" xfId="16256" xr:uid="{00000000-0005-0000-0000-0000843F0000}"/>
    <cellStyle name="Normal 3 3 2 2 2 4" xfId="16257" xr:uid="{00000000-0005-0000-0000-0000853F0000}"/>
    <cellStyle name="Normal 3 3 2 2 2 5" xfId="16258" xr:uid="{00000000-0005-0000-0000-0000863F0000}"/>
    <cellStyle name="Normal 3 3 2 2 2 6" xfId="16259" xr:uid="{00000000-0005-0000-0000-0000873F0000}"/>
    <cellStyle name="Normal 3 3 2 2 3" xfId="16260" xr:uid="{00000000-0005-0000-0000-0000883F0000}"/>
    <cellStyle name="Normal 3 3 2 2 3 2" xfId="16261" xr:uid="{00000000-0005-0000-0000-0000893F0000}"/>
    <cellStyle name="Normal 3 3 2 2 3 3" xfId="16262" xr:uid="{00000000-0005-0000-0000-00008A3F0000}"/>
    <cellStyle name="Normal 3 3 2 2 3 4" xfId="16263" xr:uid="{00000000-0005-0000-0000-00008B3F0000}"/>
    <cellStyle name="Normal 3 3 2 2 3 5" xfId="16264" xr:uid="{00000000-0005-0000-0000-00008C3F0000}"/>
    <cellStyle name="Normal 3 3 2 2 3 6" xfId="16265" xr:uid="{00000000-0005-0000-0000-00008D3F0000}"/>
    <cellStyle name="Normal 3 3 2 2 4" xfId="16266" xr:uid="{00000000-0005-0000-0000-00008E3F0000}"/>
    <cellStyle name="Normal 3 3 2 2 4 2" xfId="16267" xr:uid="{00000000-0005-0000-0000-00008F3F0000}"/>
    <cellStyle name="Normal 3 3 2 2 4 3" xfId="16268" xr:uid="{00000000-0005-0000-0000-0000903F0000}"/>
    <cellStyle name="Normal 3 3 2 2 4 4" xfId="16269" xr:uid="{00000000-0005-0000-0000-0000913F0000}"/>
    <cellStyle name="Normal 3 3 2 2 4 5" xfId="16270" xr:uid="{00000000-0005-0000-0000-0000923F0000}"/>
    <cellStyle name="Normal 3 3 2 2 4 6" xfId="16271" xr:uid="{00000000-0005-0000-0000-0000933F0000}"/>
    <cellStyle name="Normal 3 3 2 2 5" xfId="16272" xr:uid="{00000000-0005-0000-0000-0000943F0000}"/>
    <cellStyle name="Normal 3 3 2 2 5 2" xfId="16273" xr:uid="{00000000-0005-0000-0000-0000953F0000}"/>
    <cellStyle name="Normal 3 3 2 2 5 3" xfId="16274" xr:uid="{00000000-0005-0000-0000-0000963F0000}"/>
    <cellStyle name="Normal 3 3 2 2 5 4" xfId="16275" xr:uid="{00000000-0005-0000-0000-0000973F0000}"/>
    <cellStyle name="Normal 3 3 2 2 5 5" xfId="16276" xr:uid="{00000000-0005-0000-0000-0000983F0000}"/>
    <cellStyle name="Normal 3 3 2 2 5 6" xfId="16277" xr:uid="{00000000-0005-0000-0000-0000993F0000}"/>
    <cellStyle name="Normal 3 3 2 2 6" xfId="16278" xr:uid="{00000000-0005-0000-0000-00009A3F0000}"/>
    <cellStyle name="Normal 3 3 2 2 6 2" xfId="16279" xr:uid="{00000000-0005-0000-0000-00009B3F0000}"/>
    <cellStyle name="Normal 3 3 2 2 6 3" xfId="16280" xr:uid="{00000000-0005-0000-0000-00009C3F0000}"/>
    <cellStyle name="Normal 3 3 2 2 6 4" xfId="16281" xr:uid="{00000000-0005-0000-0000-00009D3F0000}"/>
    <cellStyle name="Normal 3 3 2 2 6 5" xfId="16282" xr:uid="{00000000-0005-0000-0000-00009E3F0000}"/>
    <cellStyle name="Normal 3 3 2 2 6 6" xfId="16283" xr:uid="{00000000-0005-0000-0000-00009F3F0000}"/>
    <cellStyle name="Normal 3 3 2 2 7" xfId="16284" xr:uid="{00000000-0005-0000-0000-0000A03F0000}"/>
    <cellStyle name="Normal 3 3 2 2 7 2" xfId="16285" xr:uid="{00000000-0005-0000-0000-0000A13F0000}"/>
    <cellStyle name="Normal 3 3 2 2 7 3" xfId="16286" xr:uid="{00000000-0005-0000-0000-0000A23F0000}"/>
    <cellStyle name="Normal 3 3 2 2 7 4" xfId="16287" xr:uid="{00000000-0005-0000-0000-0000A33F0000}"/>
    <cellStyle name="Normal 3 3 2 2 7 5" xfId="16288" xr:uid="{00000000-0005-0000-0000-0000A43F0000}"/>
    <cellStyle name="Normal 3 3 2 2 7 6" xfId="16289" xr:uid="{00000000-0005-0000-0000-0000A53F0000}"/>
    <cellStyle name="Normal 3 3 2 2 8" xfId="16290" xr:uid="{00000000-0005-0000-0000-0000A63F0000}"/>
    <cellStyle name="Normal 3 3 2 2 8 2" xfId="16291" xr:uid="{00000000-0005-0000-0000-0000A73F0000}"/>
    <cellStyle name="Normal 3 3 2 2 8 3" xfId="16292" xr:uid="{00000000-0005-0000-0000-0000A83F0000}"/>
    <cellStyle name="Normal 3 3 2 2 8 4" xfId="16293" xr:uid="{00000000-0005-0000-0000-0000A93F0000}"/>
    <cellStyle name="Normal 3 3 2 2 8 5" xfId="16294" xr:uid="{00000000-0005-0000-0000-0000AA3F0000}"/>
    <cellStyle name="Normal 3 3 2 2 8 6" xfId="16295" xr:uid="{00000000-0005-0000-0000-0000AB3F0000}"/>
    <cellStyle name="Normal 3 3 2 2 9" xfId="16296" xr:uid="{00000000-0005-0000-0000-0000AC3F0000}"/>
    <cellStyle name="Normal 3 3 2 2 9 2" xfId="16297" xr:uid="{00000000-0005-0000-0000-0000AD3F0000}"/>
    <cellStyle name="Normal 3 3 2 2 9 3" xfId="16298" xr:uid="{00000000-0005-0000-0000-0000AE3F0000}"/>
    <cellStyle name="Normal 3 3 2 2 9 4" xfId="16299" xr:uid="{00000000-0005-0000-0000-0000AF3F0000}"/>
    <cellStyle name="Normal 3 3 2 2 9 5" xfId="16300" xr:uid="{00000000-0005-0000-0000-0000B03F0000}"/>
    <cellStyle name="Normal 3 3 2 2 9 6" xfId="16301" xr:uid="{00000000-0005-0000-0000-0000B13F0000}"/>
    <cellStyle name="Normal 3 3 2 3" xfId="16302" xr:uid="{00000000-0005-0000-0000-0000B23F0000}"/>
    <cellStyle name="Normal 3 3 2 3 2" xfId="16303" xr:uid="{00000000-0005-0000-0000-0000B33F0000}"/>
    <cellStyle name="Normal 3 3 2 3 3" xfId="16304" xr:uid="{00000000-0005-0000-0000-0000B43F0000}"/>
    <cellStyle name="Normal 3 3 2 3 4" xfId="16305" xr:uid="{00000000-0005-0000-0000-0000B53F0000}"/>
    <cellStyle name="Normal 3 3 2 3 5" xfId="16306" xr:uid="{00000000-0005-0000-0000-0000B63F0000}"/>
    <cellStyle name="Normal 3 3 2 3 6" xfId="16307" xr:uid="{00000000-0005-0000-0000-0000B73F0000}"/>
    <cellStyle name="Normal 3 3 2 4" xfId="16308" xr:uid="{00000000-0005-0000-0000-0000B83F0000}"/>
    <cellStyle name="Normal 3 3 2 4 2" xfId="16309" xr:uid="{00000000-0005-0000-0000-0000B93F0000}"/>
    <cellStyle name="Normal 3 3 2 4 3" xfId="16310" xr:uid="{00000000-0005-0000-0000-0000BA3F0000}"/>
    <cellStyle name="Normal 3 3 2 4 4" xfId="16311" xr:uid="{00000000-0005-0000-0000-0000BB3F0000}"/>
    <cellStyle name="Normal 3 3 2 4 5" xfId="16312" xr:uid="{00000000-0005-0000-0000-0000BC3F0000}"/>
    <cellStyle name="Normal 3 3 2 4 6" xfId="16313" xr:uid="{00000000-0005-0000-0000-0000BD3F0000}"/>
    <cellStyle name="Normal 3 3 2 5" xfId="16314" xr:uid="{00000000-0005-0000-0000-0000BE3F0000}"/>
    <cellStyle name="Normal 3 3 2 5 2" xfId="16315" xr:uid="{00000000-0005-0000-0000-0000BF3F0000}"/>
    <cellStyle name="Normal 3 3 2 5 3" xfId="16316" xr:uid="{00000000-0005-0000-0000-0000C03F0000}"/>
    <cellStyle name="Normal 3 3 2 5 4" xfId="16317" xr:uid="{00000000-0005-0000-0000-0000C13F0000}"/>
    <cellStyle name="Normal 3 3 2 5 5" xfId="16318" xr:uid="{00000000-0005-0000-0000-0000C23F0000}"/>
    <cellStyle name="Normal 3 3 2 5 6" xfId="16319" xr:uid="{00000000-0005-0000-0000-0000C33F0000}"/>
    <cellStyle name="Normal 3 3 2 6" xfId="16320" xr:uid="{00000000-0005-0000-0000-0000C43F0000}"/>
    <cellStyle name="Normal 3 3 2 6 2" xfId="16321" xr:uid="{00000000-0005-0000-0000-0000C53F0000}"/>
    <cellStyle name="Normal 3 3 2 6 3" xfId="16322" xr:uid="{00000000-0005-0000-0000-0000C63F0000}"/>
    <cellStyle name="Normal 3 3 2 6 4" xfId="16323" xr:uid="{00000000-0005-0000-0000-0000C73F0000}"/>
    <cellStyle name="Normal 3 3 2 6 5" xfId="16324" xr:uid="{00000000-0005-0000-0000-0000C83F0000}"/>
    <cellStyle name="Normal 3 3 2 6 6" xfId="16325" xr:uid="{00000000-0005-0000-0000-0000C93F0000}"/>
    <cellStyle name="Normal 3 3 2 7" xfId="16326" xr:uid="{00000000-0005-0000-0000-0000CA3F0000}"/>
    <cellStyle name="Normal 3 3 2 7 2" xfId="16327" xr:uid="{00000000-0005-0000-0000-0000CB3F0000}"/>
    <cellStyle name="Normal 3 3 2 7 3" xfId="16328" xr:uid="{00000000-0005-0000-0000-0000CC3F0000}"/>
    <cellStyle name="Normal 3 3 2 7 4" xfId="16329" xr:uid="{00000000-0005-0000-0000-0000CD3F0000}"/>
    <cellStyle name="Normal 3 3 2 7 5" xfId="16330" xr:uid="{00000000-0005-0000-0000-0000CE3F0000}"/>
    <cellStyle name="Normal 3 3 2 7 6" xfId="16331" xr:uid="{00000000-0005-0000-0000-0000CF3F0000}"/>
    <cellStyle name="Normal 3 3 2 8" xfId="16332" xr:uid="{00000000-0005-0000-0000-0000D03F0000}"/>
    <cellStyle name="Normal 3 3 2 8 2" xfId="16333" xr:uid="{00000000-0005-0000-0000-0000D13F0000}"/>
    <cellStyle name="Normal 3 3 2 8 3" xfId="16334" xr:uid="{00000000-0005-0000-0000-0000D23F0000}"/>
    <cellStyle name="Normal 3 3 2 8 4" xfId="16335" xr:uid="{00000000-0005-0000-0000-0000D33F0000}"/>
    <cellStyle name="Normal 3 3 2 8 5" xfId="16336" xr:uid="{00000000-0005-0000-0000-0000D43F0000}"/>
    <cellStyle name="Normal 3 3 2 8 6" xfId="16337" xr:uid="{00000000-0005-0000-0000-0000D53F0000}"/>
    <cellStyle name="Normal 3 3 2 9" xfId="16338" xr:uid="{00000000-0005-0000-0000-0000D63F0000}"/>
    <cellStyle name="Normal 3 3 2 9 2" xfId="16339" xr:uid="{00000000-0005-0000-0000-0000D73F0000}"/>
    <cellStyle name="Normal 3 3 2 9 3" xfId="16340" xr:uid="{00000000-0005-0000-0000-0000D83F0000}"/>
    <cellStyle name="Normal 3 3 2 9 4" xfId="16341" xr:uid="{00000000-0005-0000-0000-0000D93F0000}"/>
    <cellStyle name="Normal 3 3 2 9 5" xfId="16342" xr:uid="{00000000-0005-0000-0000-0000DA3F0000}"/>
    <cellStyle name="Normal 3 3 2 9 6" xfId="16343" xr:uid="{00000000-0005-0000-0000-0000DB3F0000}"/>
    <cellStyle name="Normal 3 3 3" xfId="16344" xr:uid="{00000000-0005-0000-0000-0000DC3F0000}"/>
    <cellStyle name="Normal 3 3 3 10" xfId="16345" xr:uid="{00000000-0005-0000-0000-0000DD3F0000}"/>
    <cellStyle name="Normal 3 3 3 11" xfId="16346" xr:uid="{00000000-0005-0000-0000-0000DE3F0000}"/>
    <cellStyle name="Normal 3 3 3 12" xfId="16347" xr:uid="{00000000-0005-0000-0000-0000DF3F0000}"/>
    <cellStyle name="Normal 3 3 3 13" xfId="16348" xr:uid="{00000000-0005-0000-0000-0000E03F0000}"/>
    <cellStyle name="Normal 3 3 3 14" xfId="16349" xr:uid="{00000000-0005-0000-0000-0000E13F0000}"/>
    <cellStyle name="Normal 3 3 3 2" xfId="16350" xr:uid="{00000000-0005-0000-0000-0000E23F0000}"/>
    <cellStyle name="Normal 3 3 3 2 2" xfId="16351" xr:uid="{00000000-0005-0000-0000-0000E33F0000}"/>
    <cellStyle name="Normal 3 3 3 2 3" xfId="16352" xr:uid="{00000000-0005-0000-0000-0000E43F0000}"/>
    <cellStyle name="Normal 3 3 3 2 4" xfId="16353" xr:uid="{00000000-0005-0000-0000-0000E53F0000}"/>
    <cellStyle name="Normal 3 3 3 2 5" xfId="16354" xr:uid="{00000000-0005-0000-0000-0000E63F0000}"/>
    <cellStyle name="Normal 3 3 3 2 6" xfId="16355" xr:uid="{00000000-0005-0000-0000-0000E73F0000}"/>
    <cellStyle name="Normal 3 3 3 3" xfId="16356" xr:uid="{00000000-0005-0000-0000-0000E83F0000}"/>
    <cellStyle name="Normal 3 3 3 3 2" xfId="16357" xr:uid="{00000000-0005-0000-0000-0000E93F0000}"/>
    <cellStyle name="Normal 3 3 3 3 3" xfId="16358" xr:uid="{00000000-0005-0000-0000-0000EA3F0000}"/>
    <cellStyle name="Normal 3 3 3 3 4" xfId="16359" xr:uid="{00000000-0005-0000-0000-0000EB3F0000}"/>
    <cellStyle name="Normal 3 3 3 3 5" xfId="16360" xr:uid="{00000000-0005-0000-0000-0000EC3F0000}"/>
    <cellStyle name="Normal 3 3 3 3 6" xfId="16361" xr:uid="{00000000-0005-0000-0000-0000ED3F0000}"/>
    <cellStyle name="Normal 3 3 3 4" xfId="16362" xr:uid="{00000000-0005-0000-0000-0000EE3F0000}"/>
    <cellStyle name="Normal 3 3 3 4 2" xfId="16363" xr:uid="{00000000-0005-0000-0000-0000EF3F0000}"/>
    <cellStyle name="Normal 3 3 3 4 3" xfId="16364" xr:uid="{00000000-0005-0000-0000-0000F03F0000}"/>
    <cellStyle name="Normal 3 3 3 4 4" xfId="16365" xr:uid="{00000000-0005-0000-0000-0000F13F0000}"/>
    <cellStyle name="Normal 3 3 3 4 5" xfId="16366" xr:uid="{00000000-0005-0000-0000-0000F23F0000}"/>
    <cellStyle name="Normal 3 3 3 4 6" xfId="16367" xr:uid="{00000000-0005-0000-0000-0000F33F0000}"/>
    <cellStyle name="Normal 3 3 3 5" xfId="16368" xr:uid="{00000000-0005-0000-0000-0000F43F0000}"/>
    <cellStyle name="Normal 3 3 3 5 2" xfId="16369" xr:uid="{00000000-0005-0000-0000-0000F53F0000}"/>
    <cellStyle name="Normal 3 3 3 5 3" xfId="16370" xr:uid="{00000000-0005-0000-0000-0000F63F0000}"/>
    <cellStyle name="Normal 3 3 3 5 4" xfId="16371" xr:uid="{00000000-0005-0000-0000-0000F73F0000}"/>
    <cellStyle name="Normal 3 3 3 5 5" xfId="16372" xr:uid="{00000000-0005-0000-0000-0000F83F0000}"/>
    <cellStyle name="Normal 3 3 3 5 6" xfId="16373" xr:uid="{00000000-0005-0000-0000-0000F93F0000}"/>
    <cellStyle name="Normal 3 3 3 6" xfId="16374" xr:uid="{00000000-0005-0000-0000-0000FA3F0000}"/>
    <cellStyle name="Normal 3 3 3 6 2" xfId="16375" xr:uid="{00000000-0005-0000-0000-0000FB3F0000}"/>
    <cellStyle name="Normal 3 3 3 6 3" xfId="16376" xr:uid="{00000000-0005-0000-0000-0000FC3F0000}"/>
    <cellStyle name="Normal 3 3 3 6 4" xfId="16377" xr:uid="{00000000-0005-0000-0000-0000FD3F0000}"/>
    <cellStyle name="Normal 3 3 3 6 5" xfId="16378" xr:uid="{00000000-0005-0000-0000-0000FE3F0000}"/>
    <cellStyle name="Normal 3 3 3 6 6" xfId="16379" xr:uid="{00000000-0005-0000-0000-0000FF3F0000}"/>
    <cellStyle name="Normal 3 3 3 7" xfId="16380" xr:uid="{00000000-0005-0000-0000-000000400000}"/>
    <cellStyle name="Normal 3 3 3 7 2" xfId="16381" xr:uid="{00000000-0005-0000-0000-000001400000}"/>
    <cellStyle name="Normal 3 3 3 7 3" xfId="16382" xr:uid="{00000000-0005-0000-0000-000002400000}"/>
    <cellStyle name="Normal 3 3 3 7 4" xfId="16383" xr:uid="{00000000-0005-0000-0000-000003400000}"/>
    <cellStyle name="Normal 3 3 3 7 5" xfId="16384" xr:uid="{00000000-0005-0000-0000-000004400000}"/>
    <cellStyle name="Normal 3 3 3 7 6" xfId="16385" xr:uid="{00000000-0005-0000-0000-000005400000}"/>
    <cellStyle name="Normal 3 3 3 8" xfId="16386" xr:uid="{00000000-0005-0000-0000-000006400000}"/>
    <cellStyle name="Normal 3 3 3 8 2" xfId="16387" xr:uid="{00000000-0005-0000-0000-000007400000}"/>
    <cellStyle name="Normal 3 3 3 8 3" xfId="16388" xr:uid="{00000000-0005-0000-0000-000008400000}"/>
    <cellStyle name="Normal 3 3 3 8 4" xfId="16389" xr:uid="{00000000-0005-0000-0000-000009400000}"/>
    <cellStyle name="Normal 3 3 3 8 5" xfId="16390" xr:uid="{00000000-0005-0000-0000-00000A400000}"/>
    <cellStyle name="Normal 3 3 3 8 6" xfId="16391" xr:uid="{00000000-0005-0000-0000-00000B400000}"/>
    <cellStyle name="Normal 3 3 3 9" xfId="16392" xr:uid="{00000000-0005-0000-0000-00000C400000}"/>
    <cellStyle name="Normal 3 3 3 9 2" xfId="16393" xr:uid="{00000000-0005-0000-0000-00000D400000}"/>
    <cellStyle name="Normal 3 3 3 9 3" xfId="16394" xr:uid="{00000000-0005-0000-0000-00000E400000}"/>
    <cellStyle name="Normal 3 3 3 9 4" xfId="16395" xr:uid="{00000000-0005-0000-0000-00000F400000}"/>
    <cellStyle name="Normal 3 3 3 9 5" xfId="16396" xr:uid="{00000000-0005-0000-0000-000010400000}"/>
    <cellStyle name="Normal 3 3 3 9 6" xfId="16397" xr:uid="{00000000-0005-0000-0000-000011400000}"/>
    <cellStyle name="Normal 3 3 4" xfId="16398" xr:uid="{00000000-0005-0000-0000-000012400000}"/>
    <cellStyle name="Normal 3 3 4 2" xfId="16399" xr:uid="{00000000-0005-0000-0000-000013400000}"/>
    <cellStyle name="Normal 3 3 4 3" xfId="16400" xr:uid="{00000000-0005-0000-0000-000014400000}"/>
    <cellStyle name="Normal 3 3 4 4" xfId="16401" xr:uid="{00000000-0005-0000-0000-000015400000}"/>
    <cellStyle name="Normal 3 3 4 5" xfId="16402" xr:uid="{00000000-0005-0000-0000-000016400000}"/>
    <cellStyle name="Normal 3 3 4 6" xfId="16403" xr:uid="{00000000-0005-0000-0000-000017400000}"/>
    <cellStyle name="Normal 3 3 5" xfId="16404" xr:uid="{00000000-0005-0000-0000-000018400000}"/>
    <cellStyle name="Normal 3 3 5 2" xfId="16405" xr:uid="{00000000-0005-0000-0000-000019400000}"/>
    <cellStyle name="Normal 3 3 5 3" xfId="16406" xr:uid="{00000000-0005-0000-0000-00001A400000}"/>
    <cellStyle name="Normal 3 3 5 4" xfId="16407" xr:uid="{00000000-0005-0000-0000-00001B400000}"/>
    <cellStyle name="Normal 3 3 5 5" xfId="16408" xr:uid="{00000000-0005-0000-0000-00001C400000}"/>
    <cellStyle name="Normal 3 3 5 6" xfId="16409" xr:uid="{00000000-0005-0000-0000-00001D400000}"/>
    <cellStyle name="Normal 3 3 6" xfId="16410" xr:uid="{00000000-0005-0000-0000-00001E400000}"/>
    <cellStyle name="Normal 3 3 6 2" xfId="16411" xr:uid="{00000000-0005-0000-0000-00001F400000}"/>
    <cellStyle name="Normal 3 3 6 3" xfId="16412" xr:uid="{00000000-0005-0000-0000-000020400000}"/>
    <cellStyle name="Normal 3 3 6 4" xfId="16413" xr:uid="{00000000-0005-0000-0000-000021400000}"/>
    <cellStyle name="Normal 3 3 6 5" xfId="16414" xr:uid="{00000000-0005-0000-0000-000022400000}"/>
    <cellStyle name="Normal 3 3 6 6" xfId="16415" xr:uid="{00000000-0005-0000-0000-000023400000}"/>
    <cellStyle name="Normal 3 3 7" xfId="16416" xr:uid="{00000000-0005-0000-0000-000024400000}"/>
    <cellStyle name="Normal 3 3 7 2" xfId="16417" xr:uid="{00000000-0005-0000-0000-000025400000}"/>
    <cellStyle name="Normal 3 3 7 3" xfId="16418" xr:uid="{00000000-0005-0000-0000-000026400000}"/>
    <cellStyle name="Normal 3 3 7 4" xfId="16419" xr:uid="{00000000-0005-0000-0000-000027400000}"/>
    <cellStyle name="Normal 3 3 7 5" xfId="16420" xr:uid="{00000000-0005-0000-0000-000028400000}"/>
    <cellStyle name="Normal 3 3 7 6" xfId="16421" xr:uid="{00000000-0005-0000-0000-000029400000}"/>
    <cellStyle name="Normal 3 3 8" xfId="16422" xr:uid="{00000000-0005-0000-0000-00002A400000}"/>
    <cellStyle name="Normal 3 3 8 2" xfId="16423" xr:uid="{00000000-0005-0000-0000-00002B400000}"/>
    <cellStyle name="Normal 3 3 8 3" xfId="16424" xr:uid="{00000000-0005-0000-0000-00002C400000}"/>
    <cellStyle name="Normal 3 3 8 4" xfId="16425" xr:uid="{00000000-0005-0000-0000-00002D400000}"/>
    <cellStyle name="Normal 3 3 8 5" xfId="16426" xr:uid="{00000000-0005-0000-0000-00002E400000}"/>
    <cellStyle name="Normal 3 3 8 6" xfId="16427" xr:uid="{00000000-0005-0000-0000-00002F400000}"/>
    <cellStyle name="Normal 3 3 9" xfId="16428" xr:uid="{00000000-0005-0000-0000-000030400000}"/>
    <cellStyle name="Normal 3 3 9 2" xfId="16429" xr:uid="{00000000-0005-0000-0000-000031400000}"/>
    <cellStyle name="Normal 3 3 9 3" xfId="16430" xr:uid="{00000000-0005-0000-0000-000032400000}"/>
    <cellStyle name="Normal 3 3 9 4" xfId="16431" xr:uid="{00000000-0005-0000-0000-000033400000}"/>
    <cellStyle name="Normal 3 3 9 5" xfId="16432" xr:uid="{00000000-0005-0000-0000-000034400000}"/>
    <cellStyle name="Normal 3 3 9 6" xfId="16433" xr:uid="{00000000-0005-0000-0000-000035400000}"/>
    <cellStyle name="Normal 3 30" xfId="16434" xr:uid="{00000000-0005-0000-0000-000036400000}"/>
    <cellStyle name="Normal 3 31" xfId="16435" xr:uid="{00000000-0005-0000-0000-000037400000}"/>
    <cellStyle name="Normal 3 32" xfId="16436" xr:uid="{00000000-0005-0000-0000-000038400000}"/>
    <cellStyle name="Normal 3 33" xfId="16437" xr:uid="{00000000-0005-0000-0000-000039400000}"/>
    <cellStyle name="Normal 3 34" xfId="16438" xr:uid="{00000000-0005-0000-0000-00003A400000}"/>
    <cellStyle name="Normal 3 35" xfId="16439" xr:uid="{00000000-0005-0000-0000-00003B400000}"/>
    <cellStyle name="Normal 3 36" xfId="16440" xr:uid="{00000000-0005-0000-0000-00003C400000}"/>
    <cellStyle name="Normal 3 37" xfId="16441" xr:uid="{00000000-0005-0000-0000-00003D400000}"/>
    <cellStyle name="Normal 3 38" xfId="16442" xr:uid="{00000000-0005-0000-0000-00003E400000}"/>
    <cellStyle name="Normal 3 39" xfId="16443" xr:uid="{00000000-0005-0000-0000-00003F400000}"/>
    <cellStyle name="Normal 3 4" xfId="16444" xr:uid="{00000000-0005-0000-0000-000040400000}"/>
    <cellStyle name="Normal 3 4 10" xfId="16445" xr:uid="{00000000-0005-0000-0000-000041400000}"/>
    <cellStyle name="Normal 3 4 10 2" xfId="16446" xr:uid="{00000000-0005-0000-0000-000042400000}"/>
    <cellStyle name="Normal 3 4 10 3" xfId="16447" xr:uid="{00000000-0005-0000-0000-000043400000}"/>
    <cellStyle name="Normal 3 4 10 4" xfId="16448" xr:uid="{00000000-0005-0000-0000-000044400000}"/>
    <cellStyle name="Normal 3 4 10 5" xfId="16449" xr:uid="{00000000-0005-0000-0000-000045400000}"/>
    <cellStyle name="Normal 3 4 10 6" xfId="16450" xr:uid="{00000000-0005-0000-0000-000046400000}"/>
    <cellStyle name="Normal 3 4 11" xfId="16451" xr:uid="{00000000-0005-0000-0000-000047400000}"/>
    <cellStyle name="Normal 3 4 11 2" xfId="16452" xr:uid="{00000000-0005-0000-0000-000048400000}"/>
    <cellStyle name="Normal 3 4 11 3" xfId="16453" xr:uid="{00000000-0005-0000-0000-000049400000}"/>
    <cellStyle name="Normal 3 4 11 4" xfId="16454" xr:uid="{00000000-0005-0000-0000-00004A400000}"/>
    <cellStyle name="Normal 3 4 11 5" xfId="16455" xr:uid="{00000000-0005-0000-0000-00004B400000}"/>
    <cellStyle name="Normal 3 4 11 6" xfId="16456" xr:uid="{00000000-0005-0000-0000-00004C400000}"/>
    <cellStyle name="Normal 3 4 12" xfId="16457" xr:uid="{00000000-0005-0000-0000-00004D400000}"/>
    <cellStyle name="Normal 3 4 13" xfId="16458" xr:uid="{00000000-0005-0000-0000-00004E400000}"/>
    <cellStyle name="Normal 3 4 14" xfId="16459" xr:uid="{00000000-0005-0000-0000-00004F400000}"/>
    <cellStyle name="Normal 3 4 15" xfId="16460" xr:uid="{00000000-0005-0000-0000-000050400000}"/>
    <cellStyle name="Normal 3 4 16" xfId="16461" xr:uid="{00000000-0005-0000-0000-000051400000}"/>
    <cellStyle name="Normal 3 4 2" xfId="16462" xr:uid="{00000000-0005-0000-0000-000052400000}"/>
    <cellStyle name="Normal 3 4 2 10" xfId="16463" xr:uid="{00000000-0005-0000-0000-000053400000}"/>
    <cellStyle name="Normal 3 4 2 10 2" xfId="16464" xr:uid="{00000000-0005-0000-0000-000054400000}"/>
    <cellStyle name="Normal 3 4 2 10 3" xfId="16465" xr:uid="{00000000-0005-0000-0000-000055400000}"/>
    <cellStyle name="Normal 3 4 2 10 4" xfId="16466" xr:uid="{00000000-0005-0000-0000-000056400000}"/>
    <cellStyle name="Normal 3 4 2 10 5" xfId="16467" xr:uid="{00000000-0005-0000-0000-000057400000}"/>
    <cellStyle name="Normal 3 4 2 10 6" xfId="16468" xr:uid="{00000000-0005-0000-0000-000058400000}"/>
    <cellStyle name="Normal 3 4 2 11" xfId="16469" xr:uid="{00000000-0005-0000-0000-000059400000}"/>
    <cellStyle name="Normal 3 4 2 12" xfId="16470" xr:uid="{00000000-0005-0000-0000-00005A400000}"/>
    <cellStyle name="Normal 3 4 2 13" xfId="16471" xr:uid="{00000000-0005-0000-0000-00005B400000}"/>
    <cellStyle name="Normal 3 4 2 14" xfId="16472" xr:uid="{00000000-0005-0000-0000-00005C400000}"/>
    <cellStyle name="Normal 3 4 2 15" xfId="16473" xr:uid="{00000000-0005-0000-0000-00005D400000}"/>
    <cellStyle name="Normal 3 4 2 2" xfId="16474" xr:uid="{00000000-0005-0000-0000-00005E400000}"/>
    <cellStyle name="Normal 3 4 2 2 10" xfId="16475" xr:uid="{00000000-0005-0000-0000-00005F400000}"/>
    <cellStyle name="Normal 3 4 2 2 11" xfId="16476" xr:uid="{00000000-0005-0000-0000-000060400000}"/>
    <cellStyle name="Normal 3 4 2 2 12" xfId="16477" xr:uid="{00000000-0005-0000-0000-000061400000}"/>
    <cellStyle name="Normal 3 4 2 2 13" xfId="16478" xr:uid="{00000000-0005-0000-0000-000062400000}"/>
    <cellStyle name="Normal 3 4 2 2 14" xfId="16479" xr:uid="{00000000-0005-0000-0000-000063400000}"/>
    <cellStyle name="Normal 3 4 2 2 2" xfId="16480" xr:uid="{00000000-0005-0000-0000-000064400000}"/>
    <cellStyle name="Normal 3 4 2 2 2 2" xfId="16481" xr:uid="{00000000-0005-0000-0000-000065400000}"/>
    <cellStyle name="Normal 3 4 2 2 2 3" xfId="16482" xr:uid="{00000000-0005-0000-0000-000066400000}"/>
    <cellStyle name="Normal 3 4 2 2 2 4" xfId="16483" xr:uid="{00000000-0005-0000-0000-000067400000}"/>
    <cellStyle name="Normal 3 4 2 2 2 5" xfId="16484" xr:uid="{00000000-0005-0000-0000-000068400000}"/>
    <cellStyle name="Normal 3 4 2 2 2 6" xfId="16485" xr:uid="{00000000-0005-0000-0000-000069400000}"/>
    <cellStyle name="Normal 3 4 2 2 3" xfId="16486" xr:uid="{00000000-0005-0000-0000-00006A400000}"/>
    <cellStyle name="Normal 3 4 2 2 3 2" xfId="16487" xr:uid="{00000000-0005-0000-0000-00006B400000}"/>
    <cellStyle name="Normal 3 4 2 2 3 3" xfId="16488" xr:uid="{00000000-0005-0000-0000-00006C400000}"/>
    <cellStyle name="Normal 3 4 2 2 3 4" xfId="16489" xr:uid="{00000000-0005-0000-0000-00006D400000}"/>
    <cellStyle name="Normal 3 4 2 2 3 5" xfId="16490" xr:uid="{00000000-0005-0000-0000-00006E400000}"/>
    <cellStyle name="Normal 3 4 2 2 3 6" xfId="16491" xr:uid="{00000000-0005-0000-0000-00006F400000}"/>
    <cellStyle name="Normal 3 4 2 2 4" xfId="16492" xr:uid="{00000000-0005-0000-0000-000070400000}"/>
    <cellStyle name="Normal 3 4 2 2 4 2" xfId="16493" xr:uid="{00000000-0005-0000-0000-000071400000}"/>
    <cellStyle name="Normal 3 4 2 2 4 3" xfId="16494" xr:uid="{00000000-0005-0000-0000-000072400000}"/>
    <cellStyle name="Normal 3 4 2 2 4 4" xfId="16495" xr:uid="{00000000-0005-0000-0000-000073400000}"/>
    <cellStyle name="Normal 3 4 2 2 4 5" xfId="16496" xr:uid="{00000000-0005-0000-0000-000074400000}"/>
    <cellStyle name="Normal 3 4 2 2 4 6" xfId="16497" xr:uid="{00000000-0005-0000-0000-000075400000}"/>
    <cellStyle name="Normal 3 4 2 2 5" xfId="16498" xr:uid="{00000000-0005-0000-0000-000076400000}"/>
    <cellStyle name="Normal 3 4 2 2 5 2" xfId="16499" xr:uid="{00000000-0005-0000-0000-000077400000}"/>
    <cellStyle name="Normal 3 4 2 2 5 3" xfId="16500" xr:uid="{00000000-0005-0000-0000-000078400000}"/>
    <cellStyle name="Normal 3 4 2 2 5 4" xfId="16501" xr:uid="{00000000-0005-0000-0000-000079400000}"/>
    <cellStyle name="Normal 3 4 2 2 5 5" xfId="16502" xr:uid="{00000000-0005-0000-0000-00007A400000}"/>
    <cellStyle name="Normal 3 4 2 2 5 6" xfId="16503" xr:uid="{00000000-0005-0000-0000-00007B400000}"/>
    <cellStyle name="Normal 3 4 2 2 6" xfId="16504" xr:uid="{00000000-0005-0000-0000-00007C400000}"/>
    <cellStyle name="Normal 3 4 2 2 6 2" xfId="16505" xr:uid="{00000000-0005-0000-0000-00007D400000}"/>
    <cellStyle name="Normal 3 4 2 2 6 3" xfId="16506" xr:uid="{00000000-0005-0000-0000-00007E400000}"/>
    <cellStyle name="Normal 3 4 2 2 6 4" xfId="16507" xr:uid="{00000000-0005-0000-0000-00007F400000}"/>
    <cellStyle name="Normal 3 4 2 2 6 5" xfId="16508" xr:uid="{00000000-0005-0000-0000-000080400000}"/>
    <cellStyle name="Normal 3 4 2 2 6 6" xfId="16509" xr:uid="{00000000-0005-0000-0000-000081400000}"/>
    <cellStyle name="Normal 3 4 2 2 7" xfId="16510" xr:uid="{00000000-0005-0000-0000-000082400000}"/>
    <cellStyle name="Normal 3 4 2 2 7 2" xfId="16511" xr:uid="{00000000-0005-0000-0000-000083400000}"/>
    <cellStyle name="Normal 3 4 2 2 7 3" xfId="16512" xr:uid="{00000000-0005-0000-0000-000084400000}"/>
    <cellStyle name="Normal 3 4 2 2 7 4" xfId="16513" xr:uid="{00000000-0005-0000-0000-000085400000}"/>
    <cellStyle name="Normal 3 4 2 2 7 5" xfId="16514" xr:uid="{00000000-0005-0000-0000-000086400000}"/>
    <cellStyle name="Normal 3 4 2 2 7 6" xfId="16515" xr:uid="{00000000-0005-0000-0000-000087400000}"/>
    <cellStyle name="Normal 3 4 2 2 8" xfId="16516" xr:uid="{00000000-0005-0000-0000-000088400000}"/>
    <cellStyle name="Normal 3 4 2 2 8 2" xfId="16517" xr:uid="{00000000-0005-0000-0000-000089400000}"/>
    <cellStyle name="Normal 3 4 2 2 8 3" xfId="16518" xr:uid="{00000000-0005-0000-0000-00008A400000}"/>
    <cellStyle name="Normal 3 4 2 2 8 4" xfId="16519" xr:uid="{00000000-0005-0000-0000-00008B400000}"/>
    <cellStyle name="Normal 3 4 2 2 8 5" xfId="16520" xr:uid="{00000000-0005-0000-0000-00008C400000}"/>
    <cellStyle name="Normal 3 4 2 2 8 6" xfId="16521" xr:uid="{00000000-0005-0000-0000-00008D400000}"/>
    <cellStyle name="Normal 3 4 2 2 9" xfId="16522" xr:uid="{00000000-0005-0000-0000-00008E400000}"/>
    <cellStyle name="Normal 3 4 2 2 9 2" xfId="16523" xr:uid="{00000000-0005-0000-0000-00008F400000}"/>
    <cellStyle name="Normal 3 4 2 2 9 3" xfId="16524" xr:uid="{00000000-0005-0000-0000-000090400000}"/>
    <cellStyle name="Normal 3 4 2 2 9 4" xfId="16525" xr:uid="{00000000-0005-0000-0000-000091400000}"/>
    <cellStyle name="Normal 3 4 2 2 9 5" xfId="16526" xr:uid="{00000000-0005-0000-0000-000092400000}"/>
    <cellStyle name="Normal 3 4 2 2 9 6" xfId="16527" xr:uid="{00000000-0005-0000-0000-000093400000}"/>
    <cellStyle name="Normal 3 4 2 3" xfId="16528" xr:uid="{00000000-0005-0000-0000-000094400000}"/>
    <cellStyle name="Normal 3 4 2 3 2" xfId="16529" xr:uid="{00000000-0005-0000-0000-000095400000}"/>
    <cellStyle name="Normal 3 4 2 3 3" xfId="16530" xr:uid="{00000000-0005-0000-0000-000096400000}"/>
    <cellStyle name="Normal 3 4 2 3 4" xfId="16531" xr:uid="{00000000-0005-0000-0000-000097400000}"/>
    <cellStyle name="Normal 3 4 2 3 5" xfId="16532" xr:uid="{00000000-0005-0000-0000-000098400000}"/>
    <cellStyle name="Normal 3 4 2 3 6" xfId="16533" xr:uid="{00000000-0005-0000-0000-000099400000}"/>
    <cellStyle name="Normal 3 4 2 4" xfId="16534" xr:uid="{00000000-0005-0000-0000-00009A400000}"/>
    <cellStyle name="Normal 3 4 2 4 2" xfId="16535" xr:uid="{00000000-0005-0000-0000-00009B400000}"/>
    <cellStyle name="Normal 3 4 2 4 3" xfId="16536" xr:uid="{00000000-0005-0000-0000-00009C400000}"/>
    <cellStyle name="Normal 3 4 2 4 4" xfId="16537" xr:uid="{00000000-0005-0000-0000-00009D400000}"/>
    <cellStyle name="Normal 3 4 2 4 5" xfId="16538" xr:uid="{00000000-0005-0000-0000-00009E400000}"/>
    <cellStyle name="Normal 3 4 2 4 6" xfId="16539" xr:uid="{00000000-0005-0000-0000-00009F400000}"/>
    <cellStyle name="Normal 3 4 2 5" xfId="16540" xr:uid="{00000000-0005-0000-0000-0000A0400000}"/>
    <cellStyle name="Normal 3 4 2 5 2" xfId="16541" xr:uid="{00000000-0005-0000-0000-0000A1400000}"/>
    <cellStyle name="Normal 3 4 2 5 3" xfId="16542" xr:uid="{00000000-0005-0000-0000-0000A2400000}"/>
    <cellStyle name="Normal 3 4 2 5 4" xfId="16543" xr:uid="{00000000-0005-0000-0000-0000A3400000}"/>
    <cellStyle name="Normal 3 4 2 5 5" xfId="16544" xr:uid="{00000000-0005-0000-0000-0000A4400000}"/>
    <cellStyle name="Normal 3 4 2 5 6" xfId="16545" xr:uid="{00000000-0005-0000-0000-0000A5400000}"/>
    <cellStyle name="Normal 3 4 2 6" xfId="16546" xr:uid="{00000000-0005-0000-0000-0000A6400000}"/>
    <cellStyle name="Normal 3 4 2 6 2" xfId="16547" xr:uid="{00000000-0005-0000-0000-0000A7400000}"/>
    <cellStyle name="Normal 3 4 2 6 3" xfId="16548" xr:uid="{00000000-0005-0000-0000-0000A8400000}"/>
    <cellStyle name="Normal 3 4 2 6 4" xfId="16549" xr:uid="{00000000-0005-0000-0000-0000A9400000}"/>
    <cellStyle name="Normal 3 4 2 6 5" xfId="16550" xr:uid="{00000000-0005-0000-0000-0000AA400000}"/>
    <cellStyle name="Normal 3 4 2 6 6" xfId="16551" xr:uid="{00000000-0005-0000-0000-0000AB400000}"/>
    <cellStyle name="Normal 3 4 2 7" xfId="16552" xr:uid="{00000000-0005-0000-0000-0000AC400000}"/>
    <cellStyle name="Normal 3 4 2 7 2" xfId="16553" xr:uid="{00000000-0005-0000-0000-0000AD400000}"/>
    <cellStyle name="Normal 3 4 2 7 3" xfId="16554" xr:uid="{00000000-0005-0000-0000-0000AE400000}"/>
    <cellStyle name="Normal 3 4 2 7 4" xfId="16555" xr:uid="{00000000-0005-0000-0000-0000AF400000}"/>
    <cellStyle name="Normal 3 4 2 7 5" xfId="16556" xr:uid="{00000000-0005-0000-0000-0000B0400000}"/>
    <cellStyle name="Normal 3 4 2 7 6" xfId="16557" xr:uid="{00000000-0005-0000-0000-0000B1400000}"/>
    <cellStyle name="Normal 3 4 2 8" xfId="16558" xr:uid="{00000000-0005-0000-0000-0000B2400000}"/>
    <cellStyle name="Normal 3 4 2 8 2" xfId="16559" xr:uid="{00000000-0005-0000-0000-0000B3400000}"/>
    <cellStyle name="Normal 3 4 2 8 3" xfId="16560" xr:uid="{00000000-0005-0000-0000-0000B4400000}"/>
    <cellStyle name="Normal 3 4 2 8 4" xfId="16561" xr:uid="{00000000-0005-0000-0000-0000B5400000}"/>
    <cellStyle name="Normal 3 4 2 8 5" xfId="16562" xr:uid="{00000000-0005-0000-0000-0000B6400000}"/>
    <cellStyle name="Normal 3 4 2 8 6" xfId="16563" xr:uid="{00000000-0005-0000-0000-0000B7400000}"/>
    <cellStyle name="Normal 3 4 2 9" xfId="16564" xr:uid="{00000000-0005-0000-0000-0000B8400000}"/>
    <cellStyle name="Normal 3 4 2 9 2" xfId="16565" xr:uid="{00000000-0005-0000-0000-0000B9400000}"/>
    <cellStyle name="Normal 3 4 2 9 3" xfId="16566" xr:uid="{00000000-0005-0000-0000-0000BA400000}"/>
    <cellStyle name="Normal 3 4 2 9 4" xfId="16567" xr:uid="{00000000-0005-0000-0000-0000BB400000}"/>
    <cellStyle name="Normal 3 4 2 9 5" xfId="16568" xr:uid="{00000000-0005-0000-0000-0000BC400000}"/>
    <cellStyle name="Normal 3 4 2 9 6" xfId="16569" xr:uid="{00000000-0005-0000-0000-0000BD400000}"/>
    <cellStyle name="Normal 3 4 3" xfId="16570" xr:uid="{00000000-0005-0000-0000-0000BE400000}"/>
    <cellStyle name="Normal 3 4 3 10" xfId="16571" xr:uid="{00000000-0005-0000-0000-0000BF400000}"/>
    <cellStyle name="Normal 3 4 3 11" xfId="16572" xr:uid="{00000000-0005-0000-0000-0000C0400000}"/>
    <cellStyle name="Normal 3 4 3 12" xfId="16573" xr:uid="{00000000-0005-0000-0000-0000C1400000}"/>
    <cellStyle name="Normal 3 4 3 13" xfId="16574" xr:uid="{00000000-0005-0000-0000-0000C2400000}"/>
    <cellStyle name="Normal 3 4 3 14" xfId="16575" xr:uid="{00000000-0005-0000-0000-0000C3400000}"/>
    <cellStyle name="Normal 3 4 3 2" xfId="16576" xr:uid="{00000000-0005-0000-0000-0000C4400000}"/>
    <cellStyle name="Normal 3 4 3 2 2" xfId="16577" xr:uid="{00000000-0005-0000-0000-0000C5400000}"/>
    <cellStyle name="Normal 3 4 3 2 3" xfId="16578" xr:uid="{00000000-0005-0000-0000-0000C6400000}"/>
    <cellStyle name="Normal 3 4 3 2 4" xfId="16579" xr:uid="{00000000-0005-0000-0000-0000C7400000}"/>
    <cellStyle name="Normal 3 4 3 2 5" xfId="16580" xr:uid="{00000000-0005-0000-0000-0000C8400000}"/>
    <cellStyle name="Normal 3 4 3 2 6" xfId="16581" xr:uid="{00000000-0005-0000-0000-0000C9400000}"/>
    <cellStyle name="Normal 3 4 3 3" xfId="16582" xr:uid="{00000000-0005-0000-0000-0000CA400000}"/>
    <cellStyle name="Normal 3 4 3 3 2" xfId="16583" xr:uid="{00000000-0005-0000-0000-0000CB400000}"/>
    <cellStyle name="Normal 3 4 3 3 3" xfId="16584" xr:uid="{00000000-0005-0000-0000-0000CC400000}"/>
    <cellStyle name="Normal 3 4 3 3 4" xfId="16585" xr:uid="{00000000-0005-0000-0000-0000CD400000}"/>
    <cellStyle name="Normal 3 4 3 3 5" xfId="16586" xr:uid="{00000000-0005-0000-0000-0000CE400000}"/>
    <cellStyle name="Normal 3 4 3 3 6" xfId="16587" xr:uid="{00000000-0005-0000-0000-0000CF400000}"/>
    <cellStyle name="Normal 3 4 3 4" xfId="16588" xr:uid="{00000000-0005-0000-0000-0000D0400000}"/>
    <cellStyle name="Normal 3 4 3 4 2" xfId="16589" xr:uid="{00000000-0005-0000-0000-0000D1400000}"/>
    <cellStyle name="Normal 3 4 3 4 3" xfId="16590" xr:uid="{00000000-0005-0000-0000-0000D2400000}"/>
    <cellStyle name="Normal 3 4 3 4 4" xfId="16591" xr:uid="{00000000-0005-0000-0000-0000D3400000}"/>
    <cellStyle name="Normal 3 4 3 4 5" xfId="16592" xr:uid="{00000000-0005-0000-0000-0000D4400000}"/>
    <cellStyle name="Normal 3 4 3 4 6" xfId="16593" xr:uid="{00000000-0005-0000-0000-0000D5400000}"/>
    <cellStyle name="Normal 3 4 3 5" xfId="16594" xr:uid="{00000000-0005-0000-0000-0000D6400000}"/>
    <cellStyle name="Normal 3 4 3 5 2" xfId="16595" xr:uid="{00000000-0005-0000-0000-0000D7400000}"/>
    <cellStyle name="Normal 3 4 3 5 3" xfId="16596" xr:uid="{00000000-0005-0000-0000-0000D8400000}"/>
    <cellStyle name="Normal 3 4 3 5 4" xfId="16597" xr:uid="{00000000-0005-0000-0000-0000D9400000}"/>
    <cellStyle name="Normal 3 4 3 5 5" xfId="16598" xr:uid="{00000000-0005-0000-0000-0000DA400000}"/>
    <cellStyle name="Normal 3 4 3 5 6" xfId="16599" xr:uid="{00000000-0005-0000-0000-0000DB400000}"/>
    <cellStyle name="Normal 3 4 3 6" xfId="16600" xr:uid="{00000000-0005-0000-0000-0000DC400000}"/>
    <cellStyle name="Normal 3 4 3 6 2" xfId="16601" xr:uid="{00000000-0005-0000-0000-0000DD400000}"/>
    <cellStyle name="Normal 3 4 3 6 3" xfId="16602" xr:uid="{00000000-0005-0000-0000-0000DE400000}"/>
    <cellStyle name="Normal 3 4 3 6 4" xfId="16603" xr:uid="{00000000-0005-0000-0000-0000DF400000}"/>
    <cellStyle name="Normal 3 4 3 6 5" xfId="16604" xr:uid="{00000000-0005-0000-0000-0000E0400000}"/>
    <cellStyle name="Normal 3 4 3 6 6" xfId="16605" xr:uid="{00000000-0005-0000-0000-0000E1400000}"/>
    <cellStyle name="Normal 3 4 3 7" xfId="16606" xr:uid="{00000000-0005-0000-0000-0000E2400000}"/>
    <cellStyle name="Normal 3 4 3 7 2" xfId="16607" xr:uid="{00000000-0005-0000-0000-0000E3400000}"/>
    <cellStyle name="Normal 3 4 3 7 3" xfId="16608" xr:uid="{00000000-0005-0000-0000-0000E4400000}"/>
    <cellStyle name="Normal 3 4 3 7 4" xfId="16609" xr:uid="{00000000-0005-0000-0000-0000E5400000}"/>
    <cellStyle name="Normal 3 4 3 7 5" xfId="16610" xr:uid="{00000000-0005-0000-0000-0000E6400000}"/>
    <cellStyle name="Normal 3 4 3 7 6" xfId="16611" xr:uid="{00000000-0005-0000-0000-0000E7400000}"/>
    <cellStyle name="Normal 3 4 3 8" xfId="16612" xr:uid="{00000000-0005-0000-0000-0000E8400000}"/>
    <cellStyle name="Normal 3 4 3 8 2" xfId="16613" xr:uid="{00000000-0005-0000-0000-0000E9400000}"/>
    <cellStyle name="Normal 3 4 3 8 3" xfId="16614" xr:uid="{00000000-0005-0000-0000-0000EA400000}"/>
    <cellStyle name="Normal 3 4 3 8 4" xfId="16615" xr:uid="{00000000-0005-0000-0000-0000EB400000}"/>
    <cellStyle name="Normal 3 4 3 8 5" xfId="16616" xr:uid="{00000000-0005-0000-0000-0000EC400000}"/>
    <cellStyle name="Normal 3 4 3 8 6" xfId="16617" xr:uid="{00000000-0005-0000-0000-0000ED400000}"/>
    <cellStyle name="Normal 3 4 3 9" xfId="16618" xr:uid="{00000000-0005-0000-0000-0000EE400000}"/>
    <cellStyle name="Normal 3 4 3 9 2" xfId="16619" xr:uid="{00000000-0005-0000-0000-0000EF400000}"/>
    <cellStyle name="Normal 3 4 3 9 3" xfId="16620" xr:uid="{00000000-0005-0000-0000-0000F0400000}"/>
    <cellStyle name="Normal 3 4 3 9 4" xfId="16621" xr:uid="{00000000-0005-0000-0000-0000F1400000}"/>
    <cellStyle name="Normal 3 4 3 9 5" xfId="16622" xr:uid="{00000000-0005-0000-0000-0000F2400000}"/>
    <cellStyle name="Normal 3 4 3 9 6" xfId="16623" xr:uid="{00000000-0005-0000-0000-0000F3400000}"/>
    <cellStyle name="Normal 3 4 4" xfId="16624" xr:uid="{00000000-0005-0000-0000-0000F4400000}"/>
    <cellStyle name="Normal 3 4 4 2" xfId="16625" xr:uid="{00000000-0005-0000-0000-0000F5400000}"/>
    <cellStyle name="Normal 3 4 4 3" xfId="16626" xr:uid="{00000000-0005-0000-0000-0000F6400000}"/>
    <cellStyle name="Normal 3 4 4 4" xfId="16627" xr:uid="{00000000-0005-0000-0000-0000F7400000}"/>
    <cellStyle name="Normal 3 4 4 5" xfId="16628" xr:uid="{00000000-0005-0000-0000-0000F8400000}"/>
    <cellStyle name="Normal 3 4 4 6" xfId="16629" xr:uid="{00000000-0005-0000-0000-0000F9400000}"/>
    <cellStyle name="Normal 3 4 5" xfId="16630" xr:uid="{00000000-0005-0000-0000-0000FA400000}"/>
    <cellStyle name="Normal 3 4 5 2" xfId="16631" xr:uid="{00000000-0005-0000-0000-0000FB400000}"/>
    <cellStyle name="Normal 3 4 5 3" xfId="16632" xr:uid="{00000000-0005-0000-0000-0000FC400000}"/>
    <cellStyle name="Normal 3 4 5 4" xfId="16633" xr:uid="{00000000-0005-0000-0000-0000FD400000}"/>
    <cellStyle name="Normal 3 4 5 5" xfId="16634" xr:uid="{00000000-0005-0000-0000-0000FE400000}"/>
    <cellStyle name="Normal 3 4 5 6" xfId="16635" xr:uid="{00000000-0005-0000-0000-0000FF400000}"/>
    <cellStyle name="Normal 3 4 6" xfId="16636" xr:uid="{00000000-0005-0000-0000-000000410000}"/>
    <cellStyle name="Normal 3 4 6 2" xfId="16637" xr:uid="{00000000-0005-0000-0000-000001410000}"/>
    <cellStyle name="Normal 3 4 6 3" xfId="16638" xr:uid="{00000000-0005-0000-0000-000002410000}"/>
    <cellStyle name="Normal 3 4 6 4" xfId="16639" xr:uid="{00000000-0005-0000-0000-000003410000}"/>
    <cellStyle name="Normal 3 4 6 5" xfId="16640" xr:uid="{00000000-0005-0000-0000-000004410000}"/>
    <cellStyle name="Normal 3 4 6 6" xfId="16641" xr:uid="{00000000-0005-0000-0000-000005410000}"/>
    <cellStyle name="Normal 3 4 7" xfId="16642" xr:uid="{00000000-0005-0000-0000-000006410000}"/>
    <cellStyle name="Normal 3 4 7 2" xfId="16643" xr:uid="{00000000-0005-0000-0000-000007410000}"/>
    <cellStyle name="Normal 3 4 7 3" xfId="16644" xr:uid="{00000000-0005-0000-0000-000008410000}"/>
    <cellStyle name="Normal 3 4 7 4" xfId="16645" xr:uid="{00000000-0005-0000-0000-000009410000}"/>
    <cellStyle name="Normal 3 4 7 5" xfId="16646" xr:uid="{00000000-0005-0000-0000-00000A410000}"/>
    <cellStyle name="Normal 3 4 7 6" xfId="16647" xr:uid="{00000000-0005-0000-0000-00000B410000}"/>
    <cellStyle name="Normal 3 4 8" xfId="16648" xr:uid="{00000000-0005-0000-0000-00000C410000}"/>
    <cellStyle name="Normal 3 4 8 2" xfId="16649" xr:uid="{00000000-0005-0000-0000-00000D410000}"/>
    <cellStyle name="Normal 3 4 8 3" xfId="16650" xr:uid="{00000000-0005-0000-0000-00000E410000}"/>
    <cellStyle name="Normal 3 4 8 4" xfId="16651" xr:uid="{00000000-0005-0000-0000-00000F410000}"/>
    <cellStyle name="Normal 3 4 8 5" xfId="16652" xr:uid="{00000000-0005-0000-0000-000010410000}"/>
    <cellStyle name="Normal 3 4 8 6" xfId="16653" xr:uid="{00000000-0005-0000-0000-000011410000}"/>
    <cellStyle name="Normal 3 4 9" xfId="16654" xr:uid="{00000000-0005-0000-0000-000012410000}"/>
    <cellStyle name="Normal 3 4 9 2" xfId="16655" xr:uid="{00000000-0005-0000-0000-000013410000}"/>
    <cellStyle name="Normal 3 4 9 3" xfId="16656" xr:uid="{00000000-0005-0000-0000-000014410000}"/>
    <cellStyle name="Normal 3 4 9 4" xfId="16657" xr:uid="{00000000-0005-0000-0000-000015410000}"/>
    <cellStyle name="Normal 3 4 9 5" xfId="16658" xr:uid="{00000000-0005-0000-0000-000016410000}"/>
    <cellStyle name="Normal 3 4 9 6" xfId="16659" xr:uid="{00000000-0005-0000-0000-000017410000}"/>
    <cellStyle name="Normal 3 40" xfId="16660" xr:uid="{00000000-0005-0000-0000-000018410000}"/>
    <cellStyle name="Normal 3 41" xfId="16661" xr:uid="{00000000-0005-0000-0000-000019410000}"/>
    <cellStyle name="Normal 3 42" xfId="16662" xr:uid="{00000000-0005-0000-0000-00001A410000}"/>
    <cellStyle name="Normal 3 5" xfId="16663" xr:uid="{00000000-0005-0000-0000-00001B410000}"/>
    <cellStyle name="Normal 3 5 10" xfId="16664" xr:uid="{00000000-0005-0000-0000-00001C410000}"/>
    <cellStyle name="Normal 3 5 10 2" xfId="16665" xr:uid="{00000000-0005-0000-0000-00001D410000}"/>
    <cellStyle name="Normal 3 5 10 3" xfId="16666" xr:uid="{00000000-0005-0000-0000-00001E410000}"/>
    <cellStyle name="Normal 3 5 10 4" xfId="16667" xr:uid="{00000000-0005-0000-0000-00001F410000}"/>
    <cellStyle name="Normal 3 5 10 5" xfId="16668" xr:uid="{00000000-0005-0000-0000-000020410000}"/>
    <cellStyle name="Normal 3 5 10 6" xfId="16669" xr:uid="{00000000-0005-0000-0000-000021410000}"/>
    <cellStyle name="Normal 3 5 11" xfId="16670" xr:uid="{00000000-0005-0000-0000-000022410000}"/>
    <cellStyle name="Normal 3 5 11 2" xfId="16671" xr:uid="{00000000-0005-0000-0000-000023410000}"/>
    <cellStyle name="Normal 3 5 11 3" xfId="16672" xr:uid="{00000000-0005-0000-0000-000024410000}"/>
    <cellStyle name="Normal 3 5 11 4" xfId="16673" xr:uid="{00000000-0005-0000-0000-000025410000}"/>
    <cellStyle name="Normal 3 5 11 5" xfId="16674" xr:uid="{00000000-0005-0000-0000-000026410000}"/>
    <cellStyle name="Normal 3 5 11 6" xfId="16675" xr:uid="{00000000-0005-0000-0000-000027410000}"/>
    <cellStyle name="Normal 3 5 12" xfId="16676" xr:uid="{00000000-0005-0000-0000-000028410000}"/>
    <cellStyle name="Normal 3 5 13" xfId="16677" xr:uid="{00000000-0005-0000-0000-000029410000}"/>
    <cellStyle name="Normal 3 5 14" xfId="16678" xr:uid="{00000000-0005-0000-0000-00002A410000}"/>
    <cellStyle name="Normal 3 5 15" xfId="16679" xr:uid="{00000000-0005-0000-0000-00002B410000}"/>
    <cellStyle name="Normal 3 5 16" xfId="16680" xr:uid="{00000000-0005-0000-0000-00002C410000}"/>
    <cellStyle name="Normal 3 5 2" xfId="16681" xr:uid="{00000000-0005-0000-0000-00002D410000}"/>
    <cellStyle name="Normal 3 5 2 10" xfId="16682" xr:uid="{00000000-0005-0000-0000-00002E410000}"/>
    <cellStyle name="Normal 3 5 2 10 2" xfId="16683" xr:uid="{00000000-0005-0000-0000-00002F410000}"/>
    <cellStyle name="Normal 3 5 2 10 3" xfId="16684" xr:uid="{00000000-0005-0000-0000-000030410000}"/>
    <cellStyle name="Normal 3 5 2 10 4" xfId="16685" xr:uid="{00000000-0005-0000-0000-000031410000}"/>
    <cellStyle name="Normal 3 5 2 10 5" xfId="16686" xr:uid="{00000000-0005-0000-0000-000032410000}"/>
    <cellStyle name="Normal 3 5 2 10 6" xfId="16687" xr:uid="{00000000-0005-0000-0000-000033410000}"/>
    <cellStyle name="Normal 3 5 2 11" xfId="16688" xr:uid="{00000000-0005-0000-0000-000034410000}"/>
    <cellStyle name="Normal 3 5 2 12" xfId="16689" xr:uid="{00000000-0005-0000-0000-000035410000}"/>
    <cellStyle name="Normal 3 5 2 13" xfId="16690" xr:uid="{00000000-0005-0000-0000-000036410000}"/>
    <cellStyle name="Normal 3 5 2 14" xfId="16691" xr:uid="{00000000-0005-0000-0000-000037410000}"/>
    <cellStyle name="Normal 3 5 2 15" xfId="16692" xr:uid="{00000000-0005-0000-0000-000038410000}"/>
    <cellStyle name="Normal 3 5 2 2" xfId="16693" xr:uid="{00000000-0005-0000-0000-000039410000}"/>
    <cellStyle name="Normal 3 5 2 2 10" xfId="16694" xr:uid="{00000000-0005-0000-0000-00003A410000}"/>
    <cellStyle name="Normal 3 5 2 2 11" xfId="16695" xr:uid="{00000000-0005-0000-0000-00003B410000}"/>
    <cellStyle name="Normal 3 5 2 2 12" xfId="16696" xr:uid="{00000000-0005-0000-0000-00003C410000}"/>
    <cellStyle name="Normal 3 5 2 2 13" xfId="16697" xr:uid="{00000000-0005-0000-0000-00003D410000}"/>
    <cellStyle name="Normal 3 5 2 2 14" xfId="16698" xr:uid="{00000000-0005-0000-0000-00003E410000}"/>
    <cellStyle name="Normal 3 5 2 2 2" xfId="16699" xr:uid="{00000000-0005-0000-0000-00003F410000}"/>
    <cellStyle name="Normal 3 5 2 2 2 2" xfId="16700" xr:uid="{00000000-0005-0000-0000-000040410000}"/>
    <cellStyle name="Normal 3 5 2 2 2 3" xfId="16701" xr:uid="{00000000-0005-0000-0000-000041410000}"/>
    <cellStyle name="Normal 3 5 2 2 2 4" xfId="16702" xr:uid="{00000000-0005-0000-0000-000042410000}"/>
    <cellStyle name="Normal 3 5 2 2 2 5" xfId="16703" xr:uid="{00000000-0005-0000-0000-000043410000}"/>
    <cellStyle name="Normal 3 5 2 2 2 6" xfId="16704" xr:uid="{00000000-0005-0000-0000-000044410000}"/>
    <cellStyle name="Normal 3 5 2 2 3" xfId="16705" xr:uid="{00000000-0005-0000-0000-000045410000}"/>
    <cellStyle name="Normal 3 5 2 2 3 2" xfId="16706" xr:uid="{00000000-0005-0000-0000-000046410000}"/>
    <cellStyle name="Normal 3 5 2 2 3 3" xfId="16707" xr:uid="{00000000-0005-0000-0000-000047410000}"/>
    <cellStyle name="Normal 3 5 2 2 3 4" xfId="16708" xr:uid="{00000000-0005-0000-0000-000048410000}"/>
    <cellStyle name="Normal 3 5 2 2 3 5" xfId="16709" xr:uid="{00000000-0005-0000-0000-000049410000}"/>
    <cellStyle name="Normal 3 5 2 2 3 6" xfId="16710" xr:uid="{00000000-0005-0000-0000-00004A410000}"/>
    <cellStyle name="Normal 3 5 2 2 4" xfId="16711" xr:uid="{00000000-0005-0000-0000-00004B410000}"/>
    <cellStyle name="Normal 3 5 2 2 4 2" xfId="16712" xr:uid="{00000000-0005-0000-0000-00004C410000}"/>
    <cellStyle name="Normal 3 5 2 2 4 3" xfId="16713" xr:uid="{00000000-0005-0000-0000-00004D410000}"/>
    <cellStyle name="Normal 3 5 2 2 4 4" xfId="16714" xr:uid="{00000000-0005-0000-0000-00004E410000}"/>
    <cellStyle name="Normal 3 5 2 2 4 5" xfId="16715" xr:uid="{00000000-0005-0000-0000-00004F410000}"/>
    <cellStyle name="Normal 3 5 2 2 4 6" xfId="16716" xr:uid="{00000000-0005-0000-0000-000050410000}"/>
    <cellStyle name="Normal 3 5 2 2 5" xfId="16717" xr:uid="{00000000-0005-0000-0000-000051410000}"/>
    <cellStyle name="Normal 3 5 2 2 5 2" xfId="16718" xr:uid="{00000000-0005-0000-0000-000052410000}"/>
    <cellStyle name="Normal 3 5 2 2 5 3" xfId="16719" xr:uid="{00000000-0005-0000-0000-000053410000}"/>
    <cellStyle name="Normal 3 5 2 2 5 4" xfId="16720" xr:uid="{00000000-0005-0000-0000-000054410000}"/>
    <cellStyle name="Normal 3 5 2 2 5 5" xfId="16721" xr:uid="{00000000-0005-0000-0000-000055410000}"/>
    <cellStyle name="Normal 3 5 2 2 5 6" xfId="16722" xr:uid="{00000000-0005-0000-0000-000056410000}"/>
    <cellStyle name="Normal 3 5 2 2 6" xfId="16723" xr:uid="{00000000-0005-0000-0000-000057410000}"/>
    <cellStyle name="Normal 3 5 2 2 6 2" xfId="16724" xr:uid="{00000000-0005-0000-0000-000058410000}"/>
    <cellStyle name="Normal 3 5 2 2 6 3" xfId="16725" xr:uid="{00000000-0005-0000-0000-000059410000}"/>
    <cellStyle name="Normal 3 5 2 2 6 4" xfId="16726" xr:uid="{00000000-0005-0000-0000-00005A410000}"/>
    <cellStyle name="Normal 3 5 2 2 6 5" xfId="16727" xr:uid="{00000000-0005-0000-0000-00005B410000}"/>
    <cellStyle name="Normal 3 5 2 2 6 6" xfId="16728" xr:uid="{00000000-0005-0000-0000-00005C410000}"/>
    <cellStyle name="Normal 3 5 2 2 7" xfId="16729" xr:uid="{00000000-0005-0000-0000-00005D410000}"/>
    <cellStyle name="Normal 3 5 2 2 7 2" xfId="16730" xr:uid="{00000000-0005-0000-0000-00005E410000}"/>
    <cellStyle name="Normal 3 5 2 2 7 3" xfId="16731" xr:uid="{00000000-0005-0000-0000-00005F410000}"/>
    <cellStyle name="Normal 3 5 2 2 7 4" xfId="16732" xr:uid="{00000000-0005-0000-0000-000060410000}"/>
    <cellStyle name="Normal 3 5 2 2 7 5" xfId="16733" xr:uid="{00000000-0005-0000-0000-000061410000}"/>
    <cellStyle name="Normal 3 5 2 2 7 6" xfId="16734" xr:uid="{00000000-0005-0000-0000-000062410000}"/>
    <cellStyle name="Normal 3 5 2 2 8" xfId="16735" xr:uid="{00000000-0005-0000-0000-000063410000}"/>
    <cellStyle name="Normal 3 5 2 2 8 2" xfId="16736" xr:uid="{00000000-0005-0000-0000-000064410000}"/>
    <cellStyle name="Normal 3 5 2 2 8 3" xfId="16737" xr:uid="{00000000-0005-0000-0000-000065410000}"/>
    <cellStyle name="Normal 3 5 2 2 8 4" xfId="16738" xr:uid="{00000000-0005-0000-0000-000066410000}"/>
    <cellStyle name="Normal 3 5 2 2 8 5" xfId="16739" xr:uid="{00000000-0005-0000-0000-000067410000}"/>
    <cellStyle name="Normal 3 5 2 2 8 6" xfId="16740" xr:uid="{00000000-0005-0000-0000-000068410000}"/>
    <cellStyle name="Normal 3 5 2 2 9" xfId="16741" xr:uid="{00000000-0005-0000-0000-000069410000}"/>
    <cellStyle name="Normal 3 5 2 2 9 2" xfId="16742" xr:uid="{00000000-0005-0000-0000-00006A410000}"/>
    <cellStyle name="Normal 3 5 2 2 9 3" xfId="16743" xr:uid="{00000000-0005-0000-0000-00006B410000}"/>
    <cellStyle name="Normal 3 5 2 2 9 4" xfId="16744" xr:uid="{00000000-0005-0000-0000-00006C410000}"/>
    <cellStyle name="Normal 3 5 2 2 9 5" xfId="16745" xr:uid="{00000000-0005-0000-0000-00006D410000}"/>
    <cellStyle name="Normal 3 5 2 2 9 6" xfId="16746" xr:uid="{00000000-0005-0000-0000-00006E410000}"/>
    <cellStyle name="Normal 3 5 2 3" xfId="16747" xr:uid="{00000000-0005-0000-0000-00006F410000}"/>
    <cellStyle name="Normal 3 5 2 3 2" xfId="16748" xr:uid="{00000000-0005-0000-0000-000070410000}"/>
    <cellStyle name="Normal 3 5 2 3 3" xfId="16749" xr:uid="{00000000-0005-0000-0000-000071410000}"/>
    <cellStyle name="Normal 3 5 2 3 4" xfId="16750" xr:uid="{00000000-0005-0000-0000-000072410000}"/>
    <cellStyle name="Normal 3 5 2 3 5" xfId="16751" xr:uid="{00000000-0005-0000-0000-000073410000}"/>
    <cellStyle name="Normal 3 5 2 3 6" xfId="16752" xr:uid="{00000000-0005-0000-0000-000074410000}"/>
    <cellStyle name="Normal 3 5 2 4" xfId="16753" xr:uid="{00000000-0005-0000-0000-000075410000}"/>
    <cellStyle name="Normal 3 5 2 4 2" xfId="16754" xr:uid="{00000000-0005-0000-0000-000076410000}"/>
    <cellStyle name="Normal 3 5 2 4 3" xfId="16755" xr:uid="{00000000-0005-0000-0000-000077410000}"/>
    <cellStyle name="Normal 3 5 2 4 4" xfId="16756" xr:uid="{00000000-0005-0000-0000-000078410000}"/>
    <cellStyle name="Normal 3 5 2 4 5" xfId="16757" xr:uid="{00000000-0005-0000-0000-000079410000}"/>
    <cellStyle name="Normal 3 5 2 4 6" xfId="16758" xr:uid="{00000000-0005-0000-0000-00007A410000}"/>
    <cellStyle name="Normal 3 5 2 5" xfId="16759" xr:uid="{00000000-0005-0000-0000-00007B410000}"/>
    <cellStyle name="Normal 3 5 2 5 2" xfId="16760" xr:uid="{00000000-0005-0000-0000-00007C410000}"/>
    <cellStyle name="Normal 3 5 2 5 3" xfId="16761" xr:uid="{00000000-0005-0000-0000-00007D410000}"/>
    <cellStyle name="Normal 3 5 2 5 4" xfId="16762" xr:uid="{00000000-0005-0000-0000-00007E410000}"/>
    <cellStyle name="Normal 3 5 2 5 5" xfId="16763" xr:uid="{00000000-0005-0000-0000-00007F410000}"/>
    <cellStyle name="Normal 3 5 2 5 6" xfId="16764" xr:uid="{00000000-0005-0000-0000-000080410000}"/>
    <cellStyle name="Normal 3 5 2 6" xfId="16765" xr:uid="{00000000-0005-0000-0000-000081410000}"/>
    <cellStyle name="Normal 3 5 2 6 2" xfId="16766" xr:uid="{00000000-0005-0000-0000-000082410000}"/>
    <cellStyle name="Normal 3 5 2 6 3" xfId="16767" xr:uid="{00000000-0005-0000-0000-000083410000}"/>
    <cellStyle name="Normal 3 5 2 6 4" xfId="16768" xr:uid="{00000000-0005-0000-0000-000084410000}"/>
    <cellStyle name="Normal 3 5 2 6 5" xfId="16769" xr:uid="{00000000-0005-0000-0000-000085410000}"/>
    <cellStyle name="Normal 3 5 2 6 6" xfId="16770" xr:uid="{00000000-0005-0000-0000-000086410000}"/>
    <cellStyle name="Normal 3 5 2 7" xfId="16771" xr:uid="{00000000-0005-0000-0000-000087410000}"/>
    <cellStyle name="Normal 3 5 2 7 2" xfId="16772" xr:uid="{00000000-0005-0000-0000-000088410000}"/>
    <cellStyle name="Normal 3 5 2 7 3" xfId="16773" xr:uid="{00000000-0005-0000-0000-000089410000}"/>
    <cellStyle name="Normal 3 5 2 7 4" xfId="16774" xr:uid="{00000000-0005-0000-0000-00008A410000}"/>
    <cellStyle name="Normal 3 5 2 7 5" xfId="16775" xr:uid="{00000000-0005-0000-0000-00008B410000}"/>
    <cellStyle name="Normal 3 5 2 7 6" xfId="16776" xr:uid="{00000000-0005-0000-0000-00008C410000}"/>
    <cellStyle name="Normal 3 5 2 8" xfId="16777" xr:uid="{00000000-0005-0000-0000-00008D410000}"/>
    <cellStyle name="Normal 3 5 2 8 2" xfId="16778" xr:uid="{00000000-0005-0000-0000-00008E410000}"/>
    <cellStyle name="Normal 3 5 2 8 3" xfId="16779" xr:uid="{00000000-0005-0000-0000-00008F410000}"/>
    <cellStyle name="Normal 3 5 2 8 4" xfId="16780" xr:uid="{00000000-0005-0000-0000-000090410000}"/>
    <cellStyle name="Normal 3 5 2 8 5" xfId="16781" xr:uid="{00000000-0005-0000-0000-000091410000}"/>
    <cellStyle name="Normal 3 5 2 8 6" xfId="16782" xr:uid="{00000000-0005-0000-0000-000092410000}"/>
    <cellStyle name="Normal 3 5 2 9" xfId="16783" xr:uid="{00000000-0005-0000-0000-000093410000}"/>
    <cellStyle name="Normal 3 5 2 9 2" xfId="16784" xr:uid="{00000000-0005-0000-0000-000094410000}"/>
    <cellStyle name="Normal 3 5 2 9 3" xfId="16785" xr:uid="{00000000-0005-0000-0000-000095410000}"/>
    <cellStyle name="Normal 3 5 2 9 4" xfId="16786" xr:uid="{00000000-0005-0000-0000-000096410000}"/>
    <cellStyle name="Normal 3 5 2 9 5" xfId="16787" xr:uid="{00000000-0005-0000-0000-000097410000}"/>
    <cellStyle name="Normal 3 5 2 9 6" xfId="16788" xr:uid="{00000000-0005-0000-0000-000098410000}"/>
    <cellStyle name="Normal 3 5 3" xfId="16789" xr:uid="{00000000-0005-0000-0000-000099410000}"/>
    <cellStyle name="Normal 3 5 3 10" xfId="16790" xr:uid="{00000000-0005-0000-0000-00009A410000}"/>
    <cellStyle name="Normal 3 5 3 11" xfId="16791" xr:uid="{00000000-0005-0000-0000-00009B410000}"/>
    <cellStyle name="Normal 3 5 3 12" xfId="16792" xr:uid="{00000000-0005-0000-0000-00009C410000}"/>
    <cellStyle name="Normal 3 5 3 13" xfId="16793" xr:uid="{00000000-0005-0000-0000-00009D410000}"/>
    <cellStyle name="Normal 3 5 3 14" xfId="16794" xr:uid="{00000000-0005-0000-0000-00009E410000}"/>
    <cellStyle name="Normal 3 5 3 2" xfId="16795" xr:uid="{00000000-0005-0000-0000-00009F410000}"/>
    <cellStyle name="Normal 3 5 3 2 2" xfId="16796" xr:uid="{00000000-0005-0000-0000-0000A0410000}"/>
    <cellStyle name="Normal 3 5 3 2 3" xfId="16797" xr:uid="{00000000-0005-0000-0000-0000A1410000}"/>
    <cellStyle name="Normal 3 5 3 2 4" xfId="16798" xr:uid="{00000000-0005-0000-0000-0000A2410000}"/>
    <cellStyle name="Normal 3 5 3 2 5" xfId="16799" xr:uid="{00000000-0005-0000-0000-0000A3410000}"/>
    <cellStyle name="Normal 3 5 3 2 6" xfId="16800" xr:uid="{00000000-0005-0000-0000-0000A4410000}"/>
    <cellStyle name="Normal 3 5 3 3" xfId="16801" xr:uid="{00000000-0005-0000-0000-0000A5410000}"/>
    <cellStyle name="Normal 3 5 3 3 2" xfId="16802" xr:uid="{00000000-0005-0000-0000-0000A6410000}"/>
    <cellStyle name="Normal 3 5 3 3 3" xfId="16803" xr:uid="{00000000-0005-0000-0000-0000A7410000}"/>
    <cellStyle name="Normal 3 5 3 3 4" xfId="16804" xr:uid="{00000000-0005-0000-0000-0000A8410000}"/>
    <cellStyle name="Normal 3 5 3 3 5" xfId="16805" xr:uid="{00000000-0005-0000-0000-0000A9410000}"/>
    <cellStyle name="Normal 3 5 3 3 6" xfId="16806" xr:uid="{00000000-0005-0000-0000-0000AA410000}"/>
    <cellStyle name="Normal 3 5 3 4" xfId="16807" xr:uid="{00000000-0005-0000-0000-0000AB410000}"/>
    <cellStyle name="Normal 3 5 3 4 2" xfId="16808" xr:uid="{00000000-0005-0000-0000-0000AC410000}"/>
    <cellStyle name="Normal 3 5 3 4 3" xfId="16809" xr:uid="{00000000-0005-0000-0000-0000AD410000}"/>
    <cellStyle name="Normal 3 5 3 4 4" xfId="16810" xr:uid="{00000000-0005-0000-0000-0000AE410000}"/>
    <cellStyle name="Normal 3 5 3 4 5" xfId="16811" xr:uid="{00000000-0005-0000-0000-0000AF410000}"/>
    <cellStyle name="Normal 3 5 3 4 6" xfId="16812" xr:uid="{00000000-0005-0000-0000-0000B0410000}"/>
    <cellStyle name="Normal 3 5 3 5" xfId="16813" xr:uid="{00000000-0005-0000-0000-0000B1410000}"/>
    <cellStyle name="Normal 3 5 3 5 2" xfId="16814" xr:uid="{00000000-0005-0000-0000-0000B2410000}"/>
    <cellStyle name="Normal 3 5 3 5 3" xfId="16815" xr:uid="{00000000-0005-0000-0000-0000B3410000}"/>
    <cellStyle name="Normal 3 5 3 5 4" xfId="16816" xr:uid="{00000000-0005-0000-0000-0000B4410000}"/>
    <cellStyle name="Normal 3 5 3 5 5" xfId="16817" xr:uid="{00000000-0005-0000-0000-0000B5410000}"/>
    <cellStyle name="Normal 3 5 3 5 6" xfId="16818" xr:uid="{00000000-0005-0000-0000-0000B6410000}"/>
    <cellStyle name="Normal 3 5 3 6" xfId="16819" xr:uid="{00000000-0005-0000-0000-0000B7410000}"/>
    <cellStyle name="Normal 3 5 3 6 2" xfId="16820" xr:uid="{00000000-0005-0000-0000-0000B8410000}"/>
    <cellStyle name="Normal 3 5 3 6 3" xfId="16821" xr:uid="{00000000-0005-0000-0000-0000B9410000}"/>
    <cellStyle name="Normal 3 5 3 6 4" xfId="16822" xr:uid="{00000000-0005-0000-0000-0000BA410000}"/>
    <cellStyle name="Normal 3 5 3 6 5" xfId="16823" xr:uid="{00000000-0005-0000-0000-0000BB410000}"/>
    <cellStyle name="Normal 3 5 3 6 6" xfId="16824" xr:uid="{00000000-0005-0000-0000-0000BC410000}"/>
    <cellStyle name="Normal 3 5 3 7" xfId="16825" xr:uid="{00000000-0005-0000-0000-0000BD410000}"/>
    <cellStyle name="Normal 3 5 3 7 2" xfId="16826" xr:uid="{00000000-0005-0000-0000-0000BE410000}"/>
    <cellStyle name="Normal 3 5 3 7 3" xfId="16827" xr:uid="{00000000-0005-0000-0000-0000BF410000}"/>
    <cellStyle name="Normal 3 5 3 7 4" xfId="16828" xr:uid="{00000000-0005-0000-0000-0000C0410000}"/>
    <cellStyle name="Normal 3 5 3 7 5" xfId="16829" xr:uid="{00000000-0005-0000-0000-0000C1410000}"/>
    <cellStyle name="Normal 3 5 3 7 6" xfId="16830" xr:uid="{00000000-0005-0000-0000-0000C2410000}"/>
    <cellStyle name="Normal 3 5 3 8" xfId="16831" xr:uid="{00000000-0005-0000-0000-0000C3410000}"/>
    <cellStyle name="Normal 3 5 3 8 2" xfId="16832" xr:uid="{00000000-0005-0000-0000-0000C4410000}"/>
    <cellStyle name="Normal 3 5 3 8 3" xfId="16833" xr:uid="{00000000-0005-0000-0000-0000C5410000}"/>
    <cellStyle name="Normal 3 5 3 8 4" xfId="16834" xr:uid="{00000000-0005-0000-0000-0000C6410000}"/>
    <cellStyle name="Normal 3 5 3 8 5" xfId="16835" xr:uid="{00000000-0005-0000-0000-0000C7410000}"/>
    <cellStyle name="Normal 3 5 3 8 6" xfId="16836" xr:uid="{00000000-0005-0000-0000-0000C8410000}"/>
    <cellStyle name="Normal 3 5 3 9" xfId="16837" xr:uid="{00000000-0005-0000-0000-0000C9410000}"/>
    <cellStyle name="Normal 3 5 3 9 2" xfId="16838" xr:uid="{00000000-0005-0000-0000-0000CA410000}"/>
    <cellStyle name="Normal 3 5 3 9 3" xfId="16839" xr:uid="{00000000-0005-0000-0000-0000CB410000}"/>
    <cellStyle name="Normal 3 5 3 9 4" xfId="16840" xr:uid="{00000000-0005-0000-0000-0000CC410000}"/>
    <cellStyle name="Normal 3 5 3 9 5" xfId="16841" xr:uid="{00000000-0005-0000-0000-0000CD410000}"/>
    <cellStyle name="Normal 3 5 3 9 6" xfId="16842" xr:uid="{00000000-0005-0000-0000-0000CE410000}"/>
    <cellStyle name="Normal 3 5 4" xfId="16843" xr:uid="{00000000-0005-0000-0000-0000CF410000}"/>
    <cellStyle name="Normal 3 5 4 2" xfId="16844" xr:uid="{00000000-0005-0000-0000-0000D0410000}"/>
    <cellStyle name="Normal 3 5 4 3" xfId="16845" xr:uid="{00000000-0005-0000-0000-0000D1410000}"/>
    <cellStyle name="Normal 3 5 4 4" xfId="16846" xr:uid="{00000000-0005-0000-0000-0000D2410000}"/>
    <cellStyle name="Normal 3 5 4 5" xfId="16847" xr:uid="{00000000-0005-0000-0000-0000D3410000}"/>
    <cellStyle name="Normal 3 5 4 6" xfId="16848" xr:uid="{00000000-0005-0000-0000-0000D4410000}"/>
    <cellStyle name="Normal 3 5 5" xfId="16849" xr:uid="{00000000-0005-0000-0000-0000D5410000}"/>
    <cellStyle name="Normal 3 5 5 2" xfId="16850" xr:uid="{00000000-0005-0000-0000-0000D6410000}"/>
    <cellStyle name="Normal 3 5 5 3" xfId="16851" xr:uid="{00000000-0005-0000-0000-0000D7410000}"/>
    <cellStyle name="Normal 3 5 5 4" xfId="16852" xr:uid="{00000000-0005-0000-0000-0000D8410000}"/>
    <cellStyle name="Normal 3 5 5 5" xfId="16853" xr:uid="{00000000-0005-0000-0000-0000D9410000}"/>
    <cellStyle name="Normal 3 5 5 6" xfId="16854" xr:uid="{00000000-0005-0000-0000-0000DA410000}"/>
    <cellStyle name="Normal 3 5 6" xfId="16855" xr:uid="{00000000-0005-0000-0000-0000DB410000}"/>
    <cellStyle name="Normal 3 5 6 2" xfId="16856" xr:uid="{00000000-0005-0000-0000-0000DC410000}"/>
    <cellStyle name="Normal 3 5 6 3" xfId="16857" xr:uid="{00000000-0005-0000-0000-0000DD410000}"/>
    <cellStyle name="Normal 3 5 6 4" xfId="16858" xr:uid="{00000000-0005-0000-0000-0000DE410000}"/>
    <cellStyle name="Normal 3 5 6 5" xfId="16859" xr:uid="{00000000-0005-0000-0000-0000DF410000}"/>
    <cellStyle name="Normal 3 5 6 6" xfId="16860" xr:uid="{00000000-0005-0000-0000-0000E0410000}"/>
    <cellStyle name="Normal 3 5 7" xfId="16861" xr:uid="{00000000-0005-0000-0000-0000E1410000}"/>
    <cellStyle name="Normal 3 5 7 2" xfId="16862" xr:uid="{00000000-0005-0000-0000-0000E2410000}"/>
    <cellStyle name="Normal 3 5 7 3" xfId="16863" xr:uid="{00000000-0005-0000-0000-0000E3410000}"/>
    <cellStyle name="Normal 3 5 7 4" xfId="16864" xr:uid="{00000000-0005-0000-0000-0000E4410000}"/>
    <cellStyle name="Normal 3 5 7 5" xfId="16865" xr:uid="{00000000-0005-0000-0000-0000E5410000}"/>
    <cellStyle name="Normal 3 5 7 6" xfId="16866" xr:uid="{00000000-0005-0000-0000-0000E6410000}"/>
    <cellStyle name="Normal 3 5 8" xfId="16867" xr:uid="{00000000-0005-0000-0000-0000E7410000}"/>
    <cellStyle name="Normal 3 5 8 2" xfId="16868" xr:uid="{00000000-0005-0000-0000-0000E8410000}"/>
    <cellStyle name="Normal 3 5 8 3" xfId="16869" xr:uid="{00000000-0005-0000-0000-0000E9410000}"/>
    <cellStyle name="Normal 3 5 8 4" xfId="16870" xr:uid="{00000000-0005-0000-0000-0000EA410000}"/>
    <cellStyle name="Normal 3 5 8 5" xfId="16871" xr:uid="{00000000-0005-0000-0000-0000EB410000}"/>
    <cellStyle name="Normal 3 5 8 6" xfId="16872" xr:uid="{00000000-0005-0000-0000-0000EC410000}"/>
    <cellStyle name="Normal 3 5 9" xfId="16873" xr:uid="{00000000-0005-0000-0000-0000ED410000}"/>
    <cellStyle name="Normal 3 5 9 2" xfId="16874" xr:uid="{00000000-0005-0000-0000-0000EE410000}"/>
    <cellStyle name="Normal 3 5 9 3" xfId="16875" xr:uid="{00000000-0005-0000-0000-0000EF410000}"/>
    <cellStyle name="Normal 3 5 9 4" xfId="16876" xr:uid="{00000000-0005-0000-0000-0000F0410000}"/>
    <cellStyle name="Normal 3 5 9 5" xfId="16877" xr:uid="{00000000-0005-0000-0000-0000F1410000}"/>
    <cellStyle name="Normal 3 5 9 6" xfId="16878" xr:uid="{00000000-0005-0000-0000-0000F2410000}"/>
    <cellStyle name="Normal 3 6" xfId="16879" xr:uid="{00000000-0005-0000-0000-0000F3410000}"/>
    <cellStyle name="Normal 3 6 10" xfId="16880" xr:uid="{00000000-0005-0000-0000-0000F4410000}"/>
    <cellStyle name="Normal 3 6 10 2" xfId="16881" xr:uid="{00000000-0005-0000-0000-0000F5410000}"/>
    <cellStyle name="Normal 3 6 10 3" xfId="16882" xr:uid="{00000000-0005-0000-0000-0000F6410000}"/>
    <cellStyle name="Normal 3 6 10 4" xfId="16883" xr:uid="{00000000-0005-0000-0000-0000F7410000}"/>
    <cellStyle name="Normal 3 6 10 5" xfId="16884" xr:uid="{00000000-0005-0000-0000-0000F8410000}"/>
    <cellStyle name="Normal 3 6 10 6" xfId="16885" xr:uid="{00000000-0005-0000-0000-0000F9410000}"/>
    <cellStyle name="Normal 3 6 11" xfId="16886" xr:uid="{00000000-0005-0000-0000-0000FA410000}"/>
    <cellStyle name="Normal 3 6 11 2" xfId="16887" xr:uid="{00000000-0005-0000-0000-0000FB410000}"/>
    <cellStyle name="Normal 3 6 11 3" xfId="16888" xr:uid="{00000000-0005-0000-0000-0000FC410000}"/>
    <cellStyle name="Normal 3 6 11 4" xfId="16889" xr:uid="{00000000-0005-0000-0000-0000FD410000}"/>
    <cellStyle name="Normal 3 6 11 5" xfId="16890" xr:uid="{00000000-0005-0000-0000-0000FE410000}"/>
    <cellStyle name="Normal 3 6 11 6" xfId="16891" xr:uid="{00000000-0005-0000-0000-0000FF410000}"/>
    <cellStyle name="Normal 3 6 12" xfId="16892" xr:uid="{00000000-0005-0000-0000-000000420000}"/>
    <cellStyle name="Normal 3 6 13" xfId="16893" xr:uid="{00000000-0005-0000-0000-000001420000}"/>
    <cellStyle name="Normal 3 6 14" xfId="16894" xr:uid="{00000000-0005-0000-0000-000002420000}"/>
    <cellStyle name="Normal 3 6 15" xfId="16895" xr:uid="{00000000-0005-0000-0000-000003420000}"/>
    <cellStyle name="Normal 3 6 16" xfId="16896" xr:uid="{00000000-0005-0000-0000-000004420000}"/>
    <cellStyle name="Normal 3 6 2" xfId="16897" xr:uid="{00000000-0005-0000-0000-000005420000}"/>
    <cellStyle name="Normal 3 6 2 10" xfId="16898" xr:uid="{00000000-0005-0000-0000-000006420000}"/>
    <cellStyle name="Normal 3 6 2 10 2" xfId="16899" xr:uid="{00000000-0005-0000-0000-000007420000}"/>
    <cellStyle name="Normal 3 6 2 10 3" xfId="16900" xr:uid="{00000000-0005-0000-0000-000008420000}"/>
    <cellStyle name="Normal 3 6 2 10 4" xfId="16901" xr:uid="{00000000-0005-0000-0000-000009420000}"/>
    <cellStyle name="Normal 3 6 2 10 5" xfId="16902" xr:uid="{00000000-0005-0000-0000-00000A420000}"/>
    <cellStyle name="Normal 3 6 2 10 6" xfId="16903" xr:uid="{00000000-0005-0000-0000-00000B420000}"/>
    <cellStyle name="Normal 3 6 2 11" xfId="16904" xr:uid="{00000000-0005-0000-0000-00000C420000}"/>
    <cellStyle name="Normal 3 6 2 12" xfId="16905" xr:uid="{00000000-0005-0000-0000-00000D420000}"/>
    <cellStyle name="Normal 3 6 2 13" xfId="16906" xr:uid="{00000000-0005-0000-0000-00000E420000}"/>
    <cellStyle name="Normal 3 6 2 14" xfId="16907" xr:uid="{00000000-0005-0000-0000-00000F420000}"/>
    <cellStyle name="Normal 3 6 2 15" xfId="16908" xr:uid="{00000000-0005-0000-0000-000010420000}"/>
    <cellStyle name="Normal 3 6 2 2" xfId="16909" xr:uid="{00000000-0005-0000-0000-000011420000}"/>
    <cellStyle name="Normal 3 6 2 2 10" xfId="16910" xr:uid="{00000000-0005-0000-0000-000012420000}"/>
    <cellStyle name="Normal 3 6 2 2 11" xfId="16911" xr:uid="{00000000-0005-0000-0000-000013420000}"/>
    <cellStyle name="Normal 3 6 2 2 12" xfId="16912" xr:uid="{00000000-0005-0000-0000-000014420000}"/>
    <cellStyle name="Normal 3 6 2 2 13" xfId="16913" xr:uid="{00000000-0005-0000-0000-000015420000}"/>
    <cellStyle name="Normal 3 6 2 2 14" xfId="16914" xr:uid="{00000000-0005-0000-0000-000016420000}"/>
    <cellStyle name="Normal 3 6 2 2 2" xfId="16915" xr:uid="{00000000-0005-0000-0000-000017420000}"/>
    <cellStyle name="Normal 3 6 2 2 2 2" xfId="16916" xr:uid="{00000000-0005-0000-0000-000018420000}"/>
    <cellStyle name="Normal 3 6 2 2 2 3" xfId="16917" xr:uid="{00000000-0005-0000-0000-000019420000}"/>
    <cellStyle name="Normal 3 6 2 2 2 4" xfId="16918" xr:uid="{00000000-0005-0000-0000-00001A420000}"/>
    <cellStyle name="Normal 3 6 2 2 2 5" xfId="16919" xr:uid="{00000000-0005-0000-0000-00001B420000}"/>
    <cellStyle name="Normal 3 6 2 2 2 6" xfId="16920" xr:uid="{00000000-0005-0000-0000-00001C420000}"/>
    <cellStyle name="Normal 3 6 2 2 3" xfId="16921" xr:uid="{00000000-0005-0000-0000-00001D420000}"/>
    <cellStyle name="Normal 3 6 2 2 3 2" xfId="16922" xr:uid="{00000000-0005-0000-0000-00001E420000}"/>
    <cellStyle name="Normal 3 6 2 2 3 3" xfId="16923" xr:uid="{00000000-0005-0000-0000-00001F420000}"/>
    <cellStyle name="Normal 3 6 2 2 3 4" xfId="16924" xr:uid="{00000000-0005-0000-0000-000020420000}"/>
    <cellStyle name="Normal 3 6 2 2 3 5" xfId="16925" xr:uid="{00000000-0005-0000-0000-000021420000}"/>
    <cellStyle name="Normal 3 6 2 2 3 6" xfId="16926" xr:uid="{00000000-0005-0000-0000-000022420000}"/>
    <cellStyle name="Normal 3 6 2 2 4" xfId="16927" xr:uid="{00000000-0005-0000-0000-000023420000}"/>
    <cellStyle name="Normal 3 6 2 2 4 2" xfId="16928" xr:uid="{00000000-0005-0000-0000-000024420000}"/>
    <cellStyle name="Normal 3 6 2 2 4 3" xfId="16929" xr:uid="{00000000-0005-0000-0000-000025420000}"/>
    <cellStyle name="Normal 3 6 2 2 4 4" xfId="16930" xr:uid="{00000000-0005-0000-0000-000026420000}"/>
    <cellStyle name="Normal 3 6 2 2 4 5" xfId="16931" xr:uid="{00000000-0005-0000-0000-000027420000}"/>
    <cellStyle name="Normal 3 6 2 2 4 6" xfId="16932" xr:uid="{00000000-0005-0000-0000-000028420000}"/>
    <cellStyle name="Normal 3 6 2 2 5" xfId="16933" xr:uid="{00000000-0005-0000-0000-000029420000}"/>
    <cellStyle name="Normal 3 6 2 2 5 2" xfId="16934" xr:uid="{00000000-0005-0000-0000-00002A420000}"/>
    <cellStyle name="Normal 3 6 2 2 5 3" xfId="16935" xr:uid="{00000000-0005-0000-0000-00002B420000}"/>
    <cellStyle name="Normal 3 6 2 2 5 4" xfId="16936" xr:uid="{00000000-0005-0000-0000-00002C420000}"/>
    <cellStyle name="Normal 3 6 2 2 5 5" xfId="16937" xr:uid="{00000000-0005-0000-0000-00002D420000}"/>
    <cellStyle name="Normal 3 6 2 2 5 6" xfId="16938" xr:uid="{00000000-0005-0000-0000-00002E420000}"/>
    <cellStyle name="Normal 3 6 2 2 6" xfId="16939" xr:uid="{00000000-0005-0000-0000-00002F420000}"/>
    <cellStyle name="Normal 3 6 2 2 6 2" xfId="16940" xr:uid="{00000000-0005-0000-0000-000030420000}"/>
    <cellStyle name="Normal 3 6 2 2 6 3" xfId="16941" xr:uid="{00000000-0005-0000-0000-000031420000}"/>
    <cellStyle name="Normal 3 6 2 2 6 4" xfId="16942" xr:uid="{00000000-0005-0000-0000-000032420000}"/>
    <cellStyle name="Normal 3 6 2 2 6 5" xfId="16943" xr:uid="{00000000-0005-0000-0000-000033420000}"/>
    <cellStyle name="Normal 3 6 2 2 6 6" xfId="16944" xr:uid="{00000000-0005-0000-0000-000034420000}"/>
    <cellStyle name="Normal 3 6 2 2 7" xfId="16945" xr:uid="{00000000-0005-0000-0000-000035420000}"/>
    <cellStyle name="Normal 3 6 2 2 7 2" xfId="16946" xr:uid="{00000000-0005-0000-0000-000036420000}"/>
    <cellStyle name="Normal 3 6 2 2 7 3" xfId="16947" xr:uid="{00000000-0005-0000-0000-000037420000}"/>
    <cellStyle name="Normal 3 6 2 2 7 4" xfId="16948" xr:uid="{00000000-0005-0000-0000-000038420000}"/>
    <cellStyle name="Normal 3 6 2 2 7 5" xfId="16949" xr:uid="{00000000-0005-0000-0000-000039420000}"/>
    <cellStyle name="Normal 3 6 2 2 7 6" xfId="16950" xr:uid="{00000000-0005-0000-0000-00003A420000}"/>
    <cellStyle name="Normal 3 6 2 2 8" xfId="16951" xr:uid="{00000000-0005-0000-0000-00003B420000}"/>
    <cellStyle name="Normal 3 6 2 2 8 2" xfId="16952" xr:uid="{00000000-0005-0000-0000-00003C420000}"/>
    <cellStyle name="Normal 3 6 2 2 8 3" xfId="16953" xr:uid="{00000000-0005-0000-0000-00003D420000}"/>
    <cellStyle name="Normal 3 6 2 2 8 4" xfId="16954" xr:uid="{00000000-0005-0000-0000-00003E420000}"/>
    <cellStyle name="Normal 3 6 2 2 8 5" xfId="16955" xr:uid="{00000000-0005-0000-0000-00003F420000}"/>
    <cellStyle name="Normal 3 6 2 2 8 6" xfId="16956" xr:uid="{00000000-0005-0000-0000-000040420000}"/>
    <cellStyle name="Normal 3 6 2 2 9" xfId="16957" xr:uid="{00000000-0005-0000-0000-000041420000}"/>
    <cellStyle name="Normal 3 6 2 2 9 2" xfId="16958" xr:uid="{00000000-0005-0000-0000-000042420000}"/>
    <cellStyle name="Normal 3 6 2 2 9 3" xfId="16959" xr:uid="{00000000-0005-0000-0000-000043420000}"/>
    <cellStyle name="Normal 3 6 2 2 9 4" xfId="16960" xr:uid="{00000000-0005-0000-0000-000044420000}"/>
    <cellStyle name="Normal 3 6 2 2 9 5" xfId="16961" xr:uid="{00000000-0005-0000-0000-000045420000}"/>
    <cellStyle name="Normal 3 6 2 2 9 6" xfId="16962" xr:uid="{00000000-0005-0000-0000-000046420000}"/>
    <cellStyle name="Normal 3 6 2 3" xfId="16963" xr:uid="{00000000-0005-0000-0000-000047420000}"/>
    <cellStyle name="Normal 3 6 2 3 2" xfId="16964" xr:uid="{00000000-0005-0000-0000-000048420000}"/>
    <cellStyle name="Normal 3 6 2 3 3" xfId="16965" xr:uid="{00000000-0005-0000-0000-000049420000}"/>
    <cellStyle name="Normal 3 6 2 3 4" xfId="16966" xr:uid="{00000000-0005-0000-0000-00004A420000}"/>
    <cellStyle name="Normal 3 6 2 3 5" xfId="16967" xr:uid="{00000000-0005-0000-0000-00004B420000}"/>
    <cellStyle name="Normal 3 6 2 3 6" xfId="16968" xr:uid="{00000000-0005-0000-0000-00004C420000}"/>
    <cellStyle name="Normal 3 6 2 4" xfId="16969" xr:uid="{00000000-0005-0000-0000-00004D420000}"/>
    <cellStyle name="Normal 3 6 2 4 2" xfId="16970" xr:uid="{00000000-0005-0000-0000-00004E420000}"/>
    <cellStyle name="Normal 3 6 2 4 3" xfId="16971" xr:uid="{00000000-0005-0000-0000-00004F420000}"/>
    <cellStyle name="Normal 3 6 2 4 4" xfId="16972" xr:uid="{00000000-0005-0000-0000-000050420000}"/>
    <cellStyle name="Normal 3 6 2 4 5" xfId="16973" xr:uid="{00000000-0005-0000-0000-000051420000}"/>
    <cellStyle name="Normal 3 6 2 4 6" xfId="16974" xr:uid="{00000000-0005-0000-0000-000052420000}"/>
    <cellStyle name="Normal 3 6 2 5" xfId="16975" xr:uid="{00000000-0005-0000-0000-000053420000}"/>
    <cellStyle name="Normal 3 6 2 5 2" xfId="16976" xr:uid="{00000000-0005-0000-0000-000054420000}"/>
    <cellStyle name="Normal 3 6 2 5 3" xfId="16977" xr:uid="{00000000-0005-0000-0000-000055420000}"/>
    <cellStyle name="Normal 3 6 2 5 4" xfId="16978" xr:uid="{00000000-0005-0000-0000-000056420000}"/>
    <cellStyle name="Normal 3 6 2 5 5" xfId="16979" xr:uid="{00000000-0005-0000-0000-000057420000}"/>
    <cellStyle name="Normal 3 6 2 5 6" xfId="16980" xr:uid="{00000000-0005-0000-0000-000058420000}"/>
    <cellStyle name="Normal 3 6 2 6" xfId="16981" xr:uid="{00000000-0005-0000-0000-000059420000}"/>
    <cellStyle name="Normal 3 6 2 6 2" xfId="16982" xr:uid="{00000000-0005-0000-0000-00005A420000}"/>
    <cellStyle name="Normal 3 6 2 6 3" xfId="16983" xr:uid="{00000000-0005-0000-0000-00005B420000}"/>
    <cellStyle name="Normal 3 6 2 6 4" xfId="16984" xr:uid="{00000000-0005-0000-0000-00005C420000}"/>
    <cellStyle name="Normal 3 6 2 6 5" xfId="16985" xr:uid="{00000000-0005-0000-0000-00005D420000}"/>
    <cellStyle name="Normal 3 6 2 6 6" xfId="16986" xr:uid="{00000000-0005-0000-0000-00005E420000}"/>
    <cellStyle name="Normal 3 6 2 7" xfId="16987" xr:uid="{00000000-0005-0000-0000-00005F420000}"/>
    <cellStyle name="Normal 3 6 2 7 2" xfId="16988" xr:uid="{00000000-0005-0000-0000-000060420000}"/>
    <cellStyle name="Normal 3 6 2 7 3" xfId="16989" xr:uid="{00000000-0005-0000-0000-000061420000}"/>
    <cellStyle name="Normal 3 6 2 7 4" xfId="16990" xr:uid="{00000000-0005-0000-0000-000062420000}"/>
    <cellStyle name="Normal 3 6 2 7 5" xfId="16991" xr:uid="{00000000-0005-0000-0000-000063420000}"/>
    <cellStyle name="Normal 3 6 2 7 6" xfId="16992" xr:uid="{00000000-0005-0000-0000-000064420000}"/>
    <cellStyle name="Normal 3 6 2 8" xfId="16993" xr:uid="{00000000-0005-0000-0000-000065420000}"/>
    <cellStyle name="Normal 3 6 2 8 2" xfId="16994" xr:uid="{00000000-0005-0000-0000-000066420000}"/>
    <cellStyle name="Normal 3 6 2 8 3" xfId="16995" xr:uid="{00000000-0005-0000-0000-000067420000}"/>
    <cellStyle name="Normal 3 6 2 8 4" xfId="16996" xr:uid="{00000000-0005-0000-0000-000068420000}"/>
    <cellStyle name="Normal 3 6 2 8 5" xfId="16997" xr:uid="{00000000-0005-0000-0000-000069420000}"/>
    <cellStyle name="Normal 3 6 2 8 6" xfId="16998" xr:uid="{00000000-0005-0000-0000-00006A420000}"/>
    <cellStyle name="Normal 3 6 2 9" xfId="16999" xr:uid="{00000000-0005-0000-0000-00006B420000}"/>
    <cellStyle name="Normal 3 6 2 9 2" xfId="17000" xr:uid="{00000000-0005-0000-0000-00006C420000}"/>
    <cellStyle name="Normal 3 6 2 9 3" xfId="17001" xr:uid="{00000000-0005-0000-0000-00006D420000}"/>
    <cellStyle name="Normal 3 6 2 9 4" xfId="17002" xr:uid="{00000000-0005-0000-0000-00006E420000}"/>
    <cellStyle name="Normal 3 6 2 9 5" xfId="17003" xr:uid="{00000000-0005-0000-0000-00006F420000}"/>
    <cellStyle name="Normal 3 6 2 9 6" xfId="17004" xr:uid="{00000000-0005-0000-0000-000070420000}"/>
    <cellStyle name="Normal 3 6 3" xfId="17005" xr:uid="{00000000-0005-0000-0000-000071420000}"/>
    <cellStyle name="Normal 3 6 3 10" xfId="17006" xr:uid="{00000000-0005-0000-0000-000072420000}"/>
    <cellStyle name="Normal 3 6 3 11" xfId="17007" xr:uid="{00000000-0005-0000-0000-000073420000}"/>
    <cellStyle name="Normal 3 6 3 12" xfId="17008" xr:uid="{00000000-0005-0000-0000-000074420000}"/>
    <cellStyle name="Normal 3 6 3 13" xfId="17009" xr:uid="{00000000-0005-0000-0000-000075420000}"/>
    <cellStyle name="Normal 3 6 3 14" xfId="17010" xr:uid="{00000000-0005-0000-0000-000076420000}"/>
    <cellStyle name="Normal 3 6 3 2" xfId="17011" xr:uid="{00000000-0005-0000-0000-000077420000}"/>
    <cellStyle name="Normal 3 6 3 2 2" xfId="17012" xr:uid="{00000000-0005-0000-0000-000078420000}"/>
    <cellStyle name="Normal 3 6 3 2 3" xfId="17013" xr:uid="{00000000-0005-0000-0000-000079420000}"/>
    <cellStyle name="Normal 3 6 3 2 4" xfId="17014" xr:uid="{00000000-0005-0000-0000-00007A420000}"/>
    <cellStyle name="Normal 3 6 3 2 5" xfId="17015" xr:uid="{00000000-0005-0000-0000-00007B420000}"/>
    <cellStyle name="Normal 3 6 3 2 6" xfId="17016" xr:uid="{00000000-0005-0000-0000-00007C420000}"/>
    <cellStyle name="Normal 3 6 3 3" xfId="17017" xr:uid="{00000000-0005-0000-0000-00007D420000}"/>
    <cellStyle name="Normal 3 6 3 3 2" xfId="17018" xr:uid="{00000000-0005-0000-0000-00007E420000}"/>
    <cellStyle name="Normal 3 6 3 3 3" xfId="17019" xr:uid="{00000000-0005-0000-0000-00007F420000}"/>
    <cellStyle name="Normal 3 6 3 3 4" xfId="17020" xr:uid="{00000000-0005-0000-0000-000080420000}"/>
    <cellStyle name="Normal 3 6 3 3 5" xfId="17021" xr:uid="{00000000-0005-0000-0000-000081420000}"/>
    <cellStyle name="Normal 3 6 3 3 6" xfId="17022" xr:uid="{00000000-0005-0000-0000-000082420000}"/>
    <cellStyle name="Normal 3 6 3 4" xfId="17023" xr:uid="{00000000-0005-0000-0000-000083420000}"/>
    <cellStyle name="Normal 3 6 3 4 2" xfId="17024" xr:uid="{00000000-0005-0000-0000-000084420000}"/>
    <cellStyle name="Normal 3 6 3 4 3" xfId="17025" xr:uid="{00000000-0005-0000-0000-000085420000}"/>
    <cellStyle name="Normal 3 6 3 4 4" xfId="17026" xr:uid="{00000000-0005-0000-0000-000086420000}"/>
    <cellStyle name="Normal 3 6 3 4 5" xfId="17027" xr:uid="{00000000-0005-0000-0000-000087420000}"/>
    <cellStyle name="Normal 3 6 3 4 6" xfId="17028" xr:uid="{00000000-0005-0000-0000-000088420000}"/>
    <cellStyle name="Normal 3 6 3 5" xfId="17029" xr:uid="{00000000-0005-0000-0000-000089420000}"/>
    <cellStyle name="Normal 3 6 3 5 2" xfId="17030" xr:uid="{00000000-0005-0000-0000-00008A420000}"/>
    <cellStyle name="Normal 3 6 3 5 3" xfId="17031" xr:uid="{00000000-0005-0000-0000-00008B420000}"/>
    <cellStyle name="Normal 3 6 3 5 4" xfId="17032" xr:uid="{00000000-0005-0000-0000-00008C420000}"/>
    <cellStyle name="Normal 3 6 3 5 5" xfId="17033" xr:uid="{00000000-0005-0000-0000-00008D420000}"/>
    <cellStyle name="Normal 3 6 3 5 6" xfId="17034" xr:uid="{00000000-0005-0000-0000-00008E420000}"/>
    <cellStyle name="Normal 3 6 3 6" xfId="17035" xr:uid="{00000000-0005-0000-0000-00008F420000}"/>
    <cellStyle name="Normal 3 6 3 6 2" xfId="17036" xr:uid="{00000000-0005-0000-0000-000090420000}"/>
    <cellStyle name="Normal 3 6 3 6 3" xfId="17037" xr:uid="{00000000-0005-0000-0000-000091420000}"/>
    <cellStyle name="Normal 3 6 3 6 4" xfId="17038" xr:uid="{00000000-0005-0000-0000-000092420000}"/>
    <cellStyle name="Normal 3 6 3 6 5" xfId="17039" xr:uid="{00000000-0005-0000-0000-000093420000}"/>
    <cellStyle name="Normal 3 6 3 6 6" xfId="17040" xr:uid="{00000000-0005-0000-0000-000094420000}"/>
    <cellStyle name="Normal 3 6 3 7" xfId="17041" xr:uid="{00000000-0005-0000-0000-000095420000}"/>
    <cellStyle name="Normal 3 6 3 7 2" xfId="17042" xr:uid="{00000000-0005-0000-0000-000096420000}"/>
    <cellStyle name="Normal 3 6 3 7 3" xfId="17043" xr:uid="{00000000-0005-0000-0000-000097420000}"/>
    <cellStyle name="Normal 3 6 3 7 4" xfId="17044" xr:uid="{00000000-0005-0000-0000-000098420000}"/>
    <cellStyle name="Normal 3 6 3 7 5" xfId="17045" xr:uid="{00000000-0005-0000-0000-000099420000}"/>
    <cellStyle name="Normal 3 6 3 7 6" xfId="17046" xr:uid="{00000000-0005-0000-0000-00009A420000}"/>
    <cellStyle name="Normal 3 6 3 8" xfId="17047" xr:uid="{00000000-0005-0000-0000-00009B420000}"/>
    <cellStyle name="Normal 3 6 3 8 2" xfId="17048" xr:uid="{00000000-0005-0000-0000-00009C420000}"/>
    <cellStyle name="Normal 3 6 3 8 3" xfId="17049" xr:uid="{00000000-0005-0000-0000-00009D420000}"/>
    <cellStyle name="Normal 3 6 3 8 4" xfId="17050" xr:uid="{00000000-0005-0000-0000-00009E420000}"/>
    <cellStyle name="Normal 3 6 3 8 5" xfId="17051" xr:uid="{00000000-0005-0000-0000-00009F420000}"/>
    <cellStyle name="Normal 3 6 3 8 6" xfId="17052" xr:uid="{00000000-0005-0000-0000-0000A0420000}"/>
    <cellStyle name="Normal 3 6 3 9" xfId="17053" xr:uid="{00000000-0005-0000-0000-0000A1420000}"/>
    <cellStyle name="Normal 3 6 3 9 2" xfId="17054" xr:uid="{00000000-0005-0000-0000-0000A2420000}"/>
    <cellStyle name="Normal 3 6 3 9 3" xfId="17055" xr:uid="{00000000-0005-0000-0000-0000A3420000}"/>
    <cellStyle name="Normal 3 6 3 9 4" xfId="17056" xr:uid="{00000000-0005-0000-0000-0000A4420000}"/>
    <cellStyle name="Normal 3 6 3 9 5" xfId="17057" xr:uid="{00000000-0005-0000-0000-0000A5420000}"/>
    <cellStyle name="Normal 3 6 3 9 6" xfId="17058" xr:uid="{00000000-0005-0000-0000-0000A6420000}"/>
    <cellStyle name="Normal 3 6 4" xfId="17059" xr:uid="{00000000-0005-0000-0000-0000A7420000}"/>
    <cellStyle name="Normal 3 6 4 2" xfId="17060" xr:uid="{00000000-0005-0000-0000-0000A8420000}"/>
    <cellStyle name="Normal 3 6 4 3" xfId="17061" xr:uid="{00000000-0005-0000-0000-0000A9420000}"/>
    <cellStyle name="Normal 3 6 4 4" xfId="17062" xr:uid="{00000000-0005-0000-0000-0000AA420000}"/>
    <cellStyle name="Normal 3 6 4 5" xfId="17063" xr:uid="{00000000-0005-0000-0000-0000AB420000}"/>
    <cellStyle name="Normal 3 6 4 6" xfId="17064" xr:uid="{00000000-0005-0000-0000-0000AC420000}"/>
    <cellStyle name="Normal 3 6 5" xfId="17065" xr:uid="{00000000-0005-0000-0000-0000AD420000}"/>
    <cellStyle name="Normal 3 6 5 2" xfId="17066" xr:uid="{00000000-0005-0000-0000-0000AE420000}"/>
    <cellStyle name="Normal 3 6 5 3" xfId="17067" xr:uid="{00000000-0005-0000-0000-0000AF420000}"/>
    <cellStyle name="Normal 3 6 5 4" xfId="17068" xr:uid="{00000000-0005-0000-0000-0000B0420000}"/>
    <cellStyle name="Normal 3 6 5 5" xfId="17069" xr:uid="{00000000-0005-0000-0000-0000B1420000}"/>
    <cellStyle name="Normal 3 6 5 6" xfId="17070" xr:uid="{00000000-0005-0000-0000-0000B2420000}"/>
    <cellStyle name="Normal 3 6 6" xfId="17071" xr:uid="{00000000-0005-0000-0000-0000B3420000}"/>
    <cellStyle name="Normal 3 6 6 2" xfId="17072" xr:uid="{00000000-0005-0000-0000-0000B4420000}"/>
    <cellStyle name="Normal 3 6 6 3" xfId="17073" xr:uid="{00000000-0005-0000-0000-0000B5420000}"/>
    <cellStyle name="Normal 3 6 6 4" xfId="17074" xr:uid="{00000000-0005-0000-0000-0000B6420000}"/>
    <cellStyle name="Normal 3 6 6 5" xfId="17075" xr:uid="{00000000-0005-0000-0000-0000B7420000}"/>
    <cellStyle name="Normal 3 6 6 6" xfId="17076" xr:uid="{00000000-0005-0000-0000-0000B8420000}"/>
    <cellStyle name="Normal 3 6 7" xfId="17077" xr:uid="{00000000-0005-0000-0000-0000B9420000}"/>
    <cellStyle name="Normal 3 6 7 2" xfId="17078" xr:uid="{00000000-0005-0000-0000-0000BA420000}"/>
    <cellStyle name="Normal 3 6 7 3" xfId="17079" xr:uid="{00000000-0005-0000-0000-0000BB420000}"/>
    <cellStyle name="Normal 3 6 7 4" xfId="17080" xr:uid="{00000000-0005-0000-0000-0000BC420000}"/>
    <cellStyle name="Normal 3 6 7 5" xfId="17081" xr:uid="{00000000-0005-0000-0000-0000BD420000}"/>
    <cellStyle name="Normal 3 6 7 6" xfId="17082" xr:uid="{00000000-0005-0000-0000-0000BE420000}"/>
    <cellStyle name="Normal 3 6 8" xfId="17083" xr:uid="{00000000-0005-0000-0000-0000BF420000}"/>
    <cellStyle name="Normal 3 6 8 2" xfId="17084" xr:uid="{00000000-0005-0000-0000-0000C0420000}"/>
    <cellStyle name="Normal 3 6 8 3" xfId="17085" xr:uid="{00000000-0005-0000-0000-0000C1420000}"/>
    <cellStyle name="Normal 3 6 8 4" xfId="17086" xr:uid="{00000000-0005-0000-0000-0000C2420000}"/>
    <cellStyle name="Normal 3 6 8 5" xfId="17087" xr:uid="{00000000-0005-0000-0000-0000C3420000}"/>
    <cellStyle name="Normal 3 6 8 6" xfId="17088" xr:uid="{00000000-0005-0000-0000-0000C4420000}"/>
    <cellStyle name="Normal 3 6 9" xfId="17089" xr:uid="{00000000-0005-0000-0000-0000C5420000}"/>
    <cellStyle name="Normal 3 6 9 2" xfId="17090" xr:uid="{00000000-0005-0000-0000-0000C6420000}"/>
    <cellStyle name="Normal 3 6 9 3" xfId="17091" xr:uid="{00000000-0005-0000-0000-0000C7420000}"/>
    <cellStyle name="Normal 3 6 9 4" xfId="17092" xr:uid="{00000000-0005-0000-0000-0000C8420000}"/>
    <cellStyle name="Normal 3 6 9 5" xfId="17093" xr:uid="{00000000-0005-0000-0000-0000C9420000}"/>
    <cellStyle name="Normal 3 6 9 6" xfId="17094" xr:uid="{00000000-0005-0000-0000-0000CA420000}"/>
    <cellStyle name="Normal 3 7" xfId="17095" xr:uid="{00000000-0005-0000-0000-0000CB420000}"/>
    <cellStyle name="Normal 3 7 10" xfId="17096" xr:uid="{00000000-0005-0000-0000-0000CC420000}"/>
    <cellStyle name="Normal 3 7 10 2" xfId="17097" xr:uid="{00000000-0005-0000-0000-0000CD420000}"/>
    <cellStyle name="Normal 3 7 10 3" xfId="17098" xr:uid="{00000000-0005-0000-0000-0000CE420000}"/>
    <cellStyle name="Normal 3 7 10 4" xfId="17099" xr:uid="{00000000-0005-0000-0000-0000CF420000}"/>
    <cellStyle name="Normal 3 7 10 5" xfId="17100" xr:uid="{00000000-0005-0000-0000-0000D0420000}"/>
    <cellStyle name="Normal 3 7 10 6" xfId="17101" xr:uid="{00000000-0005-0000-0000-0000D1420000}"/>
    <cellStyle name="Normal 3 7 11" xfId="17102" xr:uid="{00000000-0005-0000-0000-0000D2420000}"/>
    <cellStyle name="Normal 3 7 11 2" xfId="17103" xr:uid="{00000000-0005-0000-0000-0000D3420000}"/>
    <cellStyle name="Normal 3 7 11 3" xfId="17104" xr:uid="{00000000-0005-0000-0000-0000D4420000}"/>
    <cellStyle name="Normal 3 7 11 4" xfId="17105" xr:uid="{00000000-0005-0000-0000-0000D5420000}"/>
    <cellStyle name="Normal 3 7 11 5" xfId="17106" xr:uid="{00000000-0005-0000-0000-0000D6420000}"/>
    <cellStyle name="Normal 3 7 11 6" xfId="17107" xr:uid="{00000000-0005-0000-0000-0000D7420000}"/>
    <cellStyle name="Normal 3 7 12" xfId="17108" xr:uid="{00000000-0005-0000-0000-0000D8420000}"/>
    <cellStyle name="Normal 3 7 13" xfId="17109" xr:uid="{00000000-0005-0000-0000-0000D9420000}"/>
    <cellStyle name="Normal 3 7 14" xfId="17110" xr:uid="{00000000-0005-0000-0000-0000DA420000}"/>
    <cellStyle name="Normal 3 7 15" xfId="17111" xr:uid="{00000000-0005-0000-0000-0000DB420000}"/>
    <cellStyle name="Normal 3 7 16" xfId="17112" xr:uid="{00000000-0005-0000-0000-0000DC420000}"/>
    <cellStyle name="Normal 3 7 2" xfId="17113" xr:uid="{00000000-0005-0000-0000-0000DD420000}"/>
    <cellStyle name="Normal 3 7 2 10" xfId="17114" xr:uid="{00000000-0005-0000-0000-0000DE420000}"/>
    <cellStyle name="Normal 3 7 2 10 2" xfId="17115" xr:uid="{00000000-0005-0000-0000-0000DF420000}"/>
    <cellStyle name="Normal 3 7 2 10 3" xfId="17116" xr:uid="{00000000-0005-0000-0000-0000E0420000}"/>
    <cellStyle name="Normal 3 7 2 10 4" xfId="17117" xr:uid="{00000000-0005-0000-0000-0000E1420000}"/>
    <cellStyle name="Normal 3 7 2 10 5" xfId="17118" xr:uid="{00000000-0005-0000-0000-0000E2420000}"/>
    <cellStyle name="Normal 3 7 2 10 6" xfId="17119" xr:uid="{00000000-0005-0000-0000-0000E3420000}"/>
    <cellStyle name="Normal 3 7 2 11" xfId="17120" xr:uid="{00000000-0005-0000-0000-0000E4420000}"/>
    <cellStyle name="Normal 3 7 2 12" xfId="17121" xr:uid="{00000000-0005-0000-0000-0000E5420000}"/>
    <cellStyle name="Normal 3 7 2 13" xfId="17122" xr:uid="{00000000-0005-0000-0000-0000E6420000}"/>
    <cellStyle name="Normal 3 7 2 14" xfId="17123" xr:uid="{00000000-0005-0000-0000-0000E7420000}"/>
    <cellStyle name="Normal 3 7 2 15" xfId="17124" xr:uid="{00000000-0005-0000-0000-0000E8420000}"/>
    <cellStyle name="Normal 3 7 2 2" xfId="17125" xr:uid="{00000000-0005-0000-0000-0000E9420000}"/>
    <cellStyle name="Normal 3 7 2 2 10" xfId="17126" xr:uid="{00000000-0005-0000-0000-0000EA420000}"/>
    <cellStyle name="Normal 3 7 2 2 11" xfId="17127" xr:uid="{00000000-0005-0000-0000-0000EB420000}"/>
    <cellStyle name="Normal 3 7 2 2 12" xfId="17128" xr:uid="{00000000-0005-0000-0000-0000EC420000}"/>
    <cellStyle name="Normal 3 7 2 2 13" xfId="17129" xr:uid="{00000000-0005-0000-0000-0000ED420000}"/>
    <cellStyle name="Normal 3 7 2 2 14" xfId="17130" xr:uid="{00000000-0005-0000-0000-0000EE420000}"/>
    <cellStyle name="Normal 3 7 2 2 2" xfId="17131" xr:uid="{00000000-0005-0000-0000-0000EF420000}"/>
    <cellStyle name="Normal 3 7 2 2 2 2" xfId="17132" xr:uid="{00000000-0005-0000-0000-0000F0420000}"/>
    <cellStyle name="Normal 3 7 2 2 2 3" xfId="17133" xr:uid="{00000000-0005-0000-0000-0000F1420000}"/>
    <cellStyle name="Normal 3 7 2 2 2 4" xfId="17134" xr:uid="{00000000-0005-0000-0000-0000F2420000}"/>
    <cellStyle name="Normal 3 7 2 2 2 5" xfId="17135" xr:uid="{00000000-0005-0000-0000-0000F3420000}"/>
    <cellStyle name="Normal 3 7 2 2 2 6" xfId="17136" xr:uid="{00000000-0005-0000-0000-0000F4420000}"/>
    <cellStyle name="Normal 3 7 2 2 3" xfId="17137" xr:uid="{00000000-0005-0000-0000-0000F5420000}"/>
    <cellStyle name="Normal 3 7 2 2 3 2" xfId="17138" xr:uid="{00000000-0005-0000-0000-0000F6420000}"/>
    <cellStyle name="Normal 3 7 2 2 3 3" xfId="17139" xr:uid="{00000000-0005-0000-0000-0000F7420000}"/>
    <cellStyle name="Normal 3 7 2 2 3 4" xfId="17140" xr:uid="{00000000-0005-0000-0000-0000F8420000}"/>
    <cellStyle name="Normal 3 7 2 2 3 5" xfId="17141" xr:uid="{00000000-0005-0000-0000-0000F9420000}"/>
    <cellStyle name="Normal 3 7 2 2 3 6" xfId="17142" xr:uid="{00000000-0005-0000-0000-0000FA420000}"/>
    <cellStyle name="Normal 3 7 2 2 4" xfId="17143" xr:uid="{00000000-0005-0000-0000-0000FB420000}"/>
    <cellStyle name="Normal 3 7 2 2 4 2" xfId="17144" xr:uid="{00000000-0005-0000-0000-0000FC420000}"/>
    <cellStyle name="Normal 3 7 2 2 4 3" xfId="17145" xr:uid="{00000000-0005-0000-0000-0000FD420000}"/>
    <cellStyle name="Normal 3 7 2 2 4 4" xfId="17146" xr:uid="{00000000-0005-0000-0000-0000FE420000}"/>
    <cellStyle name="Normal 3 7 2 2 4 5" xfId="17147" xr:uid="{00000000-0005-0000-0000-0000FF420000}"/>
    <cellStyle name="Normal 3 7 2 2 4 6" xfId="17148" xr:uid="{00000000-0005-0000-0000-000000430000}"/>
    <cellStyle name="Normal 3 7 2 2 5" xfId="17149" xr:uid="{00000000-0005-0000-0000-000001430000}"/>
    <cellStyle name="Normal 3 7 2 2 5 2" xfId="17150" xr:uid="{00000000-0005-0000-0000-000002430000}"/>
    <cellStyle name="Normal 3 7 2 2 5 3" xfId="17151" xr:uid="{00000000-0005-0000-0000-000003430000}"/>
    <cellStyle name="Normal 3 7 2 2 5 4" xfId="17152" xr:uid="{00000000-0005-0000-0000-000004430000}"/>
    <cellStyle name="Normal 3 7 2 2 5 5" xfId="17153" xr:uid="{00000000-0005-0000-0000-000005430000}"/>
    <cellStyle name="Normal 3 7 2 2 5 6" xfId="17154" xr:uid="{00000000-0005-0000-0000-000006430000}"/>
    <cellStyle name="Normal 3 7 2 2 6" xfId="17155" xr:uid="{00000000-0005-0000-0000-000007430000}"/>
    <cellStyle name="Normal 3 7 2 2 6 2" xfId="17156" xr:uid="{00000000-0005-0000-0000-000008430000}"/>
    <cellStyle name="Normal 3 7 2 2 6 3" xfId="17157" xr:uid="{00000000-0005-0000-0000-000009430000}"/>
    <cellStyle name="Normal 3 7 2 2 6 4" xfId="17158" xr:uid="{00000000-0005-0000-0000-00000A430000}"/>
    <cellStyle name="Normal 3 7 2 2 6 5" xfId="17159" xr:uid="{00000000-0005-0000-0000-00000B430000}"/>
    <cellStyle name="Normal 3 7 2 2 6 6" xfId="17160" xr:uid="{00000000-0005-0000-0000-00000C430000}"/>
    <cellStyle name="Normal 3 7 2 2 7" xfId="17161" xr:uid="{00000000-0005-0000-0000-00000D430000}"/>
    <cellStyle name="Normal 3 7 2 2 7 2" xfId="17162" xr:uid="{00000000-0005-0000-0000-00000E430000}"/>
    <cellStyle name="Normal 3 7 2 2 7 3" xfId="17163" xr:uid="{00000000-0005-0000-0000-00000F430000}"/>
    <cellStyle name="Normal 3 7 2 2 7 4" xfId="17164" xr:uid="{00000000-0005-0000-0000-000010430000}"/>
    <cellStyle name="Normal 3 7 2 2 7 5" xfId="17165" xr:uid="{00000000-0005-0000-0000-000011430000}"/>
    <cellStyle name="Normal 3 7 2 2 7 6" xfId="17166" xr:uid="{00000000-0005-0000-0000-000012430000}"/>
    <cellStyle name="Normal 3 7 2 2 8" xfId="17167" xr:uid="{00000000-0005-0000-0000-000013430000}"/>
    <cellStyle name="Normal 3 7 2 2 8 2" xfId="17168" xr:uid="{00000000-0005-0000-0000-000014430000}"/>
    <cellStyle name="Normal 3 7 2 2 8 3" xfId="17169" xr:uid="{00000000-0005-0000-0000-000015430000}"/>
    <cellStyle name="Normal 3 7 2 2 8 4" xfId="17170" xr:uid="{00000000-0005-0000-0000-000016430000}"/>
    <cellStyle name="Normal 3 7 2 2 8 5" xfId="17171" xr:uid="{00000000-0005-0000-0000-000017430000}"/>
    <cellStyle name="Normal 3 7 2 2 8 6" xfId="17172" xr:uid="{00000000-0005-0000-0000-000018430000}"/>
    <cellStyle name="Normal 3 7 2 2 9" xfId="17173" xr:uid="{00000000-0005-0000-0000-000019430000}"/>
    <cellStyle name="Normal 3 7 2 2 9 2" xfId="17174" xr:uid="{00000000-0005-0000-0000-00001A430000}"/>
    <cellStyle name="Normal 3 7 2 2 9 3" xfId="17175" xr:uid="{00000000-0005-0000-0000-00001B430000}"/>
    <cellStyle name="Normal 3 7 2 2 9 4" xfId="17176" xr:uid="{00000000-0005-0000-0000-00001C430000}"/>
    <cellStyle name="Normal 3 7 2 2 9 5" xfId="17177" xr:uid="{00000000-0005-0000-0000-00001D430000}"/>
    <cellStyle name="Normal 3 7 2 2 9 6" xfId="17178" xr:uid="{00000000-0005-0000-0000-00001E430000}"/>
    <cellStyle name="Normal 3 7 2 3" xfId="17179" xr:uid="{00000000-0005-0000-0000-00001F430000}"/>
    <cellStyle name="Normal 3 7 2 3 2" xfId="17180" xr:uid="{00000000-0005-0000-0000-000020430000}"/>
    <cellStyle name="Normal 3 7 2 3 3" xfId="17181" xr:uid="{00000000-0005-0000-0000-000021430000}"/>
    <cellStyle name="Normal 3 7 2 3 4" xfId="17182" xr:uid="{00000000-0005-0000-0000-000022430000}"/>
    <cellStyle name="Normal 3 7 2 3 5" xfId="17183" xr:uid="{00000000-0005-0000-0000-000023430000}"/>
    <cellStyle name="Normal 3 7 2 3 6" xfId="17184" xr:uid="{00000000-0005-0000-0000-000024430000}"/>
    <cellStyle name="Normal 3 7 2 4" xfId="17185" xr:uid="{00000000-0005-0000-0000-000025430000}"/>
    <cellStyle name="Normal 3 7 2 4 2" xfId="17186" xr:uid="{00000000-0005-0000-0000-000026430000}"/>
    <cellStyle name="Normal 3 7 2 4 3" xfId="17187" xr:uid="{00000000-0005-0000-0000-000027430000}"/>
    <cellStyle name="Normal 3 7 2 4 4" xfId="17188" xr:uid="{00000000-0005-0000-0000-000028430000}"/>
    <cellStyle name="Normal 3 7 2 4 5" xfId="17189" xr:uid="{00000000-0005-0000-0000-000029430000}"/>
    <cellStyle name="Normal 3 7 2 4 6" xfId="17190" xr:uid="{00000000-0005-0000-0000-00002A430000}"/>
    <cellStyle name="Normal 3 7 2 5" xfId="17191" xr:uid="{00000000-0005-0000-0000-00002B430000}"/>
    <cellStyle name="Normal 3 7 2 5 2" xfId="17192" xr:uid="{00000000-0005-0000-0000-00002C430000}"/>
    <cellStyle name="Normal 3 7 2 5 3" xfId="17193" xr:uid="{00000000-0005-0000-0000-00002D430000}"/>
    <cellStyle name="Normal 3 7 2 5 4" xfId="17194" xr:uid="{00000000-0005-0000-0000-00002E430000}"/>
    <cellStyle name="Normal 3 7 2 5 5" xfId="17195" xr:uid="{00000000-0005-0000-0000-00002F430000}"/>
    <cellStyle name="Normal 3 7 2 5 6" xfId="17196" xr:uid="{00000000-0005-0000-0000-000030430000}"/>
    <cellStyle name="Normal 3 7 2 6" xfId="17197" xr:uid="{00000000-0005-0000-0000-000031430000}"/>
    <cellStyle name="Normal 3 7 2 6 2" xfId="17198" xr:uid="{00000000-0005-0000-0000-000032430000}"/>
    <cellStyle name="Normal 3 7 2 6 3" xfId="17199" xr:uid="{00000000-0005-0000-0000-000033430000}"/>
    <cellStyle name="Normal 3 7 2 6 4" xfId="17200" xr:uid="{00000000-0005-0000-0000-000034430000}"/>
    <cellStyle name="Normal 3 7 2 6 5" xfId="17201" xr:uid="{00000000-0005-0000-0000-000035430000}"/>
    <cellStyle name="Normal 3 7 2 6 6" xfId="17202" xr:uid="{00000000-0005-0000-0000-000036430000}"/>
    <cellStyle name="Normal 3 7 2 7" xfId="17203" xr:uid="{00000000-0005-0000-0000-000037430000}"/>
    <cellStyle name="Normal 3 7 2 7 2" xfId="17204" xr:uid="{00000000-0005-0000-0000-000038430000}"/>
    <cellStyle name="Normal 3 7 2 7 3" xfId="17205" xr:uid="{00000000-0005-0000-0000-000039430000}"/>
    <cellStyle name="Normal 3 7 2 7 4" xfId="17206" xr:uid="{00000000-0005-0000-0000-00003A430000}"/>
    <cellStyle name="Normal 3 7 2 7 5" xfId="17207" xr:uid="{00000000-0005-0000-0000-00003B430000}"/>
    <cellStyle name="Normal 3 7 2 7 6" xfId="17208" xr:uid="{00000000-0005-0000-0000-00003C430000}"/>
    <cellStyle name="Normal 3 7 2 8" xfId="17209" xr:uid="{00000000-0005-0000-0000-00003D430000}"/>
    <cellStyle name="Normal 3 7 2 8 2" xfId="17210" xr:uid="{00000000-0005-0000-0000-00003E430000}"/>
    <cellStyle name="Normal 3 7 2 8 3" xfId="17211" xr:uid="{00000000-0005-0000-0000-00003F430000}"/>
    <cellStyle name="Normal 3 7 2 8 4" xfId="17212" xr:uid="{00000000-0005-0000-0000-000040430000}"/>
    <cellStyle name="Normal 3 7 2 8 5" xfId="17213" xr:uid="{00000000-0005-0000-0000-000041430000}"/>
    <cellStyle name="Normal 3 7 2 8 6" xfId="17214" xr:uid="{00000000-0005-0000-0000-000042430000}"/>
    <cellStyle name="Normal 3 7 2 9" xfId="17215" xr:uid="{00000000-0005-0000-0000-000043430000}"/>
    <cellStyle name="Normal 3 7 2 9 2" xfId="17216" xr:uid="{00000000-0005-0000-0000-000044430000}"/>
    <cellStyle name="Normal 3 7 2 9 3" xfId="17217" xr:uid="{00000000-0005-0000-0000-000045430000}"/>
    <cellStyle name="Normal 3 7 2 9 4" xfId="17218" xr:uid="{00000000-0005-0000-0000-000046430000}"/>
    <cellStyle name="Normal 3 7 2 9 5" xfId="17219" xr:uid="{00000000-0005-0000-0000-000047430000}"/>
    <cellStyle name="Normal 3 7 2 9 6" xfId="17220" xr:uid="{00000000-0005-0000-0000-000048430000}"/>
    <cellStyle name="Normal 3 7 3" xfId="17221" xr:uid="{00000000-0005-0000-0000-000049430000}"/>
    <cellStyle name="Normal 3 7 3 10" xfId="17222" xr:uid="{00000000-0005-0000-0000-00004A430000}"/>
    <cellStyle name="Normal 3 7 3 11" xfId="17223" xr:uid="{00000000-0005-0000-0000-00004B430000}"/>
    <cellStyle name="Normal 3 7 3 12" xfId="17224" xr:uid="{00000000-0005-0000-0000-00004C430000}"/>
    <cellStyle name="Normal 3 7 3 13" xfId="17225" xr:uid="{00000000-0005-0000-0000-00004D430000}"/>
    <cellStyle name="Normal 3 7 3 14" xfId="17226" xr:uid="{00000000-0005-0000-0000-00004E430000}"/>
    <cellStyle name="Normal 3 7 3 2" xfId="17227" xr:uid="{00000000-0005-0000-0000-00004F430000}"/>
    <cellStyle name="Normal 3 7 3 2 2" xfId="17228" xr:uid="{00000000-0005-0000-0000-000050430000}"/>
    <cellStyle name="Normal 3 7 3 2 3" xfId="17229" xr:uid="{00000000-0005-0000-0000-000051430000}"/>
    <cellStyle name="Normal 3 7 3 2 4" xfId="17230" xr:uid="{00000000-0005-0000-0000-000052430000}"/>
    <cellStyle name="Normal 3 7 3 2 5" xfId="17231" xr:uid="{00000000-0005-0000-0000-000053430000}"/>
    <cellStyle name="Normal 3 7 3 2 6" xfId="17232" xr:uid="{00000000-0005-0000-0000-000054430000}"/>
    <cellStyle name="Normal 3 7 3 3" xfId="17233" xr:uid="{00000000-0005-0000-0000-000055430000}"/>
    <cellStyle name="Normal 3 7 3 3 2" xfId="17234" xr:uid="{00000000-0005-0000-0000-000056430000}"/>
    <cellStyle name="Normal 3 7 3 3 3" xfId="17235" xr:uid="{00000000-0005-0000-0000-000057430000}"/>
    <cellStyle name="Normal 3 7 3 3 4" xfId="17236" xr:uid="{00000000-0005-0000-0000-000058430000}"/>
    <cellStyle name="Normal 3 7 3 3 5" xfId="17237" xr:uid="{00000000-0005-0000-0000-000059430000}"/>
    <cellStyle name="Normal 3 7 3 3 6" xfId="17238" xr:uid="{00000000-0005-0000-0000-00005A430000}"/>
    <cellStyle name="Normal 3 7 3 4" xfId="17239" xr:uid="{00000000-0005-0000-0000-00005B430000}"/>
    <cellStyle name="Normal 3 7 3 4 2" xfId="17240" xr:uid="{00000000-0005-0000-0000-00005C430000}"/>
    <cellStyle name="Normal 3 7 3 4 3" xfId="17241" xr:uid="{00000000-0005-0000-0000-00005D430000}"/>
    <cellStyle name="Normal 3 7 3 4 4" xfId="17242" xr:uid="{00000000-0005-0000-0000-00005E430000}"/>
    <cellStyle name="Normal 3 7 3 4 5" xfId="17243" xr:uid="{00000000-0005-0000-0000-00005F430000}"/>
    <cellStyle name="Normal 3 7 3 4 6" xfId="17244" xr:uid="{00000000-0005-0000-0000-000060430000}"/>
    <cellStyle name="Normal 3 7 3 5" xfId="17245" xr:uid="{00000000-0005-0000-0000-000061430000}"/>
    <cellStyle name="Normal 3 7 3 5 2" xfId="17246" xr:uid="{00000000-0005-0000-0000-000062430000}"/>
    <cellStyle name="Normal 3 7 3 5 3" xfId="17247" xr:uid="{00000000-0005-0000-0000-000063430000}"/>
    <cellStyle name="Normal 3 7 3 5 4" xfId="17248" xr:uid="{00000000-0005-0000-0000-000064430000}"/>
    <cellStyle name="Normal 3 7 3 5 5" xfId="17249" xr:uid="{00000000-0005-0000-0000-000065430000}"/>
    <cellStyle name="Normal 3 7 3 5 6" xfId="17250" xr:uid="{00000000-0005-0000-0000-000066430000}"/>
    <cellStyle name="Normal 3 7 3 6" xfId="17251" xr:uid="{00000000-0005-0000-0000-000067430000}"/>
    <cellStyle name="Normal 3 7 3 6 2" xfId="17252" xr:uid="{00000000-0005-0000-0000-000068430000}"/>
    <cellStyle name="Normal 3 7 3 6 3" xfId="17253" xr:uid="{00000000-0005-0000-0000-000069430000}"/>
    <cellStyle name="Normal 3 7 3 6 4" xfId="17254" xr:uid="{00000000-0005-0000-0000-00006A430000}"/>
    <cellStyle name="Normal 3 7 3 6 5" xfId="17255" xr:uid="{00000000-0005-0000-0000-00006B430000}"/>
    <cellStyle name="Normal 3 7 3 6 6" xfId="17256" xr:uid="{00000000-0005-0000-0000-00006C430000}"/>
    <cellStyle name="Normal 3 7 3 7" xfId="17257" xr:uid="{00000000-0005-0000-0000-00006D430000}"/>
    <cellStyle name="Normal 3 7 3 7 2" xfId="17258" xr:uid="{00000000-0005-0000-0000-00006E430000}"/>
    <cellStyle name="Normal 3 7 3 7 3" xfId="17259" xr:uid="{00000000-0005-0000-0000-00006F430000}"/>
    <cellStyle name="Normal 3 7 3 7 4" xfId="17260" xr:uid="{00000000-0005-0000-0000-000070430000}"/>
    <cellStyle name="Normal 3 7 3 7 5" xfId="17261" xr:uid="{00000000-0005-0000-0000-000071430000}"/>
    <cellStyle name="Normal 3 7 3 7 6" xfId="17262" xr:uid="{00000000-0005-0000-0000-000072430000}"/>
    <cellStyle name="Normal 3 7 3 8" xfId="17263" xr:uid="{00000000-0005-0000-0000-000073430000}"/>
    <cellStyle name="Normal 3 7 3 8 2" xfId="17264" xr:uid="{00000000-0005-0000-0000-000074430000}"/>
    <cellStyle name="Normal 3 7 3 8 3" xfId="17265" xr:uid="{00000000-0005-0000-0000-000075430000}"/>
    <cellStyle name="Normal 3 7 3 8 4" xfId="17266" xr:uid="{00000000-0005-0000-0000-000076430000}"/>
    <cellStyle name="Normal 3 7 3 8 5" xfId="17267" xr:uid="{00000000-0005-0000-0000-000077430000}"/>
    <cellStyle name="Normal 3 7 3 8 6" xfId="17268" xr:uid="{00000000-0005-0000-0000-000078430000}"/>
    <cellStyle name="Normal 3 7 3 9" xfId="17269" xr:uid="{00000000-0005-0000-0000-000079430000}"/>
    <cellStyle name="Normal 3 7 3 9 2" xfId="17270" xr:uid="{00000000-0005-0000-0000-00007A430000}"/>
    <cellStyle name="Normal 3 7 3 9 3" xfId="17271" xr:uid="{00000000-0005-0000-0000-00007B430000}"/>
    <cellStyle name="Normal 3 7 3 9 4" xfId="17272" xr:uid="{00000000-0005-0000-0000-00007C430000}"/>
    <cellStyle name="Normal 3 7 3 9 5" xfId="17273" xr:uid="{00000000-0005-0000-0000-00007D430000}"/>
    <cellStyle name="Normal 3 7 3 9 6" xfId="17274" xr:uid="{00000000-0005-0000-0000-00007E430000}"/>
    <cellStyle name="Normal 3 7 4" xfId="17275" xr:uid="{00000000-0005-0000-0000-00007F430000}"/>
    <cellStyle name="Normal 3 7 4 2" xfId="17276" xr:uid="{00000000-0005-0000-0000-000080430000}"/>
    <cellStyle name="Normal 3 7 4 3" xfId="17277" xr:uid="{00000000-0005-0000-0000-000081430000}"/>
    <cellStyle name="Normal 3 7 4 4" xfId="17278" xr:uid="{00000000-0005-0000-0000-000082430000}"/>
    <cellStyle name="Normal 3 7 4 5" xfId="17279" xr:uid="{00000000-0005-0000-0000-000083430000}"/>
    <cellStyle name="Normal 3 7 4 6" xfId="17280" xr:uid="{00000000-0005-0000-0000-000084430000}"/>
    <cellStyle name="Normal 3 7 5" xfId="17281" xr:uid="{00000000-0005-0000-0000-000085430000}"/>
    <cellStyle name="Normal 3 7 5 2" xfId="17282" xr:uid="{00000000-0005-0000-0000-000086430000}"/>
    <cellStyle name="Normal 3 7 5 3" xfId="17283" xr:uid="{00000000-0005-0000-0000-000087430000}"/>
    <cellStyle name="Normal 3 7 5 4" xfId="17284" xr:uid="{00000000-0005-0000-0000-000088430000}"/>
    <cellStyle name="Normal 3 7 5 5" xfId="17285" xr:uid="{00000000-0005-0000-0000-000089430000}"/>
    <cellStyle name="Normal 3 7 5 6" xfId="17286" xr:uid="{00000000-0005-0000-0000-00008A430000}"/>
    <cellStyle name="Normal 3 7 6" xfId="17287" xr:uid="{00000000-0005-0000-0000-00008B430000}"/>
    <cellStyle name="Normal 3 7 6 2" xfId="17288" xr:uid="{00000000-0005-0000-0000-00008C430000}"/>
    <cellStyle name="Normal 3 7 6 3" xfId="17289" xr:uid="{00000000-0005-0000-0000-00008D430000}"/>
    <cellStyle name="Normal 3 7 6 4" xfId="17290" xr:uid="{00000000-0005-0000-0000-00008E430000}"/>
    <cellStyle name="Normal 3 7 6 5" xfId="17291" xr:uid="{00000000-0005-0000-0000-00008F430000}"/>
    <cellStyle name="Normal 3 7 6 6" xfId="17292" xr:uid="{00000000-0005-0000-0000-000090430000}"/>
    <cellStyle name="Normal 3 7 7" xfId="17293" xr:uid="{00000000-0005-0000-0000-000091430000}"/>
    <cellStyle name="Normal 3 7 7 2" xfId="17294" xr:uid="{00000000-0005-0000-0000-000092430000}"/>
    <cellStyle name="Normal 3 7 7 3" xfId="17295" xr:uid="{00000000-0005-0000-0000-000093430000}"/>
    <cellStyle name="Normal 3 7 7 4" xfId="17296" xr:uid="{00000000-0005-0000-0000-000094430000}"/>
    <cellStyle name="Normal 3 7 7 5" xfId="17297" xr:uid="{00000000-0005-0000-0000-000095430000}"/>
    <cellStyle name="Normal 3 7 7 6" xfId="17298" xr:uid="{00000000-0005-0000-0000-000096430000}"/>
    <cellStyle name="Normal 3 7 8" xfId="17299" xr:uid="{00000000-0005-0000-0000-000097430000}"/>
    <cellStyle name="Normal 3 7 8 2" xfId="17300" xr:uid="{00000000-0005-0000-0000-000098430000}"/>
    <cellStyle name="Normal 3 7 8 3" xfId="17301" xr:uid="{00000000-0005-0000-0000-000099430000}"/>
    <cellStyle name="Normal 3 7 8 4" xfId="17302" xr:uid="{00000000-0005-0000-0000-00009A430000}"/>
    <cellStyle name="Normal 3 7 8 5" xfId="17303" xr:uid="{00000000-0005-0000-0000-00009B430000}"/>
    <cellStyle name="Normal 3 7 8 6" xfId="17304" xr:uid="{00000000-0005-0000-0000-00009C430000}"/>
    <cellStyle name="Normal 3 7 9" xfId="17305" xr:uid="{00000000-0005-0000-0000-00009D430000}"/>
    <cellStyle name="Normal 3 7 9 2" xfId="17306" xr:uid="{00000000-0005-0000-0000-00009E430000}"/>
    <cellStyle name="Normal 3 7 9 3" xfId="17307" xr:uid="{00000000-0005-0000-0000-00009F430000}"/>
    <cellStyle name="Normal 3 7 9 4" xfId="17308" xr:uid="{00000000-0005-0000-0000-0000A0430000}"/>
    <cellStyle name="Normal 3 7 9 5" xfId="17309" xr:uid="{00000000-0005-0000-0000-0000A1430000}"/>
    <cellStyle name="Normal 3 7 9 6" xfId="17310" xr:uid="{00000000-0005-0000-0000-0000A2430000}"/>
    <cellStyle name="Normal 3 8" xfId="17311" xr:uid="{00000000-0005-0000-0000-0000A3430000}"/>
    <cellStyle name="Normal 3 9" xfId="17312" xr:uid="{00000000-0005-0000-0000-0000A4430000}"/>
    <cellStyle name="Normal 3_Copy of Neelam DPR1" xfId="18393" xr:uid="{00000000-0005-0000-0000-0000A5430000}"/>
    <cellStyle name="Normal 30" xfId="17313" xr:uid="{00000000-0005-0000-0000-0000A6430000}"/>
    <cellStyle name="Normal 30 10" xfId="17314" xr:uid="{00000000-0005-0000-0000-0000A7430000}"/>
    <cellStyle name="Normal 30 10 2" xfId="17315" xr:uid="{00000000-0005-0000-0000-0000A8430000}"/>
    <cellStyle name="Normal 30 10 3" xfId="17316" xr:uid="{00000000-0005-0000-0000-0000A9430000}"/>
    <cellStyle name="Normal 30 10 4" xfId="17317" xr:uid="{00000000-0005-0000-0000-0000AA430000}"/>
    <cellStyle name="Normal 30 10 5" xfId="17318" xr:uid="{00000000-0005-0000-0000-0000AB430000}"/>
    <cellStyle name="Normal 30 10 6" xfId="17319" xr:uid="{00000000-0005-0000-0000-0000AC430000}"/>
    <cellStyle name="Normal 30 11" xfId="17320" xr:uid="{00000000-0005-0000-0000-0000AD430000}"/>
    <cellStyle name="Normal 30 12" xfId="17321" xr:uid="{00000000-0005-0000-0000-0000AE430000}"/>
    <cellStyle name="Normal 30 13" xfId="17322" xr:uid="{00000000-0005-0000-0000-0000AF430000}"/>
    <cellStyle name="Normal 30 14" xfId="17323" xr:uid="{00000000-0005-0000-0000-0000B0430000}"/>
    <cellStyle name="Normal 30 15" xfId="17324" xr:uid="{00000000-0005-0000-0000-0000B1430000}"/>
    <cellStyle name="Normal 30 2" xfId="17325" xr:uid="{00000000-0005-0000-0000-0000B2430000}"/>
    <cellStyle name="Normal 30 2 10" xfId="17326" xr:uid="{00000000-0005-0000-0000-0000B3430000}"/>
    <cellStyle name="Normal 30 2 11" xfId="17327" xr:uid="{00000000-0005-0000-0000-0000B4430000}"/>
    <cellStyle name="Normal 30 2 12" xfId="17328" xr:uid="{00000000-0005-0000-0000-0000B5430000}"/>
    <cellStyle name="Normal 30 2 13" xfId="17329" xr:uid="{00000000-0005-0000-0000-0000B6430000}"/>
    <cellStyle name="Normal 30 2 14" xfId="17330" xr:uid="{00000000-0005-0000-0000-0000B7430000}"/>
    <cellStyle name="Normal 30 2 2" xfId="17331" xr:uid="{00000000-0005-0000-0000-0000B8430000}"/>
    <cellStyle name="Normal 30 2 2 2" xfId="17332" xr:uid="{00000000-0005-0000-0000-0000B9430000}"/>
    <cellStyle name="Normal 30 2 2 3" xfId="17333" xr:uid="{00000000-0005-0000-0000-0000BA430000}"/>
    <cellStyle name="Normal 30 2 2 4" xfId="17334" xr:uid="{00000000-0005-0000-0000-0000BB430000}"/>
    <cellStyle name="Normal 30 2 2 5" xfId="17335" xr:uid="{00000000-0005-0000-0000-0000BC430000}"/>
    <cellStyle name="Normal 30 2 2 6" xfId="17336" xr:uid="{00000000-0005-0000-0000-0000BD430000}"/>
    <cellStyle name="Normal 30 2 3" xfId="17337" xr:uid="{00000000-0005-0000-0000-0000BE430000}"/>
    <cellStyle name="Normal 30 2 3 2" xfId="17338" xr:uid="{00000000-0005-0000-0000-0000BF430000}"/>
    <cellStyle name="Normal 30 2 3 3" xfId="17339" xr:uid="{00000000-0005-0000-0000-0000C0430000}"/>
    <cellStyle name="Normal 30 2 3 4" xfId="17340" xr:uid="{00000000-0005-0000-0000-0000C1430000}"/>
    <cellStyle name="Normal 30 2 3 5" xfId="17341" xr:uid="{00000000-0005-0000-0000-0000C2430000}"/>
    <cellStyle name="Normal 30 2 3 6" xfId="17342" xr:uid="{00000000-0005-0000-0000-0000C3430000}"/>
    <cellStyle name="Normal 30 2 4" xfId="17343" xr:uid="{00000000-0005-0000-0000-0000C4430000}"/>
    <cellStyle name="Normal 30 2 4 2" xfId="17344" xr:uid="{00000000-0005-0000-0000-0000C5430000}"/>
    <cellStyle name="Normal 30 2 4 3" xfId="17345" xr:uid="{00000000-0005-0000-0000-0000C6430000}"/>
    <cellStyle name="Normal 30 2 4 4" xfId="17346" xr:uid="{00000000-0005-0000-0000-0000C7430000}"/>
    <cellStyle name="Normal 30 2 4 5" xfId="17347" xr:uid="{00000000-0005-0000-0000-0000C8430000}"/>
    <cellStyle name="Normal 30 2 4 6" xfId="17348" xr:uid="{00000000-0005-0000-0000-0000C9430000}"/>
    <cellStyle name="Normal 30 2 5" xfId="17349" xr:uid="{00000000-0005-0000-0000-0000CA430000}"/>
    <cellStyle name="Normal 30 2 5 2" xfId="17350" xr:uid="{00000000-0005-0000-0000-0000CB430000}"/>
    <cellStyle name="Normal 30 2 5 3" xfId="17351" xr:uid="{00000000-0005-0000-0000-0000CC430000}"/>
    <cellStyle name="Normal 30 2 5 4" xfId="17352" xr:uid="{00000000-0005-0000-0000-0000CD430000}"/>
    <cellStyle name="Normal 30 2 5 5" xfId="17353" xr:uid="{00000000-0005-0000-0000-0000CE430000}"/>
    <cellStyle name="Normal 30 2 5 6" xfId="17354" xr:uid="{00000000-0005-0000-0000-0000CF430000}"/>
    <cellStyle name="Normal 30 2 6" xfId="17355" xr:uid="{00000000-0005-0000-0000-0000D0430000}"/>
    <cellStyle name="Normal 30 2 6 2" xfId="17356" xr:uid="{00000000-0005-0000-0000-0000D1430000}"/>
    <cellStyle name="Normal 30 2 6 3" xfId="17357" xr:uid="{00000000-0005-0000-0000-0000D2430000}"/>
    <cellStyle name="Normal 30 2 6 4" xfId="17358" xr:uid="{00000000-0005-0000-0000-0000D3430000}"/>
    <cellStyle name="Normal 30 2 6 5" xfId="17359" xr:uid="{00000000-0005-0000-0000-0000D4430000}"/>
    <cellStyle name="Normal 30 2 6 6" xfId="17360" xr:uid="{00000000-0005-0000-0000-0000D5430000}"/>
    <cellStyle name="Normal 30 2 7" xfId="17361" xr:uid="{00000000-0005-0000-0000-0000D6430000}"/>
    <cellStyle name="Normal 30 2 7 2" xfId="17362" xr:uid="{00000000-0005-0000-0000-0000D7430000}"/>
    <cellStyle name="Normal 30 2 7 3" xfId="17363" xr:uid="{00000000-0005-0000-0000-0000D8430000}"/>
    <cellStyle name="Normal 30 2 7 4" xfId="17364" xr:uid="{00000000-0005-0000-0000-0000D9430000}"/>
    <cellStyle name="Normal 30 2 7 5" xfId="17365" xr:uid="{00000000-0005-0000-0000-0000DA430000}"/>
    <cellStyle name="Normal 30 2 7 6" xfId="17366" xr:uid="{00000000-0005-0000-0000-0000DB430000}"/>
    <cellStyle name="Normal 30 2 8" xfId="17367" xr:uid="{00000000-0005-0000-0000-0000DC430000}"/>
    <cellStyle name="Normal 30 2 8 2" xfId="17368" xr:uid="{00000000-0005-0000-0000-0000DD430000}"/>
    <cellStyle name="Normal 30 2 8 3" xfId="17369" xr:uid="{00000000-0005-0000-0000-0000DE430000}"/>
    <cellStyle name="Normal 30 2 8 4" xfId="17370" xr:uid="{00000000-0005-0000-0000-0000DF430000}"/>
    <cellStyle name="Normal 30 2 8 5" xfId="17371" xr:uid="{00000000-0005-0000-0000-0000E0430000}"/>
    <cellStyle name="Normal 30 2 8 6" xfId="17372" xr:uid="{00000000-0005-0000-0000-0000E1430000}"/>
    <cellStyle name="Normal 30 2 9" xfId="17373" xr:uid="{00000000-0005-0000-0000-0000E2430000}"/>
    <cellStyle name="Normal 30 2 9 2" xfId="17374" xr:uid="{00000000-0005-0000-0000-0000E3430000}"/>
    <cellStyle name="Normal 30 2 9 3" xfId="17375" xr:uid="{00000000-0005-0000-0000-0000E4430000}"/>
    <cellStyle name="Normal 30 2 9 4" xfId="17376" xr:uid="{00000000-0005-0000-0000-0000E5430000}"/>
    <cellStyle name="Normal 30 2 9 5" xfId="17377" xr:uid="{00000000-0005-0000-0000-0000E6430000}"/>
    <cellStyle name="Normal 30 2 9 6" xfId="17378" xr:uid="{00000000-0005-0000-0000-0000E7430000}"/>
    <cellStyle name="Normal 30 3" xfId="17379" xr:uid="{00000000-0005-0000-0000-0000E8430000}"/>
    <cellStyle name="Normal 30 3 2" xfId="17380" xr:uid="{00000000-0005-0000-0000-0000E9430000}"/>
    <cellStyle name="Normal 30 3 3" xfId="17381" xr:uid="{00000000-0005-0000-0000-0000EA430000}"/>
    <cellStyle name="Normal 30 3 4" xfId="17382" xr:uid="{00000000-0005-0000-0000-0000EB430000}"/>
    <cellStyle name="Normal 30 3 5" xfId="17383" xr:uid="{00000000-0005-0000-0000-0000EC430000}"/>
    <cellStyle name="Normal 30 3 6" xfId="17384" xr:uid="{00000000-0005-0000-0000-0000ED430000}"/>
    <cellStyle name="Normal 30 4" xfId="17385" xr:uid="{00000000-0005-0000-0000-0000EE430000}"/>
    <cellStyle name="Normal 30 4 2" xfId="17386" xr:uid="{00000000-0005-0000-0000-0000EF430000}"/>
    <cellStyle name="Normal 30 4 3" xfId="17387" xr:uid="{00000000-0005-0000-0000-0000F0430000}"/>
    <cellStyle name="Normal 30 4 4" xfId="17388" xr:uid="{00000000-0005-0000-0000-0000F1430000}"/>
    <cellStyle name="Normal 30 4 5" xfId="17389" xr:uid="{00000000-0005-0000-0000-0000F2430000}"/>
    <cellStyle name="Normal 30 4 6" xfId="17390" xr:uid="{00000000-0005-0000-0000-0000F3430000}"/>
    <cellStyle name="Normal 30 5" xfId="17391" xr:uid="{00000000-0005-0000-0000-0000F4430000}"/>
    <cellStyle name="Normal 30 5 2" xfId="17392" xr:uid="{00000000-0005-0000-0000-0000F5430000}"/>
    <cellStyle name="Normal 30 5 3" xfId="17393" xr:uid="{00000000-0005-0000-0000-0000F6430000}"/>
    <cellStyle name="Normal 30 5 4" xfId="17394" xr:uid="{00000000-0005-0000-0000-0000F7430000}"/>
    <cellStyle name="Normal 30 5 5" xfId="17395" xr:uid="{00000000-0005-0000-0000-0000F8430000}"/>
    <cellStyle name="Normal 30 5 6" xfId="17396" xr:uid="{00000000-0005-0000-0000-0000F9430000}"/>
    <cellStyle name="Normal 30 6" xfId="17397" xr:uid="{00000000-0005-0000-0000-0000FA430000}"/>
    <cellStyle name="Normal 30 6 2" xfId="17398" xr:uid="{00000000-0005-0000-0000-0000FB430000}"/>
    <cellStyle name="Normal 30 6 3" xfId="17399" xr:uid="{00000000-0005-0000-0000-0000FC430000}"/>
    <cellStyle name="Normal 30 6 4" xfId="17400" xr:uid="{00000000-0005-0000-0000-0000FD430000}"/>
    <cellStyle name="Normal 30 6 5" xfId="17401" xr:uid="{00000000-0005-0000-0000-0000FE430000}"/>
    <cellStyle name="Normal 30 6 6" xfId="17402" xr:uid="{00000000-0005-0000-0000-0000FF430000}"/>
    <cellStyle name="Normal 30 7" xfId="17403" xr:uid="{00000000-0005-0000-0000-000000440000}"/>
    <cellStyle name="Normal 30 7 2" xfId="17404" xr:uid="{00000000-0005-0000-0000-000001440000}"/>
    <cellStyle name="Normal 30 7 3" xfId="17405" xr:uid="{00000000-0005-0000-0000-000002440000}"/>
    <cellStyle name="Normal 30 7 4" xfId="17406" xr:uid="{00000000-0005-0000-0000-000003440000}"/>
    <cellStyle name="Normal 30 7 5" xfId="17407" xr:uid="{00000000-0005-0000-0000-000004440000}"/>
    <cellStyle name="Normal 30 7 6" xfId="17408" xr:uid="{00000000-0005-0000-0000-000005440000}"/>
    <cellStyle name="Normal 30 8" xfId="17409" xr:uid="{00000000-0005-0000-0000-000006440000}"/>
    <cellStyle name="Normal 30 8 2" xfId="17410" xr:uid="{00000000-0005-0000-0000-000007440000}"/>
    <cellStyle name="Normal 30 8 3" xfId="17411" xr:uid="{00000000-0005-0000-0000-000008440000}"/>
    <cellStyle name="Normal 30 8 4" xfId="17412" xr:uid="{00000000-0005-0000-0000-000009440000}"/>
    <cellStyle name="Normal 30 8 5" xfId="17413" xr:uid="{00000000-0005-0000-0000-00000A440000}"/>
    <cellStyle name="Normal 30 8 6" xfId="17414" xr:uid="{00000000-0005-0000-0000-00000B440000}"/>
    <cellStyle name="Normal 30 9" xfId="17415" xr:uid="{00000000-0005-0000-0000-00000C440000}"/>
    <cellStyle name="Normal 30 9 2" xfId="17416" xr:uid="{00000000-0005-0000-0000-00000D440000}"/>
    <cellStyle name="Normal 30 9 3" xfId="17417" xr:uid="{00000000-0005-0000-0000-00000E440000}"/>
    <cellStyle name="Normal 30 9 4" xfId="17418" xr:uid="{00000000-0005-0000-0000-00000F440000}"/>
    <cellStyle name="Normal 30 9 5" xfId="17419" xr:uid="{00000000-0005-0000-0000-000010440000}"/>
    <cellStyle name="Normal 30 9 6" xfId="17420" xr:uid="{00000000-0005-0000-0000-000011440000}"/>
    <cellStyle name="Normal 31" xfId="17421" xr:uid="{00000000-0005-0000-0000-000012440000}"/>
    <cellStyle name="Normal 31 10" xfId="17422" xr:uid="{00000000-0005-0000-0000-000013440000}"/>
    <cellStyle name="Normal 31 10 2" xfId="17423" xr:uid="{00000000-0005-0000-0000-000014440000}"/>
    <cellStyle name="Normal 31 10 3" xfId="17424" xr:uid="{00000000-0005-0000-0000-000015440000}"/>
    <cellStyle name="Normal 31 10 4" xfId="17425" xr:uid="{00000000-0005-0000-0000-000016440000}"/>
    <cellStyle name="Normal 31 10 5" xfId="17426" xr:uid="{00000000-0005-0000-0000-000017440000}"/>
    <cellStyle name="Normal 31 10 6" xfId="17427" xr:uid="{00000000-0005-0000-0000-000018440000}"/>
    <cellStyle name="Normal 31 11" xfId="17428" xr:uid="{00000000-0005-0000-0000-000019440000}"/>
    <cellStyle name="Normal 31 12" xfId="17429" xr:uid="{00000000-0005-0000-0000-00001A440000}"/>
    <cellStyle name="Normal 31 13" xfId="17430" xr:uid="{00000000-0005-0000-0000-00001B440000}"/>
    <cellStyle name="Normal 31 14" xfId="17431" xr:uid="{00000000-0005-0000-0000-00001C440000}"/>
    <cellStyle name="Normal 31 15" xfId="17432" xr:uid="{00000000-0005-0000-0000-00001D440000}"/>
    <cellStyle name="Normal 31 2" xfId="17433" xr:uid="{00000000-0005-0000-0000-00001E440000}"/>
    <cellStyle name="Normal 31 2 10" xfId="17434" xr:uid="{00000000-0005-0000-0000-00001F440000}"/>
    <cellStyle name="Normal 31 2 11" xfId="17435" xr:uid="{00000000-0005-0000-0000-000020440000}"/>
    <cellStyle name="Normal 31 2 12" xfId="17436" xr:uid="{00000000-0005-0000-0000-000021440000}"/>
    <cellStyle name="Normal 31 2 13" xfId="17437" xr:uid="{00000000-0005-0000-0000-000022440000}"/>
    <cellStyle name="Normal 31 2 14" xfId="17438" xr:uid="{00000000-0005-0000-0000-000023440000}"/>
    <cellStyle name="Normal 31 2 2" xfId="17439" xr:uid="{00000000-0005-0000-0000-000024440000}"/>
    <cellStyle name="Normal 31 2 2 2" xfId="17440" xr:uid="{00000000-0005-0000-0000-000025440000}"/>
    <cellStyle name="Normal 31 2 2 3" xfId="17441" xr:uid="{00000000-0005-0000-0000-000026440000}"/>
    <cellStyle name="Normal 31 2 2 4" xfId="17442" xr:uid="{00000000-0005-0000-0000-000027440000}"/>
    <cellStyle name="Normal 31 2 2 5" xfId="17443" xr:uid="{00000000-0005-0000-0000-000028440000}"/>
    <cellStyle name="Normal 31 2 2 6" xfId="17444" xr:uid="{00000000-0005-0000-0000-000029440000}"/>
    <cellStyle name="Normal 31 2 3" xfId="17445" xr:uid="{00000000-0005-0000-0000-00002A440000}"/>
    <cellStyle name="Normal 31 2 3 2" xfId="17446" xr:uid="{00000000-0005-0000-0000-00002B440000}"/>
    <cellStyle name="Normal 31 2 3 3" xfId="17447" xr:uid="{00000000-0005-0000-0000-00002C440000}"/>
    <cellStyle name="Normal 31 2 3 4" xfId="17448" xr:uid="{00000000-0005-0000-0000-00002D440000}"/>
    <cellStyle name="Normal 31 2 3 5" xfId="17449" xr:uid="{00000000-0005-0000-0000-00002E440000}"/>
    <cellStyle name="Normal 31 2 3 6" xfId="17450" xr:uid="{00000000-0005-0000-0000-00002F440000}"/>
    <cellStyle name="Normal 31 2 4" xfId="17451" xr:uid="{00000000-0005-0000-0000-000030440000}"/>
    <cellStyle name="Normal 31 2 4 2" xfId="17452" xr:uid="{00000000-0005-0000-0000-000031440000}"/>
    <cellStyle name="Normal 31 2 4 3" xfId="17453" xr:uid="{00000000-0005-0000-0000-000032440000}"/>
    <cellStyle name="Normal 31 2 4 4" xfId="17454" xr:uid="{00000000-0005-0000-0000-000033440000}"/>
    <cellStyle name="Normal 31 2 4 5" xfId="17455" xr:uid="{00000000-0005-0000-0000-000034440000}"/>
    <cellStyle name="Normal 31 2 4 6" xfId="17456" xr:uid="{00000000-0005-0000-0000-000035440000}"/>
    <cellStyle name="Normal 31 2 5" xfId="17457" xr:uid="{00000000-0005-0000-0000-000036440000}"/>
    <cellStyle name="Normal 31 2 5 2" xfId="17458" xr:uid="{00000000-0005-0000-0000-000037440000}"/>
    <cellStyle name="Normal 31 2 5 3" xfId="17459" xr:uid="{00000000-0005-0000-0000-000038440000}"/>
    <cellStyle name="Normal 31 2 5 4" xfId="17460" xr:uid="{00000000-0005-0000-0000-000039440000}"/>
    <cellStyle name="Normal 31 2 5 5" xfId="17461" xr:uid="{00000000-0005-0000-0000-00003A440000}"/>
    <cellStyle name="Normal 31 2 5 6" xfId="17462" xr:uid="{00000000-0005-0000-0000-00003B440000}"/>
    <cellStyle name="Normal 31 2 6" xfId="17463" xr:uid="{00000000-0005-0000-0000-00003C440000}"/>
    <cellStyle name="Normal 31 2 6 2" xfId="17464" xr:uid="{00000000-0005-0000-0000-00003D440000}"/>
    <cellStyle name="Normal 31 2 6 3" xfId="17465" xr:uid="{00000000-0005-0000-0000-00003E440000}"/>
    <cellStyle name="Normal 31 2 6 4" xfId="17466" xr:uid="{00000000-0005-0000-0000-00003F440000}"/>
    <cellStyle name="Normal 31 2 6 5" xfId="17467" xr:uid="{00000000-0005-0000-0000-000040440000}"/>
    <cellStyle name="Normal 31 2 6 6" xfId="17468" xr:uid="{00000000-0005-0000-0000-000041440000}"/>
    <cellStyle name="Normal 31 2 7" xfId="17469" xr:uid="{00000000-0005-0000-0000-000042440000}"/>
    <cellStyle name="Normal 31 2 7 2" xfId="17470" xr:uid="{00000000-0005-0000-0000-000043440000}"/>
    <cellStyle name="Normal 31 2 7 3" xfId="17471" xr:uid="{00000000-0005-0000-0000-000044440000}"/>
    <cellStyle name="Normal 31 2 7 4" xfId="17472" xr:uid="{00000000-0005-0000-0000-000045440000}"/>
    <cellStyle name="Normal 31 2 7 5" xfId="17473" xr:uid="{00000000-0005-0000-0000-000046440000}"/>
    <cellStyle name="Normal 31 2 7 6" xfId="17474" xr:uid="{00000000-0005-0000-0000-000047440000}"/>
    <cellStyle name="Normal 31 2 8" xfId="17475" xr:uid="{00000000-0005-0000-0000-000048440000}"/>
    <cellStyle name="Normal 31 2 8 2" xfId="17476" xr:uid="{00000000-0005-0000-0000-000049440000}"/>
    <cellStyle name="Normal 31 2 8 3" xfId="17477" xr:uid="{00000000-0005-0000-0000-00004A440000}"/>
    <cellStyle name="Normal 31 2 8 4" xfId="17478" xr:uid="{00000000-0005-0000-0000-00004B440000}"/>
    <cellStyle name="Normal 31 2 8 5" xfId="17479" xr:uid="{00000000-0005-0000-0000-00004C440000}"/>
    <cellStyle name="Normal 31 2 8 6" xfId="17480" xr:uid="{00000000-0005-0000-0000-00004D440000}"/>
    <cellStyle name="Normal 31 2 9" xfId="17481" xr:uid="{00000000-0005-0000-0000-00004E440000}"/>
    <cellStyle name="Normal 31 2 9 2" xfId="17482" xr:uid="{00000000-0005-0000-0000-00004F440000}"/>
    <cellStyle name="Normal 31 2 9 3" xfId="17483" xr:uid="{00000000-0005-0000-0000-000050440000}"/>
    <cellStyle name="Normal 31 2 9 4" xfId="17484" xr:uid="{00000000-0005-0000-0000-000051440000}"/>
    <cellStyle name="Normal 31 2 9 5" xfId="17485" xr:uid="{00000000-0005-0000-0000-000052440000}"/>
    <cellStyle name="Normal 31 2 9 6" xfId="17486" xr:uid="{00000000-0005-0000-0000-000053440000}"/>
    <cellStyle name="Normal 31 3" xfId="17487" xr:uid="{00000000-0005-0000-0000-000054440000}"/>
    <cellStyle name="Normal 31 3 2" xfId="17488" xr:uid="{00000000-0005-0000-0000-000055440000}"/>
    <cellStyle name="Normal 31 3 3" xfId="17489" xr:uid="{00000000-0005-0000-0000-000056440000}"/>
    <cellStyle name="Normal 31 3 4" xfId="17490" xr:uid="{00000000-0005-0000-0000-000057440000}"/>
    <cellStyle name="Normal 31 3 5" xfId="17491" xr:uid="{00000000-0005-0000-0000-000058440000}"/>
    <cellStyle name="Normal 31 3 6" xfId="17492" xr:uid="{00000000-0005-0000-0000-000059440000}"/>
    <cellStyle name="Normal 31 4" xfId="17493" xr:uid="{00000000-0005-0000-0000-00005A440000}"/>
    <cellStyle name="Normal 31 4 2" xfId="17494" xr:uid="{00000000-0005-0000-0000-00005B440000}"/>
    <cellStyle name="Normal 31 4 3" xfId="17495" xr:uid="{00000000-0005-0000-0000-00005C440000}"/>
    <cellStyle name="Normal 31 4 4" xfId="17496" xr:uid="{00000000-0005-0000-0000-00005D440000}"/>
    <cellStyle name="Normal 31 4 5" xfId="17497" xr:uid="{00000000-0005-0000-0000-00005E440000}"/>
    <cellStyle name="Normal 31 4 6" xfId="17498" xr:uid="{00000000-0005-0000-0000-00005F440000}"/>
    <cellStyle name="Normal 31 5" xfId="17499" xr:uid="{00000000-0005-0000-0000-000060440000}"/>
    <cellStyle name="Normal 31 5 2" xfId="17500" xr:uid="{00000000-0005-0000-0000-000061440000}"/>
    <cellStyle name="Normal 31 5 3" xfId="17501" xr:uid="{00000000-0005-0000-0000-000062440000}"/>
    <cellStyle name="Normal 31 5 4" xfId="17502" xr:uid="{00000000-0005-0000-0000-000063440000}"/>
    <cellStyle name="Normal 31 5 5" xfId="17503" xr:uid="{00000000-0005-0000-0000-000064440000}"/>
    <cellStyle name="Normal 31 5 6" xfId="17504" xr:uid="{00000000-0005-0000-0000-000065440000}"/>
    <cellStyle name="Normal 31 6" xfId="17505" xr:uid="{00000000-0005-0000-0000-000066440000}"/>
    <cellStyle name="Normal 31 6 2" xfId="17506" xr:uid="{00000000-0005-0000-0000-000067440000}"/>
    <cellStyle name="Normal 31 6 3" xfId="17507" xr:uid="{00000000-0005-0000-0000-000068440000}"/>
    <cellStyle name="Normal 31 6 4" xfId="17508" xr:uid="{00000000-0005-0000-0000-000069440000}"/>
    <cellStyle name="Normal 31 6 5" xfId="17509" xr:uid="{00000000-0005-0000-0000-00006A440000}"/>
    <cellStyle name="Normal 31 6 6" xfId="17510" xr:uid="{00000000-0005-0000-0000-00006B440000}"/>
    <cellStyle name="Normal 31 7" xfId="17511" xr:uid="{00000000-0005-0000-0000-00006C440000}"/>
    <cellStyle name="Normal 31 7 2" xfId="17512" xr:uid="{00000000-0005-0000-0000-00006D440000}"/>
    <cellStyle name="Normal 31 7 3" xfId="17513" xr:uid="{00000000-0005-0000-0000-00006E440000}"/>
    <cellStyle name="Normal 31 7 4" xfId="17514" xr:uid="{00000000-0005-0000-0000-00006F440000}"/>
    <cellStyle name="Normal 31 7 5" xfId="17515" xr:uid="{00000000-0005-0000-0000-000070440000}"/>
    <cellStyle name="Normal 31 7 6" xfId="17516" xr:uid="{00000000-0005-0000-0000-000071440000}"/>
    <cellStyle name="Normal 31 8" xfId="17517" xr:uid="{00000000-0005-0000-0000-000072440000}"/>
    <cellStyle name="Normal 31 8 2" xfId="17518" xr:uid="{00000000-0005-0000-0000-000073440000}"/>
    <cellStyle name="Normal 31 8 3" xfId="17519" xr:uid="{00000000-0005-0000-0000-000074440000}"/>
    <cellStyle name="Normal 31 8 4" xfId="17520" xr:uid="{00000000-0005-0000-0000-000075440000}"/>
    <cellStyle name="Normal 31 8 5" xfId="17521" xr:uid="{00000000-0005-0000-0000-000076440000}"/>
    <cellStyle name="Normal 31 8 6" xfId="17522" xr:uid="{00000000-0005-0000-0000-000077440000}"/>
    <cellStyle name="Normal 31 9" xfId="17523" xr:uid="{00000000-0005-0000-0000-000078440000}"/>
    <cellStyle name="Normal 31 9 2" xfId="17524" xr:uid="{00000000-0005-0000-0000-000079440000}"/>
    <cellStyle name="Normal 31 9 3" xfId="17525" xr:uid="{00000000-0005-0000-0000-00007A440000}"/>
    <cellStyle name="Normal 31 9 4" xfId="17526" xr:uid="{00000000-0005-0000-0000-00007B440000}"/>
    <cellStyle name="Normal 31 9 5" xfId="17527" xr:uid="{00000000-0005-0000-0000-00007C440000}"/>
    <cellStyle name="Normal 31 9 6" xfId="17528" xr:uid="{00000000-0005-0000-0000-00007D440000}"/>
    <cellStyle name="Normal 32" xfId="17529" xr:uid="{00000000-0005-0000-0000-00007E440000}"/>
    <cellStyle name="Normal 32 10" xfId="17530" xr:uid="{00000000-0005-0000-0000-00007F440000}"/>
    <cellStyle name="Normal 32 10 2" xfId="17531" xr:uid="{00000000-0005-0000-0000-000080440000}"/>
    <cellStyle name="Normal 32 10 3" xfId="17532" xr:uid="{00000000-0005-0000-0000-000081440000}"/>
    <cellStyle name="Normal 32 10 4" xfId="17533" xr:uid="{00000000-0005-0000-0000-000082440000}"/>
    <cellStyle name="Normal 32 10 5" xfId="17534" xr:uid="{00000000-0005-0000-0000-000083440000}"/>
    <cellStyle name="Normal 32 10 6" xfId="17535" xr:uid="{00000000-0005-0000-0000-000084440000}"/>
    <cellStyle name="Normal 32 11" xfId="17536" xr:uid="{00000000-0005-0000-0000-000085440000}"/>
    <cellStyle name="Normal 32 12" xfId="17537" xr:uid="{00000000-0005-0000-0000-000086440000}"/>
    <cellStyle name="Normal 32 13" xfId="17538" xr:uid="{00000000-0005-0000-0000-000087440000}"/>
    <cellStyle name="Normal 32 14" xfId="17539" xr:uid="{00000000-0005-0000-0000-000088440000}"/>
    <cellStyle name="Normal 32 15" xfId="17540" xr:uid="{00000000-0005-0000-0000-000089440000}"/>
    <cellStyle name="Normal 32 2" xfId="17541" xr:uid="{00000000-0005-0000-0000-00008A440000}"/>
    <cellStyle name="Normal 32 2 10" xfId="17542" xr:uid="{00000000-0005-0000-0000-00008B440000}"/>
    <cellStyle name="Normal 32 2 11" xfId="17543" xr:uid="{00000000-0005-0000-0000-00008C440000}"/>
    <cellStyle name="Normal 32 2 12" xfId="17544" xr:uid="{00000000-0005-0000-0000-00008D440000}"/>
    <cellStyle name="Normal 32 2 13" xfId="17545" xr:uid="{00000000-0005-0000-0000-00008E440000}"/>
    <cellStyle name="Normal 32 2 14" xfId="17546" xr:uid="{00000000-0005-0000-0000-00008F440000}"/>
    <cellStyle name="Normal 32 2 2" xfId="17547" xr:uid="{00000000-0005-0000-0000-000090440000}"/>
    <cellStyle name="Normal 32 2 2 2" xfId="17548" xr:uid="{00000000-0005-0000-0000-000091440000}"/>
    <cellStyle name="Normal 32 2 2 3" xfId="17549" xr:uid="{00000000-0005-0000-0000-000092440000}"/>
    <cellStyle name="Normal 32 2 2 4" xfId="17550" xr:uid="{00000000-0005-0000-0000-000093440000}"/>
    <cellStyle name="Normal 32 2 2 5" xfId="17551" xr:uid="{00000000-0005-0000-0000-000094440000}"/>
    <cellStyle name="Normal 32 2 2 6" xfId="17552" xr:uid="{00000000-0005-0000-0000-000095440000}"/>
    <cellStyle name="Normal 32 2 3" xfId="17553" xr:uid="{00000000-0005-0000-0000-000096440000}"/>
    <cellStyle name="Normal 32 2 3 2" xfId="17554" xr:uid="{00000000-0005-0000-0000-000097440000}"/>
    <cellStyle name="Normal 32 2 3 3" xfId="17555" xr:uid="{00000000-0005-0000-0000-000098440000}"/>
    <cellStyle name="Normal 32 2 3 4" xfId="17556" xr:uid="{00000000-0005-0000-0000-000099440000}"/>
    <cellStyle name="Normal 32 2 3 5" xfId="17557" xr:uid="{00000000-0005-0000-0000-00009A440000}"/>
    <cellStyle name="Normal 32 2 3 6" xfId="17558" xr:uid="{00000000-0005-0000-0000-00009B440000}"/>
    <cellStyle name="Normal 32 2 4" xfId="17559" xr:uid="{00000000-0005-0000-0000-00009C440000}"/>
    <cellStyle name="Normal 32 2 4 2" xfId="17560" xr:uid="{00000000-0005-0000-0000-00009D440000}"/>
    <cellStyle name="Normal 32 2 4 3" xfId="17561" xr:uid="{00000000-0005-0000-0000-00009E440000}"/>
    <cellStyle name="Normal 32 2 4 4" xfId="17562" xr:uid="{00000000-0005-0000-0000-00009F440000}"/>
    <cellStyle name="Normal 32 2 4 5" xfId="17563" xr:uid="{00000000-0005-0000-0000-0000A0440000}"/>
    <cellStyle name="Normal 32 2 4 6" xfId="17564" xr:uid="{00000000-0005-0000-0000-0000A1440000}"/>
    <cellStyle name="Normal 32 2 5" xfId="17565" xr:uid="{00000000-0005-0000-0000-0000A2440000}"/>
    <cellStyle name="Normal 32 2 5 2" xfId="17566" xr:uid="{00000000-0005-0000-0000-0000A3440000}"/>
    <cellStyle name="Normal 32 2 5 3" xfId="17567" xr:uid="{00000000-0005-0000-0000-0000A4440000}"/>
    <cellStyle name="Normal 32 2 5 4" xfId="17568" xr:uid="{00000000-0005-0000-0000-0000A5440000}"/>
    <cellStyle name="Normal 32 2 5 5" xfId="17569" xr:uid="{00000000-0005-0000-0000-0000A6440000}"/>
    <cellStyle name="Normal 32 2 5 6" xfId="17570" xr:uid="{00000000-0005-0000-0000-0000A7440000}"/>
    <cellStyle name="Normal 32 2 6" xfId="17571" xr:uid="{00000000-0005-0000-0000-0000A8440000}"/>
    <cellStyle name="Normal 32 2 6 2" xfId="17572" xr:uid="{00000000-0005-0000-0000-0000A9440000}"/>
    <cellStyle name="Normal 32 2 6 3" xfId="17573" xr:uid="{00000000-0005-0000-0000-0000AA440000}"/>
    <cellStyle name="Normal 32 2 6 4" xfId="17574" xr:uid="{00000000-0005-0000-0000-0000AB440000}"/>
    <cellStyle name="Normal 32 2 6 5" xfId="17575" xr:uid="{00000000-0005-0000-0000-0000AC440000}"/>
    <cellStyle name="Normal 32 2 6 6" xfId="17576" xr:uid="{00000000-0005-0000-0000-0000AD440000}"/>
    <cellStyle name="Normal 32 2 7" xfId="17577" xr:uid="{00000000-0005-0000-0000-0000AE440000}"/>
    <cellStyle name="Normal 32 2 7 2" xfId="17578" xr:uid="{00000000-0005-0000-0000-0000AF440000}"/>
    <cellStyle name="Normal 32 2 7 3" xfId="17579" xr:uid="{00000000-0005-0000-0000-0000B0440000}"/>
    <cellStyle name="Normal 32 2 7 4" xfId="17580" xr:uid="{00000000-0005-0000-0000-0000B1440000}"/>
    <cellStyle name="Normal 32 2 7 5" xfId="17581" xr:uid="{00000000-0005-0000-0000-0000B2440000}"/>
    <cellStyle name="Normal 32 2 7 6" xfId="17582" xr:uid="{00000000-0005-0000-0000-0000B3440000}"/>
    <cellStyle name="Normal 32 2 8" xfId="17583" xr:uid="{00000000-0005-0000-0000-0000B4440000}"/>
    <cellStyle name="Normal 32 2 8 2" xfId="17584" xr:uid="{00000000-0005-0000-0000-0000B5440000}"/>
    <cellStyle name="Normal 32 2 8 3" xfId="17585" xr:uid="{00000000-0005-0000-0000-0000B6440000}"/>
    <cellStyle name="Normal 32 2 8 4" xfId="17586" xr:uid="{00000000-0005-0000-0000-0000B7440000}"/>
    <cellStyle name="Normal 32 2 8 5" xfId="17587" xr:uid="{00000000-0005-0000-0000-0000B8440000}"/>
    <cellStyle name="Normal 32 2 8 6" xfId="17588" xr:uid="{00000000-0005-0000-0000-0000B9440000}"/>
    <cellStyle name="Normal 32 2 9" xfId="17589" xr:uid="{00000000-0005-0000-0000-0000BA440000}"/>
    <cellStyle name="Normal 32 2 9 2" xfId="17590" xr:uid="{00000000-0005-0000-0000-0000BB440000}"/>
    <cellStyle name="Normal 32 2 9 3" xfId="17591" xr:uid="{00000000-0005-0000-0000-0000BC440000}"/>
    <cellStyle name="Normal 32 2 9 4" xfId="17592" xr:uid="{00000000-0005-0000-0000-0000BD440000}"/>
    <cellStyle name="Normal 32 2 9 5" xfId="17593" xr:uid="{00000000-0005-0000-0000-0000BE440000}"/>
    <cellStyle name="Normal 32 2 9 6" xfId="17594" xr:uid="{00000000-0005-0000-0000-0000BF440000}"/>
    <cellStyle name="Normal 32 3" xfId="17595" xr:uid="{00000000-0005-0000-0000-0000C0440000}"/>
    <cellStyle name="Normal 32 3 2" xfId="17596" xr:uid="{00000000-0005-0000-0000-0000C1440000}"/>
    <cellStyle name="Normal 32 3 3" xfId="17597" xr:uid="{00000000-0005-0000-0000-0000C2440000}"/>
    <cellStyle name="Normal 32 3 4" xfId="17598" xr:uid="{00000000-0005-0000-0000-0000C3440000}"/>
    <cellStyle name="Normal 32 3 5" xfId="17599" xr:uid="{00000000-0005-0000-0000-0000C4440000}"/>
    <cellStyle name="Normal 32 3 6" xfId="17600" xr:uid="{00000000-0005-0000-0000-0000C5440000}"/>
    <cellStyle name="Normal 32 4" xfId="17601" xr:uid="{00000000-0005-0000-0000-0000C6440000}"/>
    <cellStyle name="Normal 32 4 2" xfId="17602" xr:uid="{00000000-0005-0000-0000-0000C7440000}"/>
    <cellStyle name="Normal 32 4 3" xfId="17603" xr:uid="{00000000-0005-0000-0000-0000C8440000}"/>
    <cellStyle name="Normal 32 4 4" xfId="17604" xr:uid="{00000000-0005-0000-0000-0000C9440000}"/>
    <cellStyle name="Normal 32 4 5" xfId="17605" xr:uid="{00000000-0005-0000-0000-0000CA440000}"/>
    <cellStyle name="Normal 32 4 6" xfId="17606" xr:uid="{00000000-0005-0000-0000-0000CB440000}"/>
    <cellStyle name="Normal 32 5" xfId="17607" xr:uid="{00000000-0005-0000-0000-0000CC440000}"/>
    <cellStyle name="Normal 32 5 2" xfId="17608" xr:uid="{00000000-0005-0000-0000-0000CD440000}"/>
    <cellStyle name="Normal 32 5 3" xfId="17609" xr:uid="{00000000-0005-0000-0000-0000CE440000}"/>
    <cellStyle name="Normal 32 5 4" xfId="17610" xr:uid="{00000000-0005-0000-0000-0000CF440000}"/>
    <cellStyle name="Normal 32 5 5" xfId="17611" xr:uid="{00000000-0005-0000-0000-0000D0440000}"/>
    <cellStyle name="Normal 32 5 6" xfId="17612" xr:uid="{00000000-0005-0000-0000-0000D1440000}"/>
    <cellStyle name="Normal 32 6" xfId="17613" xr:uid="{00000000-0005-0000-0000-0000D2440000}"/>
    <cellStyle name="Normal 32 6 2" xfId="17614" xr:uid="{00000000-0005-0000-0000-0000D3440000}"/>
    <cellStyle name="Normal 32 6 3" xfId="17615" xr:uid="{00000000-0005-0000-0000-0000D4440000}"/>
    <cellStyle name="Normal 32 6 4" xfId="17616" xr:uid="{00000000-0005-0000-0000-0000D5440000}"/>
    <cellStyle name="Normal 32 6 5" xfId="17617" xr:uid="{00000000-0005-0000-0000-0000D6440000}"/>
    <cellStyle name="Normal 32 6 6" xfId="17618" xr:uid="{00000000-0005-0000-0000-0000D7440000}"/>
    <cellStyle name="Normal 32 7" xfId="17619" xr:uid="{00000000-0005-0000-0000-0000D8440000}"/>
    <cellStyle name="Normal 32 7 2" xfId="17620" xr:uid="{00000000-0005-0000-0000-0000D9440000}"/>
    <cellStyle name="Normal 32 7 3" xfId="17621" xr:uid="{00000000-0005-0000-0000-0000DA440000}"/>
    <cellStyle name="Normal 32 7 4" xfId="17622" xr:uid="{00000000-0005-0000-0000-0000DB440000}"/>
    <cellStyle name="Normal 32 7 5" xfId="17623" xr:uid="{00000000-0005-0000-0000-0000DC440000}"/>
    <cellStyle name="Normal 32 7 6" xfId="17624" xr:uid="{00000000-0005-0000-0000-0000DD440000}"/>
    <cellStyle name="Normal 32 8" xfId="17625" xr:uid="{00000000-0005-0000-0000-0000DE440000}"/>
    <cellStyle name="Normal 32 8 2" xfId="17626" xr:uid="{00000000-0005-0000-0000-0000DF440000}"/>
    <cellStyle name="Normal 32 8 3" xfId="17627" xr:uid="{00000000-0005-0000-0000-0000E0440000}"/>
    <cellStyle name="Normal 32 8 4" xfId="17628" xr:uid="{00000000-0005-0000-0000-0000E1440000}"/>
    <cellStyle name="Normal 32 8 5" xfId="17629" xr:uid="{00000000-0005-0000-0000-0000E2440000}"/>
    <cellStyle name="Normal 32 8 6" xfId="17630" xr:uid="{00000000-0005-0000-0000-0000E3440000}"/>
    <cellStyle name="Normal 32 9" xfId="17631" xr:uid="{00000000-0005-0000-0000-0000E4440000}"/>
    <cellStyle name="Normal 32 9 2" xfId="17632" xr:uid="{00000000-0005-0000-0000-0000E5440000}"/>
    <cellStyle name="Normal 32 9 3" xfId="17633" xr:uid="{00000000-0005-0000-0000-0000E6440000}"/>
    <cellStyle name="Normal 32 9 4" xfId="17634" xr:uid="{00000000-0005-0000-0000-0000E7440000}"/>
    <cellStyle name="Normal 32 9 5" xfId="17635" xr:uid="{00000000-0005-0000-0000-0000E8440000}"/>
    <cellStyle name="Normal 32 9 6" xfId="17636" xr:uid="{00000000-0005-0000-0000-0000E9440000}"/>
    <cellStyle name="Normal 33" xfId="17637" xr:uid="{00000000-0005-0000-0000-0000EA440000}"/>
    <cellStyle name="Normal 33 10" xfId="17638" xr:uid="{00000000-0005-0000-0000-0000EB440000}"/>
    <cellStyle name="Normal 33 10 2" xfId="17639" xr:uid="{00000000-0005-0000-0000-0000EC440000}"/>
    <cellStyle name="Normal 33 10 3" xfId="17640" xr:uid="{00000000-0005-0000-0000-0000ED440000}"/>
    <cellStyle name="Normal 33 10 4" xfId="17641" xr:uid="{00000000-0005-0000-0000-0000EE440000}"/>
    <cellStyle name="Normal 33 10 5" xfId="17642" xr:uid="{00000000-0005-0000-0000-0000EF440000}"/>
    <cellStyle name="Normal 33 10 6" xfId="17643" xr:uid="{00000000-0005-0000-0000-0000F0440000}"/>
    <cellStyle name="Normal 33 11" xfId="17644" xr:uid="{00000000-0005-0000-0000-0000F1440000}"/>
    <cellStyle name="Normal 33 12" xfId="17645" xr:uid="{00000000-0005-0000-0000-0000F2440000}"/>
    <cellStyle name="Normal 33 13" xfId="17646" xr:uid="{00000000-0005-0000-0000-0000F3440000}"/>
    <cellStyle name="Normal 33 14" xfId="17647" xr:uid="{00000000-0005-0000-0000-0000F4440000}"/>
    <cellStyle name="Normal 33 15" xfId="17648" xr:uid="{00000000-0005-0000-0000-0000F5440000}"/>
    <cellStyle name="Normal 33 2" xfId="17649" xr:uid="{00000000-0005-0000-0000-0000F6440000}"/>
    <cellStyle name="Normal 33 2 10" xfId="17650" xr:uid="{00000000-0005-0000-0000-0000F7440000}"/>
    <cellStyle name="Normal 33 2 11" xfId="17651" xr:uid="{00000000-0005-0000-0000-0000F8440000}"/>
    <cellStyle name="Normal 33 2 12" xfId="17652" xr:uid="{00000000-0005-0000-0000-0000F9440000}"/>
    <cellStyle name="Normal 33 2 13" xfId="17653" xr:uid="{00000000-0005-0000-0000-0000FA440000}"/>
    <cellStyle name="Normal 33 2 14" xfId="17654" xr:uid="{00000000-0005-0000-0000-0000FB440000}"/>
    <cellStyle name="Normal 33 2 2" xfId="17655" xr:uid="{00000000-0005-0000-0000-0000FC440000}"/>
    <cellStyle name="Normal 33 2 2 2" xfId="17656" xr:uid="{00000000-0005-0000-0000-0000FD440000}"/>
    <cellStyle name="Normal 33 2 2 3" xfId="17657" xr:uid="{00000000-0005-0000-0000-0000FE440000}"/>
    <cellStyle name="Normal 33 2 2 4" xfId="17658" xr:uid="{00000000-0005-0000-0000-0000FF440000}"/>
    <cellStyle name="Normal 33 2 2 5" xfId="17659" xr:uid="{00000000-0005-0000-0000-000000450000}"/>
    <cellStyle name="Normal 33 2 2 6" xfId="17660" xr:uid="{00000000-0005-0000-0000-000001450000}"/>
    <cellStyle name="Normal 33 2 3" xfId="17661" xr:uid="{00000000-0005-0000-0000-000002450000}"/>
    <cellStyle name="Normal 33 2 3 2" xfId="17662" xr:uid="{00000000-0005-0000-0000-000003450000}"/>
    <cellStyle name="Normal 33 2 3 3" xfId="17663" xr:uid="{00000000-0005-0000-0000-000004450000}"/>
    <cellStyle name="Normal 33 2 3 4" xfId="17664" xr:uid="{00000000-0005-0000-0000-000005450000}"/>
    <cellStyle name="Normal 33 2 3 5" xfId="17665" xr:uid="{00000000-0005-0000-0000-000006450000}"/>
    <cellStyle name="Normal 33 2 3 6" xfId="17666" xr:uid="{00000000-0005-0000-0000-000007450000}"/>
    <cellStyle name="Normal 33 2 4" xfId="17667" xr:uid="{00000000-0005-0000-0000-000008450000}"/>
    <cellStyle name="Normal 33 2 4 2" xfId="17668" xr:uid="{00000000-0005-0000-0000-000009450000}"/>
    <cellStyle name="Normal 33 2 4 3" xfId="17669" xr:uid="{00000000-0005-0000-0000-00000A450000}"/>
    <cellStyle name="Normal 33 2 4 4" xfId="17670" xr:uid="{00000000-0005-0000-0000-00000B450000}"/>
    <cellStyle name="Normal 33 2 4 5" xfId="17671" xr:uid="{00000000-0005-0000-0000-00000C450000}"/>
    <cellStyle name="Normal 33 2 4 6" xfId="17672" xr:uid="{00000000-0005-0000-0000-00000D450000}"/>
    <cellStyle name="Normal 33 2 5" xfId="17673" xr:uid="{00000000-0005-0000-0000-00000E450000}"/>
    <cellStyle name="Normal 33 2 5 2" xfId="17674" xr:uid="{00000000-0005-0000-0000-00000F450000}"/>
    <cellStyle name="Normal 33 2 5 3" xfId="17675" xr:uid="{00000000-0005-0000-0000-000010450000}"/>
    <cellStyle name="Normal 33 2 5 4" xfId="17676" xr:uid="{00000000-0005-0000-0000-000011450000}"/>
    <cellStyle name="Normal 33 2 5 5" xfId="17677" xr:uid="{00000000-0005-0000-0000-000012450000}"/>
    <cellStyle name="Normal 33 2 5 6" xfId="17678" xr:uid="{00000000-0005-0000-0000-000013450000}"/>
    <cellStyle name="Normal 33 2 6" xfId="17679" xr:uid="{00000000-0005-0000-0000-000014450000}"/>
    <cellStyle name="Normal 33 2 6 2" xfId="17680" xr:uid="{00000000-0005-0000-0000-000015450000}"/>
    <cellStyle name="Normal 33 2 6 3" xfId="17681" xr:uid="{00000000-0005-0000-0000-000016450000}"/>
    <cellStyle name="Normal 33 2 6 4" xfId="17682" xr:uid="{00000000-0005-0000-0000-000017450000}"/>
    <cellStyle name="Normal 33 2 6 5" xfId="17683" xr:uid="{00000000-0005-0000-0000-000018450000}"/>
    <cellStyle name="Normal 33 2 6 6" xfId="17684" xr:uid="{00000000-0005-0000-0000-000019450000}"/>
    <cellStyle name="Normal 33 2 7" xfId="17685" xr:uid="{00000000-0005-0000-0000-00001A450000}"/>
    <cellStyle name="Normal 33 2 7 2" xfId="17686" xr:uid="{00000000-0005-0000-0000-00001B450000}"/>
    <cellStyle name="Normal 33 2 7 3" xfId="17687" xr:uid="{00000000-0005-0000-0000-00001C450000}"/>
    <cellStyle name="Normal 33 2 7 4" xfId="17688" xr:uid="{00000000-0005-0000-0000-00001D450000}"/>
    <cellStyle name="Normal 33 2 7 5" xfId="17689" xr:uid="{00000000-0005-0000-0000-00001E450000}"/>
    <cellStyle name="Normal 33 2 7 6" xfId="17690" xr:uid="{00000000-0005-0000-0000-00001F450000}"/>
    <cellStyle name="Normal 33 2 8" xfId="17691" xr:uid="{00000000-0005-0000-0000-000020450000}"/>
    <cellStyle name="Normal 33 2 8 2" xfId="17692" xr:uid="{00000000-0005-0000-0000-000021450000}"/>
    <cellStyle name="Normal 33 2 8 3" xfId="17693" xr:uid="{00000000-0005-0000-0000-000022450000}"/>
    <cellStyle name="Normal 33 2 8 4" xfId="17694" xr:uid="{00000000-0005-0000-0000-000023450000}"/>
    <cellStyle name="Normal 33 2 8 5" xfId="17695" xr:uid="{00000000-0005-0000-0000-000024450000}"/>
    <cellStyle name="Normal 33 2 8 6" xfId="17696" xr:uid="{00000000-0005-0000-0000-000025450000}"/>
    <cellStyle name="Normal 33 2 9" xfId="17697" xr:uid="{00000000-0005-0000-0000-000026450000}"/>
    <cellStyle name="Normal 33 2 9 2" xfId="17698" xr:uid="{00000000-0005-0000-0000-000027450000}"/>
    <cellStyle name="Normal 33 2 9 3" xfId="17699" xr:uid="{00000000-0005-0000-0000-000028450000}"/>
    <cellStyle name="Normal 33 2 9 4" xfId="17700" xr:uid="{00000000-0005-0000-0000-000029450000}"/>
    <cellStyle name="Normal 33 2 9 5" xfId="17701" xr:uid="{00000000-0005-0000-0000-00002A450000}"/>
    <cellStyle name="Normal 33 2 9 6" xfId="17702" xr:uid="{00000000-0005-0000-0000-00002B450000}"/>
    <cellStyle name="Normal 33 3" xfId="17703" xr:uid="{00000000-0005-0000-0000-00002C450000}"/>
    <cellStyle name="Normal 33 3 2" xfId="17704" xr:uid="{00000000-0005-0000-0000-00002D450000}"/>
    <cellStyle name="Normal 33 3 3" xfId="17705" xr:uid="{00000000-0005-0000-0000-00002E450000}"/>
    <cellStyle name="Normal 33 3 4" xfId="17706" xr:uid="{00000000-0005-0000-0000-00002F450000}"/>
    <cellStyle name="Normal 33 3 5" xfId="17707" xr:uid="{00000000-0005-0000-0000-000030450000}"/>
    <cellStyle name="Normal 33 3 6" xfId="17708" xr:uid="{00000000-0005-0000-0000-000031450000}"/>
    <cellStyle name="Normal 33 4" xfId="17709" xr:uid="{00000000-0005-0000-0000-000032450000}"/>
    <cellStyle name="Normal 33 4 2" xfId="17710" xr:uid="{00000000-0005-0000-0000-000033450000}"/>
    <cellStyle name="Normal 33 4 3" xfId="17711" xr:uid="{00000000-0005-0000-0000-000034450000}"/>
    <cellStyle name="Normal 33 4 4" xfId="17712" xr:uid="{00000000-0005-0000-0000-000035450000}"/>
    <cellStyle name="Normal 33 4 5" xfId="17713" xr:uid="{00000000-0005-0000-0000-000036450000}"/>
    <cellStyle name="Normal 33 4 6" xfId="17714" xr:uid="{00000000-0005-0000-0000-000037450000}"/>
    <cellStyle name="Normal 33 5" xfId="17715" xr:uid="{00000000-0005-0000-0000-000038450000}"/>
    <cellStyle name="Normal 33 5 2" xfId="17716" xr:uid="{00000000-0005-0000-0000-000039450000}"/>
    <cellStyle name="Normal 33 5 3" xfId="17717" xr:uid="{00000000-0005-0000-0000-00003A450000}"/>
    <cellStyle name="Normal 33 5 4" xfId="17718" xr:uid="{00000000-0005-0000-0000-00003B450000}"/>
    <cellStyle name="Normal 33 5 5" xfId="17719" xr:uid="{00000000-0005-0000-0000-00003C450000}"/>
    <cellStyle name="Normal 33 5 6" xfId="17720" xr:uid="{00000000-0005-0000-0000-00003D450000}"/>
    <cellStyle name="Normal 33 6" xfId="17721" xr:uid="{00000000-0005-0000-0000-00003E450000}"/>
    <cellStyle name="Normal 33 6 2" xfId="17722" xr:uid="{00000000-0005-0000-0000-00003F450000}"/>
    <cellStyle name="Normal 33 6 3" xfId="17723" xr:uid="{00000000-0005-0000-0000-000040450000}"/>
    <cellStyle name="Normal 33 6 4" xfId="17724" xr:uid="{00000000-0005-0000-0000-000041450000}"/>
    <cellStyle name="Normal 33 6 5" xfId="17725" xr:uid="{00000000-0005-0000-0000-000042450000}"/>
    <cellStyle name="Normal 33 6 6" xfId="17726" xr:uid="{00000000-0005-0000-0000-000043450000}"/>
    <cellStyle name="Normal 33 7" xfId="17727" xr:uid="{00000000-0005-0000-0000-000044450000}"/>
    <cellStyle name="Normal 33 7 2" xfId="17728" xr:uid="{00000000-0005-0000-0000-000045450000}"/>
    <cellStyle name="Normal 33 7 3" xfId="17729" xr:uid="{00000000-0005-0000-0000-000046450000}"/>
    <cellStyle name="Normal 33 7 4" xfId="17730" xr:uid="{00000000-0005-0000-0000-000047450000}"/>
    <cellStyle name="Normal 33 7 5" xfId="17731" xr:uid="{00000000-0005-0000-0000-000048450000}"/>
    <cellStyle name="Normal 33 7 6" xfId="17732" xr:uid="{00000000-0005-0000-0000-000049450000}"/>
    <cellStyle name="Normal 33 8" xfId="17733" xr:uid="{00000000-0005-0000-0000-00004A450000}"/>
    <cellStyle name="Normal 33 8 2" xfId="17734" xr:uid="{00000000-0005-0000-0000-00004B450000}"/>
    <cellStyle name="Normal 33 8 3" xfId="17735" xr:uid="{00000000-0005-0000-0000-00004C450000}"/>
    <cellStyle name="Normal 33 8 4" xfId="17736" xr:uid="{00000000-0005-0000-0000-00004D450000}"/>
    <cellStyle name="Normal 33 8 5" xfId="17737" xr:uid="{00000000-0005-0000-0000-00004E450000}"/>
    <cellStyle name="Normal 33 8 6" xfId="17738" xr:uid="{00000000-0005-0000-0000-00004F450000}"/>
    <cellStyle name="Normal 33 9" xfId="17739" xr:uid="{00000000-0005-0000-0000-000050450000}"/>
    <cellStyle name="Normal 33 9 2" xfId="17740" xr:uid="{00000000-0005-0000-0000-000051450000}"/>
    <cellStyle name="Normal 33 9 3" xfId="17741" xr:uid="{00000000-0005-0000-0000-000052450000}"/>
    <cellStyle name="Normal 33 9 4" xfId="17742" xr:uid="{00000000-0005-0000-0000-000053450000}"/>
    <cellStyle name="Normal 33 9 5" xfId="17743" xr:uid="{00000000-0005-0000-0000-000054450000}"/>
    <cellStyle name="Normal 33 9 6" xfId="17744" xr:uid="{00000000-0005-0000-0000-000055450000}"/>
    <cellStyle name="Normal 34" xfId="17745" xr:uid="{00000000-0005-0000-0000-000056450000}"/>
    <cellStyle name="Normal 34 10" xfId="17746" xr:uid="{00000000-0005-0000-0000-000057450000}"/>
    <cellStyle name="Normal 34 10 2" xfId="17747" xr:uid="{00000000-0005-0000-0000-000058450000}"/>
    <cellStyle name="Normal 34 10 3" xfId="17748" xr:uid="{00000000-0005-0000-0000-000059450000}"/>
    <cellStyle name="Normal 34 10 4" xfId="17749" xr:uid="{00000000-0005-0000-0000-00005A450000}"/>
    <cellStyle name="Normal 34 10 5" xfId="17750" xr:uid="{00000000-0005-0000-0000-00005B450000}"/>
    <cellStyle name="Normal 34 10 6" xfId="17751" xr:uid="{00000000-0005-0000-0000-00005C450000}"/>
    <cellStyle name="Normal 34 11" xfId="17752" xr:uid="{00000000-0005-0000-0000-00005D450000}"/>
    <cellStyle name="Normal 34 12" xfId="17753" xr:uid="{00000000-0005-0000-0000-00005E450000}"/>
    <cellStyle name="Normal 34 13" xfId="17754" xr:uid="{00000000-0005-0000-0000-00005F450000}"/>
    <cellStyle name="Normal 34 14" xfId="17755" xr:uid="{00000000-0005-0000-0000-000060450000}"/>
    <cellStyle name="Normal 34 15" xfId="17756" xr:uid="{00000000-0005-0000-0000-000061450000}"/>
    <cellStyle name="Normal 34 2" xfId="17757" xr:uid="{00000000-0005-0000-0000-000062450000}"/>
    <cellStyle name="Normal 34 2 10" xfId="17758" xr:uid="{00000000-0005-0000-0000-000063450000}"/>
    <cellStyle name="Normal 34 2 11" xfId="17759" xr:uid="{00000000-0005-0000-0000-000064450000}"/>
    <cellStyle name="Normal 34 2 12" xfId="17760" xr:uid="{00000000-0005-0000-0000-000065450000}"/>
    <cellStyle name="Normal 34 2 13" xfId="17761" xr:uid="{00000000-0005-0000-0000-000066450000}"/>
    <cellStyle name="Normal 34 2 14" xfId="17762" xr:uid="{00000000-0005-0000-0000-000067450000}"/>
    <cellStyle name="Normal 34 2 2" xfId="17763" xr:uid="{00000000-0005-0000-0000-000068450000}"/>
    <cellStyle name="Normal 34 2 2 2" xfId="17764" xr:uid="{00000000-0005-0000-0000-000069450000}"/>
    <cellStyle name="Normal 34 2 2 3" xfId="17765" xr:uid="{00000000-0005-0000-0000-00006A450000}"/>
    <cellStyle name="Normal 34 2 2 4" xfId="17766" xr:uid="{00000000-0005-0000-0000-00006B450000}"/>
    <cellStyle name="Normal 34 2 2 5" xfId="17767" xr:uid="{00000000-0005-0000-0000-00006C450000}"/>
    <cellStyle name="Normal 34 2 2 6" xfId="17768" xr:uid="{00000000-0005-0000-0000-00006D450000}"/>
    <cellStyle name="Normal 34 2 3" xfId="17769" xr:uid="{00000000-0005-0000-0000-00006E450000}"/>
    <cellStyle name="Normal 34 2 3 2" xfId="17770" xr:uid="{00000000-0005-0000-0000-00006F450000}"/>
    <cellStyle name="Normal 34 2 3 3" xfId="17771" xr:uid="{00000000-0005-0000-0000-000070450000}"/>
    <cellStyle name="Normal 34 2 3 4" xfId="17772" xr:uid="{00000000-0005-0000-0000-000071450000}"/>
    <cellStyle name="Normal 34 2 3 5" xfId="17773" xr:uid="{00000000-0005-0000-0000-000072450000}"/>
    <cellStyle name="Normal 34 2 3 6" xfId="17774" xr:uid="{00000000-0005-0000-0000-000073450000}"/>
    <cellStyle name="Normal 34 2 4" xfId="17775" xr:uid="{00000000-0005-0000-0000-000074450000}"/>
    <cellStyle name="Normal 34 2 4 2" xfId="17776" xr:uid="{00000000-0005-0000-0000-000075450000}"/>
    <cellStyle name="Normal 34 2 4 3" xfId="17777" xr:uid="{00000000-0005-0000-0000-000076450000}"/>
    <cellStyle name="Normal 34 2 4 4" xfId="17778" xr:uid="{00000000-0005-0000-0000-000077450000}"/>
    <cellStyle name="Normal 34 2 4 5" xfId="17779" xr:uid="{00000000-0005-0000-0000-000078450000}"/>
    <cellStyle name="Normal 34 2 4 6" xfId="17780" xr:uid="{00000000-0005-0000-0000-000079450000}"/>
    <cellStyle name="Normal 34 2 5" xfId="17781" xr:uid="{00000000-0005-0000-0000-00007A450000}"/>
    <cellStyle name="Normal 34 2 5 2" xfId="17782" xr:uid="{00000000-0005-0000-0000-00007B450000}"/>
    <cellStyle name="Normal 34 2 5 3" xfId="17783" xr:uid="{00000000-0005-0000-0000-00007C450000}"/>
    <cellStyle name="Normal 34 2 5 4" xfId="17784" xr:uid="{00000000-0005-0000-0000-00007D450000}"/>
    <cellStyle name="Normal 34 2 5 5" xfId="17785" xr:uid="{00000000-0005-0000-0000-00007E450000}"/>
    <cellStyle name="Normal 34 2 5 6" xfId="17786" xr:uid="{00000000-0005-0000-0000-00007F450000}"/>
    <cellStyle name="Normal 34 2 6" xfId="17787" xr:uid="{00000000-0005-0000-0000-000080450000}"/>
    <cellStyle name="Normal 34 2 6 2" xfId="17788" xr:uid="{00000000-0005-0000-0000-000081450000}"/>
    <cellStyle name="Normal 34 2 6 3" xfId="17789" xr:uid="{00000000-0005-0000-0000-000082450000}"/>
    <cellStyle name="Normal 34 2 6 4" xfId="17790" xr:uid="{00000000-0005-0000-0000-000083450000}"/>
    <cellStyle name="Normal 34 2 6 5" xfId="17791" xr:uid="{00000000-0005-0000-0000-000084450000}"/>
    <cellStyle name="Normal 34 2 6 6" xfId="17792" xr:uid="{00000000-0005-0000-0000-000085450000}"/>
    <cellStyle name="Normal 34 2 7" xfId="17793" xr:uid="{00000000-0005-0000-0000-000086450000}"/>
    <cellStyle name="Normal 34 2 7 2" xfId="17794" xr:uid="{00000000-0005-0000-0000-000087450000}"/>
    <cellStyle name="Normal 34 2 7 3" xfId="17795" xr:uid="{00000000-0005-0000-0000-000088450000}"/>
    <cellStyle name="Normal 34 2 7 4" xfId="17796" xr:uid="{00000000-0005-0000-0000-000089450000}"/>
    <cellStyle name="Normal 34 2 7 5" xfId="17797" xr:uid="{00000000-0005-0000-0000-00008A450000}"/>
    <cellStyle name="Normal 34 2 7 6" xfId="17798" xr:uid="{00000000-0005-0000-0000-00008B450000}"/>
    <cellStyle name="Normal 34 2 8" xfId="17799" xr:uid="{00000000-0005-0000-0000-00008C450000}"/>
    <cellStyle name="Normal 34 2 8 2" xfId="17800" xr:uid="{00000000-0005-0000-0000-00008D450000}"/>
    <cellStyle name="Normal 34 2 8 3" xfId="17801" xr:uid="{00000000-0005-0000-0000-00008E450000}"/>
    <cellStyle name="Normal 34 2 8 4" xfId="17802" xr:uid="{00000000-0005-0000-0000-00008F450000}"/>
    <cellStyle name="Normal 34 2 8 5" xfId="17803" xr:uid="{00000000-0005-0000-0000-000090450000}"/>
    <cellStyle name="Normal 34 2 8 6" xfId="17804" xr:uid="{00000000-0005-0000-0000-000091450000}"/>
    <cellStyle name="Normal 34 2 9" xfId="17805" xr:uid="{00000000-0005-0000-0000-000092450000}"/>
    <cellStyle name="Normal 34 2 9 2" xfId="17806" xr:uid="{00000000-0005-0000-0000-000093450000}"/>
    <cellStyle name="Normal 34 2 9 3" xfId="17807" xr:uid="{00000000-0005-0000-0000-000094450000}"/>
    <cellStyle name="Normal 34 2 9 4" xfId="17808" xr:uid="{00000000-0005-0000-0000-000095450000}"/>
    <cellStyle name="Normal 34 2 9 5" xfId="17809" xr:uid="{00000000-0005-0000-0000-000096450000}"/>
    <cellStyle name="Normal 34 2 9 6" xfId="17810" xr:uid="{00000000-0005-0000-0000-000097450000}"/>
    <cellStyle name="Normal 34 3" xfId="17811" xr:uid="{00000000-0005-0000-0000-000098450000}"/>
    <cellStyle name="Normal 34 3 2" xfId="17812" xr:uid="{00000000-0005-0000-0000-000099450000}"/>
    <cellStyle name="Normal 34 3 3" xfId="17813" xr:uid="{00000000-0005-0000-0000-00009A450000}"/>
    <cellStyle name="Normal 34 3 4" xfId="17814" xr:uid="{00000000-0005-0000-0000-00009B450000}"/>
    <cellStyle name="Normal 34 3 5" xfId="17815" xr:uid="{00000000-0005-0000-0000-00009C450000}"/>
    <cellStyle name="Normal 34 3 6" xfId="17816" xr:uid="{00000000-0005-0000-0000-00009D450000}"/>
    <cellStyle name="Normal 34 4" xfId="17817" xr:uid="{00000000-0005-0000-0000-00009E450000}"/>
    <cellStyle name="Normal 34 4 2" xfId="17818" xr:uid="{00000000-0005-0000-0000-00009F450000}"/>
    <cellStyle name="Normal 34 4 3" xfId="17819" xr:uid="{00000000-0005-0000-0000-0000A0450000}"/>
    <cellStyle name="Normal 34 4 4" xfId="17820" xr:uid="{00000000-0005-0000-0000-0000A1450000}"/>
    <cellStyle name="Normal 34 4 5" xfId="17821" xr:uid="{00000000-0005-0000-0000-0000A2450000}"/>
    <cellStyle name="Normal 34 4 6" xfId="17822" xr:uid="{00000000-0005-0000-0000-0000A3450000}"/>
    <cellStyle name="Normal 34 5" xfId="17823" xr:uid="{00000000-0005-0000-0000-0000A4450000}"/>
    <cellStyle name="Normal 34 5 2" xfId="17824" xr:uid="{00000000-0005-0000-0000-0000A5450000}"/>
    <cellStyle name="Normal 34 5 3" xfId="17825" xr:uid="{00000000-0005-0000-0000-0000A6450000}"/>
    <cellStyle name="Normal 34 5 4" xfId="17826" xr:uid="{00000000-0005-0000-0000-0000A7450000}"/>
    <cellStyle name="Normal 34 5 5" xfId="17827" xr:uid="{00000000-0005-0000-0000-0000A8450000}"/>
    <cellStyle name="Normal 34 5 6" xfId="17828" xr:uid="{00000000-0005-0000-0000-0000A9450000}"/>
    <cellStyle name="Normal 34 6" xfId="17829" xr:uid="{00000000-0005-0000-0000-0000AA450000}"/>
    <cellStyle name="Normal 34 6 2" xfId="17830" xr:uid="{00000000-0005-0000-0000-0000AB450000}"/>
    <cellStyle name="Normal 34 6 3" xfId="17831" xr:uid="{00000000-0005-0000-0000-0000AC450000}"/>
    <cellStyle name="Normal 34 6 4" xfId="17832" xr:uid="{00000000-0005-0000-0000-0000AD450000}"/>
    <cellStyle name="Normal 34 6 5" xfId="17833" xr:uid="{00000000-0005-0000-0000-0000AE450000}"/>
    <cellStyle name="Normal 34 6 6" xfId="17834" xr:uid="{00000000-0005-0000-0000-0000AF450000}"/>
    <cellStyle name="Normal 34 7" xfId="17835" xr:uid="{00000000-0005-0000-0000-0000B0450000}"/>
    <cellStyle name="Normal 34 7 2" xfId="17836" xr:uid="{00000000-0005-0000-0000-0000B1450000}"/>
    <cellStyle name="Normal 34 7 3" xfId="17837" xr:uid="{00000000-0005-0000-0000-0000B2450000}"/>
    <cellStyle name="Normal 34 7 4" xfId="17838" xr:uid="{00000000-0005-0000-0000-0000B3450000}"/>
    <cellStyle name="Normal 34 7 5" xfId="17839" xr:uid="{00000000-0005-0000-0000-0000B4450000}"/>
    <cellStyle name="Normal 34 7 6" xfId="17840" xr:uid="{00000000-0005-0000-0000-0000B5450000}"/>
    <cellStyle name="Normal 34 8" xfId="17841" xr:uid="{00000000-0005-0000-0000-0000B6450000}"/>
    <cellStyle name="Normal 34 8 2" xfId="17842" xr:uid="{00000000-0005-0000-0000-0000B7450000}"/>
    <cellStyle name="Normal 34 8 3" xfId="17843" xr:uid="{00000000-0005-0000-0000-0000B8450000}"/>
    <cellStyle name="Normal 34 8 4" xfId="17844" xr:uid="{00000000-0005-0000-0000-0000B9450000}"/>
    <cellStyle name="Normal 34 8 5" xfId="17845" xr:uid="{00000000-0005-0000-0000-0000BA450000}"/>
    <cellStyle name="Normal 34 8 6" xfId="17846" xr:uid="{00000000-0005-0000-0000-0000BB450000}"/>
    <cellStyle name="Normal 34 9" xfId="17847" xr:uid="{00000000-0005-0000-0000-0000BC450000}"/>
    <cellStyle name="Normal 34 9 2" xfId="17848" xr:uid="{00000000-0005-0000-0000-0000BD450000}"/>
    <cellStyle name="Normal 34 9 3" xfId="17849" xr:uid="{00000000-0005-0000-0000-0000BE450000}"/>
    <cellStyle name="Normal 34 9 4" xfId="17850" xr:uid="{00000000-0005-0000-0000-0000BF450000}"/>
    <cellStyle name="Normal 34 9 5" xfId="17851" xr:uid="{00000000-0005-0000-0000-0000C0450000}"/>
    <cellStyle name="Normal 34 9 6" xfId="17852" xr:uid="{00000000-0005-0000-0000-0000C1450000}"/>
    <cellStyle name="Normal 35" xfId="17853" xr:uid="{00000000-0005-0000-0000-0000C2450000}"/>
    <cellStyle name="Normal 35 10" xfId="17854" xr:uid="{00000000-0005-0000-0000-0000C3450000}"/>
    <cellStyle name="Normal 35 10 2" xfId="17855" xr:uid="{00000000-0005-0000-0000-0000C4450000}"/>
    <cellStyle name="Normal 35 10 3" xfId="17856" xr:uid="{00000000-0005-0000-0000-0000C5450000}"/>
    <cellStyle name="Normal 35 10 4" xfId="17857" xr:uid="{00000000-0005-0000-0000-0000C6450000}"/>
    <cellStyle name="Normal 35 10 5" xfId="17858" xr:uid="{00000000-0005-0000-0000-0000C7450000}"/>
    <cellStyle name="Normal 35 10 6" xfId="17859" xr:uid="{00000000-0005-0000-0000-0000C8450000}"/>
    <cellStyle name="Normal 35 11" xfId="17860" xr:uid="{00000000-0005-0000-0000-0000C9450000}"/>
    <cellStyle name="Normal 35 12" xfId="17861" xr:uid="{00000000-0005-0000-0000-0000CA450000}"/>
    <cellStyle name="Normal 35 13" xfId="17862" xr:uid="{00000000-0005-0000-0000-0000CB450000}"/>
    <cellStyle name="Normal 35 14" xfId="17863" xr:uid="{00000000-0005-0000-0000-0000CC450000}"/>
    <cellStyle name="Normal 35 15" xfId="17864" xr:uid="{00000000-0005-0000-0000-0000CD450000}"/>
    <cellStyle name="Normal 35 2" xfId="17865" xr:uid="{00000000-0005-0000-0000-0000CE450000}"/>
    <cellStyle name="Normal 35 2 10" xfId="17866" xr:uid="{00000000-0005-0000-0000-0000CF450000}"/>
    <cellStyle name="Normal 35 2 11" xfId="17867" xr:uid="{00000000-0005-0000-0000-0000D0450000}"/>
    <cellStyle name="Normal 35 2 12" xfId="17868" xr:uid="{00000000-0005-0000-0000-0000D1450000}"/>
    <cellStyle name="Normal 35 2 13" xfId="17869" xr:uid="{00000000-0005-0000-0000-0000D2450000}"/>
    <cellStyle name="Normal 35 2 14" xfId="17870" xr:uid="{00000000-0005-0000-0000-0000D3450000}"/>
    <cellStyle name="Normal 35 2 2" xfId="17871" xr:uid="{00000000-0005-0000-0000-0000D4450000}"/>
    <cellStyle name="Normal 35 2 2 2" xfId="17872" xr:uid="{00000000-0005-0000-0000-0000D5450000}"/>
    <cellStyle name="Normal 35 2 2 3" xfId="17873" xr:uid="{00000000-0005-0000-0000-0000D6450000}"/>
    <cellStyle name="Normal 35 2 2 4" xfId="17874" xr:uid="{00000000-0005-0000-0000-0000D7450000}"/>
    <cellStyle name="Normal 35 2 2 5" xfId="17875" xr:uid="{00000000-0005-0000-0000-0000D8450000}"/>
    <cellStyle name="Normal 35 2 2 6" xfId="17876" xr:uid="{00000000-0005-0000-0000-0000D9450000}"/>
    <cellStyle name="Normal 35 2 3" xfId="17877" xr:uid="{00000000-0005-0000-0000-0000DA450000}"/>
    <cellStyle name="Normal 35 2 3 2" xfId="17878" xr:uid="{00000000-0005-0000-0000-0000DB450000}"/>
    <cellStyle name="Normal 35 2 3 3" xfId="17879" xr:uid="{00000000-0005-0000-0000-0000DC450000}"/>
    <cellStyle name="Normal 35 2 3 4" xfId="17880" xr:uid="{00000000-0005-0000-0000-0000DD450000}"/>
    <cellStyle name="Normal 35 2 3 5" xfId="17881" xr:uid="{00000000-0005-0000-0000-0000DE450000}"/>
    <cellStyle name="Normal 35 2 3 6" xfId="17882" xr:uid="{00000000-0005-0000-0000-0000DF450000}"/>
    <cellStyle name="Normal 35 2 4" xfId="17883" xr:uid="{00000000-0005-0000-0000-0000E0450000}"/>
    <cellStyle name="Normal 35 2 4 2" xfId="17884" xr:uid="{00000000-0005-0000-0000-0000E1450000}"/>
    <cellStyle name="Normal 35 2 4 3" xfId="17885" xr:uid="{00000000-0005-0000-0000-0000E2450000}"/>
    <cellStyle name="Normal 35 2 4 4" xfId="17886" xr:uid="{00000000-0005-0000-0000-0000E3450000}"/>
    <cellStyle name="Normal 35 2 4 5" xfId="17887" xr:uid="{00000000-0005-0000-0000-0000E4450000}"/>
    <cellStyle name="Normal 35 2 4 6" xfId="17888" xr:uid="{00000000-0005-0000-0000-0000E5450000}"/>
    <cellStyle name="Normal 35 2 5" xfId="17889" xr:uid="{00000000-0005-0000-0000-0000E6450000}"/>
    <cellStyle name="Normal 35 2 5 2" xfId="17890" xr:uid="{00000000-0005-0000-0000-0000E7450000}"/>
    <cellStyle name="Normal 35 2 5 3" xfId="17891" xr:uid="{00000000-0005-0000-0000-0000E8450000}"/>
    <cellStyle name="Normal 35 2 5 4" xfId="17892" xr:uid="{00000000-0005-0000-0000-0000E9450000}"/>
    <cellStyle name="Normal 35 2 5 5" xfId="17893" xr:uid="{00000000-0005-0000-0000-0000EA450000}"/>
    <cellStyle name="Normal 35 2 5 6" xfId="17894" xr:uid="{00000000-0005-0000-0000-0000EB450000}"/>
    <cellStyle name="Normal 35 2 6" xfId="17895" xr:uid="{00000000-0005-0000-0000-0000EC450000}"/>
    <cellStyle name="Normal 35 2 6 2" xfId="17896" xr:uid="{00000000-0005-0000-0000-0000ED450000}"/>
    <cellStyle name="Normal 35 2 6 3" xfId="17897" xr:uid="{00000000-0005-0000-0000-0000EE450000}"/>
    <cellStyle name="Normal 35 2 6 4" xfId="17898" xr:uid="{00000000-0005-0000-0000-0000EF450000}"/>
    <cellStyle name="Normal 35 2 6 5" xfId="17899" xr:uid="{00000000-0005-0000-0000-0000F0450000}"/>
    <cellStyle name="Normal 35 2 6 6" xfId="17900" xr:uid="{00000000-0005-0000-0000-0000F1450000}"/>
    <cellStyle name="Normal 35 2 7" xfId="17901" xr:uid="{00000000-0005-0000-0000-0000F2450000}"/>
    <cellStyle name="Normal 35 2 7 2" xfId="17902" xr:uid="{00000000-0005-0000-0000-0000F3450000}"/>
    <cellStyle name="Normal 35 2 7 3" xfId="17903" xr:uid="{00000000-0005-0000-0000-0000F4450000}"/>
    <cellStyle name="Normal 35 2 7 4" xfId="17904" xr:uid="{00000000-0005-0000-0000-0000F5450000}"/>
    <cellStyle name="Normal 35 2 7 5" xfId="17905" xr:uid="{00000000-0005-0000-0000-0000F6450000}"/>
    <cellStyle name="Normal 35 2 7 6" xfId="17906" xr:uid="{00000000-0005-0000-0000-0000F7450000}"/>
    <cellStyle name="Normal 35 2 8" xfId="17907" xr:uid="{00000000-0005-0000-0000-0000F8450000}"/>
    <cellStyle name="Normal 35 2 8 2" xfId="17908" xr:uid="{00000000-0005-0000-0000-0000F9450000}"/>
    <cellStyle name="Normal 35 2 8 3" xfId="17909" xr:uid="{00000000-0005-0000-0000-0000FA450000}"/>
    <cellStyle name="Normal 35 2 8 4" xfId="17910" xr:uid="{00000000-0005-0000-0000-0000FB450000}"/>
    <cellStyle name="Normal 35 2 8 5" xfId="17911" xr:uid="{00000000-0005-0000-0000-0000FC450000}"/>
    <cellStyle name="Normal 35 2 8 6" xfId="17912" xr:uid="{00000000-0005-0000-0000-0000FD450000}"/>
    <cellStyle name="Normal 35 2 9" xfId="17913" xr:uid="{00000000-0005-0000-0000-0000FE450000}"/>
    <cellStyle name="Normal 35 2 9 2" xfId="17914" xr:uid="{00000000-0005-0000-0000-0000FF450000}"/>
    <cellStyle name="Normal 35 2 9 3" xfId="17915" xr:uid="{00000000-0005-0000-0000-000000460000}"/>
    <cellStyle name="Normal 35 2 9 4" xfId="17916" xr:uid="{00000000-0005-0000-0000-000001460000}"/>
    <cellStyle name="Normal 35 2 9 5" xfId="17917" xr:uid="{00000000-0005-0000-0000-000002460000}"/>
    <cellStyle name="Normal 35 2 9 6" xfId="17918" xr:uid="{00000000-0005-0000-0000-000003460000}"/>
    <cellStyle name="Normal 35 3" xfId="17919" xr:uid="{00000000-0005-0000-0000-000004460000}"/>
    <cellStyle name="Normal 35 3 2" xfId="17920" xr:uid="{00000000-0005-0000-0000-000005460000}"/>
    <cellStyle name="Normal 35 3 3" xfId="17921" xr:uid="{00000000-0005-0000-0000-000006460000}"/>
    <cellStyle name="Normal 35 3 4" xfId="17922" xr:uid="{00000000-0005-0000-0000-000007460000}"/>
    <cellStyle name="Normal 35 3 5" xfId="17923" xr:uid="{00000000-0005-0000-0000-000008460000}"/>
    <cellStyle name="Normal 35 3 6" xfId="17924" xr:uid="{00000000-0005-0000-0000-000009460000}"/>
    <cellStyle name="Normal 35 4" xfId="17925" xr:uid="{00000000-0005-0000-0000-00000A460000}"/>
    <cellStyle name="Normal 35 4 2" xfId="17926" xr:uid="{00000000-0005-0000-0000-00000B460000}"/>
    <cellStyle name="Normal 35 4 3" xfId="17927" xr:uid="{00000000-0005-0000-0000-00000C460000}"/>
    <cellStyle name="Normal 35 4 4" xfId="17928" xr:uid="{00000000-0005-0000-0000-00000D460000}"/>
    <cellStyle name="Normal 35 4 5" xfId="17929" xr:uid="{00000000-0005-0000-0000-00000E460000}"/>
    <cellStyle name="Normal 35 4 6" xfId="17930" xr:uid="{00000000-0005-0000-0000-00000F460000}"/>
    <cellStyle name="Normal 35 5" xfId="17931" xr:uid="{00000000-0005-0000-0000-000010460000}"/>
    <cellStyle name="Normal 35 5 2" xfId="17932" xr:uid="{00000000-0005-0000-0000-000011460000}"/>
    <cellStyle name="Normal 35 5 3" xfId="17933" xr:uid="{00000000-0005-0000-0000-000012460000}"/>
    <cellStyle name="Normal 35 5 4" xfId="17934" xr:uid="{00000000-0005-0000-0000-000013460000}"/>
    <cellStyle name="Normal 35 5 5" xfId="17935" xr:uid="{00000000-0005-0000-0000-000014460000}"/>
    <cellStyle name="Normal 35 5 6" xfId="17936" xr:uid="{00000000-0005-0000-0000-000015460000}"/>
    <cellStyle name="Normal 35 6" xfId="17937" xr:uid="{00000000-0005-0000-0000-000016460000}"/>
    <cellStyle name="Normal 35 6 2" xfId="17938" xr:uid="{00000000-0005-0000-0000-000017460000}"/>
    <cellStyle name="Normal 35 6 3" xfId="17939" xr:uid="{00000000-0005-0000-0000-000018460000}"/>
    <cellStyle name="Normal 35 6 4" xfId="17940" xr:uid="{00000000-0005-0000-0000-000019460000}"/>
    <cellStyle name="Normal 35 6 5" xfId="17941" xr:uid="{00000000-0005-0000-0000-00001A460000}"/>
    <cellStyle name="Normal 35 6 6" xfId="17942" xr:uid="{00000000-0005-0000-0000-00001B460000}"/>
    <cellStyle name="Normal 35 7" xfId="17943" xr:uid="{00000000-0005-0000-0000-00001C460000}"/>
    <cellStyle name="Normal 35 7 2" xfId="17944" xr:uid="{00000000-0005-0000-0000-00001D460000}"/>
    <cellStyle name="Normal 35 7 3" xfId="17945" xr:uid="{00000000-0005-0000-0000-00001E460000}"/>
    <cellStyle name="Normal 35 7 4" xfId="17946" xr:uid="{00000000-0005-0000-0000-00001F460000}"/>
    <cellStyle name="Normal 35 7 5" xfId="17947" xr:uid="{00000000-0005-0000-0000-000020460000}"/>
    <cellStyle name="Normal 35 7 6" xfId="17948" xr:uid="{00000000-0005-0000-0000-000021460000}"/>
    <cellStyle name="Normal 35 8" xfId="17949" xr:uid="{00000000-0005-0000-0000-000022460000}"/>
    <cellStyle name="Normal 35 8 2" xfId="17950" xr:uid="{00000000-0005-0000-0000-000023460000}"/>
    <cellStyle name="Normal 35 8 3" xfId="17951" xr:uid="{00000000-0005-0000-0000-000024460000}"/>
    <cellStyle name="Normal 35 8 4" xfId="17952" xr:uid="{00000000-0005-0000-0000-000025460000}"/>
    <cellStyle name="Normal 35 8 5" xfId="17953" xr:uid="{00000000-0005-0000-0000-000026460000}"/>
    <cellStyle name="Normal 35 8 6" xfId="17954" xr:uid="{00000000-0005-0000-0000-000027460000}"/>
    <cellStyle name="Normal 35 9" xfId="17955" xr:uid="{00000000-0005-0000-0000-000028460000}"/>
    <cellStyle name="Normal 35 9 2" xfId="17956" xr:uid="{00000000-0005-0000-0000-000029460000}"/>
    <cellStyle name="Normal 35 9 3" xfId="17957" xr:uid="{00000000-0005-0000-0000-00002A460000}"/>
    <cellStyle name="Normal 35 9 4" xfId="17958" xr:uid="{00000000-0005-0000-0000-00002B460000}"/>
    <cellStyle name="Normal 35 9 5" xfId="17959" xr:uid="{00000000-0005-0000-0000-00002C460000}"/>
    <cellStyle name="Normal 35 9 6" xfId="17960" xr:uid="{00000000-0005-0000-0000-00002D460000}"/>
    <cellStyle name="Normal 36" xfId="17961" xr:uid="{00000000-0005-0000-0000-00002E460000}"/>
    <cellStyle name="Normal 36 10" xfId="17962" xr:uid="{00000000-0005-0000-0000-00002F460000}"/>
    <cellStyle name="Normal 36 10 2" xfId="17963" xr:uid="{00000000-0005-0000-0000-000030460000}"/>
    <cellStyle name="Normal 36 10 3" xfId="17964" xr:uid="{00000000-0005-0000-0000-000031460000}"/>
    <cellStyle name="Normal 36 10 4" xfId="17965" xr:uid="{00000000-0005-0000-0000-000032460000}"/>
    <cellStyle name="Normal 36 10 5" xfId="17966" xr:uid="{00000000-0005-0000-0000-000033460000}"/>
    <cellStyle name="Normal 36 10 6" xfId="17967" xr:uid="{00000000-0005-0000-0000-000034460000}"/>
    <cellStyle name="Normal 36 11" xfId="17968" xr:uid="{00000000-0005-0000-0000-000035460000}"/>
    <cellStyle name="Normal 36 12" xfId="17969" xr:uid="{00000000-0005-0000-0000-000036460000}"/>
    <cellStyle name="Normal 36 13" xfId="17970" xr:uid="{00000000-0005-0000-0000-000037460000}"/>
    <cellStyle name="Normal 36 14" xfId="17971" xr:uid="{00000000-0005-0000-0000-000038460000}"/>
    <cellStyle name="Normal 36 15" xfId="17972" xr:uid="{00000000-0005-0000-0000-000039460000}"/>
    <cellStyle name="Normal 36 2" xfId="17973" xr:uid="{00000000-0005-0000-0000-00003A460000}"/>
    <cellStyle name="Normal 36 2 10" xfId="17974" xr:uid="{00000000-0005-0000-0000-00003B460000}"/>
    <cellStyle name="Normal 36 2 11" xfId="17975" xr:uid="{00000000-0005-0000-0000-00003C460000}"/>
    <cellStyle name="Normal 36 2 12" xfId="17976" xr:uid="{00000000-0005-0000-0000-00003D460000}"/>
    <cellStyle name="Normal 36 2 13" xfId="17977" xr:uid="{00000000-0005-0000-0000-00003E460000}"/>
    <cellStyle name="Normal 36 2 14" xfId="17978" xr:uid="{00000000-0005-0000-0000-00003F460000}"/>
    <cellStyle name="Normal 36 2 2" xfId="17979" xr:uid="{00000000-0005-0000-0000-000040460000}"/>
    <cellStyle name="Normal 36 2 2 2" xfId="17980" xr:uid="{00000000-0005-0000-0000-000041460000}"/>
    <cellStyle name="Normal 36 2 2 3" xfId="17981" xr:uid="{00000000-0005-0000-0000-000042460000}"/>
    <cellStyle name="Normal 36 2 2 4" xfId="17982" xr:uid="{00000000-0005-0000-0000-000043460000}"/>
    <cellStyle name="Normal 36 2 2 5" xfId="17983" xr:uid="{00000000-0005-0000-0000-000044460000}"/>
    <cellStyle name="Normal 36 2 2 6" xfId="17984" xr:uid="{00000000-0005-0000-0000-000045460000}"/>
    <cellStyle name="Normal 36 2 3" xfId="17985" xr:uid="{00000000-0005-0000-0000-000046460000}"/>
    <cellStyle name="Normal 36 2 3 2" xfId="17986" xr:uid="{00000000-0005-0000-0000-000047460000}"/>
    <cellStyle name="Normal 36 2 3 3" xfId="17987" xr:uid="{00000000-0005-0000-0000-000048460000}"/>
    <cellStyle name="Normal 36 2 3 4" xfId="17988" xr:uid="{00000000-0005-0000-0000-000049460000}"/>
    <cellStyle name="Normal 36 2 3 5" xfId="17989" xr:uid="{00000000-0005-0000-0000-00004A460000}"/>
    <cellStyle name="Normal 36 2 3 6" xfId="17990" xr:uid="{00000000-0005-0000-0000-00004B460000}"/>
    <cellStyle name="Normal 36 2 4" xfId="17991" xr:uid="{00000000-0005-0000-0000-00004C460000}"/>
    <cellStyle name="Normal 36 2 4 2" xfId="17992" xr:uid="{00000000-0005-0000-0000-00004D460000}"/>
    <cellStyle name="Normal 36 2 4 3" xfId="17993" xr:uid="{00000000-0005-0000-0000-00004E460000}"/>
    <cellStyle name="Normal 36 2 4 4" xfId="17994" xr:uid="{00000000-0005-0000-0000-00004F460000}"/>
    <cellStyle name="Normal 36 2 4 5" xfId="17995" xr:uid="{00000000-0005-0000-0000-000050460000}"/>
    <cellStyle name="Normal 36 2 4 6" xfId="17996" xr:uid="{00000000-0005-0000-0000-000051460000}"/>
    <cellStyle name="Normal 36 2 5" xfId="17997" xr:uid="{00000000-0005-0000-0000-000052460000}"/>
    <cellStyle name="Normal 36 2 5 2" xfId="17998" xr:uid="{00000000-0005-0000-0000-000053460000}"/>
    <cellStyle name="Normal 36 2 5 3" xfId="17999" xr:uid="{00000000-0005-0000-0000-000054460000}"/>
    <cellStyle name="Normal 36 2 5 4" xfId="18000" xr:uid="{00000000-0005-0000-0000-000055460000}"/>
    <cellStyle name="Normal 36 2 5 5" xfId="18001" xr:uid="{00000000-0005-0000-0000-000056460000}"/>
    <cellStyle name="Normal 36 2 5 6" xfId="18002" xr:uid="{00000000-0005-0000-0000-000057460000}"/>
    <cellStyle name="Normal 36 2 6" xfId="18003" xr:uid="{00000000-0005-0000-0000-000058460000}"/>
    <cellStyle name="Normal 36 2 6 2" xfId="18004" xr:uid="{00000000-0005-0000-0000-000059460000}"/>
    <cellStyle name="Normal 36 2 6 3" xfId="18005" xr:uid="{00000000-0005-0000-0000-00005A460000}"/>
    <cellStyle name="Normal 36 2 6 4" xfId="18006" xr:uid="{00000000-0005-0000-0000-00005B460000}"/>
    <cellStyle name="Normal 36 2 6 5" xfId="18007" xr:uid="{00000000-0005-0000-0000-00005C460000}"/>
    <cellStyle name="Normal 36 2 6 6" xfId="18008" xr:uid="{00000000-0005-0000-0000-00005D460000}"/>
    <cellStyle name="Normal 36 2 7" xfId="18009" xr:uid="{00000000-0005-0000-0000-00005E460000}"/>
    <cellStyle name="Normal 36 2 7 2" xfId="18010" xr:uid="{00000000-0005-0000-0000-00005F460000}"/>
    <cellStyle name="Normal 36 2 7 3" xfId="18011" xr:uid="{00000000-0005-0000-0000-000060460000}"/>
    <cellStyle name="Normal 36 2 7 4" xfId="18012" xr:uid="{00000000-0005-0000-0000-000061460000}"/>
    <cellStyle name="Normal 36 2 7 5" xfId="18013" xr:uid="{00000000-0005-0000-0000-000062460000}"/>
    <cellStyle name="Normal 36 2 7 6" xfId="18014" xr:uid="{00000000-0005-0000-0000-000063460000}"/>
    <cellStyle name="Normal 36 2 8" xfId="18015" xr:uid="{00000000-0005-0000-0000-000064460000}"/>
    <cellStyle name="Normal 36 2 8 2" xfId="18016" xr:uid="{00000000-0005-0000-0000-000065460000}"/>
    <cellStyle name="Normal 36 2 8 3" xfId="18017" xr:uid="{00000000-0005-0000-0000-000066460000}"/>
    <cellStyle name="Normal 36 2 8 4" xfId="18018" xr:uid="{00000000-0005-0000-0000-000067460000}"/>
    <cellStyle name="Normal 36 2 8 5" xfId="18019" xr:uid="{00000000-0005-0000-0000-000068460000}"/>
    <cellStyle name="Normal 36 2 8 6" xfId="18020" xr:uid="{00000000-0005-0000-0000-000069460000}"/>
    <cellStyle name="Normal 36 2 9" xfId="18021" xr:uid="{00000000-0005-0000-0000-00006A460000}"/>
    <cellStyle name="Normal 36 2 9 2" xfId="18022" xr:uid="{00000000-0005-0000-0000-00006B460000}"/>
    <cellStyle name="Normal 36 2 9 3" xfId="18023" xr:uid="{00000000-0005-0000-0000-00006C460000}"/>
    <cellStyle name="Normal 36 2 9 4" xfId="18024" xr:uid="{00000000-0005-0000-0000-00006D460000}"/>
    <cellStyle name="Normal 36 2 9 5" xfId="18025" xr:uid="{00000000-0005-0000-0000-00006E460000}"/>
    <cellStyle name="Normal 36 2 9 6" xfId="18026" xr:uid="{00000000-0005-0000-0000-00006F460000}"/>
    <cellStyle name="Normal 36 3" xfId="18027" xr:uid="{00000000-0005-0000-0000-000070460000}"/>
    <cellStyle name="Normal 36 3 2" xfId="18028" xr:uid="{00000000-0005-0000-0000-000071460000}"/>
    <cellStyle name="Normal 36 3 3" xfId="18029" xr:uid="{00000000-0005-0000-0000-000072460000}"/>
    <cellStyle name="Normal 36 3 4" xfId="18030" xr:uid="{00000000-0005-0000-0000-000073460000}"/>
    <cellStyle name="Normal 36 3 5" xfId="18031" xr:uid="{00000000-0005-0000-0000-000074460000}"/>
    <cellStyle name="Normal 36 3 6" xfId="18032" xr:uid="{00000000-0005-0000-0000-000075460000}"/>
    <cellStyle name="Normal 36 4" xfId="18033" xr:uid="{00000000-0005-0000-0000-000076460000}"/>
    <cellStyle name="Normal 36 4 2" xfId="18034" xr:uid="{00000000-0005-0000-0000-000077460000}"/>
    <cellStyle name="Normal 36 4 3" xfId="18035" xr:uid="{00000000-0005-0000-0000-000078460000}"/>
    <cellStyle name="Normal 36 4 4" xfId="18036" xr:uid="{00000000-0005-0000-0000-000079460000}"/>
    <cellStyle name="Normal 36 4 5" xfId="18037" xr:uid="{00000000-0005-0000-0000-00007A460000}"/>
    <cellStyle name="Normal 36 4 6" xfId="18038" xr:uid="{00000000-0005-0000-0000-00007B460000}"/>
    <cellStyle name="Normal 36 5" xfId="18039" xr:uid="{00000000-0005-0000-0000-00007C460000}"/>
    <cellStyle name="Normal 36 5 2" xfId="18040" xr:uid="{00000000-0005-0000-0000-00007D460000}"/>
    <cellStyle name="Normal 36 5 3" xfId="18041" xr:uid="{00000000-0005-0000-0000-00007E460000}"/>
    <cellStyle name="Normal 36 5 4" xfId="18042" xr:uid="{00000000-0005-0000-0000-00007F460000}"/>
    <cellStyle name="Normal 36 5 5" xfId="18043" xr:uid="{00000000-0005-0000-0000-000080460000}"/>
    <cellStyle name="Normal 36 5 6" xfId="18044" xr:uid="{00000000-0005-0000-0000-000081460000}"/>
    <cellStyle name="Normal 36 6" xfId="18045" xr:uid="{00000000-0005-0000-0000-000082460000}"/>
    <cellStyle name="Normal 36 6 2" xfId="18046" xr:uid="{00000000-0005-0000-0000-000083460000}"/>
    <cellStyle name="Normal 36 6 3" xfId="18047" xr:uid="{00000000-0005-0000-0000-000084460000}"/>
    <cellStyle name="Normal 36 6 4" xfId="18048" xr:uid="{00000000-0005-0000-0000-000085460000}"/>
    <cellStyle name="Normal 36 6 5" xfId="18049" xr:uid="{00000000-0005-0000-0000-000086460000}"/>
    <cellStyle name="Normal 36 6 6" xfId="18050" xr:uid="{00000000-0005-0000-0000-000087460000}"/>
    <cellStyle name="Normal 36 7" xfId="18051" xr:uid="{00000000-0005-0000-0000-000088460000}"/>
    <cellStyle name="Normal 36 7 2" xfId="18052" xr:uid="{00000000-0005-0000-0000-000089460000}"/>
    <cellStyle name="Normal 36 7 3" xfId="18053" xr:uid="{00000000-0005-0000-0000-00008A460000}"/>
    <cellStyle name="Normal 36 7 4" xfId="18054" xr:uid="{00000000-0005-0000-0000-00008B460000}"/>
    <cellStyle name="Normal 36 7 5" xfId="18055" xr:uid="{00000000-0005-0000-0000-00008C460000}"/>
    <cellStyle name="Normal 36 7 6" xfId="18056" xr:uid="{00000000-0005-0000-0000-00008D460000}"/>
    <cellStyle name="Normal 36 8" xfId="18057" xr:uid="{00000000-0005-0000-0000-00008E460000}"/>
    <cellStyle name="Normal 36 8 2" xfId="18058" xr:uid="{00000000-0005-0000-0000-00008F460000}"/>
    <cellStyle name="Normal 36 8 3" xfId="18059" xr:uid="{00000000-0005-0000-0000-000090460000}"/>
    <cellStyle name="Normal 36 8 4" xfId="18060" xr:uid="{00000000-0005-0000-0000-000091460000}"/>
    <cellStyle name="Normal 36 8 5" xfId="18061" xr:uid="{00000000-0005-0000-0000-000092460000}"/>
    <cellStyle name="Normal 36 8 6" xfId="18062" xr:uid="{00000000-0005-0000-0000-000093460000}"/>
    <cellStyle name="Normal 36 9" xfId="18063" xr:uid="{00000000-0005-0000-0000-000094460000}"/>
    <cellStyle name="Normal 36 9 2" xfId="18064" xr:uid="{00000000-0005-0000-0000-000095460000}"/>
    <cellStyle name="Normal 36 9 3" xfId="18065" xr:uid="{00000000-0005-0000-0000-000096460000}"/>
    <cellStyle name="Normal 36 9 4" xfId="18066" xr:uid="{00000000-0005-0000-0000-000097460000}"/>
    <cellStyle name="Normal 36 9 5" xfId="18067" xr:uid="{00000000-0005-0000-0000-000098460000}"/>
    <cellStyle name="Normal 36 9 6" xfId="18068" xr:uid="{00000000-0005-0000-0000-000099460000}"/>
    <cellStyle name="Normal 37" xfId="18069" xr:uid="{00000000-0005-0000-0000-00009A460000}"/>
    <cellStyle name="Normal 37 10" xfId="18070" xr:uid="{00000000-0005-0000-0000-00009B460000}"/>
    <cellStyle name="Normal 37 10 2" xfId="18071" xr:uid="{00000000-0005-0000-0000-00009C460000}"/>
    <cellStyle name="Normal 37 10 3" xfId="18072" xr:uid="{00000000-0005-0000-0000-00009D460000}"/>
    <cellStyle name="Normal 37 10 4" xfId="18073" xr:uid="{00000000-0005-0000-0000-00009E460000}"/>
    <cellStyle name="Normal 37 10 5" xfId="18074" xr:uid="{00000000-0005-0000-0000-00009F460000}"/>
    <cellStyle name="Normal 37 10 6" xfId="18075" xr:uid="{00000000-0005-0000-0000-0000A0460000}"/>
    <cellStyle name="Normal 37 11" xfId="18076" xr:uid="{00000000-0005-0000-0000-0000A1460000}"/>
    <cellStyle name="Normal 37 12" xfId="18077" xr:uid="{00000000-0005-0000-0000-0000A2460000}"/>
    <cellStyle name="Normal 37 13" xfId="18078" xr:uid="{00000000-0005-0000-0000-0000A3460000}"/>
    <cellStyle name="Normal 37 14" xfId="18079" xr:uid="{00000000-0005-0000-0000-0000A4460000}"/>
    <cellStyle name="Normal 37 15" xfId="18080" xr:uid="{00000000-0005-0000-0000-0000A5460000}"/>
    <cellStyle name="Normal 37 2" xfId="18081" xr:uid="{00000000-0005-0000-0000-0000A6460000}"/>
    <cellStyle name="Normal 37 2 10" xfId="18082" xr:uid="{00000000-0005-0000-0000-0000A7460000}"/>
    <cellStyle name="Normal 37 2 11" xfId="18083" xr:uid="{00000000-0005-0000-0000-0000A8460000}"/>
    <cellStyle name="Normal 37 2 12" xfId="18084" xr:uid="{00000000-0005-0000-0000-0000A9460000}"/>
    <cellStyle name="Normal 37 2 13" xfId="18085" xr:uid="{00000000-0005-0000-0000-0000AA460000}"/>
    <cellStyle name="Normal 37 2 14" xfId="18086" xr:uid="{00000000-0005-0000-0000-0000AB460000}"/>
    <cellStyle name="Normal 37 2 2" xfId="18087" xr:uid="{00000000-0005-0000-0000-0000AC460000}"/>
    <cellStyle name="Normal 37 2 2 2" xfId="18088" xr:uid="{00000000-0005-0000-0000-0000AD460000}"/>
    <cellStyle name="Normal 37 2 2 3" xfId="18089" xr:uid="{00000000-0005-0000-0000-0000AE460000}"/>
    <cellStyle name="Normal 37 2 2 4" xfId="18090" xr:uid="{00000000-0005-0000-0000-0000AF460000}"/>
    <cellStyle name="Normal 37 2 2 5" xfId="18091" xr:uid="{00000000-0005-0000-0000-0000B0460000}"/>
    <cellStyle name="Normal 37 2 2 6" xfId="18092" xr:uid="{00000000-0005-0000-0000-0000B1460000}"/>
    <cellStyle name="Normal 37 2 3" xfId="18093" xr:uid="{00000000-0005-0000-0000-0000B2460000}"/>
    <cellStyle name="Normal 37 2 3 2" xfId="18094" xr:uid="{00000000-0005-0000-0000-0000B3460000}"/>
    <cellStyle name="Normal 37 2 3 3" xfId="18095" xr:uid="{00000000-0005-0000-0000-0000B4460000}"/>
    <cellStyle name="Normal 37 2 3 4" xfId="18096" xr:uid="{00000000-0005-0000-0000-0000B5460000}"/>
    <cellStyle name="Normal 37 2 3 5" xfId="18097" xr:uid="{00000000-0005-0000-0000-0000B6460000}"/>
    <cellStyle name="Normal 37 2 3 6" xfId="18098" xr:uid="{00000000-0005-0000-0000-0000B7460000}"/>
    <cellStyle name="Normal 37 2 4" xfId="18099" xr:uid="{00000000-0005-0000-0000-0000B8460000}"/>
    <cellStyle name="Normal 37 2 4 2" xfId="18100" xr:uid="{00000000-0005-0000-0000-0000B9460000}"/>
    <cellStyle name="Normal 37 2 4 3" xfId="18101" xr:uid="{00000000-0005-0000-0000-0000BA460000}"/>
    <cellStyle name="Normal 37 2 4 4" xfId="18102" xr:uid="{00000000-0005-0000-0000-0000BB460000}"/>
    <cellStyle name="Normal 37 2 4 5" xfId="18103" xr:uid="{00000000-0005-0000-0000-0000BC460000}"/>
    <cellStyle name="Normal 37 2 4 6" xfId="18104" xr:uid="{00000000-0005-0000-0000-0000BD460000}"/>
    <cellStyle name="Normal 37 2 5" xfId="18105" xr:uid="{00000000-0005-0000-0000-0000BE460000}"/>
    <cellStyle name="Normal 37 2 5 2" xfId="18106" xr:uid="{00000000-0005-0000-0000-0000BF460000}"/>
    <cellStyle name="Normal 37 2 5 3" xfId="18107" xr:uid="{00000000-0005-0000-0000-0000C0460000}"/>
    <cellStyle name="Normal 37 2 5 4" xfId="18108" xr:uid="{00000000-0005-0000-0000-0000C1460000}"/>
    <cellStyle name="Normal 37 2 5 5" xfId="18109" xr:uid="{00000000-0005-0000-0000-0000C2460000}"/>
    <cellStyle name="Normal 37 2 5 6" xfId="18110" xr:uid="{00000000-0005-0000-0000-0000C3460000}"/>
    <cellStyle name="Normal 37 2 6" xfId="18111" xr:uid="{00000000-0005-0000-0000-0000C4460000}"/>
    <cellStyle name="Normal 37 2 6 2" xfId="18112" xr:uid="{00000000-0005-0000-0000-0000C5460000}"/>
    <cellStyle name="Normal 37 2 6 3" xfId="18113" xr:uid="{00000000-0005-0000-0000-0000C6460000}"/>
    <cellStyle name="Normal 37 2 6 4" xfId="18114" xr:uid="{00000000-0005-0000-0000-0000C7460000}"/>
    <cellStyle name="Normal 37 2 6 5" xfId="18115" xr:uid="{00000000-0005-0000-0000-0000C8460000}"/>
    <cellStyle name="Normal 37 2 6 6" xfId="18116" xr:uid="{00000000-0005-0000-0000-0000C9460000}"/>
    <cellStyle name="Normal 37 2 7" xfId="18117" xr:uid="{00000000-0005-0000-0000-0000CA460000}"/>
    <cellStyle name="Normal 37 2 7 2" xfId="18118" xr:uid="{00000000-0005-0000-0000-0000CB460000}"/>
    <cellStyle name="Normal 37 2 7 3" xfId="18119" xr:uid="{00000000-0005-0000-0000-0000CC460000}"/>
    <cellStyle name="Normal 37 2 7 4" xfId="18120" xr:uid="{00000000-0005-0000-0000-0000CD460000}"/>
    <cellStyle name="Normal 37 2 7 5" xfId="18121" xr:uid="{00000000-0005-0000-0000-0000CE460000}"/>
    <cellStyle name="Normal 37 2 7 6" xfId="18122" xr:uid="{00000000-0005-0000-0000-0000CF460000}"/>
    <cellStyle name="Normal 37 2 8" xfId="18123" xr:uid="{00000000-0005-0000-0000-0000D0460000}"/>
    <cellStyle name="Normal 37 2 8 2" xfId="18124" xr:uid="{00000000-0005-0000-0000-0000D1460000}"/>
    <cellStyle name="Normal 37 2 8 3" xfId="18125" xr:uid="{00000000-0005-0000-0000-0000D2460000}"/>
    <cellStyle name="Normal 37 2 8 4" xfId="18126" xr:uid="{00000000-0005-0000-0000-0000D3460000}"/>
    <cellStyle name="Normal 37 2 8 5" xfId="18127" xr:uid="{00000000-0005-0000-0000-0000D4460000}"/>
    <cellStyle name="Normal 37 2 8 6" xfId="18128" xr:uid="{00000000-0005-0000-0000-0000D5460000}"/>
    <cellStyle name="Normal 37 2 9" xfId="18129" xr:uid="{00000000-0005-0000-0000-0000D6460000}"/>
    <cellStyle name="Normal 37 2 9 2" xfId="18130" xr:uid="{00000000-0005-0000-0000-0000D7460000}"/>
    <cellStyle name="Normal 37 2 9 3" xfId="18131" xr:uid="{00000000-0005-0000-0000-0000D8460000}"/>
    <cellStyle name="Normal 37 2 9 4" xfId="18132" xr:uid="{00000000-0005-0000-0000-0000D9460000}"/>
    <cellStyle name="Normal 37 2 9 5" xfId="18133" xr:uid="{00000000-0005-0000-0000-0000DA460000}"/>
    <cellStyle name="Normal 37 2 9 6" xfId="18134" xr:uid="{00000000-0005-0000-0000-0000DB460000}"/>
    <cellStyle name="Normal 37 3" xfId="18135" xr:uid="{00000000-0005-0000-0000-0000DC460000}"/>
    <cellStyle name="Normal 37 3 2" xfId="18136" xr:uid="{00000000-0005-0000-0000-0000DD460000}"/>
    <cellStyle name="Normal 37 3 3" xfId="18137" xr:uid="{00000000-0005-0000-0000-0000DE460000}"/>
    <cellStyle name="Normal 37 3 4" xfId="18138" xr:uid="{00000000-0005-0000-0000-0000DF460000}"/>
    <cellStyle name="Normal 37 3 5" xfId="18139" xr:uid="{00000000-0005-0000-0000-0000E0460000}"/>
    <cellStyle name="Normal 37 3 6" xfId="18140" xr:uid="{00000000-0005-0000-0000-0000E1460000}"/>
    <cellStyle name="Normal 37 4" xfId="18141" xr:uid="{00000000-0005-0000-0000-0000E2460000}"/>
    <cellStyle name="Normal 37 4 2" xfId="18142" xr:uid="{00000000-0005-0000-0000-0000E3460000}"/>
    <cellStyle name="Normal 37 4 3" xfId="18143" xr:uid="{00000000-0005-0000-0000-0000E4460000}"/>
    <cellStyle name="Normal 37 4 4" xfId="18144" xr:uid="{00000000-0005-0000-0000-0000E5460000}"/>
    <cellStyle name="Normal 37 4 5" xfId="18145" xr:uid="{00000000-0005-0000-0000-0000E6460000}"/>
    <cellStyle name="Normal 37 4 6" xfId="18146" xr:uid="{00000000-0005-0000-0000-0000E7460000}"/>
    <cellStyle name="Normal 37 5" xfId="18147" xr:uid="{00000000-0005-0000-0000-0000E8460000}"/>
    <cellStyle name="Normal 37 5 2" xfId="18148" xr:uid="{00000000-0005-0000-0000-0000E9460000}"/>
    <cellStyle name="Normal 37 5 3" xfId="18149" xr:uid="{00000000-0005-0000-0000-0000EA460000}"/>
    <cellStyle name="Normal 37 5 4" xfId="18150" xr:uid="{00000000-0005-0000-0000-0000EB460000}"/>
    <cellStyle name="Normal 37 5 5" xfId="18151" xr:uid="{00000000-0005-0000-0000-0000EC460000}"/>
    <cellStyle name="Normal 37 5 6" xfId="18152" xr:uid="{00000000-0005-0000-0000-0000ED460000}"/>
    <cellStyle name="Normal 37 6" xfId="18153" xr:uid="{00000000-0005-0000-0000-0000EE460000}"/>
    <cellStyle name="Normal 37 6 2" xfId="18154" xr:uid="{00000000-0005-0000-0000-0000EF460000}"/>
    <cellStyle name="Normal 37 6 3" xfId="18155" xr:uid="{00000000-0005-0000-0000-0000F0460000}"/>
    <cellStyle name="Normal 37 6 4" xfId="18156" xr:uid="{00000000-0005-0000-0000-0000F1460000}"/>
    <cellStyle name="Normal 37 6 5" xfId="18157" xr:uid="{00000000-0005-0000-0000-0000F2460000}"/>
    <cellStyle name="Normal 37 6 6" xfId="18158" xr:uid="{00000000-0005-0000-0000-0000F3460000}"/>
    <cellStyle name="Normal 37 7" xfId="18159" xr:uid="{00000000-0005-0000-0000-0000F4460000}"/>
    <cellStyle name="Normal 37 7 2" xfId="18160" xr:uid="{00000000-0005-0000-0000-0000F5460000}"/>
    <cellStyle name="Normal 37 7 3" xfId="18161" xr:uid="{00000000-0005-0000-0000-0000F6460000}"/>
    <cellStyle name="Normal 37 7 4" xfId="18162" xr:uid="{00000000-0005-0000-0000-0000F7460000}"/>
    <cellStyle name="Normal 37 7 5" xfId="18163" xr:uid="{00000000-0005-0000-0000-0000F8460000}"/>
    <cellStyle name="Normal 37 7 6" xfId="18164" xr:uid="{00000000-0005-0000-0000-0000F9460000}"/>
    <cellStyle name="Normal 37 8" xfId="18165" xr:uid="{00000000-0005-0000-0000-0000FA460000}"/>
    <cellStyle name="Normal 37 8 2" xfId="18166" xr:uid="{00000000-0005-0000-0000-0000FB460000}"/>
    <cellStyle name="Normal 37 8 3" xfId="18167" xr:uid="{00000000-0005-0000-0000-0000FC460000}"/>
    <cellStyle name="Normal 37 8 4" xfId="18168" xr:uid="{00000000-0005-0000-0000-0000FD460000}"/>
    <cellStyle name="Normal 37 8 5" xfId="18169" xr:uid="{00000000-0005-0000-0000-0000FE460000}"/>
    <cellStyle name="Normal 37 8 6" xfId="18170" xr:uid="{00000000-0005-0000-0000-0000FF460000}"/>
    <cellStyle name="Normal 37 9" xfId="18171" xr:uid="{00000000-0005-0000-0000-000000470000}"/>
    <cellStyle name="Normal 37 9 2" xfId="18172" xr:uid="{00000000-0005-0000-0000-000001470000}"/>
    <cellStyle name="Normal 37 9 3" xfId="18173" xr:uid="{00000000-0005-0000-0000-000002470000}"/>
    <cellStyle name="Normal 37 9 4" xfId="18174" xr:uid="{00000000-0005-0000-0000-000003470000}"/>
    <cellStyle name="Normal 37 9 5" xfId="18175" xr:uid="{00000000-0005-0000-0000-000004470000}"/>
    <cellStyle name="Normal 37 9 6" xfId="18176" xr:uid="{00000000-0005-0000-0000-000005470000}"/>
    <cellStyle name="Normal 38" xfId="18177" xr:uid="{00000000-0005-0000-0000-000006470000}"/>
    <cellStyle name="Normal 38 10" xfId="18178" xr:uid="{00000000-0005-0000-0000-000007470000}"/>
    <cellStyle name="Normal 38 10 2" xfId="18179" xr:uid="{00000000-0005-0000-0000-000008470000}"/>
    <cellStyle name="Normal 38 10 3" xfId="18180" xr:uid="{00000000-0005-0000-0000-000009470000}"/>
    <cellStyle name="Normal 38 10 4" xfId="18181" xr:uid="{00000000-0005-0000-0000-00000A470000}"/>
    <cellStyle name="Normal 38 10 5" xfId="18182" xr:uid="{00000000-0005-0000-0000-00000B470000}"/>
    <cellStyle name="Normal 38 10 6" xfId="18183" xr:uid="{00000000-0005-0000-0000-00000C470000}"/>
    <cellStyle name="Normal 38 11" xfId="18184" xr:uid="{00000000-0005-0000-0000-00000D470000}"/>
    <cellStyle name="Normal 38 12" xfId="18185" xr:uid="{00000000-0005-0000-0000-00000E470000}"/>
    <cellStyle name="Normal 38 13" xfId="18186" xr:uid="{00000000-0005-0000-0000-00000F470000}"/>
    <cellStyle name="Normal 38 14" xfId="18187" xr:uid="{00000000-0005-0000-0000-000010470000}"/>
    <cellStyle name="Normal 38 15" xfId="18188" xr:uid="{00000000-0005-0000-0000-000011470000}"/>
    <cellStyle name="Normal 38 2" xfId="18189" xr:uid="{00000000-0005-0000-0000-000012470000}"/>
    <cellStyle name="Normal 38 2 10" xfId="18190" xr:uid="{00000000-0005-0000-0000-000013470000}"/>
    <cellStyle name="Normal 38 2 11" xfId="18191" xr:uid="{00000000-0005-0000-0000-000014470000}"/>
    <cellStyle name="Normal 38 2 12" xfId="18192" xr:uid="{00000000-0005-0000-0000-000015470000}"/>
    <cellStyle name="Normal 38 2 13" xfId="18193" xr:uid="{00000000-0005-0000-0000-000016470000}"/>
    <cellStyle name="Normal 38 2 14" xfId="18194" xr:uid="{00000000-0005-0000-0000-000017470000}"/>
    <cellStyle name="Normal 38 2 2" xfId="18195" xr:uid="{00000000-0005-0000-0000-000018470000}"/>
    <cellStyle name="Normal 38 2 2 2" xfId="18196" xr:uid="{00000000-0005-0000-0000-000019470000}"/>
    <cellStyle name="Normal 38 2 2 3" xfId="18197" xr:uid="{00000000-0005-0000-0000-00001A470000}"/>
    <cellStyle name="Normal 38 2 2 4" xfId="18198" xr:uid="{00000000-0005-0000-0000-00001B470000}"/>
    <cellStyle name="Normal 38 2 2 5" xfId="18199" xr:uid="{00000000-0005-0000-0000-00001C470000}"/>
    <cellStyle name="Normal 38 2 2 6" xfId="18200" xr:uid="{00000000-0005-0000-0000-00001D470000}"/>
    <cellStyle name="Normal 38 2 3" xfId="18201" xr:uid="{00000000-0005-0000-0000-00001E470000}"/>
    <cellStyle name="Normal 38 2 3 2" xfId="18202" xr:uid="{00000000-0005-0000-0000-00001F470000}"/>
    <cellStyle name="Normal 38 2 3 3" xfId="18203" xr:uid="{00000000-0005-0000-0000-000020470000}"/>
    <cellStyle name="Normal 38 2 3 4" xfId="18204" xr:uid="{00000000-0005-0000-0000-000021470000}"/>
    <cellStyle name="Normal 38 2 3 5" xfId="18205" xr:uid="{00000000-0005-0000-0000-000022470000}"/>
    <cellStyle name="Normal 38 2 3 6" xfId="18206" xr:uid="{00000000-0005-0000-0000-000023470000}"/>
    <cellStyle name="Normal 38 2 4" xfId="18207" xr:uid="{00000000-0005-0000-0000-000024470000}"/>
    <cellStyle name="Normal 38 2 4 2" xfId="18208" xr:uid="{00000000-0005-0000-0000-000025470000}"/>
    <cellStyle name="Normal 38 2 4 3" xfId="18209" xr:uid="{00000000-0005-0000-0000-000026470000}"/>
    <cellStyle name="Normal 38 2 4 4" xfId="18210" xr:uid="{00000000-0005-0000-0000-000027470000}"/>
    <cellStyle name="Normal 38 2 4 5" xfId="18211" xr:uid="{00000000-0005-0000-0000-000028470000}"/>
    <cellStyle name="Normal 38 2 4 6" xfId="18212" xr:uid="{00000000-0005-0000-0000-000029470000}"/>
    <cellStyle name="Normal 38 2 5" xfId="18213" xr:uid="{00000000-0005-0000-0000-00002A470000}"/>
    <cellStyle name="Normal 38 2 5 2" xfId="18214" xr:uid="{00000000-0005-0000-0000-00002B470000}"/>
    <cellStyle name="Normal 38 2 5 3" xfId="18215" xr:uid="{00000000-0005-0000-0000-00002C470000}"/>
    <cellStyle name="Normal 38 2 5 4" xfId="18216" xr:uid="{00000000-0005-0000-0000-00002D470000}"/>
    <cellStyle name="Normal 38 2 5 5" xfId="18217" xr:uid="{00000000-0005-0000-0000-00002E470000}"/>
    <cellStyle name="Normal 38 2 5 6" xfId="18218" xr:uid="{00000000-0005-0000-0000-00002F470000}"/>
    <cellStyle name="Normal 38 2 6" xfId="18219" xr:uid="{00000000-0005-0000-0000-000030470000}"/>
    <cellStyle name="Normal 38 2 6 2" xfId="18220" xr:uid="{00000000-0005-0000-0000-000031470000}"/>
    <cellStyle name="Normal 38 2 6 3" xfId="18221" xr:uid="{00000000-0005-0000-0000-000032470000}"/>
    <cellStyle name="Normal 38 2 6 4" xfId="18222" xr:uid="{00000000-0005-0000-0000-000033470000}"/>
    <cellStyle name="Normal 38 2 6 5" xfId="18223" xr:uid="{00000000-0005-0000-0000-000034470000}"/>
    <cellStyle name="Normal 38 2 6 6" xfId="18224" xr:uid="{00000000-0005-0000-0000-000035470000}"/>
    <cellStyle name="Normal 38 2 7" xfId="18225" xr:uid="{00000000-0005-0000-0000-000036470000}"/>
    <cellStyle name="Normal 38 2 7 2" xfId="18226" xr:uid="{00000000-0005-0000-0000-000037470000}"/>
    <cellStyle name="Normal 38 2 7 3" xfId="18227" xr:uid="{00000000-0005-0000-0000-000038470000}"/>
    <cellStyle name="Normal 38 2 7 4" xfId="18228" xr:uid="{00000000-0005-0000-0000-000039470000}"/>
    <cellStyle name="Normal 38 2 7 5" xfId="18229" xr:uid="{00000000-0005-0000-0000-00003A470000}"/>
    <cellStyle name="Normal 38 2 7 6" xfId="18230" xr:uid="{00000000-0005-0000-0000-00003B470000}"/>
    <cellStyle name="Normal 38 2 8" xfId="18231" xr:uid="{00000000-0005-0000-0000-00003C470000}"/>
    <cellStyle name="Normal 38 2 8 2" xfId="18232" xr:uid="{00000000-0005-0000-0000-00003D470000}"/>
    <cellStyle name="Normal 38 2 8 3" xfId="18233" xr:uid="{00000000-0005-0000-0000-00003E470000}"/>
    <cellStyle name="Normal 38 2 8 4" xfId="18234" xr:uid="{00000000-0005-0000-0000-00003F470000}"/>
    <cellStyle name="Normal 38 2 8 5" xfId="18235" xr:uid="{00000000-0005-0000-0000-000040470000}"/>
    <cellStyle name="Normal 38 2 8 6" xfId="18236" xr:uid="{00000000-0005-0000-0000-000041470000}"/>
    <cellStyle name="Normal 38 2 9" xfId="18237" xr:uid="{00000000-0005-0000-0000-000042470000}"/>
    <cellStyle name="Normal 38 2 9 2" xfId="18238" xr:uid="{00000000-0005-0000-0000-000043470000}"/>
    <cellStyle name="Normal 38 2 9 3" xfId="18239" xr:uid="{00000000-0005-0000-0000-000044470000}"/>
    <cellStyle name="Normal 38 2 9 4" xfId="18240" xr:uid="{00000000-0005-0000-0000-000045470000}"/>
    <cellStyle name="Normal 38 2 9 5" xfId="18241" xr:uid="{00000000-0005-0000-0000-000046470000}"/>
    <cellStyle name="Normal 38 2 9 6" xfId="18242" xr:uid="{00000000-0005-0000-0000-000047470000}"/>
    <cellStyle name="Normal 38 3" xfId="18243" xr:uid="{00000000-0005-0000-0000-000048470000}"/>
    <cellStyle name="Normal 38 3 2" xfId="18244" xr:uid="{00000000-0005-0000-0000-000049470000}"/>
    <cellStyle name="Normal 38 3 3" xfId="18245" xr:uid="{00000000-0005-0000-0000-00004A470000}"/>
    <cellStyle name="Normal 38 3 4" xfId="18246" xr:uid="{00000000-0005-0000-0000-00004B470000}"/>
    <cellStyle name="Normal 38 3 5" xfId="18247" xr:uid="{00000000-0005-0000-0000-00004C470000}"/>
    <cellStyle name="Normal 38 3 6" xfId="18248" xr:uid="{00000000-0005-0000-0000-00004D470000}"/>
    <cellStyle name="Normal 38 4" xfId="18249" xr:uid="{00000000-0005-0000-0000-00004E470000}"/>
    <cellStyle name="Normal 38 4 2" xfId="18250" xr:uid="{00000000-0005-0000-0000-00004F470000}"/>
    <cellStyle name="Normal 38 4 3" xfId="18251" xr:uid="{00000000-0005-0000-0000-000050470000}"/>
    <cellStyle name="Normal 38 4 4" xfId="18252" xr:uid="{00000000-0005-0000-0000-000051470000}"/>
    <cellStyle name="Normal 38 4 5" xfId="18253" xr:uid="{00000000-0005-0000-0000-000052470000}"/>
    <cellStyle name="Normal 38 4 6" xfId="18254" xr:uid="{00000000-0005-0000-0000-000053470000}"/>
    <cellStyle name="Normal 38 5" xfId="18255" xr:uid="{00000000-0005-0000-0000-000054470000}"/>
    <cellStyle name="Normal 38 5 2" xfId="18256" xr:uid="{00000000-0005-0000-0000-000055470000}"/>
    <cellStyle name="Normal 38 5 3" xfId="18257" xr:uid="{00000000-0005-0000-0000-000056470000}"/>
    <cellStyle name="Normal 38 5 4" xfId="18258" xr:uid="{00000000-0005-0000-0000-000057470000}"/>
    <cellStyle name="Normal 38 5 5" xfId="18259" xr:uid="{00000000-0005-0000-0000-000058470000}"/>
    <cellStyle name="Normal 38 5 6" xfId="18260" xr:uid="{00000000-0005-0000-0000-000059470000}"/>
    <cellStyle name="Normal 38 6" xfId="18261" xr:uid="{00000000-0005-0000-0000-00005A470000}"/>
    <cellStyle name="Normal 38 6 2" xfId="18262" xr:uid="{00000000-0005-0000-0000-00005B470000}"/>
    <cellStyle name="Normal 38 6 3" xfId="18263" xr:uid="{00000000-0005-0000-0000-00005C470000}"/>
    <cellStyle name="Normal 38 6 4" xfId="18264" xr:uid="{00000000-0005-0000-0000-00005D470000}"/>
    <cellStyle name="Normal 38 6 5" xfId="18265" xr:uid="{00000000-0005-0000-0000-00005E470000}"/>
    <cellStyle name="Normal 38 6 6" xfId="18266" xr:uid="{00000000-0005-0000-0000-00005F470000}"/>
    <cellStyle name="Normal 38 7" xfId="18267" xr:uid="{00000000-0005-0000-0000-000060470000}"/>
    <cellStyle name="Normal 38 7 2" xfId="18268" xr:uid="{00000000-0005-0000-0000-000061470000}"/>
    <cellStyle name="Normal 38 7 3" xfId="18269" xr:uid="{00000000-0005-0000-0000-000062470000}"/>
    <cellStyle name="Normal 38 7 4" xfId="18270" xr:uid="{00000000-0005-0000-0000-000063470000}"/>
    <cellStyle name="Normal 38 7 5" xfId="18271" xr:uid="{00000000-0005-0000-0000-000064470000}"/>
    <cellStyle name="Normal 38 7 6" xfId="18272" xr:uid="{00000000-0005-0000-0000-000065470000}"/>
    <cellStyle name="Normal 38 8" xfId="18273" xr:uid="{00000000-0005-0000-0000-000066470000}"/>
    <cellStyle name="Normal 38 8 2" xfId="18274" xr:uid="{00000000-0005-0000-0000-000067470000}"/>
    <cellStyle name="Normal 38 8 3" xfId="18275" xr:uid="{00000000-0005-0000-0000-000068470000}"/>
    <cellStyle name="Normal 38 8 4" xfId="18276" xr:uid="{00000000-0005-0000-0000-000069470000}"/>
    <cellStyle name="Normal 38 8 5" xfId="18277" xr:uid="{00000000-0005-0000-0000-00006A470000}"/>
    <cellStyle name="Normal 38 8 6" xfId="18278" xr:uid="{00000000-0005-0000-0000-00006B470000}"/>
    <cellStyle name="Normal 38 9" xfId="18279" xr:uid="{00000000-0005-0000-0000-00006C470000}"/>
    <cellStyle name="Normal 38 9 2" xfId="18280" xr:uid="{00000000-0005-0000-0000-00006D470000}"/>
    <cellStyle name="Normal 38 9 3" xfId="18281" xr:uid="{00000000-0005-0000-0000-00006E470000}"/>
    <cellStyle name="Normal 38 9 4" xfId="18282" xr:uid="{00000000-0005-0000-0000-00006F470000}"/>
    <cellStyle name="Normal 38 9 5" xfId="18283" xr:uid="{00000000-0005-0000-0000-000070470000}"/>
    <cellStyle name="Normal 38 9 6" xfId="18284" xr:uid="{00000000-0005-0000-0000-000071470000}"/>
    <cellStyle name="Normal 39" xfId="18285" xr:uid="{00000000-0005-0000-0000-000072470000}"/>
    <cellStyle name="Normal 39 10" xfId="18286" xr:uid="{00000000-0005-0000-0000-000073470000}"/>
    <cellStyle name="Normal 39 10 2" xfId="18287" xr:uid="{00000000-0005-0000-0000-000074470000}"/>
    <cellStyle name="Normal 39 10 3" xfId="18288" xr:uid="{00000000-0005-0000-0000-000075470000}"/>
    <cellStyle name="Normal 39 10 4" xfId="18289" xr:uid="{00000000-0005-0000-0000-000076470000}"/>
    <cellStyle name="Normal 39 10 5" xfId="18290" xr:uid="{00000000-0005-0000-0000-000077470000}"/>
    <cellStyle name="Normal 39 10 6" xfId="18291" xr:uid="{00000000-0005-0000-0000-000078470000}"/>
    <cellStyle name="Normal 39 11" xfId="18292" xr:uid="{00000000-0005-0000-0000-000079470000}"/>
    <cellStyle name="Normal 39 12" xfId="18293" xr:uid="{00000000-0005-0000-0000-00007A470000}"/>
    <cellStyle name="Normal 39 13" xfId="18294" xr:uid="{00000000-0005-0000-0000-00007B470000}"/>
    <cellStyle name="Normal 39 14" xfId="18295" xr:uid="{00000000-0005-0000-0000-00007C470000}"/>
    <cellStyle name="Normal 39 15" xfId="18296" xr:uid="{00000000-0005-0000-0000-00007D470000}"/>
    <cellStyle name="Normal 39 2" xfId="18297" xr:uid="{00000000-0005-0000-0000-00007E470000}"/>
    <cellStyle name="Normal 39 2 10" xfId="18298" xr:uid="{00000000-0005-0000-0000-00007F470000}"/>
    <cellStyle name="Normal 39 2 11" xfId="18299" xr:uid="{00000000-0005-0000-0000-000080470000}"/>
    <cellStyle name="Normal 39 2 12" xfId="18300" xr:uid="{00000000-0005-0000-0000-000081470000}"/>
    <cellStyle name="Normal 39 2 13" xfId="18301" xr:uid="{00000000-0005-0000-0000-000082470000}"/>
    <cellStyle name="Normal 39 2 14" xfId="18302" xr:uid="{00000000-0005-0000-0000-000083470000}"/>
    <cellStyle name="Normal 39 2 2" xfId="18303" xr:uid="{00000000-0005-0000-0000-000084470000}"/>
    <cellStyle name="Normal 39 2 2 2" xfId="18304" xr:uid="{00000000-0005-0000-0000-000085470000}"/>
    <cellStyle name="Normal 39 2 2 3" xfId="18305" xr:uid="{00000000-0005-0000-0000-000086470000}"/>
    <cellStyle name="Normal 39 2 2 4" xfId="18306" xr:uid="{00000000-0005-0000-0000-000087470000}"/>
    <cellStyle name="Normal 39 2 2 5" xfId="18307" xr:uid="{00000000-0005-0000-0000-000088470000}"/>
    <cellStyle name="Normal 39 2 2 6" xfId="18308" xr:uid="{00000000-0005-0000-0000-000089470000}"/>
    <cellStyle name="Normal 39 2 3" xfId="18309" xr:uid="{00000000-0005-0000-0000-00008A470000}"/>
    <cellStyle name="Normal 39 2 3 2" xfId="18310" xr:uid="{00000000-0005-0000-0000-00008B470000}"/>
    <cellStyle name="Normal 39 2 3 3" xfId="18311" xr:uid="{00000000-0005-0000-0000-00008C470000}"/>
    <cellStyle name="Normal 39 2 3 4" xfId="18312" xr:uid="{00000000-0005-0000-0000-00008D470000}"/>
    <cellStyle name="Normal 39 2 3 5" xfId="18313" xr:uid="{00000000-0005-0000-0000-00008E470000}"/>
    <cellStyle name="Normal 39 2 3 6" xfId="18314" xr:uid="{00000000-0005-0000-0000-00008F470000}"/>
    <cellStyle name="Normal 39 2 4" xfId="18315" xr:uid="{00000000-0005-0000-0000-000090470000}"/>
    <cellStyle name="Normal 39 2 4 2" xfId="18316" xr:uid="{00000000-0005-0000-0000-000091470000}"/>
    <cellStyle name="Normal 39 2 4 3" xfId="18317" xr:uid="{00000000-0005-0000-0000-000092470000}"/>
    <cellStyle name="Normal 39 2 4 4" xfId="18318" xr:uid="{00000000-0005-0000-0000-000093470000}"/>
    <cellStyle name="Normal 39 2 4 5" xfId="18319" xr:uid="{00000000-0005-0000-0000-000094470000}"/>
    <cellStyle name="Normal 39 2 4 6" xfId="18320" xr:uid="{00000000-0005-0000-0000-000095470000}"/>
    <cellStyle name="Normal 39 2 5" xfId="18321" xr:uid="{00000000-0005-0000-0000-000096470000}"/>
    <cellStyle name="Normal 39 2 5 2" xfId="18322" xr:uid="{00000000-0005-0000-0000-000097470000}"/>
    <cellStyle name="Normal 39 2 5 3" xfId="18323" xr:uid="{00000000-0005-0000-0000-000098470000}"/>
    <cellStyle name="Normal 39 2 5 4" xfId="18324" xr:uid="{00000000-0005-0000-0000-000099470000}"/>
    <cellStyle name="Normal 39 2 5 5" xfId="18325" xr:uid="{00000000-0005-0000-0000-00009A470000}"/>
    <cellStyle name="Normal 39 2 5 6" xfId="18326" xr:uid="{00000000-0005-0000-0000-00009B470000}"/>
    <cellStyle name="Normal 39 2 6" xfId="18327" xr:uid="{00000000-0005-0000-0000-00009C470000}"/>
    <cellStyle name="Normal 39 2 6 2" xfId="18328" xr:uid="{00000000-0005-0000-0000-00009D470000}"/>
    <cellStyle name="Normal 39 2 6 3" xfId="18329" xr:uid="{00000000-0005-0000-0000-00009E470000}"/>
    <cellStyle name="Normal 39 2 6 4" xfId="18330" xr:uid="{00000000-0005-0000-0000-00009F470000}"/>
    <cellStyle name="Normal 39 2 6 5" xfId="18331" xr:uid="{00000000-0005-0000-0000-0000A0470000}"/>
    <cellStyle name="Normal 39 2 6 6" xfId="18332" xr:uid="{00000000-0005-0000-0000-0000A1470000}"/>
    <cellStyle name="Normal 39 2 7" xfId="18333" xr:uid="{00000000-0005-0000-0000-0000A2470000}"/>
    <cellStyle name="Normal 39 2 7 2" xfId="18334" xr:uid="{00000000-0005-0000-0000-0000A3470000}"/>
    <cellStyle name="Normal 39 2 7 3" xfId="18335" xr:uid="{00000000-0005-0000-0000-0000A4470000}"/>
    <cellStyle name="Normal 39 2 7 4" xfId="18336" xr:uid="{00000000-0005-0000-0000-0000A5470000}"/>
    <cellStyle name="Normal 39 2 7 5" xfId="18337" xr:uid="{00000000-0005-0000-0000-0000A6470000}"/>
    <cellStyle name="Normal 39 2 7 6" xfId="18338" xr:uid="{00000000-0005-0000-0000-0000A7470000}"/>
    <cellStyle name="Normal 39 2 8" xfId="18339" xr:uid="{00000000-0005-0000-0000-0000A8470000}"/>
    <cellStyle name="Normal 39 2 8 2" xfId="18340" xr:uid="{00000000-0005-0000-0000-0000A9470000}"/>
    <cellStyle name="Normal 39 2 8 3" xfId="18341" xr:uid="{00000000-0005-0000-0000-0000AA470000}"/>
    <cellStyle name="Normal 39 2 8 4" xfId="18342" xr:uid="{00000000-0005-0000-0000-0000AB470000}"/>
    <cellStyle name="Normal 39 2 8 5" xfId="18343" xr:uid="{00000000-0005-0000-0000-0000AC470000}"/>
    <cellStyle name="Normal 39 2 8 6" xfId="18344" xr:uid="{00000000-0005-0000-0000-0000AD470000}"/>
    <cellStyle name="Normal 39 2 9" xfId="18345" xr:uid="{00000000-0005-0000-0000-0000AE470000}"/>
    <cellStyle name="Normal 39 2 9 2" xfId="18346" xr:uid="{00000000-0005-0000-0000-0000AF470000}"/>
    <cellStyle name="Normal 39 2 9 3" xfId="18347" xr:uid="{00000000-0005-0000-0000-0000B0470000}"/>
    <cellStyle name="Normal 39 2 9 4" xfId="18348" xr:uid="{00000000-0005-0000-0000-0000B1470000}"/>
    <cellStyle name="Normal 39 2 9 5" xfId="18349" xr:uid="{00000000-0005-0000-0000-0000B2470000}"/>
    <cellStyle name="Normal 39 2 9 6" xfId="18350" xr:uid="{00000000-0005-0000-0000-0000B3470000}"/>
    <cellStyle name="Normal 39 3" xfId="18351" xr:uid="{00000000-0005-0000-0000-0000B4470000}"/>
    <cellStyle name="Normal 39 3 2" xfId="18352" xr:uid="{00000000-0005-0000-0000-0000B5470000}"/>
    <cellStyle name="Normal 39 3 3" xfId="18353" xr:uid="{00000000-0005-0000-0000-0000B6470000}"/>
    <cellStyle name="Normal 39 3 4" xfId="18354" xr:uid="{00000000-0005-0000-0000-0000B7470000}"/>
    <cellStyle name="Normal 39 3 5" xfId="18355" xr:uid="{00000000-0005-0000-0000-0000B8470000}"/>
    <cellStyle name="Normal 39 3 6" xfId="18356" xr:uid="{00000000-0005-0000-0000-0000B9470000}"/>
    <cellStyle name="Normal 39 4" xfId="18357" xr:uid="{00000000-0005-0000-0000-0000BA470000}"/>
    <cellStyle name="Normal 39 4 2" xfId="18358" xr:uid="{00000000-0005-0000-0000-0000BB470000}"/>
    <cellStyle name="Normal 39 4 3" xfId="18359" xr:uid="{00000000-0005-0000-0000-0000BC470000}"/>
    <cellStyle name="Normal 39 4 4" xfId="18360" xr:uid="{00000000-0005-0000-0000-0000BD470000}"/>
    <cellStyle name="Normal 39 4 5" xfId="18361" xr:uid="{00000000-0005-0000-0000-0000BE470000}"/>
    <cellStyle name="Normal 39 4 6" xfId="18362" xr:uid="{00000000-0005-0000-0000-0000BF470000}"/>
    <cellStyle name="Normal 39 5" xfId="18363" xr:uid="{00000000-0005-0000-0000-0000C0470000}"/>
    <cellStyle name="Normal 39 5 2" xfId="18364" xr:uid="{00000000-0005-0000-0000-0000C1470000}"/>
    <cellStyle name="Normal 39 5 3" xfId="18365" xr:uid="{00000000-0005-0000-0000-0000C2470000}"/>
    <cellStyle name="Normal 39 5 4" xfId="18366" xr:uid="{00000000-0005-0000-0000-0000C3470000}"/>
    <cellStyle name="Normal 39 5 5" xfId="18367" xr:uid="{00000000-0005-0000-0000-0000C4470000}"/>
    <cellStyle name="Normal 39 5 6" xfId="18368" xr:uid="{00000000-0005-0000-0000-0000C5470000}"/>
    <cellStyle name="Normal 39 6" xfId="18369" xr:uid="{00000000-0005-0000-0000-0000C6470000}"/>
    <cellStyle name="Normal 39 6 2" xfId="18370" xr:uid="{00000000-0005-0000-0000-0000C7470000}"/>
    <cellStyle name="Normal 39 6 3" xfId="18371" xr:uid="{00000000-0005-0000-0000-0000C8470000}"/>
    <cellStyle name="Normal 39 6 4" xfId="18372" xr:uid="{00000000-0005-0000-0000-0000C9470000}"/>
    <cellStyle name="Normal 39 6 5" xfId="18373" xr:uid="{00000000-0005-0000-0000-0000CA470000}"/>
    <cellStyle name="Normal 39 6 6" xfId="18374" xr:uid="{00000000-0005-0000-0000-0000CB470000}"/>
    <cellStyle name="Normal 39 7" xfId="18375" xr:uid="{00000000-0005-0000-0000-0000CC470000}"/>
    <cellStyle name="Normal 39 7 2" xfId="18376" xr:uid="{00000000-0005-0000-0000-0000CD470000}"/>
    <cellStyle name="Normal 39 7 3" xfId="18377" xr:uid="{00000000-0005-0000-0000-0000CE470000}"/>
    <cellStyle name="Normal 39 7 4" xfId="18378" xr:uid="{00000000-0005-0000-0000-0000CF470000}"/>
    <cellStyle name="Normal 39 7 5" xfId="18379" xr:uid="{00000000-0005-0000-0000-0000D0470000}"/>
    <cellStyle name="Normal 39 7 6" xfId="18380" xr:uid="{00000000-0005-0000-0000-0000D1470000}"/>
    <cellStyle name="Normal 39 8" xfId="18381" xr:uid="{00000000-0005-0000-0000-0000D2470000}"/>
    <cellStyle name="Normal 39 8 2" xfId="18382" xr:uid="{00000000-0005-0000-0000-0000D3470000}"/>
    <cellStyle name="Normal 39 8 3" xfId="18383" xr:uid="{00000000-0005-0000-0000-0000D4470000}"/>
    <cellStyle name="Normal 39 8 4" xfId="18384" xr:uid="{00000000-0005-0000-0000-0000D5470000}"/>
    <cellStyle name="Normal 39 8 5" xfId="18385" xr:uid="{00000000-0005-0000-0000-0000D6470000}"/>
    <cellStyle name="Normal 39 8 6" xfId="18386" xr:uid="{00000000-0005-0000-0000-0000D7470000}"/>
    <cellStyle name="Normal 39 9" xfId="18387" xr:uid="{00000000-0005-0000-0000-0000D8470000}"/>
    <cellStyle name="Normal 39 9 2" xfId="18388" xr:uid="{00000000-0005-0000-0000-0000D9470000}"/>
    <cellStyle name="Normal 39 9 3" xfId="18389" xr:uid="{00000000-0005-0000-0000-0000DA470000}"/>
    <cellStyle name="Normal 39 9 4" xfId="18390" xr:uid="{00000000-0005-0000-0000-0000DB470000}"/>
    <cellStyle name="Normal 39 9 5" xfId="18391" xr:uid="{00000000-0005-0000-0000-0000DC470000}"/>
    <cellStyle name="Normal 39 9 6" xfId="18392" xr:uid="{00000000-0005-0000-0000-0000DD470000}"/>
    <cellStyle name="Normal 4" xfId="18394" xr:uid="{00000000-0005-0000-0000-0000DE470000}"/>
    <cellStyle name="Normal 4 10" xfId="18395" xr:uid="{00000000-0005-0000-0000-0000DF470000}"/>
    <cellStyle name="Normal 4 10 10" xfId="18396" xr:uid="{00000000-0005-0000-0000-0000E0470000}"/>
    <cellStyle name="Normal 4 10 10 2" xfId="18397" xr:uid="{00000000-0005-0000-0000-0000E1470000}"/>
    <cellStyle name="Normal 4 10 10 3" xfId="18398" xr:uid="{00000000-0005-0000-0000-0000E2470000}"/>
    <cellStyle name="Normal 4 10 10 4" xfId="18399" xr:uid="{00000000-0005-0000-0000-0000E3470000}"/>
    <cellStyle name="Normal 4 10 10 5" xfId="18400" xr:uid="{00000000-0005-0000-0000-0000E4470000}"/>
    <cellStyle name="Normal 4 10 10 6" xfId="18401" xr:uid="{00000000-0005-0000-0000-0000E5470000}"/>
    <cellStyle name="Normal 4 10 11" xfId="18402" xr:uid="{00000000-0005-0000-0000-0000E6470000}"/>
    <cellStyle name="Normal 4 10 11 2" xfId="18403" xr:uid="{00000000-0005-0000-0000-0000E7470000}"/>
    <cellStyle name="Normal 4 10 11 3" xfId="18404" xr:uid="{00000000-0005-0000-0000-0000E8470000}"/>
    <cellStyle name="Normal 4 10 11 4" xfId="18405" xr:uid="{00000000-0005-0000-0000-0000E9470000}"/>
    <cellStyle name="Normal 4 10 11 5" xfId="18406" xr:uid="{00000000-0005-0000-0000-0000EA470000}"/>
    <cellStyle name="Normal 4 10 11 6" xfId="18407" xr:uid="{00000000-0005-0000-0000-0000EB470000}"/>
    <cellStyle name="Normal 4 10 12" xfId="18408" xr:uid="{00000000-0005-0000-0000-0000EC470000}"/>
    <cellStyle name="Normal 4 10 13" xfId="18409" xr:uid="{00000000-0005-0000-0000-0000ED470000}"/>
    <cellStyle name="Normal 4 10 14" xfId="18410" xr:uid="{00000000-0005-0000-0000-0000EE470000}"/>
    <cellStyle name="Normal 4 10 15" xfId="18411" xr:uid="{00000000-0005-0000-0000-0000EF470000}"/>
    <cellStyle name="Normal 4 10 16" xfId="18412" xr:uid="{00000000-0005-0000-0000-0000F0470000}"/>
    <cellStyle name="Normal 4 10 17" xfId="18413" xr:uid="{00000000-0005-0000-0000-0000F1470000}"/>
    <cellStyle name="Normal 4 10 18" xfId="18414" xr:uid="{00000000-0005-0000-0000-0000F2470000}"/>
    <cellStyle name="Normal 4 10 19" xfId="18415" xr:uid="{00000000-0005-0000-0000-0000F3470000}"/>
    <cellStyle name="Normal 4 10 2" xfId="18416" xr:uid="{00000000-0005-0000-0000-0000F4470000}"/>
    <cellStyle name="Normal 4 10 2 10" xfId="18417" xr:uid="{00000000-0005-0000-0000-0000F5470000}"/>
    <cellStyle name="Normal 4 10 2 10 2" xfId="18418" xr:uid="{00000000-0005-0000-0000-0000F6470000}"/>
    <cellStyle name="Normal 4 10 2 10 3" xfId="18419" xr:uid="{00000000-0005-0000-0000-0000F7470000}"/>
    <cellStyle name="Normal 4 10 2 10 4" xfId="18420" xr:uid="{00000000-0005-0000-0000-0000F8470000}"/>
    <cellStyle name="Normal 4 10 2 10 5" xfId="18421" xr:uid="{00000000-0005-0000-0000-0000F9470000}"/>
    <cellStyle name="Normal 4 10 2 10 6" xfId="18422" xr:uid="{00000000-0005-0000-0000-0000FA470000}"/>
    <cellStyle name="Normal 4 10 2 11" xfId="18423" xr:uid="{00000000-0005-0000-0000-0000FB470000}"/>
    <cellStyle name="Normal 4 10 2 12" xfId="18424" xr:uid="{00000000-0005-0000-0000-0000FC470000}"/>
    <cellStyle name="Normal 4 10 2 13" xfId="18425" xr:uid="{00000000-0005-0000-0000-0000FD470000}"/>
    <cellStyle name="Normal 4 10 2 14" xfId="18426" xr:uid="{00000000-0005-0000-0000-0000FE470000}"/>
    <cellStyle name="Normal 4 10 2 15" xfId="18427" xr:uid="{00000000-0005-0000-0000-0000FF470000}"/>
    <cellStyle name="Normal 4 10 2 2" xfId="18428" xr:uid="{00000000-0005-0000-0000-000000480000}"/>
    <cellStyle name="Normal 4 10 2 2 10" xfId="18429" xr:uid="{00000000-0005-0000-0000-000001480000}"/>
    <cellStyle name="Normal 4 10 2 2 11" xfId="18430" xr:uid="{00000000-0005-0000-0000-000002480000}"/>
    <cellStyle name="Normal 4 10 2 2 12" xfId="18431" xr:uid="{00000000-0005-0000-0000-000003480000}"/>
    <cellStyle name="Normal 4 10 2 2 13" xfId="18432" xr:uid="{00000000-0005-0000-0000-000004480000}"/>
    <cellStyle name="Normal 4 10 2 2 14" xfId="18433" xr:uid="{00000000-0005-0000-0000-000005480000}"/>
    <cellStyle name="Normal 4 10 2 2 2" xfId="18434" xr:uid="{00000000-0005-0000-0000-000006480000}"/>
    <cellStyle name="Normal 4 10 2 2 2 2" xfId="18435" xr:uid="{00000000-0005-0000-0000-000007480000}"/>
    <cellStyle name="Normal 4 10 2 2 2 3" xfId="18436" xr:uid="{00000000-0005-0000-0000-000008480000}"/>
    <cellStyle name="Normal 4 10 2 2 2 4" xfId="18437" xr:uid="{00000000-0005-0000-0000-000009480000}"/>
    <cellStyle name="Normal 4 10 2 2 2 5" xfId="18438" xr:uid="{00000000-0005-0000-0000-00000A480000}"/>
    <cellStyle name="Normal 4 10 2 2 2 6" xfId="18439" xr:uid="{00000000-0005-0000-0000-00000B480000}"/>
    <cellStyle name="Normal 4 10 2 2 3" xfId="18440" xr:uid="{00000000-0005-0000-0000-00000C480000}"/>
    <cellStyle name="Normal 4 10 2 2 3 2" xfId="18441" xr:uid="{00000000-0005-0000-0000-00000D480000}"/>
    <cellStyle name="Normal 4 10 2 2 3 3" xfId="18442" xr:uid="{00000000-0005-0000-0000-00000E480000}"/>
    <cellStyle name="Normal 4 10 2 2 3 4" xfId="18443" xr:uid="{00000000-0005-0000-0000-00000F480000}"/>
    <cellStyle name="Normal 4 10 2 2 3 5" xfId="18444" xr:uid="{00000000-0005-0000-0000-000010480000}"/>
    <cellStyle name="Normal 4 10 2 2 3 6" xfId="18445" xr:uid="{00000000-0005-0000-0000-000011480000}"/>
    <cellStyle name="Normal 4 10 2 2 4" xfId="18446" xr:uid="{00000000-0005-0000-0000-000012480000}"/>
    <cellStyle name="Normal 4 10 2 2 4 2" xfId="18447" xr:uid="{00000000-0005-0000-0000-000013480000}"/>
    <cellStyle name="Normal 4 10 2 2 4 3" xfId="18448" xr:uid="{00000000-0005-0000-0000-000014480000}"/>
    <cellStyle name="Normal 4 10 2 2 4 4" xfId="18449" xr:uid="{00000000-0005-0000-0000-000015480000}"/>
    <cellStyle name="Normal 4 10 2 2 4 5" xfId="18450" xr:uid="{00000000-0005-0000-0000-000016480000}"/>
    <cellStyle name="Normal 4 10 2 2 4 6" xfId="18451" xr:uid="{00000000-0005-0000-0000-000017480000}"/>
    <cellStyle name="Normal 4 10 2 2 5" xfId="18452" xr:uid="{00000000-0005-0000-0000-000018480000}"/>
    <cellStyle name="Normal 4 10 2 2 5 2" xfId="18453" xr:uid="{00000000-0005-0000-0000-000019480000}"/>
    <cellStyle name="Normal 4 10 2 2 5 3" xfId="18454" xr:uid="{00000000-0005-0000-0000-00001A480000}"/>
    <cellStyle name="Normal 4 10 2 2 5 4" xfId="18455" xr:uid="{00000000-0005-0000-0000-00001B480000}"/>
    <cellStyle name="Normal 4 10 2 2 5 5" xfId="18456" xr:uid="{00000000-0005-0000-0000-00001C480000}"/>
    <cellStyle name="Normal 4 10 2 2 5 6" xfId="18457" xr:uid="{00000000-0005-0000-0000-00001D480000}"/>
    <cellStyle name="Normal 4 10 2 2 6" xfId="18458" xr:uid="{00000000-0005-0000-0000-00001E480000}"/>
    <cellStyle name="Normal 4 10 2 2 6 2" xfId="18459" xr:uid="{00000000-0005-0000-0000-00001F480000}"/>
    <cellStyle name="Normal 4 10 2 2 6 3" xfId="18460" xr:uid="{00000000-0005-0000-0000-000020480000}"/>
    <cellStyle name="Normal 4 10 2 2 6 4" xfId="18461" xr:uid="{00000000-0005-0000-0000-000021480000}"/>
    <cellStyle name="Normal 4 10 2 2 6 5" xfId="18462" xr:uid="{00000000-0005-0000-0000-000022480000}"/>
    <cellStyle name="Normal 4 10 2 2 6 6" xfId="18463" xr:uid="{00000000-0005-0000-0000-000023480000}"/>
    <cellStyle name="Normal 4 10 2 2 7" xfId="18464" xr:uid="{00000000-0005-0000-0000-000024480000}"/>
    <cellStyle name="Normal 4 10 2 2 7 2" xfId="18465" xr:uid="{00000000-0005-0000-0000-000025480000}"/>
    <cellStyle name="Normal 4 10 2 2 7 3" xfId="18466" xr:uid="{00000000-0005-0000-0000-000026480000}"/>
    <cellStyle name="Normal 4 10 2 2 7 4" xfId="18467" xr:uid="{00000000-0005-0000-0000-000027480000}"/>
    <cellStyle name="Normal 4 10 2 2 7 5" xfId="18468" xr:uid="{00000000-0005-0000-0000-000028480000}"/>
    <cellStyle name="Normal 4 10 2 2 7 6" xfId="18469" xr:uid="{00000000-0005-0000-0000-000029480000}"/>
    <cellStyle name="Normal 4 10 2 2 8" xfId="18470" xr:uid="{00000000-0005-0000-0000-00002A480000}"/>
    <cellStyle name="Normal 4 10 2 2 8 2" xfId="18471" xr:uid="{00000000-0005-0000-0000-00002B480000}"/>
    <cellStyle name="Normal 4 10 2 2 8 3" xfId="18472" xr:uid="{00000000-0005-0000-0000-00002C480000}"/>
    <cellStyle name="Normal 4 10 2 2 8 4" xfId="18473" xr:uid="{00000000-0005-0000-0000-00002D480000}"/>
    <cellStyle name="Normal 4 10 2 2 8 5" xfId="18474" xr:uid="{00000000-0005-0000-0000-00002E480000}"/>
    <cellStyle name="Normal 4 10 2 2 8 6" xfId="18475" xr:uid="{00000000-0005-0000-0000-00002F480000}"/>
    <cellStyle name="Normal 4 10 2 2 9" xfId="18476" xr:uid="{00000000-0005-0000-0000-000030480000}"/>
    <cellStyle name="Normal 4 10 2 2 9 2" xfId="18477" xr:uid="{00000000-0005-0000-0000-000031480000}"/>
    <cellStyle name="Normal 4 10 2 2 9 3" xfId="18478" xr:uid="{00000000-0005-0000-0000-000032480000}"/>
    <cellStyle name="Normal 4 10 2 2 9 4" xfId="18479" xr:uid="{00000000-0005-0000-0000-000033480000}"/>
    <cellStyle name="Normal 4 10 2 2 9 5" xfId="18480" xr:uid="{00000000-0005-0000-0000-000034480000}"/>
    <cellStyle name="Normal 4 10 2 2 9 6" xfId="18481" xr:uid="{00000000-0005-0000-0000-000035480000}"/>
    <cellStyle name="Normal 4 10 2 3" xfId="18482" xr:uid="{00000000-0005-0000-0000-000036480000}"/>
    <cellStyle name="Normal 4 10 2 3 2" xfId="18483" xr:uid="{00000000-0005-0000-0000-000037480000}"/>
    <cellStyle name="Normal 4 10 2 3 3" xfId="18484" xr:uid="{00000000-0005-0000-0000-000038480000}"/>
    <cellStyle name="Normal 4 10 2 3 4" xfId="18485" xr:uid="{00000000-0005-0000-0000-000039480000}"/>
    <cellStyle name="Normal 4 10 2 3 5" xfId="18486" xr:uid="{00000000-0005-0000-0000-00003A480000}"/>
    <cellStyle name="Normal 4 10 2 3 6" xfId="18487" xr:uid="{00000000-0005-0000-0000-00003B480000}"/>
    <cellStyle name="Normal 4 10 2 4" xfId="18488" xr:uid="{00000000-0005-0000-0000-00003C480000}"/>
    <cellStyle name="Normal 4 10 2 4 2" xfId="18489" xr:uid="{00000000-0005-0000-0000-00003D480000}"/>
    <cellStyle name="Normal 4 10 2 4 3" xfId="18490" xr:uid="{00000000-0005-0000-0000-00003E480000}"/>
    <cellStyle name="Normal 4 10 2 4 4" xfId="18491" xr:uid="{00000000-0005-0000-0000-00003F480000}"/>
    <cellStyle name="Normal 4 10 2 4 5" xfId="18492" xr:uid="{00000000-0005-0000-0000-000040480000}"/>
    <cellStyle name="Normal 4 10 2 4 6" xfId="18493" xr:uid="{00000000-0005-0000-0000-000041480000}"/>
    <cellStyle name="Normal 4 10 2 5" xfId="18494" xr:uid="{00000000-0005-0000-0000-000042480000}"/>
    <cellStyle name="Normal 4 10 2 5 2" xfId="18495" xr:uid="{00000000-0005-0000-0000-000043480000}"/>
    <cellStyle name="Normal 4 10 2 5 3" xfId="18496" xr:uid="{00000000-0005-0000-0000-000044480000}"/>
    <cellStyle name="Normal 4 10 2 5 4" xfId="18497" xr:uid="{00000000-0005-0000-0000-000045480000}"/>
    <cellStyle name="Normal 4 10 2 5 5" xfId="18498" xr:uid="{00000000-0005-0000-0000-000046480000}"/>
    <cellStyle name="Normal 4 10 2 5 6" xfId="18499" xr:uid="{00000000-0005-0000-0000-000047480000}"/>
    <cellStyle name="Normal 4 10 2 6" xfId="18500" xr:uid="{00000000-0005-0000-0000-000048480000}"/>
    <cellStyle name="Normal 4 10 2 6 2" xfId="18501" xr:uid="{00000000-0005-0000-0000-000049480000}"/>
    <cellStyle name="Normal 4 10 2 6 3" xfId="18502" xr:uid="{00000000-0005-0000-0000-00004A480000}"/>
    <cellStyle name="Normal 4 10 2 6 4" xfId="18503" xr:uid="{00000000-0005-0000-0000-00004B480000}"/>
    <cellStyle name="Normal 4 10 2 6 5" xfId="18504" xr:uid="{00000000-0005-0000-0000-00004C480000}"/>
    <cellStyle name="Normal 4 10 2 6 6" xfId="18505" xr:uid="{00000000-0005-0000-0000-00004D480000}"/>
    <cellStyle name="Normal 4 10 2 7" xfId="18506" xr:uid="{00000000-0005-0000-0000-00004E480000}"/>
    <cellStyle name="Normal 4 10 2 7 2" xfId="18507" xr:uid="{00000000-0005-0000-0000-00004F480000}"/>
    <cellStyle name="Normal 4 10 2 7 3" xfId="18508" xr:uid="{00000000-0005-0000-0000-000050480000}"/>
    <cellStyle name="Normal 4 10 2 7 4" xfId="18509" xr:uid="{00000000-0005-0000-0000-000051480000}"/>
    <cellStyle name="Normal 4 10 2 7 5" xfId="18510" xr:uid="{00000000-0005-0000-0000-000052480000}"/>
    <cellStyle name="Normal 4 10 2 7 6" xfId="18511" xr:uid="{00000000-0005-0000-0000-000053480000}"/>
    <cellStyle name="Normal 4 10 2 8" xfId="18512" xr:uid="{00000000-0005-0000-0000-000054480000}"/>
    <cellStyle name="Normal 4 10 2 8 2" xfId="18513" xr:uid="{00000000-0005-0000-0000-000055480000}"/>
    <cellStyle name="Normal 4 10 2 8 3" xfId="18514" xr:uid="{00000000-0005-0000-0000-000056480000}"/>
    <cellStyle name="Normal 4 10 2 8 4" xfId="18515" xr:uid="{00000000-0005-0000-0000-000057480000}"/>
    <cellStyle name="Normal 4 10 2 8 5" xfId="18516" xr:uid="{00000000-0005-0000-0000-000058480000}"/>
    <cellStyle name="Normal 4 10 2 8 6" xfId="18517" xr:uid="{00000000-0005-0000-0000-000059480000}"/>
    <cellStyle name="Normal 4 10 2 9" xfId="18518" xr:uid="{00000000-0005-0000-0000-00005A480000}"/>
    <cellStyle name="Normal 4 10 2 9 2" xfId="18519" xr:uid="{00000000-0005-0000-0000-00005B480000}"/>
    <cellStyle name="Normal 4 10 2 9 3" xfId="18520" xr:uid="{00000000-0005-0000-0000-00005C480000}"/>
    <cellStyle name="Normal 4 10 2 9 4" xfId="18521" xr:uid="{00000000-0005-0000-0000-00005D480000}"/>
    <cellStyle name="Normal 4 10 2 9 5" xfId="18522" xr:uid="{00000000-0005-0000-0000-00005E480000}"/>
    <cellStyle name="Normal 4 10 2 9 6" xfId="18523" xr:uid="{00000000-0005-0000-0000-00005F480000}"/>
    <cellStyle name="Normal 4 10 20" xfId="18524" xr:uid="{00000000-0005-0000-0000-000060480000}"/>
    <cellStyle name="Normal 4 10 21" xfId="18525" xr:uid="{00000000-0005-0000-0000-000061480000}"/>
    <cellStyle name="Normal 4 10 22" xfId="18526" xr:uid="{00000000-0005-0000-0000-000062480000}"/>
    <cellStyle name="Normal 4 10 23" xfId="18527" xr:uid="{00000000-0005-0000-0000-000063480000}"/>
    <cellStyle name="Normal 4 10 24" xfId="18528" xr:uid="{00000000-0005-0000-0000-000064480000}"/>
    <cellStyle name="Normal 4 10 25" xfId="18529" xr:uid="{00000000-0005-0000-0000-000065480000}"/>
    <cellStyle name="Normal 4 10 26" xfId="18530" xr:uid="{00000000-0005-0000-0000-000066480000}"/>
    <cellStyle name="Normal 4 10 27" xfId="18531" xr:uid="{00000000-0005-0000-0000-000067480000}"/>
    <cellStyle name="Normal 4 10 28" xfId="18532" xr:uid="{00000000-0005-0000-0000-000068480000}"/>
    <cellStyle name="Normal 4 10 29" xfId="18533" xr:uid="{00000000-0005-0000-0000-000069480000}"/>
    <cellStyle name="Normal 4 10 3" xfId="18534" xr:uid="{00000000-0005-0000-0000-00006A480000}"/>
    <cellStyle name="Normal 4 10 3 10" xfId="18535" xr:uid="{00000000-0005-0000-0000-00006B480000}"/>
    <cellStyle name="Normal 4 10 3 11" xfId="18536" xr:uid="{00000000-0005-0000-0000-00006C480000}"/>
    <cellStyle name="Normal 4 10 3 12" xfId="18537" xr:uid="{00000000-0005-0000-0000-00006D480000}"/>
    <cellStyle name="Normal 4 10 3 13" xfId="18538" xr:uid="{00000000-0005-0000-0000-00006E480000}"/>
    <cellStyle name="Normal 4 10 3 14" xfId="18539" xr:uid="{00000000-0005-0000-0000-00006F480000}"/>
    <cellStyle name="Normal 4 10 3 2" xfId="18540" xr:uid="{00000000-0005-0000-0000-000070480000}"/>
    <cellStyle name="Normal 4 10 3 2 2" xfId="18541" xr:uid="{00000000-0005-0000-0000-000071480000}"/>
    <cellStyle name="Normal 4 10 3 2 3" xfId="18542" xr:uid="{00000000-0005-0000-0000-000072480000}"/>
    <cellStyle name="Normal 4 10 3 2 4" xfId="18543" xr:uid="{00000000-0005-0000-0000-000073480000}"/>
    <cellStyle name="Normal 4 10 3 2 5" xfId="18544" xr:uid="{00000000-0005-0000-0000-000074480000}"/>
    <cellStyle name="Normal 4 10 3 2 6" xfId="18545" xr:uid="{00000000-0005-0000-0000-000075480000}"/>
    <cellStyle name="Normal 4 10 3 3" xfId="18546" xr:uid="{00000000-0005-0000-0000-000076480000}"/>
    <cellStyle name="Normal 4 10 3 3 2" xfId="18547" xr:uid="{00000000-0005-0000-0000-000077480000}"/>
    <cellStyle name="Normal 4 10 3 3 3" xfId="18548" xr:uid="{00000000-0005-0000-0000-000078480000}"/>
    <cellStyle name="Normal 4 10 3 3 4" xfId="18549" xr:uid="{00000000-0005-0000-0000-000079480000}"/>
    <cellStyle name="Normal 4 10 3 3 5" xfId="18550" xr:uid="{00000000-0005-0000-0000-00007A480000}"/>
    <cellStyle name="Normal 4 10 3 3 6" xfId="18551" xr:uid="{00000000-0005-0000-0000-00007B480000}"/>
    <cellStyle name="Normal 4 10 3 4" xfId="18552" xr:uid="{00000000-0005-0000-0000-00007C480000}"/>
    <cellStyle name="Normal 4 10 3 4 2" xfId="18553" xr:uid="{00000000-0005-0000-0000-00007D480000}"/>
    <cellStyle name="Normal 4 10 3 4 3" xfId="18554" xr:uid="{00000000-0005-0000-0000-00007E480000}"/>
    <cellStyle name="Normal 4 10 3 4 4" xfId="18555" xr:uid="{00000000-0005-0000-0000-00007F480000}"/>
    <cellStyle name="Normal 4 10 3 4 5" xfId="18556" xr:uid="{00000000-0005-0000-0000-000080480000}"/>
    <cellStyle name="Normal 4 10 3 4 6" xfId="18557" xr:uid="{00000000-0005-0000-0000-000081480000}"/>
    <cellStyle name="Normal 4 10 3 5" xfId="18558" xr:uid="{00000000-0005-0000-0000-000082480000}"/>
    <cellStyle name="Normal 4 10 3 5 2" xfId="18559" xr:uid="{00000000-0005-0000-0000-000083480000}"/>
    <cellStyle name="Normal 4 10 3 5 3" xfId="18560" xr:uid="{00000000-0005-0000-0000-000084480000}"/>
    <cellStyle name="Normal 4 10 3 5 4" xfId="18561" xr:uid="{00000000-0005-0000-0000-000085480000}"/>
    <cellStyle name="Normal 4 10 3 5 5" xfId="18562" xr:uid="{00000000-0005-0000-0000-000086480000}"/>
    <cellStyle name="Normal 4 10 3 5 6" xfId="18563" xr:uid="{00000000-0005-0000-0000-000087480000}"/>
    <cellStyle name="Normal 4 10 3 6" xfId="18564" xr:uid="{00000000-0005-0000-0000-000088480000}"/>
    <cellStyle name="Normal 4 10 3 6 2" xfId="18565" xr:uid="{00000000-0005-0000-0000-000089480000}"/>
    <cellStyle name="Normal 4 10 3 6 3" xfId="18566" xr:uid="{00000000-0005-0000-0000-00008A480000}"/>
    <cellStyle name="Normal 4 10 3 6 4" xfId="18567" xr:uid="{00000000-0005-0000-0000-00008B480000}"/>
    <cellStyle name="Normal 4 10 3 6 5" xfId="18568" xr:uid="{00000000-0005-0000-0000-00008C480000}"/>
    <cellStyle name="Normal 4 10 3 6 6" xfId="18569" xr:uid="{00000000-0005-0000-0000-00008D480000}"/>
    <cellStyle name="Normal 4 10 3 7" xfId="18570" xr:uid="{00000000-0005-0000-0000-00008E480000}"/>
    <cellStyle name="Normal 4 10 3 7 2" xfId="18571" xr:uid="{00000000-0005-0000-0000-00008F480000}"/>
    <cellStyle name="Normal 4 10 3 7 3" xfId="18572" xr:uid="{00000000-0005-0000-0000-000090480000}"/>
    <cellStyle name="Normal 4 10 3 7 4" xfId="18573" xr:uid="{00000000-0005-0000-0000-000091480000}"/>
    <cellStyle name="Normal 4 10 3 7 5" xfId="18574" xr:uid="{00000000-0005-0000-0000-000092480000}"/>
    <cellStyle name="Normal 4 10 3 7 6" xfId="18575" xr:uid="{00000000-0005-0000-0000-000093480000}"/>
    <cellStyle name="Normal 4 10 3 8" xfId="18576" xr:uid="{00000000-0005-0000-0000-000094480000}"/>
    <cellStyle name="Normal 4 10 3 8 2" xfId="18577" xr:uid="{00000000-0005-0000-0000-000095480000}"/>
    <cellStyle name="Normal 4 10 3 8 3" xfId="18578" xr:uid="{00000000-0005-0000-0000-000096480000}"/>
    <cellStyle name="Normal 4 10 3 8 4" xfId="18579" xr:uid="{00000000-0005-0000-0000-000097480000}"/>
    <cellStyle name="Normal 4 10 3 8 5" xfId="18580" xr:uid="{00000000-0005-0000-0000-000098480000}"/>
    <cellStyle name="Normal 4 10 3 8 6" xfId="18581" xr:uid="{00000000-0005-0000-0000-000099480000}"/>
    <cellStyle name="Normal 4 10 3 9" xfId="18582" xr:uid="{00000000-0005-0000-0000-00009A480000}"/>
    <cellStyle name="Normal 4 10 3 9 2" xfId="18583" xr:uid="{00000000-0005-0000-0000-00009B480000}"/>
    <cellStyle name="Normal 4 10 3 9 3" xfId="18584" xr:uid="{00000000-0005-0000-0000-00009C480000}"/>
    <cellStyle name="Normal 4 10 3 9 4" xfId="18585" xr:uid="{00000000-0005-0000-0000-00009D480000}"/>
    <cellStyle name="Normal 4 10 3 9 5" xfId="18586" xr:uid="{00000000-0005-0000-0000-00009E480000}"/>
    <cellStyle name="Normal 4 10 3 9 6" xfId="18587" xr:uid="{00000000-0005-0000-0000-00009F480000}"/>
    <cellStyle name="Normal 4 10 30" xfId="18588" xr:uid="{00000000-0005-0000-0000-0000A0480000}"/>
    <cellStyle name="Normal 4 10 31" xfId="18589" xr:uid="{00000000-0005-0000-0000-0000A1480000}"/>
    <cellStyle name="Normal 4 10 4" xfId="18590" xr:uid="{00000000-0005-0000-0000-0000A2480000}"/>
    <cellStyle name="Normal 4 10 4 2" xfId="18591" xr:uid="{00000000-0005-0000-0000-0000A3480000}"/>
    <cellStyle name="Normal 4 10 4 3" xfId="18592" xr:uid="{00000000-0005-0000-0000-0000A4480000}"/>
    <cellStyle name="Normal 4 10 4 4" xfId="18593" xr:uid="{00000000-0005-0000-0000-0000A5480000}"/>
    <cellStyle name="Normal 4 10 4 5" xfId="18594" xr:uid="{00000000-0005-0000-0000-0000A6480000}"/>
    <cellStyle name="Normal 4 10 4 6" xfId="18595" xr:uid="{00000000-0005-0000-0000-0000A7480000}"/>
    <cellStyle name="Normal 4 10 5" xfId="18596" xr:uid="{00000000-0005-0000-0000-0000A8480000}"/>
    <cellStyle name="Normal 4 10 5 2" xfId="18597" xr:uid="{00000000-0005-0000-0000-0000A9480000}"/>
    <cellStyle name="Normal 4 10 5 3" xfId="18598" xr:uid="{00000000-0005-0000-0000-0000AA480000}"/>
    <cellStyle name="Normal 4 10 5 4" xfId="18599" xr:uid="{00000000-0005-0000-0000-0000AB480000}"/>
    <cellStyle name="Normal 4 10 5 5" xfId="18600" xr:uid="{00000000-0005-0000-0000-0000AC480000}"/>
    <cellStyle name="Normal 4 10 5 6" xfId="18601" xr:uid="{00000000-0005-0000-0000-0000AD480000}"/>
    <cellStyle name="Normal 4 10 6" xfId="18602" xr:uid="{00000000-0005-0000-0000-0000AE480000}"/>
    <cellStyle name="Normal 4 10 6 2" xfId="18603" xr:uid="{00000000-0005-0000-0000-0000AF480000}"/>
    <cellStyle name="Normal 4 10 6 3" xfId="18604" xr:uid="{00000000-0005-0000-0000-0000B0480000}"/>
    <cellStyle name="Normal 4 10 6 4" xfId="18605" xr:uid="{00000000-0005-0000-0000-0000B1480000}"/>
    <cellStyle name="Normal 4 10 6 5" xfId="18606" xr:uid="{00000000-0005-0000-0000-0000B2480000}"/>
    <cellStyle name="Normal 4 10 6 6" xfId="18607" xr:uid="{00000000-0005-0000-0000-0000B3480000}"/>
    <cellStyle name="Normal 4 10 7" xfId="18608" xr:uid="{00000000-0005-0000-0000-0000B4480000}"/>
    <cellStyle name="Normal 4 10 7 2" xfId="18609" xr:uid="{00000000-0005-0000-0000-0000B5480000}"/>
    <cellStyle name="Normal 4 10 7 3" xfId="18610" xr:uid="{00000000-0005-0000-0000-0000B6480000}"/>
    <cellStyle name="Normal 4 10 7 4" xfId="18611" xr:uid="{00000000-0005-0000-0000-0000B7480000}"/>
    <cellStyle name="Normal 4 10 7 5" xfId="18612" xr:uid="{00000000-0005-0000-0000-0000B8480000}"/>
    <cellStyle name="Normal 4 10 7 6" xfId="18613" xr:uid="{00000000-0005-0000-0000-0000B9480000}"/>
    <cellStyle name="Normal 4 10 8" xfId="18614" xr:uid="{00000000-0005-0000-0000-0000BA480000}"/>
    <cellStyle name="Normal 4 10 8 2" xfId="18615" xr:uid="{00000000-0005-0000-0000-0000BB480000}"/>
    <cellStyle name="Normal 4 10 8 3" xfId="18616" xr:uid="{00000000-0005-0000-0000-0000BC480000}"/>
    <cellStyle name="Normal 4 10 8 4" xfId="18617" xr:uid="{00000000-0005-0000-0000-0000BD480000}"/>
    <cellStyle name="Normal 4 10 8 5" xfId="18618" xr:uid="{00000000-0005-0000-0000-0000BE480000}"/>
    <cellStyle name="Normal 4 10 8 6" xfId="18619" xr:uid="{00000000-0005-0000-0000-0000BF480000}"/>
    <cellStyle name="Normal 4 10 9" xfId="18620" xr:uid="{00000000-0005-0000-0000-0000C0480000}"/>
    <cellStyle name="Normal 4 10 9 2" xfId="18621" xr:uid="{00000000-0005-0000-0000-0000C1480000}"/>
    <cellStyle name="Normal 4 10 9 3" xfId="18622" xr:uid="{00000000-0005-0000-0000-0000C2480000}"/>
    <cellStyle name="Normal 4 10 9 4" xfId="18623" xr:uid="{00000000-0005-0000-0000-0000C3480000}"/>
    <cellStyle name="Normal 4 10 9 5" xfId="18624" xr:uid="{00000000-0005-0000-0000-0000C4480000}"/>
    <cellStyle name="Normal 4 10 9 6" xfId="18625" xr:uid="{00000000-0005-0000-0000-0000C5480000}"/>
    <cellStyle name="Normal 4 11" xfId="18626" xr:uid="{00000000-0005-0000-0000-0000C6480000}"/>
    <cellStyle name="Normal 4 11 10" xfId="18627" xr:uid="{00000000-0005-0000-0000-0000C7480000}"/>
    <cellStyle name="Normal 4 11 10 2" xfId="18628" xr:uid="{00000000-0005-0000-0000-0000C8480000}"/>
    <cellStyle name="Normal 4 11 10 3" xfId="18629" xr:uid="{00000000-0005-0000-0000-0000C9480000}"/>
    <cellStyle name="Normal 4 11 10 4" xfId="18630" xr:uid="{00000000-0005-0000-0000-0000CA480000}"/>
    <cellStyle name="Normal 4 11 10 5" xfId="18631" xr:uid="{00000000-0005-0000-0000-0000CB480000}"/>
    <cellStyle name="Normal 4 11 10 6" xfId="18632" xr:uid="{00000000-0005-0000-0000-0000CC480000}"/>
    <cellStyle name="Normal 4 11 11" xfId="18633" xr:uid="{00000000-0005-0000-0000-0000CD480000}"/>
    <cellStyle name="Normal 4 11 11 2" xfId="18634" xr:uid="{00000000-0005-0000-0000-0000CE480000}"/>
    <cellStyle name="Normal 4 11 11 3" xfId="18635" xr:uid="{00000000-0005-0000-0000-0000CF480000}"/>
    <cellStyle name="Normal 4 11 11 4" xfId="18636" xr:uid="{00000000-0005-0000-0000-0000D0480000}"/>
    <cellStyle name="Normal 4 11 11 5" xfId="18637" xr:uid="{00000000-0005-0000-0000-0000D1480000}"/>
    <cellStyle name="Normal 4 11 11 6" xfId="18638" xr:uid="{00000000-0005-0000-0000-0000D2480000}"/>
    <cellStyle name="Normal 4 11 12" xfId="18639" xr:uid="{00000000-0005-0000-0000-0000D3480000}"/>
    <cellStyle name="Normal 4 11 13" xfId="18640" xr:uid="{00000000-0005-0000-0000-0000D4480000}"/>
    <cellStyle name="Normal 4 11 14" xfId="18641" xr:uid="{00000000-0005-0000-0000-0000D5480000}"/>
    <cellStyle name="Normal 4 11 15" xfId="18642" xr:uid="{00000000-0005-0000-0000-0000D6480000}"/>
    <cellStyle name="Normal 4 11 16" xfId="18643" xr:uid="{00000000-0005-0000-0000-0000D7480000}"/>
    <cellStyle name="Normal 4 11 17" xfId="18644" xr:uid="{00000000-0005-0000-0000-0000D8480000}"/>
    <cellStyle name="Normal 4 11 18" xfId="18645" xr:uid="{00000000-0005-0000-0000-0000D9480000}"/>
    <cellStyle name="Normal 4 11 19" xfId="18646" xr:uid="{00000000-0005-0000-0000-0000DA480000}"/>
    <cellStyle name="Normal 4 11 2" xfId="18647" xr:uid="{00000000-0005-0000-0000-0000DB480000}"/>
    <cellStyle name="Normal 4 11 2 10" xfId="18648" xr:uid="{00000000-0005-0000-0000-0000DC480000}"/>
    <cellStyle name="Normal 4 11 2 10 2" xfId="18649" xr:uid="{00000000-0005-0000-0000-0000DD480000}"/>
    <cellStyle name="Normal 4 11 2 10 3" xfId="18650" xr:uid="{00000000-0005-0000-0000-0000DE480000}"/>
    <cellStyle name="Normal 4 11 2 10 4" xfId="18651" xr:uid="{00000000-0005-0000-0000-0000DF480000}"/>
    <cellStyle name="Normal 4 11 2 10 5" xfId="18652" xr:uid="{00000000-0005-0000-0000-0000E0480000}"/>
    <cellStyle name="Normal 4 11 2 10 6" xfId="18653" xr:uid="{00000000-0005-0000-0000-0000E1480000}"/>
    <cellStyle name="Normal 4 11 2 11" xfId="18654" xr:uid="{00000000-0005-0000-0000-0000E2480000}"/>
    <cellStyle name="Normal 4 11 2 12" xfId="18655" xr:uid="{00000000-0005-0000-0000-0000E3480000}"/>
    <cellStyle name="Normal 4 11 2 13" xfId="18656" xr:uid="{00000000-0005-0000-0000-0000E4480000}"/>
    <cellStyle name="Normal 4 11 2 14" xfId="18657" xr:uid="{00000000-0005-0000-0000-0000E5480000}"/>
    <cellStyle name="Normal 4 11 2 15" xfId="18658" xr:uid="{00000000-0005-0000-0000-0000E6480000}"/>
    <cellStyle name="Normal 4 11 2 2" xfId="18659" xr:uid="{00000000-0005-0000-0000-0000E7480000}"/>
    <cellStyle name="Normal 4 11 2 2 10" xfId="18660" xr:uid="{00000000-0005-0000-0000-0000E8480000}"/>
    <cellStyle name="Normal 4 11 2 2 11" xfId="18661" xr:uid="{00000000-0005-0000-0000-0000E9480000}"/>
    <cellStyle name="Normal 4 11 2 2 12" xfId="18662" xr:uid="{00000000-0005-0000-0000-0000EA480000}"/>
    <cellStyle name="Normal 4 11 2 2 13" xfId="18663" xr:uid="{00000000-0005-0000-0000-0000EB480000}"/>
    <cellStyle name="Normal 4 11 2 2 14" xfId="18664" xr:uid="{00000000-0005-0000-0000-0000EC480000}"/>
    <cellStyle name="Normal 4 11 2 2 2" xfId="18665" xr:uid="{00000000-0005-0000-0000-0000ED480000}"/>
    <cellStyle name="Normal 4 11 2 2 2 2" xfId="18666" xr:uid="{00000000-0005-0000-0000-0000EE480000}"/>
    <cellStyle name="Normal 4 11 2 2 2 3" xfId="18667" xr:uid="{00000000-0005-0000-0000-0000EF480000}"/>
    <cellStyle name="Normal 4 11 2 2 2 4" xfId="18668" xr:uid="{00000000-0005-0000-0000-0000F0480000}"/>
    <cellStyle name="Normal 4 11 2 2 2 5" xfId="18669" xr:uid="{00000000-0005-0000-0000-0000F1480000}"/>
    <cellStyle name="Normal 4 11 2 2 2 6" xfId="18670" xr:uid="{00000000-0005-0000-0000-0000F2480000}"/>
    <cellStyle name="Normal 4 11 2 2 3" xfId="18671" xr:uid="{00000000-0005-0000-0000-0000F3480000}"/>
    <cellStyle name="Normal 4 11 2 2 3 2" xfId="18672" xr:uid="{00000000-0005-0000-0000-0000F4480000}"/>
    <cellStyle name="Normal 4 11 2 2 3 3" xfId="18673" xr:uid="{00000000-0005-0000-0000-0000F5480000}"/>
    <cellStyle name="Normal 4 11 2 2 3 4" xfId="18674" xr:uid="{00000000-0005-0000-0000-0000F6480000}"/>
    <cellStyle name="Normal 4 11 2 2 3 5" xfId="18675" xr:uid="{00000000-0005-0000-0000-0000F7480000}"/>
    <cellStyle name="Normal 4 11 2 2 3 6" xfId="18676" xr:uid="{00000000-0005-0000-0000-0000F8480000}"/>
    <cellStyle name="Normal 4 11 2 2 4" xfId="18677" xr:uid="{00000000-0005-0000-0000-0000F9480000}"/>
    <cellStyle name="Normal 4 11 2 2 4 2" xfId="18678" xr:uid="{00000000-0005-0000-0000-0000FA480000}"/>
    <cellStyle name="Normal 4 11 2 2 4 3" xfId="18679" xr:uid="{00000000-0005-0000-0000-0000FB480000}"/>
    <cellStyle name="Normal 4 11 2 2 4 4" xfId="18680" xr:uid="{00000000-0005-0000-0000-0000FC480000}"/>
    <cellStyle name="Normal 4 11 2 2 4 5" xfId="18681" xr:uid="{00000000-0005-0000-0000-0000FD480000}"/>
    <cellStyle name="Normal 4 11 2 2 4 6" xfId="18682" xr:uid="{00000000-0005-0000-0000-0000FE480000}"/>
    <cellStyle name="Normal 4 11 2 2 5" xfId="18683" xr:uid="{00000000-0005-0000-0000-0000FF480000}"/>
    <cellStyle name="Normal 4 11 2 2 5 2" xfId="18684" xr:uid="{00000000-0005-0000-0000-000000490000}"/>
    <cellStyle name="Normal 4 11 2 2 5 3" xfId="18685" xr:uid="{00000000-0005-0000-0000-000001490000}"/>
    <cellStyle name="Normal 4 11 2 2 5 4" xfId="18686" xr:uid="{00000000-0005-0000-0000-000002490000}"/>
    <cellStyle name="Normal 4 11 2 2 5 5" xfId="18687" xr:uid="{00000000-0005-0000-0000-000003490000}"/>
    <cellStyle name="Normal 4 11 2 2 5 6" xfId="18688" xr:uid="{00000000-0005-0000-0000-000004490000}"/>
    <cellStyle name="Normal 4 11 2 2 6" xfId="18689" xr:uid="{00000000-0005-0000-0000-000005490000}"/>
    <cellStyle name="Normal 4 11 2 2 6 2" xfId="18690" xr:uid="{00000000-0005-0000-0000-000006490000}"/>
    <cellStyle name="Normal 4 11 2 2 6 3" xfId="18691" xr:uid="{00000000-0005-0000-0000-000007490000}"/>
    <cellStyle name="Normal 4 11 2 2 6 4" xfId="18692" xr:uid="{00000000-0005-0000-0000-000008490000}"/>
    <cellStyle name="Normal 4 11 2 2 6 5" xfId="18693" xr:uid="{00000000-0005-0000-0000-000009490000}"/>
    <cellStyle name="Normal 4 11 2 2 6 6" xfId="18694" xr:uid="{00000000-0005-0000-0000-00000A490000}"/>
    <cellStyle name="Normal 4 11 2 2 7" xfId="18695" xr:uid="{00000000-0005-0000-0000-00000B490000}"/>
    <cellStyle name="Normal 4 11 2 2 7 2" xfId="18696" xr:uid="{00000000-0005-0000-0000-00000C490000}"/>
    <cellStyle name="Normal 4 11 2 2 7 3" xfId="18697" xr:uid="{00000000-0005-0000-0000-00000D490000}"/>
    <cellStyle name="Normal 4 11 2 2 7 4" xfId="18698" xr:uid="{00000000-0005-0000-0000-00000E490000}"/>
    <cellStyle name="Normal 4 11 2 2 7 5" xfId="18699" xr:uid="{00000000-0005-0000-0000-00000F490000}"/>
    <cellStyle name="Normal 4 11 2 2 7 6" xfId="18700" xr:uid="{00000000-0005-0000-0000-000010490000}"/>
    <cellStyle name="Normal 4 11 2 2 8" xfId="18701" xr:uid="{00000000-0005-0000-0000-000011490000}"/>
    <cellStyle name="Normal 4 11 2 2 8 2" xfId="18702" xr:uid="{00000000-0005-0000-0000-000012490000}"/>
    <cellStyle name="Normal 4 11 2 2 8 3" xfId="18703" xr:uid="{00000000-0005-0000-0000-000013490000}"/>
    <cellStyle name="Normal 4 11 2 2 8 4" xfId="18704" xr:uid="{00000000-0005-0000-0000-000014490000}"/>
    <cellStyle name="Normal 4 11 2 2 8 5" xfId="18705" xr:uid="{00000000-0005-0000-0000-000015490000}"/>
    <cellStyle name="Normal 4 11 2 2 8 6" xfId="18706" xr:uid="{00000000-0005-0000-0000-000016490000}"/>
    <cellStyle name="Normal 4 11 2 2 9" xfId="18707" xr:uid="{00000000-0005-0000-0000-000017490000}"/>
    <cellStyle name="Normal 4 11 2 2 9 2" xfId="18708" xr:uid="{00000000-0005-0000-0000-000018490000}"/>
    <cellStyle name="Normal 4 11 2 2 9 3" xfId="18709" xr:uid="{00000000-0005-0000-0000-000019490000}"/>
    <cellStyle name="Normal 4 11 2 2 9 4" xfId="18710" xr:uid="{00000000-0005-0000-0000-00001A490000}"/>
    <cellStyle name="Normal 4 11 2 2 9 5" xfId="18711" xr:uid="{00000000-0005-0000-0000-00001B490000}"/>
    <cellStyle name="Normal 4 11 2 2 9 6" xfId="18712" xr:uid="{00000000-0005-0000-0000-00001C490000}"/>
    <cellStyle name="Normal 4 11 2 3" xfId="18713" xr:uid="{00000000-0005-0000-0000-00001D490000}"/>
    <cellStyle name="Normal 4 11 2 3 2" xfId="18714" xr:uid="{00000000-0005-0000-0000-00001E490000}"/>
    <cellStyle name="Normal 4 11 2 3 3" xfId="18715" xr:uid="{00000000-0005-0000-0000-00001F490000}"/>
    <cellStyle name="Normal 4 11 2 3 4" xfId="18716" xr:uid="{00000000-0005-0000-0000-000020490000}"/>
    <cellStyle name="Normal 4 11 2 3 5" xfId="18717" xr:uid="{00000000-0005-0000-0000-000021490000}"/>
    <cellStyle name="Normal 4 11 2 3 6" xfId="18718" xr:uid="{00000000-0005-0000-0000-000022490000}"/>
    <cellStyle name="Normal 4 11 2 4" xfId="18719" xr:uid="{00000000-0005-0000-0000-000023490000}"/>
    <cellStyle name="Normal 4 11 2 4 2" xfId="18720" xr:uid="{00000000-0005-0000-0000-000024490000}"/>
    <cellStyle name="Normal 4 11 2 4 3" xfId="18721" xr:uid="{00000000-0005-0000-0000-000025490000}"/>
    <cellStyle name="Normal 4 11 2 4 4" xfId="18722" xr:uid="{00000000-0005-0000-0000-000026490000}"/>
    <cellStyle name="Normal 4 11 2 4 5" xfId="18723" xr:uid="{00000000-0005-0000-0000-000027490000}"/>
    <cellStyle name="Normal 4 11 2 4 6" xfId="18724" xr:uid="{00000000-0005-0000-0000-000028490000}"/>
    <cellStyle name="Normal 4 11 2 5" xfId="18725" xr:uid="{00000000-0005-0000-0000-000029490000}"/>
    <cellStyle name="Normal 4 11 2 5 2" xfId="18726" xr:uid="{00000000-0005-0000-0000-00002A490000}"/>
    <cellStyle name="Normal 4 11 2 5 3" xfId="18727" xr:uid="{00000000-0005-0000-0000-00002B490000}"/>
    <cellStyle name="Normal 4 11 2 5 4" xfId="18728" xr:uid="{00000000-0005-0000-0000-00002C490000}"/>
    <cellStyle name="Normal 4 11 2 5 5" xfId="18729" xr:uid="{00000000-0005-0000-0000-00002D490000}"/>
    <cellStyle name="Normal 4 11 2 5 6" xfId="18730" xr:uid="{00000000-0005-0000-0000-00002E490000}"/>
    <cellStyle name="Normal 4 11 2 6" xfId="18731" xr:uid="{00000000-0005-0000-0000-00002F490000}"/>
    <cellStyle name="Normal 4 11 2 6 2" xfId="18732" xr:uid="{00000000-0005-0000-0000-000030490000}"/>
    <cellStyle name="Normal 4 11 2 6 3" xfId="18733" xr:uid="{00000000-0005-0000-0000-000031490000}"/>
    <cellStyle name="Normal 4 11 2 6 4" xfId="18734" xr:uid="{00000000-0005-0000-0000-000032490000}"/>
    <cellStyle name="Normal 4 11 2 6 5" xfId="18735" xr:uid="{00000000-0005-0000-0000-000033490000}"/>
    <cellStyle name="Normal 4 11 2 6 6" xfId="18736" xr:uid="{00000000-0005-0000-0000-000034490000}"/>
    <cellStyle name="Normal 4 11 2 7" xfId="18737" xr:uid="{00000000-0005-0000-0000-000035490000}"/>
    <cellStyle name="Normal 4 11 2 7 2" xfId="18738" xr:uid="{00000000-0005-0000-0000-000036490000}"/>
    <cellStyle name="Normal 4 11 2 7 3" xfId="18739" xr:uid="{00000000-0005-0000-0000-000037490000}"/>
    <cellStyle name="Normal 4 11 2 7 4" xfId="18740" xr:uid="{00000000-0005-0000-0000-000038490000}"/>
    <cellStyle name="Normal 4 11 2 7 5" xfId="18741" xr:uid="{00000000-0005-0000-0000-000039490000}"/>
    <cellStyle name="Normal 4 11 2 7 6" xfId="18742" xr:uid="{00000000-0005-0000-0000-00003A490000}"/>
    <cellStyle name="Normal 4 11 2 8" xfId="18743" xr:uid="{00000000-0005-0000-0000-00003B490000}"/>
    <cellStyle name="Normal 4 11 2 8 2" xfId="18744" xr:uid="{00000000-0005-0000-0000-00003C490000}"/>
    <cellStyle name="Normal 4 11 2 8 3" xfId="18745" xr:uid="{00000000-0005-0000-0000-00003D490000}"/>
    <cellStyle name="Normal 4 11 2 8 4" xfId="18746" xr:uid="{00000000-0005-0000-0000-00003E490000}"/>
    <cellStyle name="Normal 4 11 2 8 5" xfId="18747" xr:uid="{00000000-0005-0000-0000-00003F490000}"/>
    <cellStyle name="Normal 4 11 2 8 6" xfId="18748" xr:uid="{00000000-0005-0000-0000-000040490000}"/>
    <cellStyle name="Normal 4 11 2 9" xfId="18749" xr:uid="{00000000-0005-0000-0000-000041490000}"/>
    <cellStyle name="Normal 4 11 2 9 2" xfId="18750" xr:uid="{00000000-0005-0000-0000-000042490000}"/>
    <cellStyle name="Normal 4 11 2 9 3" xfId="18751" xr:uid="{00000000-0005-0000-0000-000043490000}"/>
    <cellStyle name="Normal 4 11 2 9 4" xfId="18752" xr:uid="{00000000-0005-0000-0000-000044490000}"/>
    <cellStyle name="Normal 4 11 2 9 5" xfId="18753" xr:uid="{00000000-0005-0000-0000-000045490000}"/>
    <cellStyle name="Normal 4 11 2 9 6" xfId="18754" xr:uid="{00000000-0005-0000-0000-000046490000}"/>
    <cellStyle name="Normal 4 11 20" xfId="18755" xr:uid="{00000000-0005-0000-0000-000047490000}"/>
    <cellStyle name="Normal 4 11 21" xfId="18756" xr:uid="{00000000-0005-0000-0000-000048490000}"/>
    <cellStyle name="Normal 4 11 22" xfId="18757" xr:uid="{00000000-0005-0000-0000-000049490000}"/>
    <cellStyle name="Normal 4 11 23" xfId="18758" xr:uid="{00000000-0005-0000-0000-00004A490000}"/>
    <cellStyle name="Normal 4 11 24" xfId="18759" xr:uid="{00000000-0005-0000-0000-00004B490000}"/>
    <cellStyle name="Normal 4 11 25" xfId="18760" xr:uid="{00000000-0005-0000-0000-00004C490000}"/>
    <cellStyle name="Normal 4 11 26" xfId="18761" xr:uid="{00000000-0005-0000-0000-00004D490000}"/>
    <cellStyle name="Normal 4 11 27" xfId="18762" xr:uid="{00000000-0005-0000-0000-00004E490000}"/>
    <cellStyle name="Normal 4 11 28" xfId="18763" xr:uid="{00000000-0005-0000-0000-00004F490000}"/>
    <cellStyle name="Normal 4 11 29" xfId="18764" xr:uid="{00000000-0005-0000-0000-000050490000}"/>
    <cellStyle name="Normal 4 11 3" xfId="18765" xr:uid="{00000000-0005-0000-0000-000051490000}"/>
    <cellStyle name="Normal 4 11 3 10" xfId="18766" xr:uid="{00000000-0005-0000-0000-000052490000}"/>
    <cellStyle name="Normal 4 11 3 11" xfId="18767" xr:uid="{00000000-0005-0000-0000-000053490000}"/>
    <cellStyle name="Normal 4 11 3 12" xfId="18768" xr:uid="{00000000-0005-0000-0000-000054490000}"/>
    <cellStyle name="Normal 4 11 3 13" xfId="18769" xr:uid="{00000000-0005-0000-0000-000055490000}"/>
    <cellStyle name="Normal 4 11 3 14" xfId="18770" xr:uid="{00000000-0005-0000-0000-000056490000}"/>
    <cellStyle name="Normal 4 11 3 2" xfId="18771" xr:uid="{00000000-0005-0000-0000-000057490000}"/>
    <cellStyle name="Normal 4 11 3 2 2" xfId="18772" xr:uid="{00000000-0005-0000-0000-000058490000}"/>
    <cellStyle name="Normal 4 11 3 2 3" xfId="18773" xr:uid="{00000000-0005-0000-0000-000059490000}"/>
    <cellStyle name="Normal 4 11 3 2 4" xfId="18774" xr:uid="{00000000-0005-0000-0000-00005A490000}"/>
    <cellStyle name="Normal 4 11 3 2 5" xfId="18775" xr:uid="{00000000-0005-0000-0000-00005B490000}"/>
    <cellStyle name="Normal 4 11 3 2 6" xfId="18776" xr:uid="{00000000-0005-0000-0000-00005C490000}"/>
    <cellStyle name="Normal 4 11 3 3" xfId="18777" xr:uid="{00000000-0005-0000-0000-00005D490000}"/>
    <cellStyle name="Normal 4 11 3 3 2" xfId="18778" xr:uid="{00000000-0005-0000-0000-00005E490000}"/>
    <cellStyle name="Normal 4 11 3 3 3" xfId="18779" xr:uid="{00000000-0005-0000-0000-00005F490000}"/>
    <cellStyle name="Normal 4 11 3 3 4" xfId="18780" xr:uid="{00000000-0005-0000-0000-000060490000}"/>
    <cellStyle name="Normal 4 11 3 3 5" xfId="18781" xr:uid="{00000000-0005-0000-0000-000061490000}"/>
    <cellStyle name="Normal 4 11 3 3 6" xfId="18782" xr:uid="{00000000-0005-0000-0000-000062490000}"/>
    <cellStyle name="Normal 4 11 3 4" xfId="18783" xr:uid="{00000000-0005-0000-0000-000063490000}"/>
    <cellStyle name="Normal 4 11 3 4 2" xfId="18784" xr:uid="{00000000-0005-0000-0000-000064490000}"/>
    <cellStyle name="Normal 4 11 3 4 3" xfId="18785" xr:uid="{00000000-0005-0000-0000-000065490000}"/>
    <cellStyle name="Normal 4 11 3 4 4" xfId="18786" xr:uid="{00000000-0005-0000-0000-000066490000}"/>
    <cellStyle name="Normal 4 11 3 4 5" xfId="18787" xr:uid="{00000000-0005-0000-0000-000067490000}"/>
    <cellStyle name="Normal 4 11 3 4 6" xfId="18788" xr:uid="{00000000-0005-0000-0000-000068490000}"/>
    <cellStyle name="Normal 4 11 3 5" xfId="18789" xr:uid="{00000000-0005-0000-0000-000069490000}"/>
    <cellStyle name="Normal 4 11 3 5 2" xfId="18790" xr:uid="{00000000-0005-0000-0000-00006A490000}"/>
    <cellStyle name="Normal 4 11 3 5 3" xfId="18791" xr:uid="{00000000-0005-0000-0000-00006B490000}"/>
    <cellStyle name="Normal 4 11 3 5 4" xfId="18792" xr:uid="{00000000-0005-0000-0000-00006C490000}"/>
    <cellStyle name="Normal 4 11 3 5 5" xfId="18793" xr:uid="{00000000-0005-0000-0000-00006D490000}"/>
    <cellStyle name="Normal 4 11 3 5 6" xfId="18794" xr:uid="{00000000-0005-0000-0000-00006E490000}"/>
    <cellStyle name="Normal 4 11 3 6" xfId="18795" xr:uid="{00000000-0005-0000-0000-00006F490000}"/>
    <cellStyle name="Normal 4 11 3 6 2" xfId="18796" xr:uid="{00000000-0005-0000-0000-000070490000}"/>
    <cellStyle name="Normal 4 11 3 6 3" xfId="18797" xr:uid="{00000000-0005-0000-0000-000071490000}"/>
    <cellStyle name="Normal 4 11 3 6 4" xfId="18798" xr:uid="{00000000-0005-0000-0000-000072490000}"/>
    <cellStyle name="Normal 4 11 3 6 5" xfId="18799" xr:uid="{00000000-0005-0000-0000-000073490000}"/>
    <cellStyle name="Normal 4 11 3 6 6" xfId="18800" xr:uid="{00000000-0005-0000-0000-000074490000}"/>
    <cellStyle name="Normal 4 11 3 7" xfId="18801" xr:uid="{00000000-0005-0000-0000-000075490000}"/>
    <cellStyle name="Normal 4 11 3 7 2" xfId="18802" xr:uid="{00000000-0005-0000-0000-000076490000}"/>
    <cellStyle name="Normal 4 11 3 7 3" xfId="18803" xr:uid="{00000000-0005-0000-0000-000077490000}"/>
    <cellStyle name="Normal 4 11 3 7 4" xfId="18804" xr:uid="{00000000-0005-0000-0000-000078490000}"/>
    <cellStyle name="Normal 4 11 3 7 5" xfId="18805" xr:uid="{00000000-0005-0000-0000-000079490000}"/>
    <cellStyle name="Normal 4 11 3 7 6" xfId="18806" xr:uid="{00000000-0005-0000-0000-00007A490000}"/>
    <cellStyle name="Normal 4 11 3 8" xfId="18807" xr:uid="{00000000-0005-0000-0000-00007B490000}"/>
    <cellStyle name="Normal 4 11 3 8 2" xfId="18808" xr:uid="{00000000-0005-0000-0000-00007C490000}"/>
    <cellStyle name="Normal 4 11 3 8 3" xfId="18809" xr:uid="{00000000-0005-0000-0000-00007D490000}"/>
    <cellStyle name="Normal 4 11 3 8 4" xfId="18810" xr:uid="{00000000-0005-0000-0000-00007E490000}"/>
    <cellStyle name="Normal 4 11 3 8 5" xfId="18811" xr:uid="{00000000-0005-0000-0000-00007F490000}"/>
    <cellStyle name="Normal 4 11 3 8 6" xfId="18812" xr:uid="{00000000-0005-0000-0000-000080490000}"/>
    <cellStyle name="Normal 4 11 3 9" xfId="18813" xr:uid="{00000000-0005-0000-0000-000081490000}"/>
    <cellStyle name="Normal 4 11 3 9 2" xfId="18814" xr:uid="{00000000-0005-0000-0000-000082490000}"/>
    <cellStyle name="Normal 4 11 3 9 3" xfId="18815" xr:uid="{00000000-0005-0000-0000-000083490000}"/>
    <cellStyle name="Normal 4 11 3 9 4" xfId="18816" xr:uid="{00000000-0005-0000-0000-000084490000}"/>
    <cellStyle name="Normal 4 11 3 9 5" xfId="18817" xr:uid="{00000000-0005-0000-0000-000085490000}"/>
    <cellStyle name="Normal 4 11 3 9 6" xfId="18818" xr:uid="{00000000-0005-0000-0000-000086490000}"/>
    <cellStyle name="Normal 4 11 30" xfId="18819" xr:uid="{00000000-0005-0000-0000-000087490000}"/>
    <cellStyle name="Normal 4 11 31" xfId="18820" xr:uid="{00000000-0005-0000-0000-000088490000}"/>
    <cellStyle name="Normal 4 11 4" xfId="18821" xr:uid="{00000000-0005-0000-0000-000089490000}"/>
    <cellStyle name="Normal 4 11 4 2" xfId="18822" xr:uid="{00000000-0005-0000-0000-00008A490000}"/>
    <cellStyle name="Normal 4 11 4 3" xfId="18823" xr:uid="{00000000-0005-0000-0000-00008B490000}"/>
    <cellStyle name="Normal 4 11 4 4" xfId="18824" xr:uid="{00000000-0005-0000-0000-00008C490000}"/>
    <cellStyle name="Normal 4 11 4 5" xfId="18825" xr:uid="{00000000-0005-0000-0000-00008D490000}"/>
    <cellStyle name="Normal 4 11 4 6" xfId="18826" xr:uid="{00000000-0005-0000-0000-00008E490000}"/>
    <cellStyle name="Normal 4 11 5" xfId="18827" xr:uid="{00000000-0005-0000-0000-00008F490000}"/>
    <cellStyle name="Normal 4 11 5 2" xfId="18828" xr:uid="{00000000-0005-0000-0000-000090490000}"/>
    <cellStyle name="Normal 4 11 5 3" xfId="18829" xr:uid="{00000000-0005-0000-0000-000091490000}"/>
    <cellStyle name="Normal 4 11 5 4" xfId="18830" xr:uid="{00000000-0005-0000-0000-000092490000}"/>
    <cellStyle name="Normal 4 11 5 5" xfId="18831" xr:uid="{00000000-0005-0000-0000-000093490000}"/>
    <cellStyle name="Normal 4 11 5 6" xfId="18832" xr:uid="{00000000-0005-0000-0000-000094490000}"/>
    <cellStyle name="Normal 4 11 6" xfId="18833" xr:uid="{00000000-0005-0000-0000-000095490000}"/>
    <cellStyle name="Normal 4 11 6 2" xfId="18834" xr:uid="{00000000-0005-0000-0000-000096490000}"/>
    <cellStyle name="Normal 4 11 6 3" xfId="18835" xr:uid="{00000000-0005-0000-0000-000097490000}"/>
    <cellStyle name="Normal 4 11 6 4" xfId="18836" xr:uid="{00000000-0005-0000-0000-000098490000}"/>
    <cellStyle name="Normal 4 11 6 5" xfId="18837" xr:uid="{00000000-0005-0000-0000-000099490000}"/>
    <cellStyle name="Normal 4 11 6 6" xfId="18838" xr:uid="{00000000-0005-0000-0000-00009A490000}"/>
    <cellStyle name="Normal 4 11 7" xfId="18839" xr:uid="{00000000-0005-0000-0000-00009B490000}"/>
    <cellStyle name="Normal 4 11 7 2" xfId="18840" xr:uid="{00000000-0005-0000-0000-00009C490000}"/>
    <cellStyle name="Normal 4 11 7 3" xfId="18841" xr:uid="{00000000-0005-0000-0000-00009D490000}"/>
    <cellStyle name="Normal 4 11 7 4" xfId="18842" xr:uid="{00000000-0005-0000-0000-00009E490000}"/>
    <cellStyle name="Normal 4 11 7 5" xfId="18843" xr:uid="{00000000-0005-0000-0000-00009F490000}"/>
    <cellStyle name="Normal 4 11 7 6" xfId="18844" xr:uid="{00000000-0005-0000-0000-0000A0490000}"/>
    <cellStyle name="Normal 4 11 8" xfId="18845" xr:uid="{00000000-0005-0000-0000-0000A1490000}"/>
    <cellStyle name="Normal 4 11 8 2" xfId="18846" xr:uid="{00000000-0005-0000-0000-0000A2490000}"/>
    <cellStyle name="Normal 4 11 8 3" xfId="18847" xr:uid="{00000000-0005-0000-0000-0000A3490000}"/>
    <cellStyle name="Normal 4 11 8 4" xfId="18848" xr:uid="{00000000-0005-0000-0000-0000A4490000}"/>
    <cellStyle name="Normal 4 11 8 5" xfId="18849" xr:uid="{00000000-0005-0000-0000-0000A5490000}"/>
    <cellStyle name="Normal 4 11 8 6" xfId="18850" xr:uid="{00000000-0005-0000-0000-0000A6490000}"/>
    <cellStyle name="Normal 4 11 9" xfId="18851" xr:uid="{00000000-0005-0000-0000-0000A7490000}"/>
    <cellStyle name="Normal 4 11 9 2" xfId="18852" xr:uid="{00000000-0005-0000-0000-0000A8490000}"/>
    <cellStyle name="Normal 4 11 9 3" xfId="18853" xr:uid="{00000000-0005-0000-0000-0000A9490000}"/>
    <cellStyle name="Normal 4 11 9 4" xfId="18854" xr:uid="{00000000-0005-0000-0000-0000AA490000}"/>
    <cellStyle name="Normal 4 11 9 5" xfId="18855" xr:uid="{00000000-0005-0000-0000-0000AB490000}"/>
    <cellStyle name="Normal 4 11 9 6" xfId="18856" xr:uid="{00000000-0005-0000-0000-0000AC490000}"/>
    <cellStyle name="Normal 4 12" xfId="18857" xr:uid="{00000000-0005-0000-0000-0000AD490000}"/>
    <cellStyle name="Normal 4 12 10" xfId="18858" xr:uid="{00000000-0005-0000-0000-0000AE490000}"/>
    <cellStyle name="Normal 4 12 10 2" xfId="18859" xr:uid="{00000000-0005-0000-0000-0000AF490000}"/>
    <cellStyle name="Normal 4 12 10 3" xfId="18860" xr:uid="{00000000-0005-0000-0000-0000B0490000}"/>
    <cellStyle name="Normal 4 12 10 4" xfId="18861" xr:uid="{00000000-0005-0000-0000-0000B1490000}"/>
    <cellStyle name="Normal 4 12 10 5" xfId="18862" xr:uid="{00000000-0005-0000-0000-0000B2490000}"/>
    <cellStyle name="Normal 4 12 10 6" xfId="18863" xr:uid="{00000000-0005-0000-0000-0000B3490000}"/>
    <cellStyle name="Normal 4 12 11" xfId="18864" xr:uid="{00000000-0005-0000-0000-0000B4490000}"/>
    <cellStyle name="Normal 4 12 11 2" xfId="18865" xr:uid="{00000000-0005-0000-0000-0000B5490000}"/>
    <cellStyle name="Normal 4 12 11 3" xfId="18866" xr:uid="{00000000-0005-0000-0000-0000B6490000}"/>
    <cellStyle name="Normal 4 12 11 4" xfId="18867" xr:uid="{00000000-0005-0000-0000-0000B7490000}"/>
    <cellStyle name="Normal 4 12 11 5" xfId="18868" xr:uid="{00000000-0005-0000-0000-0000B8490000}"/>
    <cellStyle name="Normal 4 12 11 6" xfId="18869" xr:uid="{00000000-0005-0000-0000-0000B9490000}"/>
    <cellStyle name="Normal 4 12 12" xfId="18870" xr:uid="{00000000-0005-0000-0000-0000BA490000}"/>
    <cellStyle name="Normal 4 12 13" xfId="18871" xr:uid="{00000000-0005-0000-0000-0000BB490000}"/>
    <cellStyle name="Normal 4 12 14" xfId="18872" xr:uid="{00000000-0005-0000-0000-0000BC490000}"/>
    <cellStyle name="Normal 4 12 15" xfId="18873" xr:uid="{00000000-0005-0000-0000-0000BD490000}"/>
    <cellStyle name="Normal 4 12 16" xfId="18874" xr:uid="{00000000-0005-0000-0000-0000BE490000}"/>
    <cellStyle name="Normal 4 12 17" xfId="18875" xr:uid="{00000000-0005-0000-0000-0000BF490000}"/>
    <cellStyle name="Normal 4 12 18" xfId="18876" xr:uid="{00000000-0005-0000-0000-0000C0490000}"/>
    <cellStyle name="Normal 4 12 19" xfId="18877" xr:uid="{00000000-0005-0000-0000-0000C1490000}"/>
    <cellStyle name="Normal 4 12 2" xfId="18878" xr:uid="{00000000-0005-0000-0000-0000C2490000}"/>
    <cellStyle name="Normal 4 12 2 10" xfId="18879" xr:uid="{00000000-0005-0000-0000-0000C3490000}"/>
    <cellStyle name="Normal 4 12 2 10 2" xfId="18880" xr:uid="{00000000-0005-0000-0000-0000C4490000}"/>
    <cellStyle name="Normal 4 12 2 10 3" xfId="18881" xr:uid="{00000000-0005-0000-0000-0000C5490000}"/>
    <cellStyle name="Normal 4 12 2 10 4" xfId="18882" xr:uid="{00000000-0005-0000-0000-0000C6490000}"/>
    <cellStyle name="Normal 4 12 2 10 5" xfId="18883" xr:uid="{00000000-0005-0000-0000-0000C7490000}"/>
    <cellStyle name="Normal 4 12 2 10 6" xfId="18884" xr:uid="{00000000-0005-0000-0000-0000C8490000}"/>
    <cellStyle name="Normal 4 12 2 11" xfId="18885" xr:uid="{00000000-0005-0000-0000-0000C9490000}"/>
    <cellStyle name="Normal 4 12 2 12" xfId="18886" xr:uid="{00000000-0005-0000-0000-0000CA490000}"/>
    <cellStyle name="Normal 4 12 2 13" xfId="18887" xr:uid="{00000000-0005-0000-0000-0000CB490000}"/>
    <cellStyle name="Normal 4 12 2 14" xfId="18888" xr:uid="{00000000-0005-0000-0000-0000CC490000}"/>
    <cellStyle name="Normal 4 12 2 15" xfId="18889" xr:uid="{00000000-0005-0000-0000-0000CD490000}"/>
    <cellStyle name="Normal 4 12 2 2" xfId="18890" xr:uid="{00000000-0005-0000-0000-0000CE490000}"/>
    <cellStyle name="Normal 4 12 2 2 10" xfId="18891" xr:uid="{00000000-0005-0000-0000-0000CF490000}"/>
    <cellStyle name="Normal 4 12 2 2 11" xfId="18892" xr:uid="{00000000-0005-0000-0000-0000D0490000}"/>
    <cellStyle name="Normal 4 12 2 2 12" xfId="18893" xr:uid="{00000000-0005-0000-0000-0000D1490000}"/>
    <cellStyle name="Normal 4 12 2 2 13" xfId="18894" xr:uid="{00000000-0005-0000-0000-0000D2490000}"/>
    <cellStyle name="Normal 4 12 2 2 14" xfId="18895" xr:uid="{00000000-0005-0000-0000-0000D3490000}"/>
    <cellStyle name="Normal 4 12 2 2 2" xfId="18896" xr:uid="{00000000-0005-0000-0000-0000D4490000}"/>
    <cellStyle name="Normal 4 12 2 2 2 2" xfId="18897" xr:uid="{00000000-0005-0000-0000-0000D5490000}"/>
    <cellStyle name="Normal 4 12 2 2 2 3" xfId="18898" xr:uid="{00000000-0005-0000-0000-0000D6490000}"/>
    <cellStyle name="Normal 4 12 2 2 2 4" xfId="18899" xr:uid="{00000000-0005-0000-0000-0000D7490000}"/>
    <cellStyle name="Normal 4 12 2 2 2 5" xfId="18900" xr:uid="{00000000-0005-0000-0000-0000D8490000}"/>
    <cellStyle name="Normal 4 12 2 2 2 6" xfId="18901" xr:uid="{00000000-0005-0000-0000-0000D9490000}"/>
    <cellStyle name="Normal 4 12 2 2 3" xfId="18902" xr:uid="{00000000-0005-0000-0000-0000DA490000}"/>
    <cellStyle name="Normal 4 12 2 2 3 2" xfId="18903" xr:uid="{00000000-0005-0000-0000-0000DB490000}"/>
    <cellStyle name="Normal 4 12 2 2 3 3" xfId="18904" xr:uid="{00000000-0005-0000-0000-0000DC490000}"/>
    <cellStyle name="Normal 4 12 2 2 3 4" xfId="18905" xr:uid="{00000000-0005-0000-0000-0000DD490000}"/>
    <cellStyle name="Normal 4 12 2 2 3 5" xfId="18906" xr:uid="{00000000-0005-0000-0000-0000DE490000}"/>
    <cellStyle name="Normal 4 12 2 2 3 6" xfId="18907" xr:uid="{00000000-0005-0000-0000-0000DF490000}"/>
    <cellStyle name="Normal 4 12 2 2 4" xfId="18908" xr:uid="{00000000-0005-0000-0000-0000E0490000}"/>
    <cellStyle name="Normal 4 12 2 2 4 2" xfId="18909" xr:uid="{00000000-0005-0000-0000-0000E1490000}"/>
    <cellStyle name="Normal 4 12 2 2 4 3" xfId="18910" xr:uid="{00000000-0005-0000-0000-0000E2490000}"/>
    <cellStyle name="Normal 4 12 2 2 4 4" xfId="18911" xr:uid="{00000000-0005-0000-0000-0000E3490000}"/>
    <cellStyle name="Normal 4 12 2 2 4 5" xfId="18912" xr:uid="{00000000-0005-0000-0000-0000E4490000}"/>
    <cellStyle name="Normal 4 12 2 2 4 6" xfId="18913" xr:uid="{00000000-0005-0000-0000-0000E5490000}"/>
    <cellStyle name="Normal 4 12 2 2 5" xfId="18914" xr:uid="{00000000-0005-0000-0000-0000E6490000}"/>
    <cellStyle name="Normal 4 12 2 2 5 2" xfId="18915" xr:uid="{00000000-0005-0000-0000-0000E7490000}"/>
    <cellStyle name="Normal 4 12 2 2 5 3" xfId="18916" xr:uid="{00000000-0005-0000-0000-0000E8490000}"/>
    <cellStyle name="Normal 4 12 2 2 5 4" xfId="18917" xr:uid="{00000000-0005-0000-0000-0000E9490000}"/>
    <cellStyle name="Normal 4 12 2 2 5 5" xfId="18918" xr:uid="{00000000-0005-0000-0000-0000EA490000}"/>
    <cellStyle name="Normal 4 12 2 2 5 6" xfId="18919" xr:uid="{00000000-0005-0000-0000-0000EB490000}"/>
    <cellStyle name="Normal 4 12 2 2 6" xfId="18920" xr:uid="{00000000-0005-0000-0000-0000EC490000}"/>
    <cellStyle name="Normal 4 12 2 2 6 2" xfId="18921" xr:uid="{00000000-0005-0000-0000-0000ED490000}"/>
    <cellStyle name="Normal 4 12 2 2 6 3" xfId="18922" xr:uid="{00000000-0005-0000-0000-0000EE490000}"/>
    <cellStyle name="Normal 4 12 2 2 6 4" xfId="18923" xr:uid="{00000000-0005-0000-0000-0000EF490000}"/>
    <cellStyle name="Normal 4 12 2 2 6 5" xfId="18924" xr:uid="{00000000-0005-0000-0000-0000F0490000}"/>
    <cellStyle name="Normal 4 12 2 2 6 6" xfId="18925" xr:uid="{00000000-0005-0000-0000-0000F1490000}"/>
    <cellStyle name="Normal 4 12 2 2 7" xfId="18926" xr:uid="{00000000-0005-0000-0000-0000F2490000}"/>
    <cellStyle name="Normal 4 12 2 2 7 2" xfId="18927" xr:uid="{00000000-0005-0000-0000-0000F3490000}"/>
    <cellStyle name="Normal 4 12 2 2 7 3" xfId="18928" xr:uid="{00000000-0005-0000-0000-0000F4490000}"/>
    <cellStyle name="Normal 4 12 2 2 7 4" xfId="18929" xr:uid="{00000000-0005-0000-0000-0000F5490000}"/>
    <cellStyle name="Normal 4 12 2 2 7 5" xfId="18930" xr:uid="{00000000-0005-0000-0000-0000F6490000}"/>
    <cellStyle name="Normal 4 12 2 2 7 6" xfId="18931" xr:uid="{00000000-0005-0000-0000-0000F7490000}"/>
    <cellStyle name="Normal 4 12 2 2 8" xfId="18932" xr:uid="{00000000-0005-0000-0000-0000F8490000}"/>
    <cellStyle name="Normal 4 12 2 2 8 2" xfId="18933" xr:uid="{00000000-0005-0000-0000-0000F9490000}"/>
    <cellStyle name="Normal 4 12 2 2 8 3" xfId="18934" xr:uid="{00000000-0005-0000-0000-0000FA490000}"/>
    <cellStyle name="Normal 4 12 2 2 8 4" xfId="18935" xr:uid="{00000000-0005-0000-0000-0000FB490000}"/>
    <cellStyle name="Normal 4 12 2 2 8 5" xfId="18936" xr:uid="{00000000-0005-0000-0000-0000FC490000}"/>
    <cellStyle name="Normal 4 12 2 2 8 6" xfId="18937" xr:uid="{00000000-0005-0000-0000-0000FD490000}"/>
    <cellStyle name="Normal 4 12 2 2 9" xfId="18938" xr:uid="{00000000-0005-0000-0000-0000FE490000}"/>
    <cellStyle name="Normal 4 12 2 2 9 2" xfId="18939" xr:uid="{00000000-0005-0000-0000-0000FF490000}"/>
    <cellStyle name="Normal 4 12 2 2 9 3" xfId="18940" xr:uid="{00000000-0005-0000-0000-0000004A0000}"/>
    <cellStyle name="Normal 4 12 2 2 9 4" xfId="18941" xr:uid="{00000000-0005-0000-0000-0000014A0000}"/>
    <cellStyle name="Normal 4 12 2 2 9 5" xfId="18942" xr:uid="{00000000-0005-0000-0000-0000024A0000}"/>
    <cellStyle name="Normal 4 12 2 2 9 6" xfId="18943" xr:uid="{00000000-0005-0000-0000-0000034A0000}"/>
    <cellStyle name="Normal 4 12 2 3" xfId="18944" xr:uid="{00000000-0005-0000-0000-0000044A0000}"/>
    <cellStyle name="Normal 4 12 2 3 2" xfId="18945" xr:uid="{00000000-0005-0000-0000-0000054A0000}"/>
    <cellStyle name="Normal 4 12 2 3 3" xfId="18946" xr:uid="{00000000-0005-0000-0000-0000064A0000}"/>
    <cellStyle name="Normal 4 12 2 3 4" xfId="18947" xr:uid="{00000000-0005-0000-0000-0000074A0000}"/>
    <cellStyle name="Normal 4 12 2 3 5" xfId="18948" xr:uid="{00000000-0005-0000-0000-0000084A0000}"/>
    <cellStyle name="Normal 4 12 2 3 6" xfId="18949" xr:uid="{00000000-0005-0000-0000-0000094A0000}"/>
    <cellStyle name="Normal 4 12 2 4" xfId="18950" xr:uid="{00000000-0005-0000-0000-00000A4A0000}"/>
    <cellStyle name="Normal 4 12 2 4 2" xfId="18951" xr:uid="{00000000-0005-0000-0000-00000B4A0000}"/>
    <cellStyle name="Normal 4 12 2 4 3" xfId="18952" xr:uid="{00000000-0005-0000-0000-00000C4A0000}"/>
    <cellStyle name="Normal 4 12 2 4 4" xfId="18953" xr:uid="{00000000-0005-0000-0000-00000D4A0000}"/>
    <cellStyle name="Normal 4 12 2 4 5" xfId="18954" xr:uid="{00000000-0005-0000-0000-00000E4A0000}"/>
    <cellStyle name="Normal 4 12 2 4 6" xfId="18955" xr:uid="{00000000-0005-0000-0000-00000F4A0000}"/>
    <cellStyle name="Normal 4 12 2 5" xfId="18956" xr:uid="{00000000-0005-0000-0000-0000104A0000}"/>
    <cellStyle name="Normal 4 12 2 5 2" xfId="18957" xr:uid="{00000000-0005-0000-0000-0000114A0000}"/>
    <cellStyle name="Normal 4 12 2 5 3" xfId="18958" xr:uid="{00000000-0005-0000-0000-0000124A0000}"/>
    <cellStyle name="Normal 4 12 2 5 4" xfId="18959" xr:uid="{00000000-0005-0000-0000-0000134A0000}"/>
    <cellStyle name="Normal 4 12 2 5 5" xfId="18960" xr:uid="{00000000-0005-0000-0000-0000144A0000}"/>
    <cellStyle name="Normal 4 12 2 5 6" xfId="18961" xr:uid="{00000000-0005-0000-0000-0000154A0000}"/>
    <cellStyle name="Normal 4 12 2 6" xfId="18962" xr:uid="{00000000-0005-0000-0000-0000164A0000}"/>
    <cellStyle name="Normal 4 12 2 6 2" xfId="18963" xr:uid="{00000000-0005-0000-0000-0000174A0000}"/>
    <cellStyle name="Normal 4 12 2 6 3" xfId="18964" xr:uid="{00000000-0005-0000-0000-0000184A0000}"/>
    <cellStyle name="Normal 4 12 2 6 4" xfId="18965" xr:uid="{00000000-0005-0000-0000-0000194A0000}"/>
    <cellStyle name="Normal 4 12 2 6 5" xfId="18966" xr:uid="{00000000-0005-0000-0000-00001A4A0000}"/>
    <cellStyle name="Normal 4 12 2 6 6" xfId="18967" xr:uid="{00000000-0005-0000-0000-00001B4A0000}"/>
    <cellStyle name="Normal 4 12 2 7" xfId="18968" xr:uid="{00000000-0005-0000-0000-00001C4A0000}"/>
    <cellStyle name="Normal 4 12 2 7 2" xfId="18969" xr:uid="{00000000-0005-0000-0000-00001D4A0000}"/>
    <cellStyle name="Normal 4 12 2 7 3" xfId="18970" xr:uid="{00000000-0005-0000-0000-00001E4A0000}"/>
    <cellStyle name="Normal 4 12 2 7 4" xfId="18971" xr:uid="{00000000-0005-0000-0000-00001F4A0000}"/>
    <cellStyle name="Normal 4 12 2 7 5" xfId="18972" xr:uid="{00000000-0005-0000-0000-0000204A0000}"/>
    <cellStyle name="Normal 4 12 2 7 6" xfId="18973" xr:uid="{00000000-0005-0000-0000-0000214A0000}"/>
    <cellStyle name="Normal 4 12 2 8" xfId="18974" xr:uid="{00000000-0005-0000-0000-0000224A0000}"/>
    <cellStyle name="Normal 4 12 2 8 2" xfId="18975" xr:uid="{00000000-0005-0000-0000-0000234A0000}"/>
    <cellStyle name="Normal 4 12 2 8 3" xfId="18976" xr:uid="{00000000-0005-0000-0000-0000244A0000}"/>
    <cellStyle name="Normal 4 12 2 8 4" xfId="18977" xr:uid="{00000000-0005-0000-0000-0000254A0000}"/>
    <cellStyle name="Normal 4 12 2 8 5" xfId="18978" xr:uid="{00000000-0005-0000-0000-0000264A0000}"/>
    <cellStyle name="Normal 4 12 2 8 6" xfId="18979" xr:uid="{00000000-0005-0000-0000-0000274A0000}"/>
    <cellStyle name="Normal 4 12 2 9" xfId="18980" xr:uid="{00000000-0005-0000-0000-0000284A0000}"/>
    <cellStyle name="Normal 4 12 2 9 2" xfId="18981" xr:uid="{00000000-0005-0000-0000-0000294A0000}"/>
    <cellStyle name="Normal 4 12 2 9 3" xfId="18982" xr:uid="{00000000-0005-0000-0000-00002A4A0000}"/>
    <cellStyle name="Normal 4 12 2 9 4" xfId="18983" xr:uid="{00000000-0005-0000-0000-00002B4A0000}"/>
    <cellStyle name="Normal 4 12 2 9 5" xfId="18984" xr:uid="{00000000-0005-0000-0000-00002C4A0000}"/>
    <cellStyle name="Normal 4 12 2 9 6" xfId="18985" xr:uid="{00000000-0005-0000-0000-00002D4A0000}"/>
    <cellStyle name="Normal 4 12 20" xfId="18986" xr:uid="{00000000-0005-0000-0000-00002E4A0000}"/>
    <cellStyle name="Normal 4 12 21" xfId="18987" xr:uid="{00000000-0005-0000-0000-00002F4A0000}"/>
    <cellStyle name="Normal 4 12 22" xfId="18988" xr:uid="{00000000-0005-0000-0000-0000304A0000}"/>
    <cellStyle name="Normal 4 12 23" xfId="18989" xr:uid="{00000000-0005-0000-0000-0000314A0000}"/>
    <cellStyle name="Normal 4 12 24" xfId="18990" xr:uid="{00000000-0005-0000-0000-0000324A0000}"/>
    <cellStyle name="Normal 4 12 25" xfId="18991" xr:uid="{00000000-0005-0000-0000-0000334A0000}"/>
    <cellStyle name="Normal 4 12 26" xfId="18992" xr:uid="{00000000-0005-0000-0000-0000344A0000}"/>
    <cellStyle name="Normal 4 12 27" xfId="18993" xr:uid="{00000000-0005-0000-0000-0000354A0000}"/>
    <cellStyle name="Normal 4 12 28" xfId="18994" xr:uid="{00000000-0005-0000-0000-0000364A0000}"/>
    <cellStyle name="Normal 4 12 29" xfId="18995" xr:uid="{00000000-0005-0000-0000-0000374A0000}"/>
    <cellStyle name="Normal 4 12 3" xfId="18996" xr:uid="{00000000-0005-0000-0000-0000384A0000}"/>
    <cellStyle name="Normal 4 12 3 10" xfId="18997" xr:uid="{00000000-0005-0000-0000-0000394A0000}"/>
    <cellStyle name="Normal 4 12 3 11" xfId="18998" xr:uid="{00000000-0005-0000-0000-00003A4A0000}"/>
    <cellStyle name="Normal 4 12 3 12" xfId="18999" xr:uid="{00000000-0005-0000-0000-00003B4A0000}"/>
    <cellStyle name="Normal 4 12 3 13" xfId="19000" xr:uid="{00000000-0005-0000-0000-00003C4A0000}"/>
    <cellStyle name="Normal 4 12 3 14" xfId="19001" xr:uid="{00000000-0005-0000-0000-00003D4A0000}"/>
    <cellStyle name="Normal 4 12 3 2" xfId="19002" xr:uid="{00000000-0005-0000-0000-00003E4A0000}"/>
    <cellStyle name="Normal 4 12 3 2 2" xfId="19003" xr:uid="{00000000-0005-0000-0000-00003F4A0000}"/>
    <cellStyle name="Normal 4 12 3 2 3" xfId="19004" xr:uid="{00000000-0005-0000-0000-0000404A0000}"/>
    <cellStyle name="Normal 4 12 3 2 4" xfId="19005" xr:uid="{00000000-0005-0000-0000-0000414A0000}"/>
    <cellStyle name="Normal 4 12 3 2 5" xfId="19006" xr:uid="{00000000-0005-0000-0000-0000424A0000}"/>
    <cellStyle name="Normal 4 12 3 2 6" xfId="19007" xr:uid="{00000000-0005-0000-0000-0000434A0000}"/>
    <cellStyle name="Normal 4 12 3 3" xfId="19008" xr:uid="{00000000-0005-0000-0000-0000444A0000}"/>
    <cellStyle name="Normal 4 12 3 3 2" xfId="19009" xr:uid="{00000000-0005-0000-0000-0000454A0000}"/>
    <cellStyle name="Normal 4 12 3 3 3" xfId="19010" xr:uid="{00000000-0005-0000-0000-0000464A0000}"/>
    <cellStyle name="Normal 4 12 3 3 4" xfId="19011" xr:uid="{00000000-0005-0000-0000-0000474A0000}"/>
    <cellStyle name="Normal 4 12 3 3 5" xfId="19012" xr:uid="{00000000-0005-0000-0000-0000484A0000}"/>
    <cellStyle name="Normal 4 12 3 3 6" xfId="19013" xr:uid="{00000000-0005-0000-0000-0000494A0000}"/>
    <cellStyle name="Normal 4 12 3 4" xfId="19014" xr:uid="{00000000-0005-0000-0000-00004A4A0000}"/>
    <cellStyle name="Normal 4 12 3 4 2" xfId="19015" xr:uid="{00000000-0005-0000-0000-00004B4A0000}"/>
    <cellStyle name="Normal 4 12 3 4 3" xfId="19016" xr:uid="{00000000-0005-0000-0000-00004C4A0000}"/>
    <cellStyle name="Normal 4 12 3 4 4" xfId="19017" xr:uid="{00000000-0005-0000-0000-00004D4A0000}"/>
    <cellStyle name="Normal 4 12 3 4 5" xfId="19018" xr:uid="{00000000-0005-0000-0000-00004E4A0000}"/>
    <cellStyle name="Normal 4 12 3 4 6" xfId="19019" xr:uid="{00000000-0005-0000-0000-00004F4A0000}"/>
    <cellStyle name="Normal 4 12 3 5" xfId="19020" xr:uid="{00000000-0005-0000-0000-0000504A0000}"/>
    <cellStyle name="Normal 4 12 3 5 2" xfId="19021" xr:uid="{00000000-0005-0000-0000-0000514A0000}"/>
    <cellStyle name="Normal 4 12 3 5 3" xfId="19022" xr:uid="{00000000-0005-0000-0000-0000524A0000}"/>
    <cellStyle name="Normal 4 12 3 5 4" xfId="19023" xr:uid="{00000000-0005-0000-0000-0000534A0000}"/>
    <cellStyle name="Normal 4 12 3 5 5" xfId="19024" xr:uid="{00000000-0005-0000-0000-0000544A0000}"/>
    <cellStyle name="Normal 4 12 3 5 6" xfId="19025" xr:uid="{00000000-0005-0000-0000-0000554A0000}"/>
    <cellStyle name="Normal 4 12 3 6" xfId="19026" xr:uid="{00000000-0005-0000-0000-0000564A0000}"/>
    <cellStyle name="Normal 4 12 3 6 2" xfId="19027" xr:uid="{00000000-0005-0000-0000-0000574A0000}"/>
    <cellStyle name="Normal 4 12 3 6 3" xfId="19028" xr:uid="{00000000-0005-0000-0000-0000584A0000}"/>
    <cellStyle name="Normal 4 12 3 6 4" xfId="19029" xr:uid="{00000000-0005-0000-0000-0000594A0000}"/>
    <cellStyle name="Normal 4 12 3 6 5" xfId="19030" xr:uid="{00000000-0005-0000-0000-00005A4A0000}"/>
    <cellStyle name="Normal 4 12 3 6 6" xfId="19031" xr:uid="{00000000-0005-0000-0000-00005B4A0000}"/>
    <cellStyle name="Normal 4 12 3 7" xfId="19032" xr:uid="{00000000-0005-0000-0000-00005C4A0000}"/>
    <cellStyle name="Normal 4 12 3 7 2" xfId="19033" xr:uid="{00000000-0005-0000-0000-00005D4A0000}"/>
    <cellStyle name="Normal 4 12 3 7 3" xfId="19034" xr:uid="{00000000-0005-0000-0000-00005E4A0000}"/>
    <cellStyle name="Normal 4 12 3 7 4" xfId="19035" xr:uid="{00000000-0005-0000-0000-00005F4A0000}"/>
    <cellStyle name="Normal 4 12 3 7 5" xfId="19036" xr:uid="{00000000-0005-0000-0000-0000604A0000}"/>
    <cellStyle name="Normal 4 12 3 7 6" xfId="19037" xr:uid="{00000000-0005-0000-0000-0000614A0000}"/>
    <cellStyle name="Normal 4 12 3 8" xfId="19038" xr:uid="{00000000-0005-0000-0000-0000624A0000}"/>
    <cellStyle name="Normal 4 12 3 8 2" xfId="19039" xr:uid="{00000000-0005-0000-0000-0000634A0000}"/>
    <cellStyle name="Normal 4 12 3 8 3" xfId="19040" xr:uid="{00000000-0005-0000-0000-0000644A0000}"/>
    <cellStyle name="Normal 4 12 3 8 4" xfId="19041" xr:uid="{00000000-0005-0000-0000-0000654A0000}"/>
    <cellStyle name="Normal 4 12 3 8 5" xfId="19042" xr:uid="{00000000-0005-0000-0000-0000664A0000}"/>
    <cellStyle name="Normal 4 12 3 8 6" xfId="19043" xr:uid="{00000000-0005-0000-0000-0000674A0000}"/>
    <cellStyle name="Normal 4 12 3 9" xfId="19044" xr:uid="{00000000-0005-0000-0000-0000684A0000}"/>
    <cellStyle name="Normal 4 12 3 9 2" xfId="19045" xr:uid="{00000000-0005-0000-0000-0000694A0000}"/>
    <cellStyle name="Normal 4 12 3 9 3" xfId="19046" xr:uid="{00000000-0005-0000-0000-00006A4A0000}"/>
    <cellStyle name="Normal 4 12 3 9 4" xfId="19047" xr:uid="{00000000-0005-0000-0000-00006B4A0000}"/>
    <cellStyle name="Normal 4 12 3 9 5" xfId="19048" xr:uid="{00000000-0005-0000-0000-00006C4A0000}"/>
    <cellStyle name="Normal 4 12 3 9 6" xfId="19049" xr:uid="{00000000-0005-0000-0000-00006D4A0000}"/>
    <cellStyle name="Normal 4 12 30" xfId="19050" xr:uid="{00000000-0005-0000-0000-00006E4A0000}"/>
    <cellStyle name="Normal 4 12 31" xfId="19051" xr:uid="{00000000-0005-0000-0000-00006F4A0000}"/>
    <cellStyle name="Normal 4 12 4" xfId="19052" xr:uid="{00000000-0005-0000-0000-0000704A0000}"/>
    <cellStyle name="Normal 4 12 4 2" xfId="19053" xr:uid="{00000000-0005-0000-0000-0000714A0000}"/>
    <cellStyle name="Normal 4 12 4 3" xfId="19054" xr:uid="{00000000-0005-0000-0000-0000724A0000}"/>
    <cellStyle name="Normal 4 12 4 4" xfId="19055" xr:uid="{00000000-0005-0000-0000-0000734A0000}"/>
    <cellStyle name="Normal 4 12 4 5" xfId="19056" xr:uid="{00000000-0005-0000-0000-0000744A0000}"/>
    <cellStyle name="Normal 4 12 4 6" xfId="19057" xr:uid="{00000000-0005-0000-0000-0000754A0000}"/>
    <cellStyle name="Normal 4 12 5" xfId="19058" xr:uid="{00000000-0005-0000-0000-0000764A0000}"/>
    <cellStyle name="Normal 4 12 5 2" xfId="19059" xr:uid="{00000000-0005-0000-0000-0000774A0000}"/>
    <cellStyle name="Normal 4 12 5 3" xfId="19060" xr:uid="{00000000-0005-0000-0000-0000784A0000}"/>
    <cellStyle name="Normal 4 12 5 4" xfId="19061" xr:uid="{00000000-0005-0000-0000-0000794A0000}"/>
    <cellStyle name="Normal 4 12 5 5" xfId="19062" xr:uid="{00000000-0005-0000-0000-00007A4A0000}"/>
    <cellStyle name="Normal 4 12 5 6" xfId="19063" xr:uid="{00000000-0005-0000-0000-00007B4A0000}"/>
    <cellStyle name="Normal 4 12 6" xfId="19064" xr:uid="{00000000-0005-0000-0000-00007C4A0000}"/>
    <cellStyle name="Normal 4 12 6 2" xfId="19065" xr:uid="{00000000-0005-0000-0000-00007D4A0000}"/>
    <cellStyle name="Normal 4 12 6 3" xfId="19066" xr:uid="{00000000-0005-0000-0000-00007E4A0000}"/>
    <cellStyle name="Normal 4 12 6 4" xfId="19067" xr:uid="{00000000-0005-0000-0000-00007F4A0000}"/>
    <cellStyle name="Normal 4 12 6 5" xfId="19068" xr:uid="{00000000-0005-0000-0000-0000804A0000}"/>
    <cellStyle name="Normal 4 12 6 6" xfId="19069" xr:uid="{00000000-0005-0000-0000-0000814A0000}"/>
    <cellStyle name="Normal 4 12 7" xfId="19070" xr:uid="{00000000-0005-0000-0000-0000824A0000}"/>
    <cellStyle name="Normal 4 12 7 2" xfId="19071" xr:uid="{00000000-0005-0000-0000-0000834A0000}"/>
    <cellStyle name="Normal 4 12 7 3" xfId="19072" xr:uid="{00000000-0005-0000-0000-0000844A0000}"/>
    <cellStyle name="Normal 4 12 7 4" xfId="19073" xr:uid="{00000000-0005-0000-0000-0000854A0000}"/>
    <cellStyle name="Normal 4 12 7 5" xfId="19074" xr:uid="{00000000-0005-0000-0000-0000864A0000}"/>
    <cellStyle name="Normal 4 12 7 6" xfId="19075" xr:uid="{00000000-0005-0000-0000-0000874A0000}"/>
    <cellStyle name="Normal 4 12 8" xfId="19076" xr:uid="{00000000-0005-0000-0000-0000884A0000}"/>
    <cellStyle name="Normal 4 12 8 2" xfId="19077" xr:uid="{00000000-0005-0000-0000-0000894A0000}"/>
    <cellStyle name="Normal 4 12 8 3" xfId="19078" xr:uid="{00000000-0005-0000-0000-00008A4A0000}"/>
    <cellStyle name="Normal 4 12 8 4" xfId="19079" xr:uid="{00000000-0005-0000-0000-00008B4A0000}"/>
    <cellStyle name="Normal 4 12 8 5" xfId="19080" xr:uid="{00000000-0005-0000-0000-00008C4A0000}"/>
    <cellStyle name="Normal 4 12 8 6" xfId="19081" xr:uid="{00000000-0005-0000-0000-00008D4A0000}"/>
    <cellStyle name="Normal 4 12 9" xfId="19082" xr:uid="{00000000-0005-0000-0000-00008E4A0000}"/>
    <cellStyle name="Normal 4 12 9 2" xfId="19083" xr:uid="{00000000-0005-0000-0000-00008F4A0000}"/>
    <cellStyle name="Normal 4 12 9 3" xfId="19084" xr:uid="{00000000-0005-0000-0000-0000904A0000}"/>
    <cellStyle name="Normal 4 12 9 4" xfId="19085" xr:uid="{00000000-0005-0000-0000-0000914A0000}"/>
    <cellStyle name="Normal 4 12 9 5" xfId="19086" xr:uid="{00000000-0005-0000-0000-0000924A0000}"/>
    <cellStyle name="Normal 4 12 9 6" xfId="19087" xr:uid="{00000000-0005-0000-0000-0000934A0000}"/>
    <cellStyle name="Normal 4 13" xfId="19088" xr:uid="{00000000-0005-0000-0000-0000944A0000}"/>
    <cellStyle name="Normal 4 14" xfId="19089" xr:uid="{00000000-0005-0000-0000-0000954A0000}"/>
    <cellStyle name="Normal 4 15" xfId="19090" xr:uid="{00000000-0005-0000-0000-0000964A0000}"/>
    <cellStyle name="Normal 4 16" xfId="19091" xr:uid="{00000000-0005-0000-0000-0000974A0000}"/>
    <cellStyle name="Normal 4 17" xfId="19092" xr:uid="{00000000-0005-0000-0000-0000984A0000}"/>
    <cellStyle name="Normal 4 18" xfId="19093" xr:uid="{00000000-0005-0000-0000-0000994A0000}"/>
    <cellStyle name="Normal 4 19" xfId="19094" xr:uid="{00000000-0005-0000-0000-00009A4A0000}"/>
    <cellStyle name="Normal 4 2" xfId="19095" xr:uid="{00000000-0005-0000-0000-00009B4A0000}"/>
    <cellStyle name="Normal 4 2 10" xfId="19096" xr:uid="{00000000-0005-0000-0000-00009C4A0000}"/>
    <cellStyle name="Normal 4 2 11" xfId="19097" xr:uid="{00000000-0005-0000-0000-00009D4A0000}"/>
    <cellStyle name="Normal 4 2 12" xfId="19098" xr:uid="{00000000-0005-0000-0000-00009E4A0000}"/>
    <cellStyle name="Normal 4 2 13" xfId="19099" xr:uid="{00000000-0005-0000-0000-00009F4A0000}"/>
    <cellStyle name="Normal 4 2 14" xfId="19100" xr:uid="{00000000-0005-0000-0000-0000A04A0000}"/>
    <cellStyle name="Normal 4 2 15" xfId="19101" xr:uid="{00000000-0005-0000-0000-0000A14A0000}"/>
    <cellStyle name="Normal 4 2 16" xfId="19102" xr:uid="{00000000-0005-0000-0000-0000A24A0000}"/>
    <cellStyle name="Normal 4 2 17" xfId="19103" xr:uid="{00000000-0005-0000-0000-0000A34A0000}"/>
    <cellStyle name="Normal 4 2 18" xfId="19104" xr:uid="{00000000-0005-0000-0000-0000A44A0000}"/>
    <cellStyle name="Normal 4 2 19" xfId="19105" xr:uid="{00000000-0005-0000-0000-0000A54A0000}"/>
    <cellStyle name="Normal 4 2 2" xfId="19106" xr:uid="{00000000-0005-0000-0000-0000A64A0000}"/>
    <cellStyle name="Normal 4 2 2 10" xfId="19107" xr:uid="{00000000-0005-0000-0000-0000A74A0000}"/>
    <cellStyle name="Normal 4 2 2 10 2" xfId="19108" xr:uid="{00000000-0005-0000-0000-0000A84A0000}"/>
    <cellStyle name="Normal 4 2 2 10 3" xfId="19109" xr:uid="{00000000-0005-0000-0000-0000A94A0000}"/>
    <cellStyle name="Normal 4 2 2 10 4" xfId="19110" xr:uid="{00000000-0005-0000-0000-0000AA4A0000}"/>
    <cellStyle name="Normal 4 2 2 10 5" xfId="19111" xr:uid="{00000000-0005-0000-0000-0000AB4A0000}"/>
    <cellStyle name="Normal 4 2 2 10 6" xfId="19112" xr:uid="{00000000-0005-0000-0000-0000AC4A0000}"/>
    <cellStyle name="Normal 4 2 2 11" xfId="19113" xr:uid="{00000000-0005-0000-0000-0000AD4A0000}"/>
    <cellStyle name="Normal 4 2 2 11 2" xfId="19114" xr:uid="{00000000-0005-0000-0000-0000AE4A0000}"/>
    <cellStyle name="Normal 4 2 2 11 3" xfId="19115" xr:uid="{00000000-0005-0000-0000-0000AF4A0000}"/>
    <cellStyle name="Normal 4 2 2 11 4" xfId="19116" xr:uid="{00000000-0005-0000-0000-0000B04A0000}"/>
    <cellStyle name="Normal 4 2 2 11 5" xfId="19117" xr:uid="{00000000-0005-0000-0000-0000B14A0000}"/>
    <cellStyle name="Normal 4 2 2 11 6" xfId="19118" xr:uid="{00000000-0005-0000-0000-0000B24A0000}"/>
    <cellStyle name="Normal 4 2 2 12" xfId="19119" xr:uid="{00000000-0005-0000-0000-0000B34A0000}"/>
    <cellStyle name="Normal 4 2 2 12 2" xfId="19120" xr:uid="{00000000-0005-0000-0000-0000B44A0000}"/>
    <cellStyle name="Normal 4 2 2 12 3" xfId="19121" xr:uid="{00000000-0005-0000-0000-0000B54A0000}"/>
    <cellStyle name="Normal 4 2 2 12 4" xfId="19122" xr:uid="{00000000-0005-0000-0000-0000B64A0000}"/>
    <cellStyle name="Normal 4 2 2 12 5" xfId="19123" xr:uid="{00000000-0005-0000-0000-0000B74A0000}"/>
    <cellStyle name="Normal 4 2 2 12 6" xfId="19124" xr:uid="{00000000-0005-0000-0000-0000B84A0000}"/>
    <cellStyle name="Normal 4 2 2 13" xfId="19125" xr:uid="{00000000-0005-0000-0000-0000B94A0000}"/>
    <cellStyle name="Normal 4 2 2 13 2" xfId="19126" xr:uid="{00000000-0005-0000-0000-0000BA4A0000}"/>
    <cellStyle name="Normal 4 2 2 13 3" xfId="19127" xr:uid="{00000000-0005-0000-0000-0000BB4A0000}"/>
    <cellStyle name="Normal 4 2 2 13 4" xfId="19128" xr:uid="{00000000-0005-0000-0000-0000BC4A0000}"/>
    <cellStyle name="Normal 4 2 2 13 5" xfId="19129" xr:uid="{00000000-0005-0000-0000-0000BD4A0000}"/>
    <cellStyle name="Normal 4 2 2 13 6" xfId="19130" xr:uid="{00000000-0005-0000-0000-0000BE4A0000}"/>
    <cellStyle name="Normal 4 2 2 14" xfId="19131" xr:uid="{00000000-0005-0000-0000-0000BF4A0000}"/>
    <cellStyle name="Normal 4 2 2 15" xfId="19132" xr:uid="{00000000-0005-0000-0000-0000C04A0000}"/>
    <cellStyle name="Normal 4 2 2 16" xfId="19133" xr:uid="{00000000-0005-0000-0000-0000C14A0000}"/>
    <cellStyle name="Normal 4 2 2 17" xfId="19134" xr:uid="{00000000-0005-0000-0000-0000C24A0000}"/>
    <cellStyle name="Normal 4 2 2 18" xfId="19135" xr:uid="{00000000-0005-0000-0000-0000C34A0000}"/>
    <cellStyle name="Normal 4 2 2 19" xfId="19136" xr:uid="{00000000-0005-0000-0000-0000C44A0000}"/>
    <cellStyle name="Normal 4 2 2 2" xfId="19137" xr:uid="{00000000-0005-0000-0000-0000C54A0000}"/>
    <cellStyle name="Normal 4 2 2 2 10" xfId="19138" xr:uid="{00000000-0005-0000-0000-0000C64A0000}"/>
    <cellStyle name="Normal 4 2 2 2 10 2" xfId="19139" xr:uid="{00000000-0005-0000-0000-0000C74A0000}"/>
    <cellStyle name="Normal 4 2 2 2 10 3" xfId="19140" xr:uid="{00000000-0005-0000-0000-0000C84A0000}"/>
    <cellStyle name="Normal 4 2 2 2 10 4" xfId="19141" xr:uid="{00000000-0005-0000-0000-0000C94A0000}"/>
    <cellStyle name="Normal 4 2 2 2 10 5" xfId="19142" xr:uid="{00000000-0005-0000-0000-0000CA4A0000}"/>
    <cellStyle name="Normal 4 2 2 2 10 6" xfId="19143" xr:uid="{00000000-0005-0000-0000-0000CB4A0000}"/>
    <cellStyle name="Normal 4 2 2 2 11" xfId="19144" xr:uid="{00000000-0005-0000-0000-0000CC4A0000}"/>
    <cellStyle name="Normal 4 2 2 2 11 2" xfId="19145" xr:uid="{00000000-0005-0000-0000-0000CD4A0000}"/>
    <cellStyle name="Normal 4 2 2 2 11 3" xfId="19146" xr:uid="{00000000-0005-0000-0000-0000CE4A0000}"/>
    <cellStyle name="Normal 4 2 2 2 11 4" xfId="19147" xr:uid="{00000000-0005-0000-0000-0000CF4A0000}"/>
    <cellStyle name="Normal 4 2 2 2 11 5" xfId="19148" xr:uid="{00000000-0005-0000-0000-0000D04A0000}"/>
    <cellStyle name="Normal 4 2 2 2 11 6" xfId="19149" xr:uid="{00000000-0005-0000-0000-0000D14A0000}"/>
    <cellStyle name="Normal 4 2 2 2 12" xfId="19150" xr:uid="{00000000-0005-0000-0000-0000D24A0000}"/>
    <cellStyle name="Normal 4 2 2 2 13" xfId="19151" xr:uid="{00000000-0005-0000-0000-0000D34A0000}"/>
    <cellStyle name="Normal 4 2 2 2 14" xfId="19152" xr:uid="{00000000-0005-0000-0000-0000D44A0000}"/>
    <cellStyle name="Normal 4 2 2 2 15" xfId="19153" xr:uid="{00000000-0005-0000-0000-0000D54A0000}"/>
    <cellStyle name="Normal 4 2 2 2 16" xfId="19154" xr:uid="{00000000-0005-0000-0000-0000D64A0000}"/>
    <cellStyle name="Normal 4 2 2 2 17" xfId="19155" xr:uid="{00000000-0005-0000-0000-0000D74A0000}"/>
    <cellStyle name="Normal 4 2 2 2 18" xfId="19156" xr:uid="{00000000-0005-0000-0000-0000D84A0000}"/>
    <cellStyle name="Normal 4 2 2 2 19" xfId="19157" xr:uid="{00000000-0005-0000-0000-0000D94A0000}"/>
    <cellStyle name="Normal 4 2 2 2 2" xfId="19158" xr:uid="{00000000-0005-0000-0000-0000DA4A0000}"/>
    <cellStyle name="Normal 4 2 2 2 2 10" xfId="19159" xr:uid="{00000000-0005-0000-0000-0000DB4A0000}"/>
    <cellStyle name="Normal 4 2 2 2 2 10 2" xfId="19160" xr:uid="{00000000-0005-0000-0000-0000DC4A0000}"/>
    <cellStyle name="Normal 4 2 2 2 2 10 3" xfId="19161" xr:uid="{00000000-0005-0000-0000-0000DD4A0000}"/>
    <cellStyle name="Normal 4 2 2 2 2 10 4" xfId="19162" xr:uid="{00000000-0005-0000-0000-0000DE4A0000}"/>
    <cellStyle name="Normal 4 2 2 2 2 10 5" xfId="19163" xr:uid="{00000000-0005-0000-0000-0000DF4A0000}"/>
    <cellStyle name="Normal 4 2 2 2 2 10 6" xfId="19164" xr:uid="{00000000-0005-0000-0000-0000E04A0000}"/>
    <cellStyle name="Normal 4 2 2 2 2 11" xfId="19165" xr:uid="{00000000-0005-0000-0000-0000E14A0000}"/>
    <cellStyle name="Normal 4 2 2 2 2 12" xfId="19166" xr:uid="{00000000-0005-0000-0000-0000E24A0000}"/>
    <cellStyle name="Normal 4 2 2 2 2 13" xfId="19167" xr:uid="{00000000-0005-0000-0000-0000E34A0000}"/>
    <cellStyle name="Normal 4 2 2 2 2 14" xfId="19168" xr:uid="{00000000-0005-0000-0000-0000E44A0000}"/>
    <cellStyle name="Normal 4 2 2 2 2 15" xfId="19169" xr:uid="{00000000-0005-0000-0000-0000E54A0000}"/>
    <cellStyle name="Normal 4 2 2 2 2 2" xfId="19170" xr:uid="{00000000-0005-0000-0000-0000E64A0000}"/>
    <cellStyle name="Normal 4 2 2 2 2 2 10" xfId="19171" xr:uid="{00000000-0005-0000-0000-0000E74A0000}"/>
    <cellStyle name="Normal 4 2 2 2 2 2 11" xfId="19172" xr:uid="{00000000-0005-0000-0000-0000E84A0000}"/>
    <cellStyle name="Normal 4 2 2 2 2 2 12" xfId="19173" xr:uid="{00000000-0005-0000-0000-0000E94A0000}"/>
    <cellStyle name="Normal 4 2 2 2 2 2 13" xfId="19174" xr:uid="{00000000-0005-0000-0000-0000EA4A0000}"/>
    <cellStyle name="Normal 4 2 2 2 2 2 14" xfId="19175" xr:uid="{00000000-0005-0000-0000-0000EB4A0000}"/>
    <cellStyle name="Normal 4 2 2 2 2 2 2" xfId="19176" xr:uid="{00000000-0005-0000-0000-0000EC4A0000}"/>
    <cellStyle name="Normal 4 2 2 2 2 2 2 2" xfId="19177" xr:uid="{00000000-0005-0000-0000-0000ED4A0000}"/>
    <cellStyle name="Normal 4 2 2 2 2 2 2 3" xfId="19178" xr:uid="{00000000-0005-0000-0000-0000EE4A0000}"/>
    <cellStyle name="Normal 4 2 2 2 2 2 2 4" xfId="19179" xr:uid="{00000000-0005-0000-0000-0000EF4A0000}"/>
    <cellStyle name="Normal 4 2 2 2 2 2 2 5" xfId="19180" xr:uid="{00000000-0005-0000-0000-0000F04A0000}"/>
    <cellStyle name="Normal 4 2 2 2 2 2 2 6" xfId="19181" xr:uid="{00000000-0005-0000-0000-0000F14A0000}"/>
    <cellStyle name="Normal 4 2 2 2 2 2 3" xfId="19182" xr:uid="{00000000-0005-0000-0000-0000F24A0000}"/>
    <cellStyle name="Normal 4 2 2 2 2 2 3 2" xfId="19183" xr:uid="{00000000-0005-0000-0000-0000F34A0000}"/>
    <cellStyle name="Normal 4 2 2 2 2 2 3 3" xfId="19184" xr:uid="{00000000-0005-0000-0000-0000F44A0000}"/>
    <cellStyle name="Normal 4 2 2 2 2 2 3 4" xfId="19185" xr:uid="{00000000-0005-0000-0000-0000F54A0000}"/>
    <cellStyle name="Normal 4 2 2 2 2 2 3 5" xfId="19186" xr:uid="{00000000-0005-0000-0000-0000F64A0000}"/>
    <cellStyle name="Normal 4 2 2 2 2 2 3 6" xfId="19187" xr:uid="{00000000-0005-0000-0000-0000F74A0000}"/>
    <cellStyle name="Normal 4 2 2 2 2 2 4" xfId="19188" xr:uid="{00000000-0005-0000-0000-0000F84A0000}"/>
    <cellStyle name="Normal 4 2 2 2 2 2 4 2" xfId="19189" xr:uid="{00000000-0005-0000-0000-0000F94A0000}"/>
    <cellStyle name="Normal 4 2 2 2 2 2 4 3" xfId="19190" xr:uid="{00000000-0005-0000-0000-0000FA4A0000}"/>
    <cellStyle name="Normal 4 2 2 2 2 2 4 4" xfId="19191" xr:uid="{00000000-0005-0000-0000-0000FB4A0000}"/>
    <cellStyle name="Normal 4 2 2 2 2 2 4 5" xfId="19192" xr:uid="{00000000-0005-0000-0000-0000FC4A0000}"/>
    <cellStyle name="Normal 4 2 2 2 2 2 4 6" xfId="19193" xr:uid="{00000000-0005-0000-0000-0000FD4A0000}"/>
    <cellStyle name="Normal 4 2 2 2 2 2 5" xfId="19194" xr:uid="{00000000-0005-0000-0000-0000FE4A0000}"/>
    <cellStyle name="Normal 4 2 2 2 2 2 5 2" xfId="19195" xr:uid="{00000000-0005-0000-0000-0000FF4A0000}"/>
    <cellStyle name="Normal 4 2 2 2 2 2 5 3" xfId="19196" xr:uid="{00000000-0005-0000-0000-0000004B0000}"/>
    <cellStyle name="Normal 4 2 2 2 2 2 5 4" xfId="19197" xr:uid="{00000000-0005-0000-0000-0000014B0000}"/>
    <cellStyle name="Normal 4 2 2 2 2 2 5 5" xfId="19198" xr:uid="{00000000-0005-0000-0000-0000024B0000}"/>
    <cellStyle name="Normal 4 2 2 2 2 2 5 6" xfId="19199" xr:uid="{00000000-0005-0000-0000-0000034B0000}"/>
    <cellStyle name="Normal 4 2 2 2 2 2 6" xfId="19200" xr:uid="{00000000-0005-0000-0000-0000044B0000}"/>
    <cellStyle name="Normal 4 2 2 2 2 2 6 2" xfId="19201" xr:uid="{00000000-0005-0000-0000-0000054B0000}"/>
    <cellStyle name="Normal 4 2 2 2 2 2 6 3" xfId="19202" xr:uid="{00000000-0005-0000-0000-0000064B0000}"/>
    <cellStyle name="Normal 4 2 2 2 2 2 6 4" xfId="19203" xr:uid="{00000000-0005-0000-0000-0000074B0000}"/>
    <cellStyle name="Normal 4 2 2 2 2 2 6 5" xfId="19204" xr:uid="{00000000-0005-0000-0000-0000084B0000}"/>
    <cellStyle name="Normal 4 2 2 2 2 2 6 6" xfId="19205" xr:uid="{00000000-0005-0000-0000-0000094B0000}"/>
    <cellStyle name="Normal 4 2 2 2 2 2 7" xfId="19206" xr:uid="{00000000-0005-0000-0000-00000A4B0000}"/>
    <cellStyle name="Normal 4 2 2 2 2 2 7 2" xfId="19207" xr:uid="{00000000-0005-0000-0000-00000B4B0000}"/>
    <cellStyle name="Normal 4 2 2 2 2 2 7 3" xfId="19208" xr:uid="{00000000-0005-0000-0000-00000C4B0000}"/>
    <cellStyle name="Normal 4 2 2 2 2 2 7 4" xfId="19209" xr:uid="{00000000-0005-0000-0000-00000D4B0000}"/>
    <cellStyle name="Normal 4 2 2 2 2 2 7 5" xfId="19210" xr:uid="{00000000-0005-0000-0000-00000E4B0000}"/>
    <cellStyle name="Normal 4 2 2 2 2 2 7 6" xfId="19211" xr:uid="{00000000-0005-0000-0000-00000F4B0000}"/>
    <cellStyle name="Normal 4 2 2 2 2 2 8" xfId="19212" xr:uid="{00000000-0005-0000-0000-0000104B0000}"/>
    <cellStyle name="Normal 4 2 2 2 2 2 8 2" xfId="19213" xr:uid="{00000000-0005-0000-0000-0000114B0000}"/>
    <cellStyle name="Normal 4 2 2 2 2 2 8 3" xfId="19214" xr:uid="{00000000-0005-0000-0000-0000124B0000}"/>
    <cellStyle name="Normal 4 2 2 2 2 2 8 4" xfId="19215" xr:uid="{00000000-0005-0000-0000-0000134B0000}"/>
    <cellStyle name="Normal 4 2 2 2 2 2 8 5" xfId="19216" xr:uid="{00000000-0005-0000-0000-0000144B0000}"/>
    <cellStyle name="Normal 4 2 2 2 2 2 8 6" xfId="19217" xr:uid="{00000000-0005-0000-0000-0000154B0000}"/>
    <cellStyle name="Normal 4 2 2 2 2 2 9" xfId="19218" xr:uid="{00000000-0005-0000-0000-0000164B0000}"/>
    <cellStyle name="Normal 4 2 2 2 2 2 9 2" xfId="19219" xr:uid="{00000000-0005-0000-0000-0000174B0000}"/>
    <cellStyle name="Normal 4 2 2 2 2 2 9 3" xfId="19220" xr:uid="{00000000-0005-0000-0000-0000184B0000}"/>
    <cellStyle name="Normal 4 2 2 2 2 2 9 4" xfId="19221" xr:uid="{00000000-0005-0000-0000-0000194B0000}"/>
    <cellStyle name="Normal 4 2 2 2 2 2 9 5" xfId="19222" xr:uid="{00000000-0005-0000-0000-00001A4B0000}"/>
    <cellStyle name="Normal 4 2 2 2 2 2 9 6" xfId="19223" xr:uid="{00000000-0005-0000-0000-00001B4B0000}"/>
    <cellStyle name="Normal 4 2 2 2 2 3" xfId="19224" xr:uid="{00000000-0005-0000-0000-00001C4B0000}"/>
    <cellStyle name="Normal 4 2 2 2 2 3 2" xfId="19225" xr:uid="{00000000-0005-0000-0000-00001D4B0000}"/>
    <cellStyle name="Normal 4 2 2 2 2 3 3" xfId="19226" xr:uid="{00000000-0005-0000-0000-00001E4B0000}"/>
    <cellStyle name="Normal 4 2 2 2 2 3 4" xfId="19227" xr:uid="{00000000-0005-0000-0000-00001F4B0000}"/>
    <cellStyle name="Normal 4 2 2 2 2 3 5" xfId="19228" xr:uid="{00000000-0005-0000-0000-0000204B0000}"/>
    <cellStyle name="Normal 4 2 2 2 2 3 6" xfId="19229" xr:uid="{00000000-0005-0000-0000-0000214B0000}"/>
    <cellStyle name="Normal 4 2 2 2 2 4" xfId="19230" xr:uid="{00000000-0005-0000-0000-0000224B0000}"/>
    <cellStyle name="Normal 4 2 2 2 2 4 2" xfId="19231" xr:uid="{00000000-0005-0000-0000-0000234B0000}"/>
    <cellStyle name="Normal 4 2 2 2 2 4 3" xfId="19232" xr:uid="{00000000-0005-0000-0000-0000244B0000}"/>
    <cellStyle name="Normal 4 2 2 2 2 4 4" xfId="19233" xr:uid="{00000000-0005-0000-0000-0000254B0000}"/>
    <cellStyle name="Normal 4 2 2 2 2 4 5" xfId="19234" xr:uid="{00000000-0005-0000-0000-0000264B0000}"/>
    <cellStyle name="Normal 4 2 2 2 2 4 6" xfId="19235" xr:uid="{00000000-0005-0000-0000-0000274B0000}"/>
    <cellStyle name="Normal 4 2 2 2 2 5" xfId="19236" xr:uid="{00000000-0005-0000-0000-0000284B0000}"/>
    <cellStyle name="Normal 4 2 2 2 2 5 2" xfId="19237" xr:uid="{00000000-0005-0000-0000-0000294B0000}"/>
    <cellStyle name="Normal 4 2 2 2 2 5 3" xfId="19238" xr:uid="{00000000-0005-0000-0000-00002A4B0000}"/>
    <cellStyle name="Normal 4 2 2 2 2 5 4" xfId="19239" xr:uid="{00000000-0005-0000-0000-00002B4B0000}"/>
    <cellStyle name="Normal 4 2 2 2 2 5 5" xfId="19240" xr:uid="{00000000-0005-0000-0000-00002C4B0000}"/>
    <cellStyle name="Normal 4 2 2 2 2 5 6" xfId="19241" xr:uid="{00000000-0005-0000-0000-00002D4B0000}"/>
    <cellStyle name="Normal 4 2 2 2 2 6" xfId="19242" xr:uid="{00000000-0005-0000-0000-00002E4B0000}"/>
    <cellStyle name="Normal 4 2 2 2 2 6 2" xfId="19243" xr:uid="{00000000-0005-0000-0000-00002F4B0000}"/>
    <cellStyle name="Normal 4 2 2 2 2 6 3" xfId="19244" xr:uid="{00000000-0005-0000-0000-0000304B0000}"/>
    <cellStyle name="Normal 4 2 2 2 2 6 4" xfId="19245" xr:uid="{00000000-0005-0000-0000-0000314B0000}"/>
    <cellStyle name="Normal 4 2 2 2 2 6 5" xfId="19246" xr:uid="{00000000-0005-0000-0000-0000324B0000}"/>
    <cellStyle name="Normal 4 2 2 2 2 6 6" xfId="19247" xr:uid="{00000000-0005-0000-0000-0000334B0000}"/>
    <cellStyle name="Normal 4 2 2 2 2 7" xfId="19248" xr:uid="{00000000-0005-0000-0000-0000344B0000}"/>
    <cellStyle name="Normal 4 2 2 2 2 7 2" xfId="19249" xr:uid="{00000000-0005-0000-0000-0000354B0000}"/>
    <cellStyle name="Normal 4 2 2 2 2 7 3" xfId="19250" xr:uid="{00000000-0005-0000-0000-0000364B0000}"/>
    <cellStyle name="Normal 4 2 2 2 2 7 4" xfId="19251" xr:uid="{00000000-0005-0000-0000-0000374B0000}"/>
    <cellStyle name="Normal 4 2 2 2 2 7 5" xfId="19252" xr:uid="{00000000-0005-0000-0000-0000384B0000}"/>
    <cellStyle name="Normal 4 2 2 2 2 7 6" xfId="19253" xr:uid="{00000000-0005-0000-0000-0000394B0000}"/>
    <cellStyle name="Normal 4 2 2 2 2 8" xfId="19254" xr:uid="{00000000-0005-0000-0000-00003A4B0000}"/>
    <cellStyle name="Normal 4 2 2 2 2 8 2" xfId="19255" xr:uid="{00000000-0005-0000-0000-00003B4B0000}"/>
    <cellStyle name="Normal 4 2 2 2 2 8 3" xfId="19256" xr:uid="{00000000-0005-0000-0000-00003C4B0000}"/>
    <cellStyle name="Normal 4 2 2 2 2 8 4" xfId="19257" xr:uid="{00000000-0005-0000-0000-00003D4B0000}"/>
    <cellStyle name="Normal 4 2 2 2 2 8 5" xfId="19258" xr:uid="{00000000-0005-0000-0000-00003E4B0000}"/>
    <cellStyle name="Normal 4 2 2 2 2 8 6" xfId="19259" xr:uid="{00000000-0005-0000-0000-00003F4B0000}"/>
    <cellStyle name="Normal 4 2 2 2 2 9" xfId="19260" xr:uid="{00000000-0005-0000-0000-0000404B0000}"/>
    <cellStyle name="Normal 4 2 2 2 2 9 2" xfId="19261" xr:uid="{00000000-0005-0000-0000-0000414B0000}"/>
    <cellStyle name="Normal 4 2 2 2 2 9 3" xfId="19262" xr:uid="{00000000-0005-0000-0000-0000424B0000}"/>
    <cellStyle name="Normal 4 2 2 2 2 9 4" xfId="19263" xr:uid="{00000000-0005-0000-0000-0000434B0000}"/>
    <cellStyle name="Normal 4 2 2 2 2 9 5" xfId="19264" xr:uid="{00000000-0005-0000-0000-0000444B0000}"/>
    <cellStyle name="Normal 4 2 2 2 2 9 6" xfId="19265" xr:uid="{00000000-0005-0000-0000-0000454B0000}"/>
    <cellStyle name="Normal 4 2 2 2 20" xfId="19266" xr:uid="{00000000-0005-0000-0000-0000464B0000}"/>
    <cellStyle name="Normal 4 2 2 2 21" xfId="19267" xr:uid="{00000000-0005-0000-0000-0000474B0000}"/>
    <cellStyle name="Normal 4 2 2 2 22" xfId="19268" xr:uid="{00000000-0005-0000-0000-0000484B0000}"/>
    <cellStyle name="Normal 4 2 2 2 23" xfId="19269" xr:uid="{00000000-0005-0000-0000-0000494B0000}"/>
    <cellStyle name="Normal 4 2 2 2 24" xfId="19270" xr:uid="{00000000-0005-0000-0000-00004A4B0000}"/>
    <cellStyle name="Normal 4 2 2 2 25" xfId="19271" xr:uid="{00000000-0005-0000-0000-00004B4B0000}"/>
    <cellStyle name="Normal 4 2 2 2 26" xfId="19272" xr:uid="{00000000-0005-0000-0000-00004C4B0000}"/>
    <cellStyle name="Normal 4 2 2 2 27" xfId="19273" xr:uid="{00000000-0005-0000-0000-00004D4B0000}"/>
    <cellStyle name="Normal 4 2 2 2 28" xfId="19274" xr:uid="{00000000-0005-0000-0000-00004E4B0000}"/>
    <cellStyle name="Normal 4 2 2 2 29" xfId="19275" xr:uid="{00000000-0005-0000-0000-00004F4B0000}"/>
    <cellStyle name="Normal 4 2 2 2 3" xfId="19276" xr:uid="{00000000-0005-0000-0000-0000504B0000}"/>
    <cellStyle name="Normal 4 2 2 2 3 10" xfId="19277" xr:uid="{00000000-0005-0000-0000-0000514B0000}"/>
    <cellStyle name="Normal 4 2 2 2 3 11" xfId="19278" xr:uid="{00000000-0005-0000-0000-0000524B0000}"/>
    <cellStyle name="Normal 4 2 2 2 3 12" xfId="19279" xr:uid="{00000000-0005-0000-0000-0000534B0000}"/>
    <cellStyle name="Normal 4 2 2 2 3 13" xfId="19280" xr:uid="{00000000-0005-0000-0000-0000544B0000}"/>
    <cellStyle name="Normal 4 2 2 2 3 14" xfId="19281" xr:uid="{00000000-0005-0000-0000-0000554B0000}"/>
    <cellStyle name="Normal 4 2 2 2 3 2" xfId="19282" xr:uid="{00000000-0005-0000-0000-0000564B0000}"/>
    <cellStyle name="Normal 4 2 2 2 3 2 2" xfId="19283" xr:uid="{00000000-0005-0000-0000-0000574B0000}"/>
    <cellStyle name="Normal 4 2 2 2 3 2 3" xfId="19284" xr:uid="{00000000-0005-0000-0000-0000584B0000}"/>
    <cellStyle name="Normal 4 2 2 2 3 2 4" xfId="19285" xr:uid="{00000000-0005-0000-0000-0000594B0000}"/>
    <cellStyle name="Normal 4 2 2 2 3 2 5" xfId="19286" xr:uid="{00000000-0005-0000-0000-00005A4B0000}"/>
    <cellStyle name="Normal 4 2 2 2 3 2 6" xfId="19287" xr:uid="{00000000-0005-0000-0000-00005B4B0000}"/>
    <cellStyle name="Normal 4 2 2 2 3 3" xfId="19288" xr:uid="{00000000-0005-0000-0000-00005C4B0000}"/>
    <cellStyle name="Normal 4 2 2 2 3 3 2" xfId="19289" xr:uid="{00000000-0005-0000-0000-00005D4B0000}"/>
    <cellStyle name="Normal 4 2 2 2 3 3 3" xfId="19290" xr:uid="{00000000-0005-0000-0000-00005E4B0000}"/>
    <cellStyle name="Normal 4 2 2 2 3 3 4" xfId="19291" xr:uid="{00000000-0005-0000-0000-00005F4B0000}"/>
    <cellStyle name="Normal 4 2 2 2 3 3 5" xfId="19292" xr:uid="{00000000-0005-0000-0000-0000604B0000}"/>
    <cellStyle name="Normal 4 2 2 2 3 3 6" xfId="19293" xr:uid="{00000000-0005-0000-0000-0000614B0000}"/>
    <cellStyle name="Normal 4 2 2 2 3 4" xfId="19294" xr:uid="{00000000-0005-0000-0000-0000624B0000}"/>
    <cellStyle name="Normal 4 2 2 2 3 4 2" xfId="19295" xr:uid="{00000000-0005-0000-0000-0000634B0000}"/>
    <cellStyle name="Normal 4 2 2 2 3 4 3" xfId="19296" xr:uid="{00000000-0005-0000-0000-0000644B0000}"/>
    <cellStyle name="Normal 4 2 2 2 3 4 4" xfId="19297" xr:uid="{00000000-0005-0000-0000-0000654B0000}"/>
    <cellStyle name="Normal 4 2 2 2 3 4 5" xfId="19298" xr:uid="{00000000-0005-0000-0000-0000664B0000}"/>
    <cellStyle name="Normal 4 2 2 2 3 4 6" xfId="19299" xr:uid="{00000000-0005-0000-0000-0000674B0000}"/>
    <cellStyle name="Normal 4 2 2 2 3 5" xfId="19300" xr:uid="{00000000-0005-0000-0000-0000684B0000}"/>
    <cellStyle name="Normal 4 2 2 2 3 5 2" xfId="19301" xr:uid="{00000000-0005-0000-0000-0000694B0000}"/>
    <cellStyle name="Normal 4 2 2 2 3 5 3" xfId="19302" xr:uid="{00000000-0005-0000-0000-00006A4B0000}"/>
    <cellStyle name="Normal 4 2 2 2 3 5 4" xfId="19303" xr:uid="{00000000-0005-0000-0000-00006B4B0000}"/>
    <cellStyle name="Normal 4 2 2 2 3 5 5" xfId="19304" xr:uid="{00000000-0005-0000-0000-00006C4B0000}"/>
    <cellStyle name="Normal 4 2 2 2 3 5 6" xfId="19305" xr:uid="{00000000-0005-0000-0000-00006D4B0000}"/>
    <cellStyle name="Normal 4 2 2 2 3 6" xfId="19306" xr:uid="{00000000-0005-0000-0000-00006E4B0000}"/>
    <cellStyle name="Normal 4 2 2 2 3 6 2" xfId="19307" xr:uid="{00000000-0005-0000-0000-00006F4B0000}"/>
    <cellStyle name="Normal 4 2 2 2 3 6 3" xfId="19308" xr:uid="{00000000-0005-0000-0000-0000704B0000}"/>
    <cellStyle name="Normal 4 2 2 2 3 6 4" xfId="19309" xr:uid="{00000000-0005-0000-0000-0000714B0000}"/>
    <cellStyle name="Normal 4 2 2 2 3 6 5" xfId="19310" xr:uid="{00000000-0005-0000-0000-0000724B0000}"/>
    <cellStyle name="Normal 4 2 2 2 3 6 6" xfId="19311" xr:uid="{00000000-0005-0000-0000-0000734B0000}"/>
    <cellStyle name="Normal 4 2 2 2 3 7" xfId="19312" xr:uid="{00000000-0005-0000-0000-0000744B0000}"/>
    <cellStyle name="Normal 4 2 2 2 3 7 2" xfId="19313" xr:uid="{00000000-0005-0000-0000-0000754B0000}"/>
    <cellStyle name="Normal 4 2 2 2 3 7 3" xfId="19314" xr:uid="{00000000-0005-0000-0000-0000764B0000}"/>
    <cellStyle name="Normal 4 2 2 2 3 7 4" xfId="19315" xr:uid="{00000000-0005-0000-0000-0000774B0000}"/>
    <cellStyle name="Normal 4 2 2 2 3 7 5" xfId="19316" xr:uid="{00000000-0005-0000-0000-0000784B0000}"/>
    <cellStyle name="Normal 4 2 2 2 3 7 6" xfId="19317" xr:uid="{00000000-0005-0000-0000-0000794B0000}"/>
    <cellStyle name="Normal 4 2 2 2 3 8" xfId="19318" xr:uid="{00000000-0005-0000-0000-00007A4B0000}"/>
    <cellStyle name="Normal 4 2 2 2 3 8 2" xfId="19319" xr:uid="{00000000-0005-0000-0000-00007B4B0000}"/>
    <cellStyle name="Normal 4 2 2 2 3 8 3" xfId="19320" xr:uid="{00000000-0005-0000-0000-00007C4B0000}"/>
    <cellStyle name="Normal 4 2 2 2 3 8 4" xfId="19321" xr:uid="{00000000-0005-0000-0000-00007D4B0000}"/>
    <cellStyle name="Normal 4 2 2 2 3 8 5" xfId="19322" xr:uid="{00000000-0005-0000-0000-00007E4B0000}"/>
    <cellStyle name="Normal 4 2 2 2 3 8 6" xfId="19323" xr:uid="{00000000-0005-0000-0000-00007F4B0000}"/>
    <cellStyle name="Normal 4 2 2 2 3 9" xfId="19324" xr:uid="{00000000-0005-0000-0000-0000804B0000}"/>
    <cellStyle name="Normal 4 2 2 2 3 9 2" xfId="19325" xr:uid="{00000000-0005-0000-0000-0000814B0000}"/>
    <cellStyle name="Normal 4 2 2 2 3 9 3" xfId="19326" xr:uid="{00000000-0005-0000-0000-0000824B0000}"/>
    <cellStyle name="Normal 4 2 2 2 3 9 4" xfId="19327" xr:uid="{00000000-0005-0000-0000-0000834B0000}"/>
    <cellStyle name="Normal 4 2 2 2 3 9 5" xfId="19328" xr:uid="{00000000-0005-0000-0000-0000844B0000}"/>
    <cellStyle name="Normal 4 2 2 2 3 9 6" xfId="19329" xr:uid="{00000000-0005-0000-0000-0000854B0000}"/>
    <cellStyle name="Normal 4 2 2 2 30" xfId="19330" xr:uid="{00000000-0005-0000-0000-0000864B0000}"/>
    <cellStyle name="Normal 4 2 2 2 31" xfId="19331" xr:uid="{00000000-0005-0000-0000-0000874B0000}"/>
    <cellStyle name="Normal 4 2 2 2 4" xfId="19332" xr:uid="{00000000-0005-0000-0000-0000884B0000}"/>
    <cellStyle name="Normal 4 2 2 2 4 2" xfId="19333" xr:uid="{00000000-0005-0000-0000-0000894B0000}"/>
    <cellStyle name="Normal 4 2 2 2 4 3" xfId="19334" xr:uid="{00000000-0005-0000-0000-00008A4B0000}"/>
    <cellStyle name="Normal 4 2 2 2 4 4" xfId="19335" xr:uid="{00000000-0005-0000-0000-00008B4B0000}"/>
    <cellStyle name="Normal 4 2 2 2 4 5" xfId="19336" xr:uid="{00000000-0005-0000-0000-00008C4B0000}"/>
    <cellStyle name="Normal 4 2 2 2 4 6" xfId="19337" xr:uid="{00000000-0005-0000-0000-00008D4B0000}"/>
    <cellStyle name="Normal 4 2 2 2 5" xfId="19338" xr:uid="{00000000-0005-0000-0000-00008E4B0000}"/>
    <cellStyle name="Normal 4 2 2 2 5 2" xfId="19339" xr:uid="{00000000-0005-0000-0000-00008F4B0000}"/>
    <cellStyle name="Normal 4 2 2 2 5 3" xfId="19340" xr:uid="{00000000-0005-0000-0000-0000904B0000}"/>
    <cellStyle name="Normal 4 2 2 2 5 4" xfId="19341" xr:uid="{00000000-0005-0000-0000-0000914B0000}"/>
    <cellStyle name="Normal 4 2 2 2 5 5" xfId="19342" xr:uid="{00000000-0005-0000-0000-0000924B0000}"/>
    <cellStyle name="Normal 4 2 2 2 5 6" xfId="19343" xr:uid="{00000000-0005-0000-0000-0000934B0000}"/>
    <cellStyle name="Normal 4 2 2 2 6" xfId="19344" xr:uid="{00000000-0005-0000-0000-0000944B0000}"/>
    <cellStyle name="Normal 4 2 2 2 6 2" xfId="19345" xr:uid="{00000000-0005-0000-0000-0000954B0000}"/>
    <cellStyle name="Normal 4 2 2 2 6 3" xfId="19346" xr:uid="{00000000-0005-0000-0000-0000964B0000}"/>
    <cellStyle name="Normal 4 2 2 2 6 4" xfId="19347" xr:uid="{00000000-0005-0000-0000-0000974B0000}"/>
    <cellStyle name="Normal 4 2 2 2 6 5" xfId="19348" xr:uid="{00000000-0005-0000-0000-0000984B0000}"/>
    <cellStyle name="Normal 4 2 2 2 6 6" xfId="19349" xr:uid="{00000000-0005-0000-0000-0000994B0000}"/>
    <cellStyle name="Normal 4 2 2 2 7" xfId="19350" xr:uid="{00000000-0005-0000-0000-00009A4B0000}"/>
    <cellStyle name="Normal 4 2 2 2 7 2" xfId="19351" xr:uid="{00000000-0005-0000-0000-00009B4B0000}"/>
    <cellStyle name="Normal 4 2 2 2 7 3" xfId="19352" xr:uid="{00000000-0005-0000-0000-00009C4B0000}"/>
    <cellStyle name="Normal 4 2 2 2 7 4" xfId="19353" xr:uid="{00000000-0005-0000-0000-00009D4B0000}"/>
    <cellStyle name="Normal 4 2 2 2 7 5" xfId="19354" xr:uid="{00000000-0005-0000-0000-00009E4B0000}"/>
    <cellStyle name="Normal 4 2 2 2 7 6" xfId="19355" xr:uid="{00000000-0005-0000-0000-00009F4B0000}"/>
    <cellStyle name="Normal 4 2 2 2 8" xfId="19356" xr:uid="{00000000-0005-0000-0000-0000A04B0000}"/>
    <cellStyle name="Normal 4 2 2 2 8 2" xfId="19357" xr:uid="{00000000-0005-0000-0000-0000A14B0000}"/>
    <cellStyle name="Normal 4 2 2 2 8 3" xfId="19358" xr:uid="{00000000-0005-0000-0000-0000A24B0000}"/>
    <cellStyle name="Normal 4 2 2 2 8 4" xfId="19359" xr:uid="{00000000-0005-0000-0000-0000A34B0000}"/>
    <cellStyle name="Normal 4 2 2 2 8 5" xfId="19360" xr:uid="{00000000-0005-0000-0000-0000A44B0000}"/>
    <cellStyle name="Normal 4 2 2 2 8 6" xfId="19361" xr:uid="{00000000-0005-0000-0000-0000A54B0000}"/>
    <cellStyle name="Normal 4 2 2 2 9" xfId="19362" xr:uid="{00000000-0005-0000-0000-0000A64B0000}"/>
    <cellStyle name="Normal 4 2 2 2 9 2" xfId="19363" xr:uid="{00000000-0005-0000-0000-0000A74B0000}"/>
    <cellStyle name="Normal 4 2 2 2 9 3" xfId="19364" xr:uid="{00000000-0005-0000-0000-0000A84B0000}"/>
    <cellStyle name="Normal 4 2 2 2 9 4" xfId="19365" xr:uid="{00000000-0005-0000-0000-0000A94B0000}"/>
    <cellStyle name="Normal 4 2 2 2 9 5" xfId="19366" xr:uid="{00000000-0005-0000-0000-0000AA4B0000}"/>
    <cellStyle name="Normal 4 2 2 2 9 6" xfId="19367" xr:uid="{00000000-0005-0000-0000-0000AB4B0000}"/>
    <cellStyle name="Normal 4 2 2 20" xfId="19368" xr:uid="{00000000-0005-0000-0000-0000AC4B0000}"/>
    <cellStyle name="Normal 4 2 2 21" xfId="19369" xr:uid="{00000000-0005-0000-0000-0000AD4B0000}"/>
    <cellStyle name="Normal 4 2 2 22" xfId="19370" xr:uid="{00000000-0005-0000-0000-0000AE4B0000}"/>
    <cellStyle name="Normal 4 2 2 23" xfId="19371" xr:uid="{00000000-0005-0000-0000-0000AF4B0000}"/>
    <cellStyle name="Normal 4 2 2 24" xfId="19372" xr:uid="{00000000-0005-0000-0000-0000B04B0000}"/>
    <cellStyle name="Normal 4 2 2 25" xfId="19373" xr:uid="{00000000-0005-0000-0000-0000B14B0000}"/>
    <cellStyle name="Normal 4 2 2 26" xfId="19374" xr:uid="{00000000-0005-0000-0000-0000B24B0000}"/>
    <cellStyle name="Normal 4 2 2 27" xfId="19375" xr:uid="{00000000-0005-0000-0000-0000B34B0000}"/>
    <cellStyle name="Normal 4 2 2 28" xfId="19376" xr:uid="{00000000-0005-0000-0000-0000B44B0000}"/>
    <cellStyle name="Normal 4 2 2 29" xfId="19377" xr:uid="{00000000-0005-0000-0000-0000B54B0000}"/>
    <cellStyle name="Normal 4 2 2 3" xfId="19378" xr:uid="{00000000-0005-0000-0000-0000B64B0000}"/>
    <cellStyle name="Normal 4 2 2 3 10" xfId="19379" xr:uid="{00000000-0005-0000-0000-0000B74B0000}"/>
    <cellStyle name="Normal 4 2 2 3 10 2" xfId="19380" xr:uid="{00000000-0005-0000-0000-0000B84B0000}"/>
    <cellStyle name="Normal 4 2 2 3 10 3" xfId="19381" xr:uid="{00000000-0005-0000-0000-0000B94B0000}"/>
    <cellStyle name="Normal 4 2 2 3 10 4" xfId="19382" xr:uid="{00000000-0005-0000-0000-0000BA4B0000}"/>
    <cellStyle name="Normal 4 2 2 3 10 5" xfId="19383" xr:uid="{00000000-0005-0000-0000-0000BB4B0000}"/>
    <cellStyle name="Normal 4 2 2 3 10 6" xfId="19384" xr:uid="{00000000-0005-0000-0000-0000BC4B0000}"/>
    <cellStyle name="Normal 4 2 2 3 11" xfId="19385" xr:uid="{00000000-0005-0000-0000-0000BD4B0000}"/>
    <cellStyle name="Normal 4 2 2 3 11 2" xfId="19386" xr:uid="{00000000-0005-0000-0000-0000BE4B0000}"/>
    <cellStyle name="Normal 4 2 2 3 11 3" xfId="19387" xr:uid="{00000000-0005-0000-0000-0000BF4B0000}"/>
    <cellStyle name="Normal 4 2 2 3 11 4" xfId="19388" xr:uid="{00000000-0005-0000-0000-0000C04B0000}"/>
    <cellStyle name="Normal 4 2 2 3 11 5" xfId="19389" xr:uid="{00000000-0005-0000-0000-0000C14B0000}"/>
    <cellStyle name="Normal 4 2 2 3 11 6" xfId="19390" xr:uid="{00000000-0005-0000-0000-0000C24B0000}"/>
    <cellStyle name="Normal 4 2 2 3 12" xfId="19391" xr:uid="{00000000-0005-0000-0000-0000C34B0000}"/>
    <cellStyle name="Normal 4 2 2 3 13" xfId="19392" xr:uid="{00000000-0005-0000-0000-0000C44B0000}"/>
    <cellStyle name="Normal 4 2 2 3 14" xfId="19393" xr:uid="{00000000-0005-0000-0000-0000C54B0000}"/>
    <cellStyle name="Normal 4 2 2 3 15" xfId="19394" xr:uid="{00000000-0005-0000-0000-0000C64B0000}"/>
    <cellStyle name="Normal 4 2 2 3 16" xfId="19395" xr:uid="{00000000-0005-0000-0000-0000C74B0000}"/>
    <cellStyle name="Normal 4 2 2 3 17" xfId="19396" xr:uid="{00000000-0005-0000-0000-0000C84B0000}"/>
    <cellStyle name="Normal 4 2 2 3 18" xfId="19397" xr:uid="{00000000-0005-0000-0000-0000C94B0000}"/>
    <cellStyle name="Normal 4 2 2 3 19" xfId="19398" xr:uid="{00000000-0005-0000-0000-0000CA4B0000}"/>
    <cellStyle name="Normal 4 2 2 3 2" xfId="19399" xr:uid="{00000000-0005-0000-0000-0000CB4B0000}"/>
    <cellStyle name="Normal 4 2 2 3 2 10" xfId="19400" xr:uid="{00000000-0005-0000-0000-0000CC4B0000}"/>
    <cellStyle name="Normal 4 2 2 3 2 10 2" xfId="19401" xr:uid="{00000000-0005-0000-0000-0000CD4B0000}"/>
    <cellStyle name="Normal 4 2 2 3 2 10 3" xfId="19402" xr:uid="{00000000-0005-0000-0000-0000CE4B0000}"/>
    <cellStyle name="Normal 4 2 2 3 2 10 4" xfId="19403" xr:uid="{00000000-0005-0000-0000-0000CF4B0000}"/>
    <cellStyle name="Normal 4 2 2 3 2 10 5" xfId="19404" xr:uid="{00000000-0005-0000-0000-0000D04B0000}"/>
    <cellStyle name="Normal 4 2 2 3 2 10 6" xfId="19405" xr:uid="{00000000-0005-0000-0000-0000D14B0000}"/>
    <cellStyle name="Normal 4 2 2 3 2 11" xfId="19406" xr:uid="{00000000-0005-0000-0000-0000D24B0000}"/>
    <cellStyle name="Normal 4 2 2 3 2 12" xfId="19407" xr:uid="{00000000-0005-0000-0000-0000D34B0000}"/>
    <cellStyle name="Normal 4 2 2 3 2 13" xfId="19408" xr:uid="{00000000-0005-0000-0000-0000D44B0000}"/>
    <cellStyle name="Normal 4 2 2 3 2 14" xfId="19409" xr:uid="{00000000-0005-0000-0000-0000D54B0000}"/>
    <cellStyle name="Normal 4 2 2 3 2 15" xfId="19410" xr:uid="{00000000-0005-0000-0000-0000D64B0000}"/>
    <cellStyle name="Normal 4 2 2 3 2 2" xfId="19411" xr:uid="{00000000-0005-0000-0000-0000D74B0000}"/>
    <cellStyle name="Normal 4 2 2 3 2 2 10" xfId="19412" xr:uid="{00000000-0005-0000-0000-0000D84B0000}"/>
    <cellStyle name="Normal 4 2 2 3 2 2 11" xfId="19413" xr:uid="{00000000-0005-0000-0000-0000D94B0000}"/>
    <cellStyle name="Normal 4 2 2 3 2 2 12" xfId="19414" xr:uid="{00000000-0005-0000-0000-0000DA4B0000}"/>
    <cellStyle name="Normal 4 2 2 3 2 2 13" xfId="19415" xr:uid="{00000000-0005-0000-0000-0000DB4B0000}"/>
    <cellStyle name="Normal 4 2 2 3 2 2 14" xfId="19416" xr:uid="{00000000-0005-0000-0000-0000DC4B0000}"/>
    <cellStyle name="Normal 4 2 2 3 2 2 2" xfId="19417" xr:uid="{00000000-0005-0000-0000-0000DD4B0000}"/>
    <cellStyle name="Normal 4 2 2 3 2 2 2 2" xfId="19418" xr:uid="{00000000-0005-0000-0000-0000DE4B0000}"/>
    <cellStyle name="Normal 4 2 2 3 2 2 2 3" xfId="19419" xr:uid="{00000000-0005-0000-0000-0000DF4B0000}"/>
    <cellStyle name="Normal 4 2 2 3 2 2 2 4" xfId="19420" xr:uid="{00000000-0005-0000-0000-0000E04B0000}"/>
    <cellStyle name="Normal 4 2 2 3 2 2 2 5" xfId="19421" xr:uid="{00000000-0005-0000-0000-0000E14B0000}"/>
    <cellStyle name="Normal 4 2 2 3 2 2 2 6" xfId="19422" xr:uid="{00000000-0005-0000-0000-0000E24B0000}"/>
    <cellStyle name="Normal 4 2 2 3 2 2 3" xfId="19423" xr:uid="{00000000-0005-0000-0000-0000E34B0000}"/>
    <cellStyle name="Normal 4 2 2 3 2 2 3 2" xfId="19424" xr:uid="{00000000-0005-0000-0000-0000E44B0000}"/>
    <cellStyle name="Normal 4 2 2 3 2 2 3 3" xfId="19425" xr:uid="{00000000-0005-0000-0000-0000E54B0000}"/>
    <cellStyle name="Normal 4 2 2 3 2 2 3 4" xfId="19426" xr:uid="{00000000-0005-0000-0000-0000E64B0000}"/>
    <cellStyle name="Normal 4 2 2 3 2 2 3 5" xfId="19427" xr:uid="{00000000-0005-0000-0000-0000E74B0000}"/>
    <cellStyle name="Normal 4 2 2 3 2 2 3 6" xfId="19428" xr:uid="{00000000-0005-0000-0000-0000E84B0000}"/>
    <cellStyle name="Normal 4 2 2 3 2 2 4" xfId="19429" xr:uid="{00000000-0005-0000-0000-0000E94B0000}"/>
    <cellStyle name="Normal 4 2 2 3 2 2 4 2" xfId="19430" xr:uid="{00000000-0005-0000-0000-0000EA4B0000}"/>
    <cellStyle name="Normal 4 2 2 3 2 2 4 3" xfId="19431" xr:uid="{00000000-0005-0000-0000-0000EB4B0000}"/>
    <cellStyle name="Normal 4 2 2 3 2 2 4 4" xfId="19432" xr:uid="{00000000-0005-0000-0000-0000EC4B0000}"/>
    <cellStyle name="Normal 4 2 2 3 2 2 4 5" xfId="19433" xr:uid="{00000000-0005-0000-0000-0000ED4B0000}"/>
    <cellStyle name="Normal 4 2 2 3 2 2 4 6" xfId="19434" xr:uid="{00000000-0005-0000-0000-0000EE4B0000}"/>
    <cellStyle name="Normal 4 2 2 3 2 2 5" xfId="19435" xr:uid="{00000000-0005-0000-0000-0000EF4B0000}"/>
    <cellStyle name="Normal 4 2 2 3 2 2 5 2" xfId="19436" xr:uid="{00000000-0005-0000-0000-0000F04B0000}"/>
    <cellStyle name="Normal 4 2 2 3 2 2 5 3" xfId="19437" xr:uid="{00000000-0005-0000-0000-0000F14B0000}"/>
    <cellStyle name="Normal 4 2 2 3 2 2 5 4" xfId="19438" xr:uid="{00000000-0005-0000-0000-0000F24B0000}"/>
    <cellStyle name="Normal 4 2 2 3 2 2 5 5" xfId="19439" xr:uid="{00000000-0005-0000-0000-0000F34B0000}"/>
    <cellStyle name="Normal 4 2 2 3 2 2 5 6" xfId="19440" xr:uid="{00000000-0005-0000-0000-0000F44B0000}"/>
    <cellStyle name="Normal 4 2 2 3 2 2 6" xfId="19441" xr:uid="{00000000-0005-0000-0000-0000F54B0000}"/>
    <cellStyle name="Normal 4 2 2 3 2 2 6 2" xfId="19442" xr:uid="{00000000-0005-0000-0000-0000F64B0000}"/>
    <cellStyle name="Normal 4 2 2 3 2 2 6 3" xfId="19443" xr:uid="{00000000-0005-0000-0000-0000F74B0000}"/>
    <cellStyle name="Normal 4 2 2 3 2 2 6 4" xfId="19444" xr:uid="{00000000-0005-0000-0000-0000F84B0000}"/>
    <cellStyle name="Normal 4 2 2 3 2 2 6 5" xfId="19445" xr:uid="{00000000-0005-0000-0000-0000F94B0000}"/>
    <cellStyle name="Normal 4 2 2 3 2 2 6 6" xfId="19446" xr:uid="{00000000-0005-0000-0000-0000FA4B0000}"/>
    <cellStyle name="Normal 4 2 2 3 2 2 7" xfId="19447" xr:uid="{00000000-0005-0000-0000-0000FB4B0000}"/>
    <cellStyle name="Normal 4 2 2 3 2 2 7 2" xfId="19448" xr:uid="{00000000-0005-0000-0000-0000FC4B0000}"/>
    <cellStyle name="Normal 4 2 2 3 2 2 7 3" xfId="19449" xr:uid="{00000000-0005-0000-0000-0000FD4B0000}"/>
    <cellStyle name="Normal 4 2 2 3 2 2 7 4" xfId="19450" xr:uid="{00000000-0005-0000-0000-0000FE4B0000}"/>
    <cellStyle name="Normal 4 2 2 3 2 2 7 5" xfId="19451" xr:uid="{00000000-0005-0000-0000-0000FF4B0000}"/>
    <cellStyle name="Normal 4 2 2 3 2 2 7 6" xfId="19452" xr:uid="{00000000-0005-0000-0000-0000004C0000}"/>
    <cellStyle name="Normal 4 2 2 3 2 2 8" xfId="19453" xr:uid="{00000000-0005-0000-0000-0000014C0000}"/>
    <cellStyle name="Normal 4 2 2 3 2 2 8 2" xfId="19454" xr:uid="{00000000-0005-0000-0000-0000024C0000}"/>
    <cellStyle name="Normal 4 2 2 3 2 2 8 3" xfId="19455" xr:uid="{00000000-0005-0000-0000-0000034C0000}"/>
    <cellStyle name="Normal 4 2 2 3 2 2 8 4" xfId="19456" xr:uid="{00000000-0005-0000-0000-0000044C0000}"/>
    <cellStyle name="Normal 4 2 2 3 2 2 8 5" xfId="19457" xr:uid="{00000000-0005-0000-0000-0000054C0000}"/>
    <cellStyle name="Normal 4 2 2 3 2 2 8 6" xfId="19458" xr:uid="{00000000-0005-0000-0000-0000064C0000}"/>
    <cellStyle name="Normal 4 2 2 3 2 2 9" xfId="19459" xr:uid="{00000000-0005-0000-0000-0000074C0000}"/>
    <cellStyle name="Normal 4 2 2 3 2 2 9 2" xfId="19460" xr:uid="{00000000-0005-0000-0000-0000084C0000}"/>
    <cellStyle name="Normal 4 2 2 3 2 2 9 3" xfId="19461" xr:uid="{00000000-0005-0000-0000-0000094C0000}"/>
    <cellStyle name="Normal 4 2 2 3 2 2 9 4" xfId="19462" xr:uid="{00000000-0005-0000-0000-00000A4C0000}"/>
    <cellStyle name="Normal 4 2 2 3 2 2 9 5" xfId="19463" xr:uid="{00000000-0005-0000-0000-00000B4C0000}"/>
    <cellStyle name="Normal 4 2 2 3 2 2 9 6" xfId="19464" xr:uid="{00000000-0005-0000-0000-00000C4C0000}"/>
    <cellStyle name="Normal 4 2 2 3 2 3" xfId="19465" xr:uid="{00000000-0005-0000-0000-00000D4C0000}"/>
    <cellStyle name="Normal 4 2 2 3 2 3 2" xfId="19466" xr:uid="{00000000-0005-0000-0000-00000E4C0000}"/>
    <cellStyle name="Normal 4 2 2 3 2 3 3" xfId="19467" xr:uid="{00000000-0005-0000-0000-00000F4C0000}"/>
    <cellStyle name="Normal 4 2 2 3 2 3 4" xfId="19468" xr:uid="{00000000-0005-0000-0000-0000104C0000}"/>
    <cellStyle name="Normal 4 2 2 3 2 3 5" xfId="19469" xr:uid="{00000000-0005-0000-0000-0000114C0000}"/>
    <cellStyle name="Normal 4 2 2 3 2 3 6" xfId="19470" xr:uid="{00000000-0005-0000-0000-0000124C0000}"/>
    <cellStyle name="Normal 4 2 2 3 2 4" xfId="19471" xr:uid="{00000000-0005-0000-0000-0000134C0000}"/>
    <cellStyle name="Normal 4 2 2 3 2 4 2" xfId="19472" xr:uid="{00000000-0005-0000-0000-0000144C0000}"/>
    <cellStyle name="Normal 4 2 2 3 2 4 3" xfId="19473" xr:uid="{00000000-0005-0000-0000-0000154C0000}"/>
    <cellStyle name="Normal 4 2 2 3 2 4 4" xfId="19474" xr:uid="{00000000-0005-0000-0000-0000164C0000}"/>
    <cellStyle name="Normal 4 2 2 3 2 4 5" xfId="19475" xr:uid="{00000000-0005-0000-0000-0000174C0000}"/>
    <cellStyle name="Normal 4 2 2 3 2 4 6" xfId="19476" xr:uid="{00000000-0005-0000-0000-0000184C0000}"/>
    <cellStyle name="Normal 4 2 2 3 2 5" xfId="19477" xr:uid="{00000000-0005-0000-0000-0000194C0000}"/>
    <cellStyle name="Normal 4 2 2 3 2 5 2" xfId="19478" xr:uid="{00000000-0005-0000-0000-00001A4C0000}"/>
    <cellStyle name="Normal 4 2 2 3 2 5 3" xfId="19479" xr:uid="{00000000-0005-0000-0000-00001B4C0000}"/>
    <cellStyle name="Normal 4 2 2 3 2 5 4" xfId="19480" xr:uid="{00000000-0005-0000-0000-00001C4C0000}"/>
    <cellStyle name="Normal 4 2 2 3 2 5 5" xfId="19481" xr:uid="{00000000-0005-0000-0000-00001D4C0000}"/>
    <cellStyle name="Normal 4 2 2 3 2 5 6" xfId="19482" xr:uid="{00000000-0005-0000-0000-00001E4C0000}"/>
    <cellStyle name="Normal 4 2 2 3 2 6" xfId="19483" xr:uid="{00000000-0005-0000-0000-00001F4C0000}"/>
    <cellStyle name="Normal 4 2 2 3 2 6 2" xfId="19484" xr:uid="{00000000-0005-0000-0000-0000204C0000}"/>
    <cellStyle name="Normal 4 2 2 3 2 6 3" xfId="19485" xr:uid="{00000000-0005-0000-0000-0000214C0000}"/>
    <cellStyle name="Normal 4 2 2 3 2 6 4" xfId="19486" xr:uid="{00000000-0005-0000-0000-0000224C0000}"/>
    <cellStyle name="Normal 4 2 2 3 2 6 5" xfId="19487" xr:uid="{00000000-0005-0000-0000-0000234C0000}"/>
    <cellStyle name="Normal 4 2 2 3 2 6 6" xfId="19488" xr:uid="{00000000-0005-0000-0000-0000244C0000}"/>
    <cellStyle name="Normal 4 2 2 3 2 7" xfId="19489" xr:uid="{00000000-0005-0000-0000-0000254C0000}"/>
    <cellStyle name="Normal 4 2 2 3 2 7 2" xfId="19490" xr:uid="{00000000-0005-0000-0000-0000264C0000}"/>
    <cellStyle name="Normal 4 2 2 3 2 7 3" xfId="19491" xr:uid="{00000000-0005-0000-0000-0000274C0000}"/>
    <cellStyle name="Normal 4 2 2 3 2 7 4" xfId="19492" xr:uid="{00000000-0005-0000-0000-0000284C0000}"/>
    <cellStyle name="Normal 4 2 2 3 2 7 5" xfId="19493" xr:uid="{00000000-0005-0000-0000-0000294C0000}"/>
    <cellStyle name="Normal 4 2 2 3 2 7 6" xfId="19494" xr:uid="{00000000-0005-0000-0000-00002A4C0000}"/>
    <cellStyle name="Normal 4 2 2 3 2 8" xfId="19495" xr:uid="{00000000-0005-0000-0000-00002B4C0000}"/>
    <cellStyle name="Normal 4 2 2 3 2 8 2" xfId="19496" xr:uid="{00000000-0005-0000-0000-00002C4C0000}"/>
    <cellStyle name="Normal 4 2 2 3 2 8 3" xfId="19497" xr:uid="{00000000-0005-0000-0000-00002D4C0000}"/>
    <cellStyle name="Normal 4 2 2 3 2 8 4" xfId="19498" xr:uid="{00000000-0005-0000-0000-00002E4C0000}"/>
    <cellStyle name="Normal 4 2 2 3 2 8 5" xfId="19499" xr:uid="{00000000-0005-0000-0000-00002F4C0000}"/>
    <cellStyle name="Normal 4 2 2 3 2 8 6" xfId="19500" xr:uid="{00000000-0005-0000-0000-0000304C0000}"/>
    <cellStyle name="Normal 4 2 2 3 2 9" xfId="19501" xr:uid="{00000000-0005-0000-0000-0000314C0000}"/>
    <cellStyle name="Normal 4 2 2 3 2 9 2" xfId="19502" xr:uid="{00000000-0005-0000-0000-0000324C0000}"/>
    <cellStyle name="Normal 4 2 2 3 2 9 3" xfId="19503" xr:uid="{00000000-0005-0000-0000-0000334C0000}"/>
    <cellStyle name="Normal 4 2 2 3 2 9 4" xfId="19504" xr:uid="{00000000-0005-0000-0000-0000344C0000}"/>
    <cellStyle name="Normal 4 2 2 3 2 9 5" xfId="19505" xr:uid="{00000000-0005-0000-0000-0000354C0000}"/>
    <cellStyle name="Normal 4 2 2 3 2 9 6" xfId="19506" xr:uid="{00000000-0005-0000-0000-0000364C0000}"/>
    <cellStyle name="Normal 4 2 2 3 20" xfId="19507" xr:uid="{00000000-0005-0000-0000-0000374C0000}"/>
    <cellStyle name="Normal 4 2 2 3 21" xfId="19508" xr:uid="{00000000-0005-0000-0000-0000384C0000}"/>
    <cellStyle name="Normal 4 2 2 3 22" xfId="19509" xr:uid="{00000000-0005-0000-0000-0000394C0000}"/>
    <cellStyle name="Normal 4 2 2 3 23" xfId="19510" xr:uid="{00000000-0005-0000-0000-00003A4C0000}"/>
    <cellStyle name="Normal 4 2 2 3 24" xfId="19511" xr:uid="{00000000-0005-0000-0000-00003B4C0000}"/>
    <cellStyle name="Normal 4 2 2 3 25" xfId="19512" xr:uid="{00000000-0005-0000-0000-00003C4C0000}"/>
    <cellStyle name="Normal 4 2 2 3 26" xfId="19513" xr:uid="{00000000-0005-0000-0000-00003D4C0000}"/>
    <cellStyle name="Normal 4 2 2 3 27" xfId="19514" xr:uid="{00000000-0005-0000-0000-00003E4C0000}"/>
    <cellStyle name="Normal 4 2 2 3 28" xfId="19515" xr:uid="{00000000-0005-0000-0000-00003F4C0000}"/>
    <cellStyle name="Normal 4 2 2 3 29" xfId="19516" xr:uid="{00000000-0005-0000-0000-0000404C0000}"/>
    <cellStyle name="Normal 4 2 2 3 3" xfId="19517" xr:uid="{00000000-0005-0000-0000-0000414C0000}"/>
    <cellStyle name="Normal 4 2 2 3 3 10" xfId="19518" xr:uid="{00000000-0005-0000-0000-0000424C0000}"/>
    <cellStyle name="Normal 4 2 2 3 3 11" xfId="19519" xr:uid="{00000000-0005-0000-0000-0000434C0000}"/>
    <cellStyle name="Normal 4 2 2 3 3 12" xfId="19520" xr:uid="{00000000-0005-0000-0000-0000444C0000}"/>
    <cellStyle name="Normal 4 2 2 3 3 13" xfId="19521" xr:uid="{00000000-0005-0000-0000-0000454C0000}"/>
    <cellStyle name="Normal 4 2 2 3 3 14" xfId="19522" xr:uid="{00000000-0005-0000-0000-0000464C0000}"/>
    <cellStyle name="Normal 4 2 2 3 3 2" xfId="19523" xr:uid="{00000000-0005-0000-0000-0000474C0000}"/>
    <cellStyle name="Normal 4 2 2 3 3 2 2" xfId="19524" xr:uid="{00000000-0005-0000-0000-0000484C0000}"/>
    <cellStyle name="Normal 4 2 2 3 3 2 3" xfId="19525" xr:uid="{00000000-0005-0000-0000-0000494C0000}"/>
    <cellStyle name="Normal 4 2 2 3 3 2 4" xfId="19526" xr:uid="{00000000-0005-0000-0000-00004A4C0000}"/>
    <cellStyle name="Normal 4 2 2 3 3 2 5" xfId="19527" xr:uid="{00000000-0005-0000-0000-00004B4C0000}"/>
    <cellStyle name="Normal 4 2 2 3 3 2 6" xfId="19528" xr:uid="{00000000-0005-0000-0000-00004C4C0000}"/>
    <cellStyle name="Normal 4 2 2 3 3 3" xfId="19529" xr:uid="{00000000-0005-0000-0000-00004D4C0000}"/>
    <cellStyle name="Normal 4 2 2 3 3 3 2" xfId="19530" xr:uid="{00000000-0005-0000-0000-00004E4C0000}"/>
    <cellStyle name="Normal 4 2 2 3 3 3 3" xfId="19531" xr:uid="{00000000-0005-0000-0000-00004F4C0000}"/>
    <cellStyle name="Normal 4 2 2 3 3 3 4" xfId="19532" xr:uid="{00000000-0005-0000-0000-0000504C0000}"/>
    <cellStyle name="Normal 4 2 2 3 3 3 5" xfId="19533" xr:uid="{00000000-0005-0000-0000-0000514C0000}"/>
    <cellStyle name="Normal 4 2 2 3 3 3 6" xfId="19534" xr:uid="{00000000-0005-0000-0000-0000524C0000}"/>
    <cellStyle name="Normal 4 2 2 3 3 4" xfId="19535" xr:uid="{00000000-0005-0000-0000-0000534C0000}"/>
    <cellStyle name="Normal 4 2 2 3 3 4 2" xfId="19536" xr:uid="{00000000-0005-0000-0000-0000544C0000}"/>
    <cellStyle name="Normal 4 2 2 3 3 4 3" xfId="19537" xr:uid="{00000000-0005-0000-0000-0000554C0000}"/>
    <cellStyle name="Normal 4 2 2 3 3 4 4" xfId="19538" xr:uid="{00000000-0005-0000-0000-0000564C0000}"/>
    <cellStyle name="Normal 4 2 2 3 3 4 5" xfId="19539" xr:uid="{00000000-0005-0000-0000-0000574C0000}"/>
    <cellStyle name="Normal 4 2 2 3 3 4 6" xfId="19540" xr:uid="{00000000-0005-0000-0000-0000584C0000}"/>
    <cellStyle name="Normal 4 2 2 3 3 5" xfId="19541" xr:uid="{00000000-0005-0000-0000-0000594C0000}"/>
    <cellStyle name="Normal 4 2 2 3 3 5 2" xfId="19542" xr:uid="{00000000-0005-0000-0000-00005A4C0000}"/>
    <cellStyle name="Normal 4 2 2 3 3 5 3" xfId="19543" xr:uid="{00000000-0005-0000-0000-00005B4C0000}"/>
    <cellStyle name="Normal 4 2 2 3 3 5 4" xfId="19544" xr:uid="{00000000-0005-0000-0000-00005C4C0000}"/>
    <cellStyle name="Normal 4 2 2 3 3 5 5" xfId="19545" xr:uid="{00000000-0005-0000-0000-00005D4C0000}"/>
    <cellStyle name="Normal 4 2 2 3 3 5 6" xfId="19546" xr:uid="{00000000-0005-0000-0000-00005E4C0000}"/>
    <cellStyle name="Normal 4 2 2 3 3 6" xfId="19547" xr:uid="{00000000-0005-0000-0000-00005F4C0000}"/>
    <cellStyle name="Normal 4 2 2 3 3 6 2" xfId="19548" xr:uid="{00000000-0005-0000-0000-0000604C0000}"/>
    <cellStyle name="Normal 4 2 2 3 3 6 3" xfId="19549" xr:uid="{00000000-0005-0000-0000-0000614C0000}"/>
    <cellStyle name="Normal 4 2 2 3 3 6 4" xfId="19550" xr:uid="{00000000-0005-0000-0000-0000624C0000}"/>
    <cellStyle name="Normal 4 2 2 3 3 6 5" xfId="19551" xr:uid="{00000000-0005-0000-0000-0000634C0000}"/>
    <cellStyle name="Normal 4 2 2 3 3 6 6" xfId="19552" xr:uid="{00000000-0005-0000-0000-0000644C0000}"/>
    <cellStyle name="Normal 4 2 2 3 3 7" xfId="19553" xr:uid="{00000000-0005-0000-0000-0000654C0000}"/>
    <cellStyle name="Normal 4 2 2 3 3 7 2" xfId="19554" xr:uid="{00000000-0005-0000-0000-0000664C0000}"/>
    <cellStyle name="Normal 4 2 2 3 3 7 3" xfId="19555" xr:uid="{00000000-0005-0000-0000-0000674C0000}"/>
    <cellStyle name="Normal 4 2 2 3 3 7 4" xfId="19556" xr:uid="{00000000-0005-0000-0000-0000684C0000}"/>
    <cellStyle name="Normal 4 2 2 3 3 7 5" xfId="19557" xr:uid="{00000000-0005-0000-0000-0000694C0000}"/>
    <cellStyle name="Normal 4 2 2 3 3 7 6" xfId="19558" xr:uid="{00000000-0005-0000-0000-00006A4C0000}"/>
    <cellStyle name="Normal 4 2 2 3 3 8" xfId="19559" xr:uid="{00000000-0005-0000-0000-00006B4C0000}"/>
    <cellStyle name="Normal 4 2 2 3 3 8 2" xfId="19560" xr:uid="{00000000-0005-0000-0000-00006C4C0000}"/>
    <cellStyle name="Normal 4 2 2 3 3 8 3" xfId="19561" xr:uid="{00000000-0005-0000-0000-00006D4C0000}"/>
    <cellStyle name="Normal 4 2 2 3 3 8 4" xfId="19562" xr:uid="{00000000-0005-0000-0000-00006E4C0000}"/>
    <cellStyle name="Normal 4 2 2 3 3 8 5" xfId="19563" xr:uid="{00000000-0005-0000-0000-00006F4C0000}"/>
    <cellStyle name="Normal 4 2 2 3 3 8 6" xfId="19564" xr:uid="{00000000-0005-0000-0000-0000704C0000}"/>
    <cellStyle name="Normal 4 2 2 3 3 9" xfId="19565" xr:uid="{00000000-0005-0000-0000-0000714C0000}"/>
    <cellStyle name="Normal 4 2 2 3 3 9 2" xfId="19566" xr:uid="{00000000-0005-0000-0000-0000724C0000}"/>
    <cellStyle name="Normal 4 2 2 3 3 9 3" xfId="19567" xr:uid="{00000000-0005-0000-0000-0000734C0000}"/>
    <cellStyle name="Normal 4 2 2 3 3 9 4" xfId="19568" xr:uid="{00000000-0005-0000-0000-0000744C0000}"/>
    <cellStyle name="Normal 4 2 2 3 3 9 5" xfId="19569" xr:uid="{00000000-0005-0000-0000-0000754C0000}"/>
    <cellStyle name="Normal 4 2 2 3 3 9 6" xfId="19570" xr:uid="{00000000-0005-0000-0000-0000764C0000}"/>
    <cellStyle name="Normal 4 2 2 3 30" xfId="19571" xr:uid="{00000000-0005-0000-0000-0000774C0000}"/>
    <cellStyle name="Normal 4 2 2 3 31" xfId="19572" xr:uid="{00000000-0005-0000-0000-0000784C0000}"/>
    <cellStyle name="Normal 4 2 2 3 4" xfId="19573" xr:uid="{00000000-0005-0000-0000-0000794C0000}"/>
    <cellStyle name="Normal 4 2 2 3 4 2" xfId="19574" xr:uid="{00000000-0005-0000-0000-00007A4C0000}"/>
    <cellStyle name="Normal 4 2 2 3 4 3" xfId="19575" xr:uid="{00000000-0005-0000-0000-00007B4C0000}"/>
    <cellStyle name="Normal 4 2 2 3 4 4" xfId="19576" xr:uid="{00000000-0005-0000-0000-00007C4C0000}"/>
    <cellStyle name="Normal 4 2 2 3 4 5" xfId="19577" xr:uid="{00000000-0005-0000-0000-00007D4C0000}"/>
    <cellStyle name="Normal 4 2 2 3 4 6" xfId="19578" xr:uid="{00000000-0005-0000-0000-00007E4C0000}"/>
    <cellStyle name="Normal 4 2 2 3 5" xfId="19579" xr:uid="{00000000-0005-0000-0000-00007F4C0000}"/>
    <cellStyle name="Normal 4 2 2 3 5 2" xfId="19580" xr:uid="{00000000-0005-0000-0000-0000804C0000}"/>
    <cellStyle name="Normal 4 2 2 3 5 3" xfId="19581" xr:uid="{00000000-0005-0000-0000-0000814C0000}"/>
    <cellStyle name="Normal 4 2 2 3 5 4" xfId="19582" xr:uid="{00000000-0005-0000-0000-0000824C0000}"/>
    <cellStyle name="Normal 4 2 2 3 5 5" xfId="19583" xr:uid="{00000000-0005-0000-0000-0000834C0000}"/>
    <cellStyle name="Normal 4 2 2 3 5 6" xfId="19584" xr:uid="{00000000-0005-0000-0000-0000844C0000}"/>
    <cellStyle name="Normal 4 2 2 3 6" xfId="19585" xr:uid="{00000000-0005-0000-0000-0000854C0000}"/>
    <cellStyle name="Normal 4 2 2 3 6 2" xfId="19586" xr:uid="{00000000-0005-0000-0000-0000864C0000}"/>
    <cellStyle name="Normal 4 2 2 3 6 3" xfId="19587" xr:uid="{00000000-0005-0000-0000-0000874C0000}"/>
    <cellStyle name="Normal 4 2 2 3 6 4" xfId="19588" xr:uid="{00000000-0005-0000-0000-0000884C0000}"/>
    <cellStyle name="Normal 4 2 2 3 6 5" xfId="19589" xr:uid="{00000000-0005-0000-0000-0000894C0000}"/>
    <cellStyle name="Normal 4 2 2 3 6 6" xfId="19590" xr:uid="{00000000-0005-0000-0000-00008A4C0000}"/>
    <cellStyle name="Normal 4 2 2 3 7" xfId="19591" xr:uid="{00000000-0005-0000-0000-00008B4C0000}"/>
    <cellStyle name="Normal 4 2 2 3 7 2" xfId="19592" xr:uid="{00000000-0005-0000-0000-00008C4C0000}"/>
    <cellStyle name="Normal 4 2 2 3 7 3" xfId="19593" xr:uid="{00000000-0005-0000-0000-00008D4C0000}"/>
    <cellStyle name="Normal 4 2 2 3 7 4" xfId="19594" xr:uid="{00000000-0005-0000-0000-00008E4C0000}"/>
    <cellStyle name="Normal 4 2 2 3 7 5" xfId="19595" xr:uid="{00000000-0005-0000-0000-00008F4C0000}"/>
    <cellStyle name="Normal 4 2 2 3 7 6" xfId="19596" xr:uid="{00000000-0005-0000-0000-0000904C0000}"/>
    <cellStyle name="Normal 4 2 2 3 8" xfId="19597" xr:uid="{00000000-0005-0000-0000-0000914C0000}"/>
    <cellStyle name="Normal 4 2 2 3 8 2" xfId="19598" xr:uid="{00000000-0005-0000-0000-0000924C0000}"/>
    <cellStyle name="Normal 4 2 2 3 8 3" xfId="19599" xr:uid="{00000000-0005-0000-0000-0000934C0000}"/>
    <cellStyle name="Normal 4 2 2 3 8 4" xfId="19600" xr:uid="{00000000-0005-0000-0000-0000944C0000}"/>
    <cellStyle name="Normal 4 2 2 3 8 5" xfId="19601" xr:uid="{00000000-0005-0000-0000-0000954C0000}"/>
    <cellStyle name="Normal 4 2 2 3 8 6" xfId="19602" xr:uid="{00000000-0005-0000-0000-0000964C0000}"/>
    <cellStyle name="Normal 4 2 2 3 9" xfId="19603" xr:uid="{00000000-0005-0000-0000-0000974C0000}"/>
    <cellStyle name="Normal 4 2 2 3 9 2" xfId="19604" xr:uid="{00000000-0005-0000-0000-0000984C0000}"/>
    <cellStyle name="Normal 4 2 2 3 9 3" xfId="19605" xr:uid="{00000000-0005-0000-0000-0000994C0000}"/>
    <cellStyle name="Normal 4 2 2 3 9 4" xfId="19606" xr:uid="{00000000-0005-0000-0000-00009A4C0000}"/>
    <cellStyle name="Normal 4 2 2 3 9 5" xfId="19607" xr:uid="{00000000-0005-0000-0000-00009B4C0000}"/>
    <cellStyle name="Normal 4 2 2 3 9 6" xfId="19608" xr:uid="{00000000-0005-0000-0000-00009C4C0000}"/>
    <cellStyle name="Normal 4 2 2 30" xfId="19609" xr:uid="{00000000-0005-0000-0000-00009D4C0000}"/>
    <cellStyle name="Normal 4 2 2 31" xfId="19610" xr:uid="{00000000-0005-0000-0000-00009E4C0000}"/>
    <cellStyle name="Normal 4 2 2 32" xfId="19611" xr:uid="{00000000-0005-0000-0000-00009F4C0000}"/>
    <cellStyle name="Normal 4 2 2 33" xfId="19612" xr:uid="{00000000-0005-0000-0000-0000A04C0000}"/>
    <cellStyle name="Normal 4 2 2 34" xfId="19613" xr:uid="{00000000-0005-0000-0000-0000A14C0000}"/>
    <cellStyle name="Normal 4 2 2 4" xfId="19614" xr:uid="{00000000-0005-0000-0000-0000A24C0000}"/>
    <cellStyle name="Normal 4 2 2 4 10" xfId="19615" xr:uid="{00000000-0005-0000-0000-0000A34C0000}"/>
    <cellStyle name="Normal 4 2 2 4 10 2" xfId="19616" xr:uid="{00000000-0005-0000-0000-0000A44C0000}"/>
    <cellStyle name="Normal 4 2 2 4 10 3" xfId="19617" xr:uid="{00000000-0005-0000-0000-0000A54C0000}"/>
    <cellStyle name="Normal 4 2 2 4 10 4" xfId="19618" xr:uid="{00000000-0005-0000-0000-0000A64C0000}"/>
    <cellStyle name="Normal 4 2 2 4 10 5" xfId="19619" xr:uid="{00000000-0005-0000-0000-0000A74C0000}"/>
    <cellStyle name="Normal 4 2 2 4 10 6" xfId="19620" xr:uid="{00000000-0005-0000-0000-0000A84C0000}"/>
    <cellStyle name="Normal 4 2 2 4 11" xfId="19621" xr:uid="{00000000-0005-0000-0000-0000A94C0000}"/>
    <cellStyle name="Normal 4 2 2 4 12" xfId="19622" xr:uid="{00000000-0005-0000-0000-0000AA4C0000}"/>
    <cellStyle name="Normal 4 2 2 4 13" xfId="19623" xr:uid="{00000000-0005-0000-0000-0000AB4C0000}"/>
    <cellStyle name="Normal 4 2 2 4 14" xfId="19624" xr:uid="{00000000-0005-0000-0000-0000AC4C0000}"/>
    <cellStyle name="Normal 4 2 2 4 15" xfId="19625" xr:uid="{00000000-0005-0000-0000-0000AD4C0000}"/>
    <cellStyle name="Normal 4 2 2 4 2" xfId="19626" xr:uid="{00000000-0005-0000-0000-0000AE4C0000}"/>
    <cellStyle name="Normal 4 2 2 4 2 10" xfId="19627" xr:uid="{00000000-0005-0000-0000-0000AF4C0000}"/>
    <cellStyle name="Normal 4 2 2 4 2 11" xfId="19628" xr:uid="{00000000-0005-0000-0000-0000B04C0000}"/>
    <cellStyle name="Normal 4 2 2 4 2 12" xfId="19629" xr:uid="{00000000-0005-0000-0000-0000B14C0000}"/>
    <cellStyle name="Normal 4 2 2 4 2 13" xfId="19630" xr:uid="{00000000-0005-0000-0000-0000B24C0000}"/>
    <cellStyle name="Normal 4 2 2 4 2 14" xfId="19631" xr:uid="{00000000-0005-0000-0000-0000B34C0000}"/>
    <cellStyle name="Normal 4 2 2 4 2 2" xfId="19632" xr:uid="{00000000-0005-0000-0000-0000B44C0000}"/>
    <cellStyle name="Normal 4 2 2 4 2 2 2" xfId="19633" xr:uid="{00000000-0005-0000-0000-0000B54C0000}"/>
    <cellStyle name="Normal 4 2 2 4 2 2 3" xfId="19634" xr:uid="{00000000-0005-0000-0000-0000B64C0000}"/>
    <cellStyle name="Normal 4 2 2 4 2 2 4" xfId="19635" xr:uid="{00000000-0005-0000-0000-0000B74C0000}"/>
    <cellStyle name="Normal 4 2 2 4 2 2 5" xfId="19636" xr:uid="{00000000-0005-0000-0000-0000B84C0000}"/>
    <cellStyle name="Normal 4 2 2 4 2 2 6" xfId="19637" xr:uid="{00000000-0005-0000-0000-0000B94C0000}"/>
    <cellStyle name="Normal 4 2 2 4 2 3" xfId="19638" xr:uid="{00000000-0005-0000-0000-0000BA4C0000}"/>
    <cellStyle name="Normal 4 2 2 4 2 3 2" xfId="19639" xr:uid="{00000000-0005-0000-0000-0000BB4C0000}"/>
    <cellStyle name="Normal 4 2 2 4 2 3 3" xfId="19640" xr:uid="{00000000-0005-0000-0000-0000BC4C0000}"/>
    <cellStyle name="Normal 4 2 2 4 2 3 4" xfId="19641" xr:uid="{00000000-0005-0000-0000-0000BD4C0000}"/>
    <cellStyle name="Normal 4 2 2 4 2 3 5" xfId="19642" xr:uid="{00000000-0005-0000-0000-0000BE4C0000}"/>
    <cellStyle name="Normal 4 2 2 4 2 3 6" xfId="19643" xr:uid="{00000000-0005-0000-0000-0000BF4C0000}"/>
    <cellStyle name="Normal 4 2 2 4 2 4" xfId="19644" xr:uid="{00000000-0005-0000-0000-0000C04C0000}"/>
    <cellStyle name="Normal 4 2 2 4 2 4 2" xfId="19645" xr:uid="{00000000-0005-0000-0000-0000C14C0000}"/>
    <cellStyle name="Normal 4 2 2 4 2 4 3" xfId="19646" xr:uid="{00000000-0005-0000-0000-0000C24C0000}"/>
    <cellStyle name="Normal 4 2 2 4 2 4 4" xfId="19647" xr:uid="{00000000-0005-0000-0000-0000C34C0000}"/>
    <cellStyle name="Normal 4 2 2 4 2 4 5" xfId="19648" xr:uid="{00000000-0005-0000-0000-0000C44C0000}"/>
    <cellStyle name="Normal 4 2 2 4 2 4 6" xfId="19649" xr:uid="{00000000-0005-0000-0000-0000C54C0000}"/>
    <cellStyle name="Normal 4 2 2 4 2 5" xfId="19650" xr:uid="{00000000-0005-0000-0000-0000C64C0000}"/>
    <cellStyle name="Normal 4 2 2 4 2 5 2" xfId="19651" xr:uid="{00000000-0005-0000-0000-0000C74C0000}"/>
    <cellStyle name="Normal 4 2 2 4 2 5 3" xfId="19652" xr:uid="{00000000-0005-0000-0000-0000C84C0000}"/>
    <cellStyle name="Normal 4 2 2 4 2 5 4" xfId="19653" xr:uid="{00000000-0005-0000-0000-0000C94C0000}"/>
    <cellStyle name="Normal 4 2 2 4 2 5 5" xfId="19654" xr:uid="{00000000-0005-0000-0000-0000CA4C0000}"/>
    <cellStyle name="Normal 4 2 2 4 2 5 6" xfId="19655" xr:uid="{00000000-0005-0000-0000-0000CB4C0000}"/>
    <cellStyle name="Normal 4 2 2 4 2 6" xfId="19656" xr:uid="{00000000-0005-0000-0000-0000CC4C0000}"/>
    <cellStyle name="Normal 4 2 2 4 2 6 2" xfId="19657" xr:uid="{00000000-0005-0000-0000-0000CD4C0000}"/>
    <cellStyle name="Normal 4 2 2 4 2 6 3" xfId="19658" xr:uid="{00000000-0005-0000-0000-0000CE4C0000}"/>
    <cellStyle name="Normal 4 2 2 4 2 6 4" xfId="19659" xr:uid="{00000000-0005-0000-0000-0000CF4C0000}"/>
    <cellStyle name="Normal 4 2 2 4 2 6 5" xfId="19660" xr:uid="{00000000-0005-0000-0000-0000D04C0000}"/>
    <cellStyle name="Normal 4 2 2 4 2 6 6" xfId="19661" xr:uid="{00000000-0005-0000-0000-0000D14C0000}"/>
    <cellStyle name="Normal 4 2 2 4 2 7" xfId="19662" xr:uid="{00000000-0005-0000-0000-0000D24C0000}"/>
    <cellStyle name="Normal 4 2 2 4 2 7 2" xfId="19663" xr:uid="{00000000-0005-0000-0000-0000D34C0000}"/>
    <cellStyle name="Normal 4 2 2 4 2 7 3" xfId="19664" xr:uid="{00000000-0005-0000-0000-0000D44C0000}"/>
    <cellStyle name="Normal 4 2 2 4 2 7 4" xfId="19665" xr:uid="{00000000-0005-0000-0000-0000D54C0000}"/>
    <cellStyle name="Normal 4 2 2 4 2 7 5" xfId="19666" xr:uid="{00000000-0005-0000-0000-0000D64C0000}"/>
    <cellStyle name="Normal 4 2 2 4 2 7 6" xfId="19667" xr:uid="{00000000-0005-0000-0000-0000D74C0000}"/>
    <cellStyle name="Normal 4 2 2 4 2 8" xfId="19668" xr:uid="{00000000-0005-0000-0000-0000D84C0000}"/>
    <cellStyle name="Normal 4 2 2 4 2 8 2" xfId="19669" xr:uid="{00000000-0005-0000-0000-0000D94C0000}"/>
    <cellStyle name="Normal 4 2 2 4 2 8 3" xfId="19670" xr:uid="{00000000-0005-0000-0000-0000DA4C0000}"/>
    <cellStyle name="Normal 4 2 2 4 2 8 4" xfId="19671" xr:uid="{00000000-0005-0000-0000-0000DB4C0000}"/>
    <cellStyle name="Normal 4 2 2 4 2 8 5" xfId="19672" xr:uid="{00000000-0005-0000-0000-0000DC4C0000}"/>
    <cellStyle name="Normal 4 2 2 4 2 8 6" xfId="19673" xr:uid="{00000000-0005-0000-0000-0000DD4C0000}"/>
    <cellStyle name="Normal 4 2 2 4 2 9" xfId="19674" xr:uid="{00000000-0005-0000-0000-0000DE4C0000}"/>
    <cellStyle name="Normal 4 2 2 4 2 9 2" xfId="19675" xr:uid="{00000000-0005-0000-0000-0000DF4C0000}"/>
    <cellStyle name="Normal 4 2 2 4 2 9 3" xfId="19676" xr:uid="{00000000-0005-0000-0000-0000E04C0000}"/>
    <cellStyle name="Normal 4 2 2 4 2 9 4" xfId="19677" xr:uid="{00000000-0005-0000-0000-0000E14C0000}"/>
    <cellStyle name="Normal 4 2 2 4 2 9 5" xfId="19678" xr:uid="{00000000-0005-0000-0000-0000E24C0000}"/>
    <cellStyle name="Normal 4 2 2 4 2 9 6" xfId="19679" xr:uid="{00000000-0005-0000-0000-0000E34C0000}"/>
    <cellStyle name="Normal 4 2 2 4 3" xfId="19680" xr:uid="{00000000-0005-0000-0000-0000E44C0000}"/>
    <cellStyle name="Normal 4 2 2 4 3 2" xfId="19681" xr:uid="{00000000-0005-0000-0000-0000E54C0000}"/>
    <cellStyle name="Normal 4 2 2 4 3 3" xfId="19682" xr:uid="{00000000-0005-0000-0000-0000E64C0000}"/>
    <cellStyle name="Normal 4 2 2 4 3 4" xfId="19683" xr:uid="{00000000-0005-0000-0000-0000E74C0000}"/>
    <cellStyle name="Normal 4 2 2 4 3 5" xfId="19684" xr:uid="{00000000-0005-0000-0000-0000E84C0000}"/>
    <cellStyle name="Normal 4 2 2 4 3 6" xfId="19685" xr:uid="{00000000-0005-0000-0000-0000E94C0000}"/>
    <cellStyle name="Normal 4 2 2 4 4" xfId="19686" xr:uid="{00000000-0005-0000-0000-0000EA4C0000}"/>
    <cellStyle name="Normal 4 2 2 4 4 2" xfId="19687" xr:uid="{00000000-0005-0000-0000-0000EB4C0000}"/>
    <cellStyle name="Normal 4 2 2 4 4 3" xfId="19688" xr:uid="{00000000-0005-0000-0000-0000EC4C0000}"/>
    <cellStyle name="Normal 4 2 2 4 4 4" xfId="19689" xr:uid="{00000000-0005-0000-0000-0000ED4C0000}"/>
    <cellStyle name="Normal 4 2 2 4 4 5" xfId="19690" xr:uid="{00000000-0005-0000-0000-0000EE4C0000}"/>
    <cellStyle name="Normal 4 2 2 4 4 6" xfId="19691" xr:uid="{00000000-0005-0000-0000-0000EF4C0000}"/>
    <cellStyle name="Normal 4 2 2 4 5" xfId="19692" xr:uid="{00000000-0005-0000-0000-0000F04C0000}"/>
    <cellStyle name="Normal 4 2 2 4 5 2" xfId="19693" xr:uid="{00000000-0005-0000-0000-0000F14C0000}"/>
    <cellStyle name="Normal 4 2 2 4 5 3" xfId="19694" xr:uid="{00000000-0005-0000-0000-0000F24C0000}"/>
    <cellStyle name="Normal 4 2 2 4 5 4" xfId="19695" xr:uid="{00000000-0005-0000-0000-0000F34C0000}"/>
    <cellStyle name="Normal 4 2 2 4 5 5" xfId="19696" xr:uid="{00000000-0005-0000-0000-0000F44C0000}"/>
    <cellStyle name="Normal 4 2 2 4 5 6" xfId="19697" xr:uid="{00000000-0005-0000-0000-0000F54C0000}"/>
    <cellStyle name="Normal 4 2 2 4 6" xfId="19698" xr:uid="{00000000-0005-0000-0000-0000F64C0000}"/>
    <cellStyle name="Normal 4 2 2 4 6 2" xfId="19699" xr:uid="{00000000-0005-0000-0000-0000F74C0000}"/>
    <cellStyle name="Normal 4 2 2 4 6 3" xfId="19700" xr:uid="{00000000-0005-0000-0000-0000F84C0000}"/>
    <cellStyle name="Normal 4 2 2 4 6 4" xfId="19701" xr:uid="{00000000-0005-0000-0000-0000F94C0000}"/>
    <cellStyle name="Normal 4 2 2 4 6 5" xfId="19702" xr:uid="{00000000-0005-0000-0000-0000FA4C0000}"/>
    <cellStyle name="Normal 4 2 2 4 6 6" xfId="19703" xr:uid="{00000000-0005-0000-0000-0000FB4C0000}"/>
    <cellStyle name="Normal 4 2 2 4 7" xfId="19704" xr:uid="{00000000-0005-0000-0000-0000FC4C0000}"/>
    <cellStyle name="Normal 4 2 2 4 7 2" xfId="19705" xr:uid="{00000000-0005-0000-0000-0000FD4C0000}"/>
    <cellStyle name="Normal 4 2 2 4 7 3" xfId="19706" xr:uid="{00000000-0005-0000-0000-0000FE4C0000}"/>
    <cellStyle name="Normal 4 2 2 4 7 4" xfId="19707" xr:uid="{00000000-0005-0000-0000-0000FF4C0000}"/>
    <cellStyle name="Normal 4 2 2 4 7 5" xfId="19708" xr:uid="{00000000-0005-0000-0000-0000004D0000}"/>
    <cellStyle name="Normal 4 2 2 4 7 6" xfId="19709" xr:uid="{00000000-0005-0000-0000-0000014D0000}"/>
    <cellStyle name="Normal 4 2 2 4 8" xfId="19710" xr:uid="{00000000-0005-0000-0000-0000024D0000}"/>
    <cellStyle name="Normal 4 2 2 4 8 2" xfId="19711" xr:uid="{00000000-0005-0000-0000-0000034D0000}"/>
    <cellStyle name="Normal 4 2 2 4 8 3" xfId="19712" xr:uid="{00000000-0005-0000-0000-0000044D0000}"/>
    <cellStyle name="Normal 4 2 2 4 8 4" xfId="19713" xr:uid="{00000000-0005-0000-0000-0000054D0000}"/>
    <cellStyle name="Normal 4 2 2 4 8 5" xfId="19714" xr:uid="{00000000-0005-0000-0000-0000064D0000}"/>
    <cellStyle name="Normal 4 2 2 4 8 6" xfId="19715" xr:uid="{00000000-0005-0000-0000-0000074D0000}"/>
    <cellStyle name="Normal 4 2 2 4 9" xfId="19716" xr:uid="{00000000-0005-0000-0000-0000084D0000}"/>
    <cellStyle name="Normal 4 2 2 4 9 2" xfId="19717" xr:uid="{00000000-0005-0000-0000-0000094D0000}"/>
    <cellStyle name="Normal 4 2 2 4 9 3" xfId="19718" xr:uid="{00000000-0005-0000-0000-00000A4D0000}"/>
    <cellStyle name="Normal 4 2 2 4 9 4" xfId="19719" xr:uid="{00000000-0005-0000-0000-00000B4D0000}"/>
    <cellStyle name="Normal 4 2 2 4 9 5" xfId="19720" xr:uid="{00000000-0005-0000-0000-00000C4D0000}"/>
    <cellStyle name="Normal 4 2 2 4 9 6" xfId="19721" xr:uid="{00000000-0005-0000-0000-00000D4D0000}"/>
    <cellStyle name="Normal 4 2 2 5" xfId="19722" xr:uid="{00000000-0005-0000-0000-00000E4D0000}"/>
    <cellStyle name="Normal 4 2 2 5 10" xfId="19723" xr:uid="{00000000-0005-0000-0000-00000F4D0000}"/>
    <cellStyle name="Normal 4 2 2 5 11" xfId="19724" xr:uid="{00000000-0005-0000-0000-0000104D0000}"/>
    <cellStyle name="Normal 4 2 2 5 12" xfId="19725" xr:uid="{00000000-0005-0000-0000-0000114D0000}"/>
    <cellStyle name="Normal 4 2 2 5 13" xfId="19726" xr:uid="{00000000-0005-0000-0000-0000124D0000}"/>
    <cellStyle name="Normal 4 2 2 5 14" xfId="19727" xr:uid="{00000000-0005-0000-0000-0000134D0000}"/>
    <cellStyle name="Normal 4 2 2 5 2" xfId="19728" xr:uid="{00000000-0005-0000-0000-0000144D0000}"/>
    <cellStyle name="Normal 4 2 2 5 2 2" xfId="19729" xr:uid="{00000000-0005-0000-0000-0000154D0000}"/>
    <cellStyle name="Normal 4 2 2 5 2 3" xfId="19730" xr:uid="{00000000-0005-0000-0000-0000164D0000}"/>
    <cellStyle name="Normal 4 2 2 5 2 4" xfId="19731" xr:uid="{00000000-0005-0000-0000-0000174D0000}"/>
    <cellStyle name="Normal 4 2 2 5 2 5" xfId="19732" xr:uid="{00000000-0005-0000-0000-0000184D0000}"/>
    <cellStyle name="Normal 4 2 2 5 2 6" xfId="19733" xr:uid="{00000000-0005-0000-0000-0000194D0000}"/>
    <cellStyle name="Normal 4 2 2 5 3" xfId="19734" xr:uid="{00000000-0005-0000-0000-00001A4D0000}"/>
    <cellStyle name="Normal 4 2 2 5 3 2" xfId="19735" xr:uid="{00000000-0005-0000-0000-00001B4D0000}"/>
    <cellStyle name="Normal 4 2 2 5 3 3" xfId="19736" xr:uid="{00000000-0005-0000-0000-00001C4D0000}"/>
    <cellStyle name="Normal 4 2 2 5 3 4" xfId="19737" xr:uid="{00000000-0005-0000-0000-00001D4D0000}"/>
    <cellStyle name="Normal 4 2 2 5 3 5" xfId="19738" xr:uid="{00000000-0005-0000-0000-00001E4D0000}"/>
    <cellStyle name="Normal 4 2 2 5 3 6" xfId="19739" xr:uid="{00000000-0005-0000-0000-00001F4D0000}"/>
    <cellStyle name="Normal 4 2 2 5 4" xfId="19740" xr:uid="{00000000-0005-0000-0000-0000204D0000}"/>
    <cellStyle name="Normal 4 2 2 5 4 2" xfId="19741" xr:uid="{00000000-0005-0000-0000-0000214D0000}"/>
    <cellStyle name="Normal 4 2 2 5 4 3" xfId="19742" xr:uid="{00000000-0005-0000-0000-0000224D0000}"/>
    <cellStyle name="Normal 4 2 2 5 4 4" xfId="19743" xr:uid="{00000000-0005-0000-0000-0000234D0000}"/>
    <cellStyle name="Normal 4 2 2 5 4 5" xfId="19744" xr:uid="{00000000-0005-0000-0000-0000244D0000}"/>
    <cellStyle name="Normal 4 2 2 5 4 6" xfId="19745" xr:uid="{00000000-0005-0000-0000-0000254D0000}"/>
    <cellStyle name="Normal 4 2 2 5 5" xfId="19746" xr:uid="{00000000-0005-0000-0000-0000264D0000}"/>
    <cellStyle name="Normal 4 2 2 5 5 2" xfId="19747" xr:uid="{00000000-0005-0000-0000-0000274D0000}"/>
    <cellStyle name="Normal 4 2 2 5 5 3" xfId="19748" xr:uid="{00000000-0005-0000-0000-0000284D0000}"/>
    <cellStyle name="Normal 4 2 2 5 5 4" xfId="19749" xr:uid="{00000000-0005-0000-0000-0000294D0000}"/>
    <cellStyle name="Normal 4 2 2 5 5 5" xfId="19750" xr:uid="{00000000-0005-0000-0000-00002A4D0000}"/>
    <cellStyle name="Normal 4 2 2 5 5 6" xfId="19751" xr:uid="{00000000-0005-0000-0000-00002B4D0000}"/>
    <cellStyle name="Normal 4 2 2 5 6" xfId="19752" xr:uid="{00000000-0005-0000-0000-00002C4D0000}"/>
    <cellStyle name="Normal 4 2 2 5 6 2" xfId="19753" xr:uid="{00000000-0005-0000-0000-00002D4D0000}"/>
    <cellStyle name="Normal 4 2 2 5 6 3" xfId="19754" xr:uid="{00000000-0005-0000-0000-00002E4D0000}"/>
    <cellStyle name="Normal 4 2 2 5 6 4" xfId="19755" xr:uid="{00000000-0005-0000-0000-00002F4D0000}"/>
    <cellStyle name="Normal 4 2 2 5 6 5" xfId="19756" xr:uid="{00000000-0005-0000-0000-0000304D0000}"/>
    <cellStyle name="Normal 4 2 2 5 6 6" xfId="19757" xr:uid="{00000000-0005-0000-0000-0000314D0000}"/>
    <cellStyle name="Normal 4 2 2 5 7" xfId="19758" xr:uid="{00000000-0005-0000-0000-0000324D0000}"/>
    <cellStyle name="Normal 4 2 2 5 7 2" xfId="19759" xr:uid="{00000000-0005-0000-0000-0000334D0000}"/>
    <cellStyle name="Normal 4 2 2 5 7 3" xfId="19760" xr:uid="{00000000-0005-0000-0000-0000344D0000}"/>
    <cellStyle name="Normal 4 2 2 5 7 4" xfId="19761" xr:uid="{00000000-0005-0000-0000-0000354D0000}"/>
    <cellStyle name="Normal 4 2 2 5 7 5" xfId="19762" xr:uid="{00000000-0005-0000-0000-0000364D0000}"/>
    <cellStyle name="Normal 4 2 2 5 7 6" xfId="19763" xr:uid="{00000000-0005-0000-0000-0000374D0000}"/>
    <cellStyle name="Normal 4 2 2 5 8" xfId="19764" xr:uid="{00000000-0005-0000-0000-0000384D0000}"/>
    <cellStyle name="Normal 4 2 2 5 8 2" xfId="19765" xr:uid="{00000000-0005-0000-0000-0000394D0000}"/>
    <cellStyle name="Normal 4 2 2 5 8 3" xfId="19766" xr:uid="{00000000-0005-0000-0000-00003A4D0000}"/>
    <cellStyle name="Normal 4 2 2 5 8 4" xfId="19767" xr:uid="{00000000-0005-0000-0000-00003B4D0000}"/>
    <cellStyle name="Normal 4 2 2 5 8 5" xfId="19768" xr:uid="{00000000-0005-0000-0000-00003C4D0000}"/>
    <cellStyle name="Normal 4 2 2 5 8 6" xfId="19769" xr:uid="{00000000-0005-0000-0000-00003D4D0000}"/>
    <cellStyle name="Normal 4 2 2 5 9" xfId="19770" xr:uid="{00000000-0005-0000-0000-00003E4D0000}"/>
    <cellStyle name="Normal 4 2 2 5 9 2" xfId="19771" xr:uid="{00000000-0005-0000-0000-00003F4D0000}"/>
    <cellStyle name="Normal 4 2 2 5 9 3" xfId="19772" xr:uid="{00000000-0005-0000-0000-0000404D0000}"/>
    <cellStyle name="Normal 4 2 2 5 9 4" xfId="19773" xr:uid="{00000000-0005-0000-0000-0000414D0000}"/>
    <cellStyle name="Normal 4 2 2 5 9 5" xfId="19774" xr:uid="{00000000-0005-0000-0000-0000424D0000}"/>
    <cellStyle name="Normal 4 2 2 5 9 6" xfId="19775" xr:uid="{00000000-0005-0000-0000-0000434D0000}"/>
    <cellStyle name="Normal 4 2 2 6" xfId="19776" xr:uid="{00000000-0005-0000-0000-0000444D0000}"/>
    <cellStyle name="Normal 4 2 2 6 2" xfId="19777" xr:uid="{00000000-0005-0000-0000-0000454D0000}"/>
    <cellStyle name="Normal 4 2 2 6 3" xfId="19778" xr:uid="{00000000-0005-0000-0000-0000464D0000}"/>
    <cellStyle name="Normal 4 2 2 6 4" xfId="19779" xr:uid="{00000000-0005-0000-0000-0000474D0000}"/>
    <cellStyle name="Normal 4 2 2 6 5" xfId="19780" xr:uid="{00000000-0005-0000-0000-0000484D0000}"/>
    <cellStyle name="Normal 4 2 2 6 6" xfId="19781" xr:uid="{00000000-0005-0000-0000-0000494D0000}"/>
    <cellStyle name="Normal 4 2 2 7" xfId="19782" xr:uid="{00000000-0005-0000-0000-00004A4D0000}"/>
    <cellStyle name="Normal 4 2 2 7 2" xfId="19783" xr:uid="{00000000-0005-0000-0000-00004B4D0000}"/>
    <cellStyle name="Normal 4 2 2 7 3" xfId="19784" xr:uid="{00000000-0005-0000-0000-00004C4D0000}"/>
    <cellStyle name="Normal 4 2 2 7 4" xfId="19785" xr:uid="{00000000-0005-0000-0000-00004D4D0000}"/>
    <cellStyle name="Normal 4 2 2 7 5" xfId="19786" xr:uid="{00000000-0005-0000-0000-00004E4D0000}"/>
    <cellStyle name="Normal 4 2 2 7 6" xfId="19787" xr:uid="{00000000-0005-0000-0000-00004F4D0000}"/>
    <cellStyle name="Normal 4 2 2 8" xfId="19788" xr:uid="{00000000-0005-0000-0000-0000504D0000}"/>
    <cellStyle name="Normal 4 2 2 8 2" xfId="19789" xr:uid="{00000000-0005-0000-0000-0000514D0000}"/>
    <cellStyle name="Normal 4 2 2 8 3" xfId="19790" xr:uid="{00000000-0005-0000-0000-0000524D0000}"/>
    <cellStyle name="Normal 4 2 2 8 4" xfId="19791" xr:uid="{00000000-0005-0000-0000-0000534D0000}"/>
    <cellStyle name="Normal 4 2 2 8 5" xfId="19792" xr:uid="{00000000-0005-0000-0000-0000544D0000}"/>
    <cellStyle name="Normal 4 2 2 8 6" xfId="19793" xr:uid="{00000000-0005-0000-0000-0000554D0000}"/>
    <cellStyle name="Normal 4 2 2 9" xfId="19794" xr:uid="{00000000-0005-0000-0000-0000564D0000}"/>
    <cellStyle name="Normal 4 2 2 9 2" xfId="19795" xr:uid="{00000000-0005-0000-0000-0000574D0000}"/>
    <cellStyle name="Normal 4 2 2 9 3" xfId="19796" xr:uid="{00000000-0005-0000-0000-0000584D0000}"/>
    <cellStyle name="Normal 4 2 2 9 4" xfId="19797" xr:uid="{00000000-0005-0000-0000-0000594D0000}"/>
    <cellStyle name="Normal 4 2 2 9 5" xfId="19798" xr:uid="{00000000-0005-0000-0000-00005A4D0000}"/>
    <cellStyle name="Normal 4 2 2 9 6" xfId="19799" xr:uid="{00000000-0005-0000-0000-00005B4D0000}"/>
    <cellStyle name="Normal 4 2 20" xfId="19800" xr:uid="{00000000-0005-0000-0000-00005C4D0000}"/>
    <cellStyle name="Normal 4 2 21" xfId="19801" xr:uid="{00000000-0005-0000-0000-00005D4D0000}"/>
    <cellStyle name="Normal 4 2 22" xfId="19802" xr:uid="{00000000-0005-0000-0000-00005E4D0000}"/>
    <cellStyle name="Normal 4 2 23" xfId="19803" xr:uid="{00000000-0005-0000-0000-00005F4D0000}"/>
    <cellStyle name="Normal 4 2 24" xfId="19804" xr:uid="{00000000-0005-0000-0000-0000604D0000}"/>
    <cellStyle name="Normal 4 2 25" xfId="19805" xr:uid="{00000000-0005-0000-0000-0000614D0000}"/>
    <cellStyle name="Normal 4 2 26" xfId="19806" xr:uid="{00000000-0005-0000-0000-0000624D0000}"/>
    <cellStyle name="Normal 4 2 27" xfId="19807" xr:uid="{00000000-0005-0000-0000-0000634D0000}"/>
    <cellStyle name="Normal 4 2 28" xfId="19808" xr:uid="{00000000-0005-0000-0000-0000644D0000}"/>
    <cellStyle name="Normal 4 2 29" xfId="19809" xr:uid="{00000000-0005-0000-0000-0000654D0000}"/>
    <cellStyle name="Normal 4 2 3" xfId="19810" xr:uid="{00000000-0005-0000-0000-0000664D0000}"/>
    <cellStyle name="Normal 4 2 3 10" xfId="19811" xr:uid="{00000000-0005-0000-0000-0000674D0000}"/>
    <cellStyle name="Normal 4 2 3 10 2" xfId="19812" xr:uid="{00000000-0005-0000-0000-0000684D0000}"/>
    <cellStyle name="Normal 4 2 3 10 3" xfId="19813" xr:uid="{00000000-0005-0000-0000-0000694D0000}"/>
    <cellStyle name="Normal 4 2 3 10 4" xfId="19814" xr:uid="{00000000-0005-0000-0000-00006A4D0000}"/>
    <cellStyle name="Normal 4 2 3 10 5" xfId="19815" xr:uid="{00000000-0005-0000-0000-00006B4D0000}"/>
    <cellStyle name="Normal 4 2 3 10 6" xfId="19816" xr:uid="{00000000-0005-0000-0000-00006C4D0000}"/>
    <cellStyle name="Normal 4 2 3 11" xfId="19817" xr:uid="{00000000-0005-0000-0000-00006D4D0000}"/>
    <cellStyle name="Normal 4 2 3 11 2" xfId="19818" xr:uid="{00000000-0005-0000-0000-00006E4D0000}"/>
    <cellStyle name="Normal 4 2 3 11 3" xfId="19819" xr:uid="{00000000-0005-0000-0000-00006F4D0000}"/>
    <cellStyle name="Normal 4 2 3 11 4" xfId="19820" xr:uid="{00000000-0005-0000-0000-0000704D0000}"/>
    <cellStyle name="Normal 4 2 3 11 5" xfId="19821" xr:uid="{00000000-0005-0000-0000-0000714D0000}"/>
    <cellStyle name="Normal 4 2 3 11 6" xfId="19822" xr:uid="{00000000-0005-0000-0000-0000724D0000}"/>
    <cellStyle name="Normal 4 2 3 12" xfId="19823" xr:uid="{00000000-0005-0000-0000-0000734D0000}"/>
    <cellStyle name="Normal 4 2 3 13" xfId="19824" xr:uid="{00000000-0005-0000-0000-0000744D0000}"/>
    <cellStyle name="Normal 4 2 3 14" xfId="19825" xr:uid="{00000000-0005-0000-0000-0000754D0000}"/>
    <cellStyle name="Normal 4 2 3 15" xfId="19826" xr:uid="{00000000-0005-0000-0000-0000764D0000}"/>
    <cellStyle name="Normal 4 2 3 16" xfId="19827" xr:uid="{00000000-0005-0000-0000-0000774D0000}"/>
    <cellStyle name="Normal 4 2 3 17" xfId="19828" xr:uid="{00000000-0005-0000-0000-0000784D0000}"/>
    <cellStyle name="Normal 4 2 3 18" xfId="19829" xr:uid="{00000000-0005-0000-0000-0000794D0000}"/>
    <cellStyle name="Normal 4 2 3 19" xfId="19830" xr:uid="{00000000-0005-0000-0000-00007A4D0000}"/>
    <cellStyle name="Normal 4 2 3 2" xfId="19831" xr:uid="{00000000-0005-0000-0000-00007B4D0000}"/>
    <cellStyle name="Normal 4 2 3 2 10" xfId="19832" xr:uid="{00000000-0005-0000-0000-00007C4D0000}"/>
    <cellStyle name="Normal 4 2 3 2 10 2" xfId="19833" xr:uid="{00000000-0005-0000-0000-00007D4D0000}"/>
    <cellStyle name="Normal 4 2 3 2 10 3" xfId="19834" xr:uid="{00000000-0005-0000-0000-00007E4D0000}"/>
    <cellStyle name="Normal 4 2 3 2 10 4" xfId="19835" xr:uid="{00000000-0005-0000-0000-00007F4D0000}"/>
    <cellStyle name="Normal 4 2 3 2 10 5" xfId="19836" xr:uid="{00000000-0005-0000-0000-0000804D0000}"/>
    <cellStyle name="Normal 4 2 3 2 10 6" xfId="19837" xr:uid="{00000000-0005-0000-0000-0000814D0000}"/>
    <cellStyle name="Normal 4 2 3 2 11" xfId="19838" xr:uid="{00000000-0005-0000-0000-0000824D0000}"/>
    <cellStyle name="Normal 4 2 3 2 12" xfId="19839" xr:uid="{00000000-0005-0000-0000-0000834D0000}"/>
    <cellStyle name="Normal 4 2 3 2 13" xfId="19840" xr:uid="{00000000-0005-0000-0000-0000844D0000}"/>
    <cellStyle name="Normal 4 2 3 2 14" xfId="19841" xr:uid="{00000000-0005-0000-0000-0000854D0000}"/>
    <cellStyle name="Normal 4 2 3 2 15" xfId="19842" xr:uid="{00000000-0005-0000-0000-0000864D0000}"/>
    <cellStyle name="Normal 4 2 3 2 2" xfId="19843" xr:uid="{00000000-0005-0000-0000-0000874D0000}"/>
    <cellStyle name="Normal 4 2 3 2 2 10" xfId="19844" xr:uid="{00000000-0005-0000-0000-0000884D0000}"/>
    <cellStyle name="Normal 4 2 3 2 2 11" xfId="19845" xr:uid="{00000000-0005-0000-0000-0000894D0000}"/>
    <cellStyle name="Normal 4 2 3 2 2 12" xfId="19846" xr:uid="{00000000-0005-0000-0000-00008A4D0000}"/>
    <cellStyle name="Normal 4 2 3 2 2 13" xfId="19847" xr:uid="{00000000-0005-0000-0000-00008B4D0000}"/>
    <cellStyle name="Normal 4 2 3 2 2 14" xfId="19848" xr:uid="{00000000-0005-0000-0000-00008C4D0000}"/>
    <cellStyle name="Normal 4 2 3 2 2 2" xfId="19849" xr:uid="{00000000-0005-0000-0000-00008D4D0000}"/>
    <cellStyle name="Normal 4 2 3 2 2 2 2" xfId="19850" xr:uid="{00000000-0005-0000-0000-00008E4D0000}"/>
    <cellStyle name="Normal 4 2 3 2 2 2 3" xfId="19851" xr:uid="{00000000-0005-0000-0000-00008F4D0000}"/>
    <cellStyle name="Normal 4 2 3 2 2 2 4" xfId="19852" xr:uid="{00000000-0005-0000-0000-0000904D0000}"/>
    <cellStyle name="Normal 4 2 3 2 2 2 5" xfId="19853" xr:uid="{00000000-0005-0000-0000-0000914D0000}"/>
    <cellStyle name="Normal 4 2 3 2 2 2 6" xfId="19854" xr:uid="{00000000-0005-0000-0000-0000924D0000}"/>
    <cellStyle name="Normal 4 2 3 2 2 3" xfId="19855" xr:uid="{00000000-0005-0000-0000-0000934D0000}"/>
    <cellStyle name="Normal 4 2 3 2 2 3 2" xfId="19856" xr:uid="{00000000-0005-0000-0000-0000944D0000}"/>
    <cellStyle name="Normal 4 2 3 2 2 3 3" xfId="19857" xr:uid="{00000000-0005-0000-0000-0000954D0000}"/>
    <cellStyle name="Normal 4 2 3 2 2 3 4" xfId="19858" xr:uid="{00000000-0005-0000-0000-0000964D0000}"/>
    <cellStyle name="Normal 4 2 3 2 2 3 5" xfId="19859" xr:uid="{00000000-0005-0000-0000-0000974D0000}"/>
    <cellStyle name="Normal 4 2 3 2 2 3 6" xfId="19860" xr:uid="{00000000-0005-0000-0000-0000984D0000}"/>
    <cellStyle name="Normal 4 2 3 2 2 4" xfId="19861" xr:uid="{00000000-0005-0000-0000-0000994D0000}"/>
    <cellStyle name="Normal 4 2 3 2 2 4 2" xfId="19862" xr:uid="{00000000-0005-0000-0000-00009A4D0000}"/>
    <cellStyle name="Normal 4 2 3 2 2 4 3" xfId="19863" xr:uid="{00000000-0005-0000-0000-00009B4D0000}"/>
    <cellStyle name="Normal 4 2 3 2 2 4 4" xfId="19864" xr:uid="{00000000-0005-0000-0000-00009C4D0000}"/>
    <cellStyle name="Normal 4 2 3 2 2 4 5" xfId="19865" xr:uid="{00000000-0005-0000-0000-00009D4D0000}"/>
    <cellStyle name="Normal 4 2 3 2 2 4 6" xfId="19866" xr:uid="{00000000-0005-0000-0000-00009E4D0000}"/>
    <cellStyle name="Normal 4 2 3 2 2 5" xfId="19867" xr:uid="{00000000-0005-0000-0000-00009F4D0000}"/>
    <cellStyle name="Normal 4 2 3 2 2 5 2" xfId="19868" xr:uid="{00000000-0005-0000-0000-0000A04D0000}"/>
    <cellStyle name="Normal 4 2 3 2 2 5 3" xfId="19869" xr:uid="{00000000-0005-0000-0000-0000A14D0000}"/>
    <cellStyle name="Normal 4 2 3 2 2 5 4" xfId="19870" xr:uid="{00000000-0005-0000-0000-0000A24D0000}"/>
    <cellStyle name="Normal 4 2 3 2 2 5 5" xfId="19871" xr:uid="{00000000-0005-0000-0000-0000A34D0000}"/>
    <cellStyle name="Normal 4 2 3 2 2 5 6" xfId="19872" xr:uid="{00000000-0005-0000-0000-0000A44D0000}"/>
    <cellStyle name="Normal 4 2 3 2 2 6" xfId="19873" xr:uid="{00000000-0005-0000-0000-0000A54D0000}"/>
    <cellStyle name="Normal 4 2 3 2 2 6 2" xfId="19874" xr:uid="{00000000-0005-0000-0000-0000A64D0000}"/>
    <cellStyle name="Normal 4 2 3 2 2 6 3" xfId="19875" xr:uid="{00000000-0005-0000-0000-0000A74D0000}"/>
    <cellStyle name="Normal 4 2 3 2 2 6 4" xfId="19876" xr:uid="{00000000-0005-0000-0000-0000A84D0000}"/>
    <cellStyle name="Normal 4 2 3 2 2 6 5" xfId="19877" xr:uid="{00000000-0005-0000-0000-0000A94D0000}"/>
    <cellStyle name="Normal 4 2 3 2 2 6 6" xfId="19878" xr:uid="{00000000-0005-0000-0000-0000AA4D0000}"/>
    <cellStyle name="Normal 4 2 3 2 2 7" xfId="19879" xr:uid="{00000000-0005-0000-0000-0000AB4D0000}"/>
    <cellStyle name="Normal 4 2 3 2 2 7 2" xfId="19880" xr:uid="{00000000-0005-0000-0000-0000AC4D0000}"/>
    <cellStyle name="Normal 4 2 3 2 2 7 3" xfId="19881" xr:uid="{00000000-0005-0000-0000-0000AD4D0000}"/>
    <cellStyle name="Normal 4 2 3 2 2 7 4" xfId="19882" xr:uid="{00000000-0005-0000-0000-0000AE4D0000}"/>
    <cellStyle name="Normal 4 2 3 2 2 7 5" xfId="19883" xr:uid="{00000000-0005-0000-0000-0000AF4D0000}"/>
    <cellStyle name="Normal 4 2 3 2 2 7 6" xfId="19884" xr:uid="{00000000-0005-0000-0000-0000B04D0000}"/>
    <cellStyle name="Normal 4 2 3 2 2 8" xfId="19885" xr:uid="{00000000-0005-0000-0000-0000B14D0000}"/>
    <cellStyle name="Normal 4 2 3 2 2 8 2" xfId="19886" xr:uid="{00000000-0005-0000-0000-0000B24D0000}"/>
    <cellStyle name="Normal 4 2 3 2 2 8 3" xfId="19887" xr:uid="{00000000-0005-0000-0000-0000B34D0000}"/>
    <cellStyle name="Normal 4 2 3 2 2 8 4" xfId="19888" xr:uid="{00000000-0005-0000-0000-0000B44D0000}"/>
    <cellStyle name="Normal 4 2 3 2 2 8 5" xfId="19889" xr:uid="{00000000-0005-0000-0000-0000B54D0000}"/>
    <cellStyle name="Normal 4 2 3 2 2 8 6" xfId="19890" xr:uid="{00000000-0005-0000-0000-0000B64D0000}"/>
    <cellStyle name="Normal 4 2 3 2 2 9" xfId="19891" xr:uid="{00000000-0005-0000-0000-0000B74D0000}"/>
    <cellStyle name="Normal 4 2 3 2 2 9 2" xfId="19892" xr:uid="{00000000-0005-0000-0000-0000B84D0000}"/>
    <cellStyle name="Normal 4 2 3 2 2 9 3" xfId="19893" xr:uid="{00000000-0005-0000-0000-0000B94D0000}"/>
    <cellStyle name="Normal 4 2 3 2 2 9 4" xfId="19894" xr:uid="{00000000-0005-0000-0000-0000BA4D0000}"/>
    <cellStyle name="Normal 4 2 3 2 2 9 5" xfId="19895" xr:uid="{00000000-0005-0000-0000-0000BB4D0000}"/>
    <cellStyle name="Normal 4 2 3 2 2 9 6" xfId="19896" xr:uid="{00000000-0005-0000-0000-0000BC4D0000}"/>
    <cellStyle name="Normal 4 2 3 2 3" xfId="19897" xr:uid="{00000000-0005-0000-0000-0000BD4D0000}"/>
    <cellStyle name="Normal 4 2 3 2 3 2" xfId="19898" xr:uid="{00000000-0005-0000-0000-0000BE4D0000}"/>
    <cellStyle name="Normal 4 2 3 2 3 3" xfId="19899" xr:uid="{00000000-0005-0000-0000-0000BF4D0000}"/>
    <cellStyle name="Normal 4 2 3 2 3 4" xfId="19900" xr:uid="{00000000-0005-0000-0000-0000C04D0000}"/>
    <cellStyle name="Normal 4 2 3 2 3 5" xfId="19901" xr:uid="{00000000-0005-0000-0000-0000C14D0000}"/>
    <cellStyle name="Normal 4 2 3 2 3 6" xfId="19902" xr:uid="{00000000-0005-0000-0000-0000C24D0000}"/>
    <cellStyle name="Normal 4 2 3 2 4" xfId="19903" xr:uid="{00000000-0005-0000-0000-0000C34D0000}"/>
    <cellStyle name="Normal 4 2 3 2 4 2" xfId="19904" xr:uid="{00000000-0005-0000-0000-0000C44D0000}"/>
    <cellStyle name="Normal 4 2 3 2 4 3" xfId="19905" xr:uid="{00000000-0005-0000-0000-0000C54D0000}"/>
    <cellStyle name="Normal 4 2 3 2 4 4" xfId="19906" xr:uid="{00000000-0005-0000-0000-0000C64D0000}"/>
    <cellStyle name="Normal 4 2 3 2 4 5" xfId="19907" xr:uid="{00000000-0005-0000-0000-0000C74D0000}"/>
    <cellStyle name="Normal 4 2 3 2 4 6" xfId="19908" xr:uid="{00000000-0005-0000-0000-0000C84D0000}"/>
    <cellStyle name="Normal 4 2 3 2 5" xfId="19909" xr:uid="{00000000-0005-0000-0000-0000C94D0000}"/>
    <cellStyle name="Normal 4 2 3 2 5 2" xfId="19910" xr:uid="{00000000-0005-0000-0000-0000CA4D0000}"/>
    <cellStyle name="Normal 4 2 3 2 5 3" xfId="19911" xr:uid="{00000000-0005-0000-0000-0000CB4D0000}"/>
    <cellStyle name="Normal 4 2 3 2 5 4" xfId="19912" xr:uid="{00000000-0005-0000-0000-0000CC4D0000}"/>
    <cellStyle name="Normal 4 2 3 2 5 5" xfId="19913" xr:uid="{00000000-0005-0000-0000-0000CD4D0000}"/>
    <cellStyle name="Normal 4 2 3 2 5 6" xfId="19914" xr:uid="{00000000-0005-0000-0000-0000CE4D0000}"/>
    <cellStyle name="Normal 4 2 3 2 6" xfId="19915" xr:uid="{00000000-0005-0000-0000-0000CF4D0000}"/>
    <cellStyle name="Normal 4 2 3 2 6 2" xfId="19916" xr:uid="{00000000-0005-0000-0000-0000D04D0000}"/>
    <cellStyle name="Normal 4 2 3 2 6 3" xfId="19917" xr:uid="{00000000-0005-0000-0000-0000D14D0000}"/>
    <cellStyle name="Normal 4 2 3 2 6 4" xfId="19918" xr:uid="{00000000-0005-0000-0000-0000D24D0000}"/>
    <cellStyle name="Normal 4 2 3 2 6 5" xfId="19919" xr:uid="{00000000-0005-0000-0000-0000D34D0000}"/>
    <cellStyle name="Normal 4 2 3 2 6 6" xfId="19920" xr:uid="{00000000-0005-0000-0000-0000D44D0000}"/>
    <cellStyle name="Normal 4 2 3 2 7" xfId="19921" xr:uid="{00000000-0005-0000-0000-0000D54D0000}"/>
    <cellStyle name="Normal 4 2 3 2 7 2" xfId="19922" xr:uid="{00000000-0005-0000-0000-0000D64D0000}"/>
    <cellStyle name="Normal 4 2 3 2 7 3" xfId="19923" xr:uid="{00000000-0005-0000-0000-0000D74D0000}"/>
    <cellStyle name="Normal 4 2 3 2 7 4" xfId="19924" xr:uid="{00000000-0005-0000-0000-0000D84D0000}"/>
    <cellStyle name="Normal 4 2 3 2 7 5" xfId="19925" xr:uid="{00000000-0005-0000-0000-0000D94D0000}"/>
    <cellStyle name="Normal 4 2 3 2 7 6" xfId="19926" xr:uid="{00000000-0005-0000-0000-0000DA4D0000}"/>
    <cellStyle name="Normal 4 2 3 2 8" xfId="19927" xr:uid="{00000000-0005-0000-0000-0000DB4D0000}"/>
    <cellStyle name="Normal 4 2 3 2 8 2" xfId="19928" xr:uid="{00000000-0005-0000-0000-0000DC4D0000}"/>
    <cellStyle name="Normal 4 2 3 2 8 3" xfId="19929" xr:uid="{00000000-0005-0000-0000-0000DD4D0000}"/>
    <cellStyle name="Normal 4 2 3 2 8 4" xfId="19930" xr:uid="{00000000-0005-0000-0000-0000DE4D0000}"/>
    <cellStyle name="Normal 4 2 3 2 8 5" xfId="19931" xr:uid="{00000000-0005-0000-0000-0000DF4D0000}"/>
    <cellStyle name="Normal 4 2 3 2 8 6" xfId="19932" xr:uid="{00000000-0005-0000-0000-0000E04D0000}"/>
    <cellStyle name="Normal 4 2 3 2 9" xfId="19933" xr:uid="{00000000-0005-0000-0000-0000E14D0000}"/>
    <cellStyle name="Normal 4 2 3 2 9 2" xfId="19934" xr:uid="{00000000-0005-0000-0000-0000E24D0000}"/>
    <cellStyle name="Normal 4 2 3 2 9 3" xfId="19935" xr:uid="{00000000-0005-0000-0000-0000E34D0000}"/>
    <cellStyle name="Normal 4 2 3 2 9 4" xfId="19936" xr:uid="{00000000-0005-0000-0000-0000E44D0000}"/>
    <cellStyle name="Normal 4 2 3 2 9 5" xfId="19937" xr:uid="{00000000-0005-0000-0000-0000E54D0000}"/>
    <cellStyle name="Normal 4 2 3 2 9 6" xfId="19938" xr:uid="{00000000-0005-0000-0000-0000E64D0000}"/>
    <cellStyle name="Normal 4 2 3 20" xfId="19939" xr:uid="{00000000-0005-0000-0000-0000E74D0000}"/>
    <cellStyle name="Normal 4 2 3 21" xfId="19940" xr:uid="{00000000-0005-0000-0000-0000E84D0000}"/>
    <cellStyle name="Normal 4 2 3 22" xfId="19941" xr:uid="{00000000-0005-0000-0000-0000E94D0000}"/>
    <cellStyle name="Normal 4 2 3 23" xfId="19942" xr:uid="{00000000-0005-0000-0000-0000EA4D0000}"/>
    <cellStyle name="Normal 4 2 3 24" xfId="19943" xr:uid="{00000000-0005-0000-0000-0000EB4D0000}"/>
    <cellStyle name="Normal 4 2 3 25" xfId="19944" xr:uid="{00000000-0005-0000-0000-0000EC4D0000}"/>
    <cellStyle name="Normal 4 2 3 26" xfId="19945" xr:uid="{00000000-0005-0000-0000-0000ED4D0000}"/>
    <cellStyle name="Normal 4 2 3 27" xfId="19946" xr:uid="{00000000-0005-0000-0000-0000EE4D0000}"/>
    <cellStyle name="Normal 4 2 3 28" xfId="19947" xr:uid="{00000000-0005-0000-0000-0000EF4D0000}"/>
    <cellStyle name="Normal 4 2 3 29" xfId="19948" xr:uid="{00000000-0005-0000-0000-0000F04D0000}"/>
    <cellStyle name="Normal 4 2 3 3" xfId="19949" xr:uid="{00000000-0005-0000-0000-0000F14D0000}"/>
    <cellStyle name="Normal 4 2 3 3 10" xfId="19950" xr:uid="{00000000-0005-0000-0000-0000F24D0000}"/>
    <cellStyle name="Normal 4 2 3 3 11" xfId="19951" xr:uid="{00000000-0005-0000-0000-0000F34D0000}"/>
    <cellStyle name="Normal 4 2 3 3 12" xfId="19952" xr:uid="{00000000-0005-0000-0000-0000F44D0000}"/>
    <cellStyle name="Normal 4 2 3 3 13" xfId="19953" xr:uid="{00000000-0005-0000-0000-0000F54D0000}"/>
    <cellStyle name="Normal 4 2 3 3 14" xfId="19954" xr:uid="{00000000-0005-0000-0000-0000F64D0000}"/>
    <cellStyle name="Normal 4 2 3 3 2" xfId="19955" xr:uid="{00000000-0005-0000-0000-0000F74D0000}"/>
    <cellStyle name="Normal 4 2 3 3 2 2" xfId="19956" xr:uid="{00000000-0005-0000-0000-0000F84D0000}"/>
    <cellStyle name="Normal 4 2 3 3 2 3" xfId="19957" xr:uid="{00000000-0005-0000-0000-0000F94D0000}"/>
    <cellStyle name="Normal 4 2 3 3 2 4" xfId="19958" xr:uid="{00000000-0005-0000-0000-0000FA4D0000}"/>
    <cellStyle name="Normal 4 2 3 3 2 5" xfId="19959" xr:uid="{00000000-0005-0000-0000-0000FB4D0000}"/>
    <cellStyle name="Normal 4 2 3 3 2 6" xfId="19960" xr:uid="{00000000-0005-0000-0000-0000FC4D0000}"/>
    <cellStyle name="Normal 4 2 3 3 3" xfId="19961" xr:uid="{00000000-0005-0000-0000-0000FD4D0000}"/>
    <cellStyle name="Normal 4 2 3 3 3 2" xfId="19962" xr:uid="{00000000-0005-0000-0000-0000FE4D0000}"/>
    <cellStyle name="Normal 4 2 3 3 3 3" xfId="19963" xr:uid="{00000000-0005-0000-0000-0000FF4D0000}"/>
    <cellStyle name="Normal 4 2 3 3 3 4" xfId="19964" xr:uid="{00000000-0005-0000-0000-0000004E0000}"/>
    <cellStyle name="Normal 4 2 3 3 3 5" xfId="19965" xr:uid="{00000000-0005-0000-0000-0000014E0000}"/>
    <cellStyle name="Normal 4 2 3 3 3 6" xfId="19966" xr:uid="{00000000-0005-0000-0000-0000024E0000}"/>
    <cellStyle name="Normal 4 2 3 3 4" xfId="19967" xr:uid="{00000000-0005-0000-0000-0000034E0000}"/>
    <cellStyle name="Normal 4 2 3 3 4 2" xfId="19968" xr:uid="{00000000-0005-0000-0000-0000044E0000}"/>
    <cellStyle name="Normal 4 2 3 3 4 3" xfId="19969" xr:uid="{00000000-0005-0000-0000-0000054E0000}"/>
    <cellStyle name="Normal 4 2 3 3 4 4" xfId="19970" xr:uid="{00000000-0005-0000-0000-0000064E0000}"/>
    <cellStyle name="Normal 4 2 3 3 4 5" xfId="19971" xr:uid="{00000000-0005-0000-0000-0000074E0000}"/>
    <cellStyle name="Normal 4 2 3 3 4 6" xfId="19972" xr:uid="{00000000-0005-0000-0000-0000084E0000}"/>
    <cellStyle name="Normal 4 2 3 3 5" xfId="19973" xr:uid="{00000000-0005-0000-0000-0000094E0000}"/>
    <cellStyle name="Normal 4 2 3 3 5 2" xfId="19974" xr:uid="{00000000-0005-0000-0000-00000A4E0000}"/>
    <cellStyle name="Normal 4 2 3 3 5 3" xfId="19975" xr:uid="{00000000-0005-0000-0000-00000B4E0000}"/>
    <cellStyle name="Normal 4 2 3 3 5 4" xfId="19976" xr:uid="{00000000-0005-0000-0000-00000C4E0000}"/>
    <cellStyle name="Normal 4 2 3 3 5 5" xfId="19977" xr:uid="{00000000-0005-0000-0000-00000D4E0000}"/>
    <cellStyle name="Normal 4 2 3 3 5 6" xfId="19978" xr:uid="{00000000-0005-0000-0000-00000E4E0000}"/>
    <cellStyle name="Normal 4 2 3 3 6" xfId="19979" xr:uid="{00000000-0005-0000-0000-00000F4E0000}"/>
    <cellStyle name="Normal 4 2 3 3 6 2" xfId="19980" xr:uid="{00000000-0005-0000-0000-0000104E0000}"/>
    <cellStyle name="Normal 4 2 3 3 6 3" xfId="19981" xr:uid="{00000000-0005-0000-0000-0000114E0000}"/>
    <cellStyle name="Normal 4 2 3 3 6 4" xfId="19982" xr:uid="{00000000-0005-0000-0000-0000124E0000}"/>
    <cellStyle name="Normal 4 2 3 3 6 5" xfId="19983" xr:uid="{00000000-0005-0000-0000-0000134E0000}"/>
    <cellStyle name="Normal 4 2 3 3 6 6" xfId="19984" xr:uid="{00000000-0005-0000-0000-0000144E0000}"/>
    <cellStyle name="Normal 4 2 3 3 7" xfId="19985" xr:uid="{00000000-0005-0000-0000-0000154E0000}"/>
    <cellStyle name="Normal 4 2 3 3 7 2" xfId="19986" xr:uid="{00000000-0005-0000-0000-0000164E0000}"/>
    <cellStyle name="Normal 4 2 3 3 7 3" xfId="19987" xr:uid="{00000000-0005-0000-0000-0000174E0000}"/>
    <cellStyle name="Normal 4 2 3 3 7 4" xfId="19988" xr:uid="{00000000-0005-0000-0000-0000184E0000}"/>
    <cellStyle name="Normal 4 2 3 3 7 5" xfId="19989" xr:uid="{00000000-0005-0000-0000-0000194E0000}"/>
    <cellStyle name="Normal 4 2 3 3 7 6" xfId="19990" xr:uid="{00000000-0005-0000-0000-00001A4E0000}"/>
    <cellStyle name="Normal 4 2 3 3 8" xfId="19991" xr:uid="{00000000-0005-0000-0000-00001B4E0000}"/>
    <cellStyle name="Normal 4 2 3 3 8 2" xfId="19992" xr:uid="{00000000-0005-0000-0000-00001C4E0000}"/>
    <cellStyle name="Normal 4 2 3 3 8 3" xfId="19993" xr:uid="{00000000-0005-0000-0000-00001D4E0000}"/>
    <cellStyle name="Normal 4 2 3 3 8 4" xfId="19994" xr:uid="{00000000-0005-0000-0000-00001E4E0000}"/>
    <cellStyle name="Normal 4 2 3 3 8 5" xfId="19995" xr:uid="{00000000-0005-0000-0000-00001F4E0000}"/>
    <cellStyle name="Normal 4 2 3 3 8 6" xfId="19996" xr:uid="{00000000-0005-0000-0000-0000204E0000}"/>
    <cellStyle name="Normal 4 2 3 3 9" xfId="19997" xr:uid="{00000000-0005-0000-0000-0000214E0000}"/>
    <cellStyle name="Normal 4 2 3 3 9 2" xfId="19998" xr:uid="{00000000-0005-0000-0000-0000224E0000}"/>
    <cellStyle name="Normal 4 2 3 3 9 3" xfId="19999" xr:uid="{00000000-0005-0000-0000-0000234E0000}"/>
    <cellStyle name="Normal 4 2 3 3 9 4" xfId="20000" xr:uid="{00000000-0005-0000-0000-0000244E0000}"/>
    <cellStyle name="Normal 4 2 3 3 9 5" xfId="20001" xr:uid="{00000000-0005-0000-0000-0000254E0000}"/>
    <cellStyle name="Normal 4 2 3 3 9 6" xfId="20002" xr:uid="{00000000-0005-0000-0000-0000264E0000}"/>
    <cellStyle name="Normal 4 2 3 30" xfId="20003" xr:uid="{00000000-0005-0000-0000-0000274E0000}"/>
    <cellStyle name="Normal 4 2 3 31" xfId="20004" xr:uid="{00000000-0005-0000-0000-0000284E0000}"/>
    <cellStyle name="Normal 4 2 3 32" xfId="20005" xr:uid="{00000000-0005-0000-0000-0000294E0000}"/>
    <cellStyle name="Normal 4 2 3 4" xfId="20006" xr:uid="{00000000-0005-0000-0000-00002A4E0000}"/>
    <cellStyle name="Normal 4 2 3 4 2" xfId="20007" xr:uid="{00000000-0005-0000-0000-00002B4E0000}"/>
    <cellStyle name="Normal 4 2 3 4 3" xfId="20008" xr:uid="{00000000-0005-0000-0000-00002C4E0000}"/>
    <cellStyle name="Normal 4 2 3 4 4" xfId="20009" xr:uid="{00000000-0005-0000-0000-00002D4E0000}"/>
    <cellStyle name="Normal 4 2 3 4 5" xfId="20010" xr:uid="{00000000-0005-0000-0000-00002E4E0000}"/>
    <cellStyle name="Normal 4 2 3 4 6" xfId="20011" xr:uid="{00000000-0005-0000-0000-00002F4E0000}"/>
    <cellStyle name="Normal 4 2 3 5" xfId="20012" xr:uid="{00000000-0005-0000-0000-0000304E0000}"/>
    <cellStyle name="Normal 4 2 3 5 2" xfId="20013" xr:uid="{00000000-0005-0000-0000-0000314E0000}"/>
    <cellStyle name="Normal 4 2 3 5 3" xfId="20014" xr:uid="{00000000-0005-0000-0000-0000324E0000}"/>
    <cellStyle name="Normal 4 2 3 5 4" xfId="20015" xr:uid="{00000000-0005-0000-0000-0000334E0000}"/>
    <cellStyle name="Normal 4 2 3 5 5" xfId="20016" xr:uid="{00000000-0005-0000-0000-0000344E0000}"/>
    <cellStyle name="Normal 4 2 3 5 6" xfId="20017" xr:uid="{00000000-0005-0000-0000-0000354E0000}"/>
    <cellStyle name="Normal 4 2 3 6" xfId="20018" xr:uid="{00000000-0005-0000-0000-0000364E0000}"/>
    <cellStyle name="Normal 4 2 3 6 2" xfId="20019" xr:uid="{00000000-0005-0000-0000-0000374E0000}"/>
    <cellStyle name="Normal 4 2 3 6 3" xfId="20020" xr:uid="{00000000-0005-0000-0000-0000384E0000}"/>
    <cellStyle name="Normal 4 2 3 6 4" xfId="20021" xr:uid="{00000000-0005-0000-0000-0000394E0000}"/>
    <cellStyle name="Normal 4 2 3 6 5" xfId="20022" xr:uid="{00000000-0005-0000-0000-00003A4E0000}"/>
    <cellStyle name="Normal 4 2 3 6 6" xfId="20023" xr:uid="{00000000-0005-0000-0000-00003B4E0000}"/>
    <cellStyle name="Normal 4 2 3 7" xfId="20024" xr:uid="{00000000-0005-0000-0000-00003C4E0000}"/>
    <cellStyle name="Normal 4 2 3 7 2" xfId="20025" xr:uid="{00000000-0005-0000-0000-00003D4E0000}"/>
    <cellStyle name="Normal 4 2 3 7 3" xfId="20026" xr:uid="{00000000-0005-0000-0000-00003E4E0000}"/>
    <cellStyle name="Normal 4 2 3 7 4" xfId="20027" xr:uid="{00000000-0005-0000-0000-00003F4E0000}"/>
    <cellStyle name="Normal 4 2 3 7 5" xfId="20028" xr:uid="{00000000-0005-0000-0000-0000404E0000}"/>
    <cellStyle name="Normal 4 2 3 7 6" xfId="20029" xr:uid="{00000000-0005-0000-0000-0000414E0000}"/>
    <cellStyle name="Normal 4 2 3 8" xfId="20030" xr:uid="{00000000-0005-0000-0000-0000424E0000}"/>
    <cellStyle name="Normal 4 2 3 8 2" xfId="20031" xr:uid="{00000000-0005-0000-0000-0000434E0000}"/>
    <cellStyle name="Normal 4 2 3 8 3" xfId="20032" xr:uid="{00000000-0005-0000-0000-0000444E0000}"/>
    <cellStyle name="Normal 4 2 3 8 4" xfId="20033" xr:uid="{00000000-0005-0000-0000-0000454E0000}"/>
    <cellStyle name="Normal 4 2 3 8 5" xfId="20034" xr:uid="{00000000-0005-0000-0000-0000464E0000}"/>
    <cellStyle name="Normal 4 2 3 8 6" xfId="20035" xr:uid="{00000000-0005-0000-0000-0000474E0000}"/>
    <cellStyle name="Normal 4 2 3 9" xfId="20036" xr:uid="{00000000-0005-0000-0000-0000484E0000}"/>
    <cellStyle name="Normal 4 2 3 9 2" xfId="20037" xr:uid="{00000000-0005-0000-0000-0000494E0000}"/>
    <cellStyle name="Normal 4 2 3 9 3" xfId="20038" xr:uid="{00000000-0005-0000-0000-00004A4E0000}"/>
    <cellStyle name="Normal 4 2 3 9 4" xfId="20039" xr:uid="{00000000-0005-0000-0000-00004B4E0000}"/>
    <cellStyle name="Normal 4 2 3 9 5" xfId="20040" xr:uid="{00000000-0005-0000-0000-00004C4E0000}"/>
    <cellStyle name="Normal 4 2 3 9 6" xfId="20041" xr:uid="{00000000-0005-0000-0000-00004D4E0000}"/>
    <cellStyle name="Normal 4 2 30" xfId="20042" xr:uid="{00000000-0005-0000-0000-00004E4E0000}"/>
    <cellStyle name="Normal 4 2 31" xfId="20043" xr:uid="{00000000-0005-0000-0000-00004F4E0000}"/>
    <cellStyle name="Normal 4 2 32" xfId="20044" xr:uid="{00000000-0005-0000-0000-0000504E0000}"/>
    <cellStyle name="Normal 4 2 33" xfId="20045" xr:uid="{00000000-0005-0000-0000-0000514E0000}"/>
    <cellStyle name="Normal 4 2 34" xfId="20046" xr:uid="{00000000-0005-0000-0000-0000524E0000}"/>
    <cellStyle name="Normal 4 2 35" xfId="20047" xr:uid="{00000000-0005-0000-0000-0000534E0000}"/>
    <cellStyle name="Normal 4 2 36" xfId="20048" xr:uid="{00000000-0005-0000-0000-0000544E0000}"/>
    <cellStyle name="Normal 4 2 4" xfId="20049" xr:uid="{00000000-0005-0000-0000-0000554E0000}"/>
    <cellStyle name="Normal 4 2 4 10" xfId="20050" xr:uid="{00000000-0005-0000-0000-0000564E0000}"/>
    <cellStyle name="Normal 4 2 4 10 2" xfId="20051" xr:uid="{00000000-0005-0000-0000-0000574E0000}"/>
    <cellStyle name="Normal 4 2 4 10 3" xfId="20052" xr:uid="{00000000-0005-0000-0000-0000584E0000}"/>
    <cellStyle name="Normal 4 2 4 10 4" xfId="20053" xr:uid="{00000000-0005-0000-0000-0000594E0000}"/>
    <cellStyle name="Normal 4 2 4 10 5" xfId="20054" xr:uid="{00000000-0005-0000-0000-00005A4E0000}"/>
    <cellStyle name="Normal 4 2 4 10 6" xfId="20055" xr:uid="{00000000-0005-0000-0000-00005B4E0000}"/>
    <cellStyle name="Normal 4 2 4 11" xfId="20056" xr:uid="{00000000-0005-0000-0000-00005C4E0000}"/>
    <cellStyle name="Normal 4 2 4 11 2" xfId="20057" xr:uid="{00000000-0005-0000-0000-00005D4E0000}"/>
    <cellStyle name="Normal 4 2 4 11 3" xfId="20058" xr:uid="{00000000-0005-0000-0000-00005E4E0000}"/>
    <cellStyle name="Normal 4 2 4 11 4" xfId="20059" xr:uid="{00000000-0005-0000-0000-00005F4E0000}"/>
    <cellStyle name="Normal 4 2 4 11 5" xfId="20060" xr:uid="{00000000-0005-0000-0000-0000604E0000}"/>
    <cellStyle name="Normal 4 2 4 11 6" xfId="20061" xr:uid="{00000000-0005-0000-0000-0000614E0000}"/>
    <cellStyle name="Normal 4 2 4 12" xfId="20062" xr:uid="{00000000-0005-0000-0000-0000624E0000}"/>
    <cellStyle name="Normal 4 2 4 13" xfId="20063" xr:uid="{00000000-0005-0000-0000-0000634E0000}"/>
    <cellStyle name="Normal 4 2 4 14" xfId="20064" xr:uid="{00000000-0005-0000-0000-0000644E0000}"/>
    <cellStyle name="Normal 4 2 4 15" xfId="20065" xr:uid="{00000000-0005-0000-0000-0000654E0000}"/>
    <cellStyle name="Normal 4 2 4 16" xfId="20066" xr:uid="{00000000-0005-0000-0000-0000664E0000}"/>
    <cellStyle name="Normal 4 2 4 17" xfId="20067" xr:uid="{00000000-0005-0000-0000-0000674E0000}"/>
    <cellStyle name="Normal 4 2 4 18" xfId="20068" xr:uid="{00000000-0005-0000-0000-0000684E0000}"/>
    <cellStyle name="Normal 4 2 4 19" xfId="20069" xr:uid="{00000000-0005-0000-0000-0000694E0000}"/>
    <cellStyle name="Normal 4 2 4 2" xfId="20070" xr:uid="{00000000-0005-0000-0000-00006A4E0000}"/>
    <cellStyle name="Normal 4 2 4 2 10" xfId="20071" xr:uid="{00000000-0005-0000-0000-00006B4E0000}"/>
    <cellStyle name="Normal 4 2 4 2 10 2" xfId="20072" xr:uid="{00000000-0005-0000-0000-00006C4E0000}"/>
    <cellStyle name="Normal 4 2 4 2 10 3" xfId="20073" xr:uid="{00000000-0005-0000-0000-00006D4E0000}"/>
    <cellStyle name="Normal 4 2 4 2 10 4" xfId="20074" xr:uid="{00000000-0005-0000-0000-00006E4E0000}"/>
    <cellStyle name="Normal 4 2 4 2 10 5" xfId="20075" xr:uid="{00000000-0005-0000-0000-00006F4E0000}"/>
    <cellStyle name="Normal 4 2 4 2 10 6" xfId="20076" xr:uid="{00000000-0005-0000-0000-0000704E0000}"/>
    <cellStyle name="Normal 4 2 4 2 11" xfId="20077" xr:uid="{00000000-0005-0000-0000-0000714E0000}"/>
    <cellStyle name="Normal 4 2 4 2 12" xfId="20078" xr:uid="{00000000-0005-0000-0000-0000724E0000}"/>
    <cellStyle name="Normal 4 2 4 2 13" xfId="20079" xr:uid="{00000000-0005-0000-0000-0000734E0000}"/>
    <cellStyle name="Normal 4 2 4 2 14" xfId="20080" xr:uid="{00000000-0005-0000-0000-0000744E0000}"/>
    <cellStyle name="Normal 4 2 4 2 15" xfId="20081" xr:uid="{00000000-0005-0000-0000-0000754E0000}"/>
    <cellStyle name="Normal 4 2 4 2 2" xfId="20082" xr:uid="{00000000-0005-0000-0000-0000764E0000}"/>
    <cellStyle name="Normal 4 2 4 2 2 10" xfId="20083" xr:uid="{00000000-0005-0000-0000-0000774E0000}"/>
    <cellStyle name="Normal 4 2 4 2 2 11" xfId="20084" xr:uid="{00000000-0005-0000-0000-0000784E0000}"/>
    <cellStyle name="Normal 4 2 4 2 2 12" xfId="20085" xr:uid="{00000000-0005-0000-0000-0000794E0000}"/>
    <cellStyle name="Normal 4 2 4 2 2 13" xfId="20086" xr:uid="{00000000-0005-0000-0000-00007A4E0000}"/>
    <cellStyle name="Normal 4 2 4 2 2 14" xfId="20087" xr:uid="{00000000-0005-0000-0000-00007B4E0000}"/>
    <cellStyle name="Normal 4 2 4 2 2 2" xfId="20088" xr:uid="{00000000-0005-0000-0000-00007C4E0000}"/>
    <cellStyle name="Normal 4 2 4 2 2 2 2" xfId="20089" xr:uid="{00000000-0005-0000-0000-00007D4E0000}"/>
    <cellStyle name="Normal 4 2 4 2 2 2 3" xfId="20090" xr:uid="{00000000-0005-0000-0000-00007E4E0000}"/>
    <cellStyle name="Normal 4 2 4 2 2 2 4" xfId="20091" xr:uid="{00000000-0005-0000-0000-00007F4E0000}"/>
    <cellStyle name="Normal 4 2 4 2 2 2 5" xfId="20092" xr:uid="{00000000-0005-0000-0000-0000804E0000}"/>
    <cellStyle name="Normal 4 2 4 2 2 2 6" xfId="20093" xr:uid="{00000000-0005-0000-0000-0000814E0000}"/>
    <cellStyle name="Normal 4 2 4 2 2 3" xfId="20094" xr:uid="{00000000-0005-0000-0000-0000824E0000}"/>
    <cellStyle name="Normal 4 2 4 2 2 3 2" xfId="20095" xr:uid="{00000000-0005-0000-0000-0000834E0000}"/>
    <cellStyle name="Normal 4 2 4 2 2 3 3" xfId="20096" xr:uid="{00000000-0005-0000-0000-0000844E0000}"/>
    <cellStyle name="Normal 4 2 4 2 2 3 4" xfId="20097" xr:uid="{00000000-0005-0000-0000-0000854E0000}"/>
    <cellStyle name="Normal 4 2 4 2 2 3 5" xfId="20098" xr:uid="{00000000-0005-0000-0000-0000864E0000}"/>
    <cellStyle name="Normal 4 2 4 2 2 3 6" xfId="20099" xr:uid="{00000000-0005-0000-0000-0000874E0000}"/>
    <cellStyle name="Normal 4 2 4 2 2 4" xfId="20100" xr:uid="{00000000-0005-0000-0000-0000884E0000}"/>
    <cellStyle name="Normal 4 2 4 2 2 4 2" xfId="20101" xr:uid="{00000000-0005-0000-0000-0000894E0000}"/>
    <cellStyle name="Normal 4 2 4 2 2 4 3" xfId="20102" xr:uid="{00000000-0005-0000-0000-00008A4E0000}"/>
    <cellStyle name="Normal 4 2 4 2 2 4 4" xfId="20103" xr:uid="{00000000-0005-0000-0000-00008B4E0000}"/>
    <cellStyle name="Normal 4 2 4 2 2 4 5" xfId="20104" xr:uid="{00000000-0005-0000-0000-00008C4E0000}"/>
    <cellStyle name="Normal 4 2 4 2 2 4 6" xfId="20105" xr:uid="{00000000-0005-0000-0000-00008D4E0000}"/>
    <cellStyle name="Normal 4 2 4 2 2 5" xfId="20106" xr:uid="{00000000-0005-0000-0000-00008E4E0000}"/>
    <cellStyle name="Normal 4 2 4 2 2 5 2" xfId="20107" xr:uid="{00000000-0005-0000-0000-00008F4E0000}"/>
    <cellStyle name="Normal 4 2 4 2 2 5 3" xfId="20108" xr:uid="{00000000-0005-0000-0000-0000904E0000}"/>
    <cellStyle name="Normal 4 2 4 2 2 5 4" xfId="20109" xr:uid="{00000000-0005-0000-0000-0000914E0000}"/>
    <cellStyle name="Normal 4 2 4 2 2 5 5" xfId="20110" xr:uid="{00000000-0005-0000-0000-0000924E0000}"/>
    <cellStyle name="Normal 4 2 4 2 2 5 6" xfId="20111" xr:uid="{00000000-0005-0000-0000-0000934E0000}"/>
    <cellStyle name="Normal 4 2 4 2 2 6" xfId="20112" xr:uid="{00000000-0005-0000-0000-0000944E0000}"/>
    <cellStyle name="Normal 4 2 4 2 2 6 2" xfId="20113" xr:uid="{00000000-0005-0000-0000-0000954E0000}"/>
    <cellStyle name="Normal 4 2 4 2 2 6 3" xfId="20114" xr:uid="{00000000-0005-0000-0000-0000964E0000}"/>
    <cellStyle name="Normal 4 2 4 2 2 6 4" xfId="20115" xr:uid="{00000000-0005-0000-0000-0000974E0000}"/>
    <cellStyle name="Normal 4 2 4 2 2 6 5" xfId="20116" xr:uid="{00000000-0005-0000-0000-0000984E0000}"/>
    <cellStyle name="Normal 4 2 4 2 2 6 6" xfId="20117" xr:uid="{00000000-0005-0000-0000-0000994E0000}"/>
    <cellStyle name="Normal 4 2 4 2 2 7" xfId="20118" xr:uid="{00000000-0005-0000-0000-00009A4E0000}"/>
    <cellStyle name="Normal 4 2 4 2 2 7 2" xfId="20119" xr:uid="{00000000-0005-0000-0000-00009B4E0000}"/>
    <cellStyle name="Normal 4 2 4 2 2 7 3" xfId="20120" xr:uid="{00000000-0005-0000-0000-00009C4E0000}"/>
    <cellStyle name="Normal 4 2 4 2 2 7 4" xfId="20121" xr:uid="{00000000-0005-0000-0000-00009D4E0000}"/>
    <cellStyle name="Normal 4 2 4 2 2 7 5" xfId="20122" xr:uid="{00000000-0005-0000-0000-00009E4E0000}"/>
    <cellStyle name="Normal 4 2 4 2 2 7 6" xfId="20123" xr:uid="{00000000-0005-0000-0000-00009F4E0000}"/>
    <cellStyle name="Normal 4 2 4 2 2 8" xfId="20124" xr:uid="{00000000-0005-0000-0000-0000A04E0000}"/>
    <cellStyle name="Normal 4 2 4 2 2 8 2" xfId="20125" xr:uid="{00000000-0005-0000-0000-0000A14E0000}"/>
    <cellStyle name="Normal 4 2 4 2 2 8 3" xfId="20126" xr:uid="{00000000-0005-0000-0000-0000A24E0000}"/>
    <cellStyle name="Normal 4 2 4 2 2 8 4" xfId="20127" xr:uid="{00000000-0005-0000-0000-0000A34E0000}"/>
    <cellStyle name="Normal 4 2 4 2 2 8 5" xfId="20128" xr:uid="{00000000-0005-0000-0000-0000A44E0000}"/>
    <cellStyle name="Normal 4 2 4 2 2 8 6" xfId="20129" xr:uid="{00000000-0005-0000-0000-0000A54E0000}"/>
    <cellStyle name="Normal 4 2 4 2 2 9" xfId="20130" xr:uid="{00000000-0005-0000-0000-0000A64E0000}"/>
    <cellStyle name="Normal 4 2 4 2 2 9 2" xfId="20131" xr:uid="{00000000-0005-0000-0000-0000A74E0000}"/>
    <cellStyle name="Normal 4 2 4 2 2 9 3" xfId="20132" xr:uid="{00000000-0005-0000-0000-0000A84E0000}"/>
    <cellStyle name="Normal 4 2 4 2 2 9 4" xfId="20133" xr:uid="{00000000-0005-0000-0000-0000A94E0000}"/>
    <cellStyle name="Normal 4 2 4 2 2 9 5" xfId="20134" xr:uid="{00000000-0005-0000-0000-0000AA4E0000}"/>
    <cellStyle name="Normal 4 2 4 2 2 9 6" xfId="20135" xr:uid="{00000000-0005-0000-0000-0000AB4E0000}"/>
    <cellStyle name="Normal 4 2 4 2 3" xfId="20136" xr:uid="{00000000-0005-0000-0000-0000AC4E0000}"/>
    <cellStyle name="Normal 4 2 4 2 3 2" xfId="20137" xr:uid="{00000000-0005-0000-0000-0000AD4E0000}"/>
    <cellStyle name="Normal 4 2 4 2 3 3" xfId="20138" xr:uid="{00000000-0005-0000-0000-0000AE4E0000}"/>
    <cellStyle name="Normal 4 2 4 2 3 4" xfId="20139" xr:uid="{00000000-0005-0000-0000-0000AF4E0000}"/>
    <cellStyle name="Normal 4 2 4 2 3 5" xfId="20140" xr:uid="{00000000-0005-0000-0000-0000B04E0000}"/>
    <cellStyle name="Normal 4 2 4 2 3 6" xfId="20141" xr:uid="{00000000-0005-0000-0000-0000B14E0000}"/>
    <cellStyle name="Normal 4 2 4 2 4" xfId="20142" xr:uid="{00000000-0005-0000-0000-0000B24E0000}"/>
    <cellStyle name="Normal 4 2 4 2 4 2" xfId="20143" xr:uid="{00000000-0005-0000-0000-0000B34E0000}"/>
    <cellStyle name="Normal 4 2 4 2 4 3" xfId="20144" xr:uid="{00000000-0005-0000-0000-0000B44E0000}"/>
    <cellStyle name="Normal 4 2 4 2 4 4" xfId="20145" xr:uid="{00000000-0005-0000-0000-0000B54E0000}"/>
    <cellStyle name="Normal 4 2 4 2 4 5" xfId="20146" xr:uid="{00000000-0005-0000-0000-0000B64E0000}"/>
    <cellStyle name="Normal 4 2 4 2 4 6" xfId="20147" xr:uid="{00000000-0005-0000-0000-0000B74E0000}"/>
    <cellStyle name="Normal 4 2 4 2 5" xfId="20148" xr:uid="{00000000-0005-0000-0000-0000B84E0000}"/>
    <cellStyle name="Normal 4 2 4 2 5 2" xfId="20149" xr:uid="{00000000-0005-0000-0000-0000B94E0000}"/>
    <cellStyle name="Normal 4 2 4 2 5 3" xfId="20150" xr:uid="{00000000-0005-0000-0000-0000BA4E0000}"/>
    <cellStyle name="Normal 4 2 4 2 5 4" xfId="20151" xr:uid="{00000000-0005-0000-0000-0000BB4E0000}"/>
    <cellStyle name="Normal 4 2 4 2 5 5" xfId="20152" xr:uid="{00000000-0005-0000-0000-0000BC4E0000}"/>
    <cellStyle name="Normal 4 2 4 2 5 6" xfId="20153" xr:uid="{00000000-0005-0000-0000-0000BD4E0000}"/>
    <cellStyle name="Normal 4 2 4 2 6" xfId="20154" xr:uid="{00000000-0005-0000-0000-0000BE4E0000}"/>
    <cellStyle name="Normal 4 2 4 2 6 2" xfId="20155" xr:uid="{00000000-0005-0000-0000-0000BF4E0000}"/>
    <cellStyle name="Normal 4 2 4 2 6 3" xfId="20156" xr:uid="{00000000-0005-0000-0000-0000C04E0000}"/>
    <cellStyle name="Normal 4 2 4 2 6 4" xfId="20157" xr:uid="{00000000-0005-0000-0000-0000C14E0000}"/>
    <cellStyle name="Normal 4 2 4 2 6 5" xfId="20158" xr:uid="{00000000-0005-0000-0000-0000C24E0000}"/>
    <cellStyle name="Normal 4 2 4 2 6 6" xfId="20159" xr:uid="{00000000-0005-0000-0000-0000C34E0000}"/>
    <cellStyle name="Normal 4 2 4 2 7" xfId="20160" xr:uid="{00000000-0005-0000-0000-0000C44E0000}"/>
    <cellStyle name="Normal 4 2 4 2 7 2" xfId="20161" xr:uid="{00000000-0005-0000-0000-0000C54E0000}"/>
    <cellStyle name="Normal 4 2 4 2 7 3" xfId="20162" xr:uid="{00000000-0005-0000-0000-0000C64E0000}"/>
    <cellStyle name="Normal 4 2 4 2 7 4" xfId="20163" xr:uid="{00000000-0005-0000-0000-0000C74E0000}"/>
    <cellStyle name="Normal 4 2 4 2 7 5" xfId="20164" xr:uid="{00000000-0005-0000-0000-0000C84E0000}"/>
    <cellStyle name="Normal 4 2 4 2 7 6" xfId="20165" xr:uid="{00000000-0005-0000-0000-0000C94E0000}"/>
    <cellStyle name="Normal 4 2 4 2 8" xfId="20166" xr:uid="{00000000-0005-0000-0000-0000CA4E0000}"/>
    <cellStyle name="Normal 4 2 4 2 8 2" xfId="20167" xr:uid="{00000000-0005-0000-0000-0000CB4E0000}"/>
    <cellStyle name="Normal 4 2 4 2 8 3" xfId="20168" xr:uid="{00000000-0005-0000-0000-0000CC4E0000}"/>
    <cellStyle name="Normal 4 2 4 2 8 4" xfId="20169" xr:uid="{00000000-0005-0000-0000-0000CD4E0000}"/>
    <cellStyle name="Normal 4 2 4 2 8 5" xfId="20170" xr:uid="{00000000-0005-0000-0000-0000CE4E0000}"/>
    <cellStyle name="Normal 4 2 4 2 8 6" xfId="20171" xr:uid="{00000000-0005-0000-0000-0000CF4E0000}"/>
    <cellStyle name="Normal 4 2 4 2 9" xfId="20172" xr:uid="{00000000-0005-0000-0000-0000D04E0000}"/>
    <cellStyle name="Normal 4 2 4 2 9 2" xfId="20173" xr:uid="{00000000-0005-0000-0000-0000D14E0000}"/>
    <cellStyle name="Normal 4 2 4 2 9 3" xfId="20174" xr:uid="{00000000-0005-0000-0000-0000D24E0000}"/>
    <cellStyle name="Normal 4 2 4 2 9 4" xfId="20175" xr:uid="{00000000-0005-0000-0000-0000D34E0000}"/>
    <cellStyle name="Normal 4 2 4 2 9 5" xfId="20176" xr:uid="{00000000-0005-0000-0000-0000D44E0000}"/>
    <cellStyle name="Normal 4 2 4 2 9 6" xfId="20177" xr:uid="{00000000-0005-0000-0000-0000D54E0000}"/>
    <cellStyle name="Normal 4 2 4 20" xfId="20178" xr:uid="{00000000-0005-0000-0000-0000D64E0000}"/>
    <cellStyle name="Normal 4 2 4 21" xfId="20179" xr:uid="{00000000-0005-0000-0000-0000D74E0000}"/>
    <cellStyle name="Normal 4 2 4 22" xfId="20180" xr:uid="{00000000-0005-0000-0000-0000D84E0000}"/>
    <cellStyle name="Normal 4 2 4 23" xfId="20181" xr:uid="{00000000-0005-0000-0000-0000D94E0000}"/>
    <cellStyle name="Normal 4 2 4 24" xfId="20182" xr:uid="{00000000-0005-0000-0000-0000DA4E0000}"/>
    <cellStyle name="Normal 4 2 4 25" xfId="20183" xr:uid="{00000000-0005-0000-0000-0000DB4E0000}"/>
    <cellStyle name="Normal 4 2 4 26" xfId="20184" xr:uid="{00000000-0005-0000-0000-0000DC4E0000}"/>
    <cellStyle name="Normal 4 2 4 27" xfId="20185" xr:uid="{00000000-0005-0000-0000-0000DD4E0000}"/>
    <cellStyle name="Normal 4 2 4 28" xfId="20186" xr:uid="{00000000-0005-0000-0000-0000DE4E0000}"/>
    <cellStyle name="Normal 4 2 4 29" xfId="20187" xr:uid="{00000000-0005-0000-0000-0000DF4E0000}"/>
    <cellStyle name="Normal 4 2 4 3" xfId="20188" xr:uid="{00000000-0005-0000-0000-0000E04E0000}"/>
    <cellStyle name="Normal 4 2 4 3 10" xfId="20189" xr:uid="{00000000-0005-0000-0000-0000E14E0000}"/>
    <cellStyle name="Normal 4 2 4 3 11" xfId="20190" xr:uid="{00000000-0005-0000-0000-0000E24E0000}"/>
    <cellStyle name="Normal 4 2 4 3 12" xfId="20191" xr:uid="{00000000-0005-0000-0000-0000E34E0000}"/>
    <cellStyle name="Normal 4 2 4 3 13" xfId="20192" xr:uid="{00000000-0005-0000-0000-0000E44E0000}"/>
    <cellStyle name="Normal 4 2 4 3 14" xfId="20193" xr:uid="{00000000-0005-0000-0000-0000E54E0000}"/>
    <cellStyle name="Normal 4 2 4 3 2" xfId="20194" xr:uid="{00000000-0005-0000-0000-0000E64E0000}"/>
    <cellStyle name="Normal 4 2 4 3 2 2" xfId="20195" xr:uid="{00000000-0005-0000-0000-0000E74E0000}"/>
    <cellStyle name="Normal 4 2 4 3 2 3" xfId="20196" xr:uid="{00000000-0005-0000-0000-0000E84E0000}"/>
    <cellStyle name="Normal 4 2 4 3 2 4" xfId="20197" xr:uid="{00000000-0005-0000-0000-0000E94E0000}"/>
    <cellStyle name="Normal 4 2 4 3 2 5" xfId="20198" xr:uid="{00000000-0005-0000-0000-0000EA4E0000}"/>
    <cellStyle name="Normal 4 2 4 3 2 6" xfId="20199" xr:uid="{00000000-0005-0000-0000-0000EB4E0000}"/>
    <cellStyle name="Normal 4 2 4 3 3" xfId="20200" xr:uid="{00000000-0005-0000-0000-0000EC4E0000}"/>
    <cellStyle name="Normal 4 2 4 3 3 2" xfId="20201" xr:uid="{00000000-0005-0000-0000-0000ED4E0000}"/>
    <cellStyle name="Normal 4 2 4 3 3 3" xfId="20202" xr:uid="{00000000-0005-0000-0000-0000EE4E0000}"/>
    <cellStyle name="Normal 4 2 4 3 3 4" xfId="20203" xr:uid="{00000000-0005-0000-0000-0000EF4E0000}"/>
    <cellStyle name="Normal 4 2 4 3 3 5" xfId="20204" xr:uid="{00000000-0005-0000-0000-0000F04E0000}"/>
    <cellStyle name="Normal 4 2 4 3 3 6" xfId="20205" xr:uid="{00000000-0005-0000-0000-0000F14E0000}"/>
    <cellStyle name="Normal 4 2 4 3 4" xfId="20206" xr:uid="{00000000-0005-0000-0000-0000F24E0000}"/>
    <cellStyle name="Normal 4 2 4 3 4 2" xfId="20207" xr:uid="{00000000-0005-0000-0000-0000F34E0000}"/>
    <cellStyle name="Normal 4 2 4 3 4 3" xfId="20208" xr:uid="{00000000-0005-0000-0000-0000F44E0000}"/>
    <cellStyle name="Normal 4 2 4 3 4 4" xfId="20209" xr:uid="{00000000-0005-0000-0000-0000F54E0000}"/>
    <cellStyle name="Normal 4 2 4 3 4 5" xfId="20210" xr:uid="{00000000-0005-0000-0000-0000F64E0000}"/>
    <cellStyle name="Normal 4 2 4 3 4 6" xfId="20211" xr:uid="{00000000-0005-0000-0000-0000F74E0000}"/>
    <cellStyle name="Normal 4 2 4 3 5" xfId="20212" xr:uid="{00000000-0005-0000-0000-0000F84E0000}"/>
    <cellStyle name="Normal 4 2 4 3 5 2" xfId="20213" xr:uid="{00000000-0005-0000-0000-0000F94E0000}"/>
    <cellStyle name="Normal 4 2 4 3 5 3" xfId="20214" xr:uid="{00000000-0005-0000-0000-0000FA4E0000}"/>
    <cellStyle name="Normal 4 2 4 3 5 4" xfId="20215" xr:uid="{00000000-0005-0000-0000-0000FB4E0000}"/>
    <cellStyle name="Normal 4 2 4 3 5 5" xfId="20216" xr:uid="{00000000-0005-0000-0000-0000FC4E0000}"/>
    <cellStyle name="Normal 4 2 4 3 5 6" xfId="20217" xr:uid="{00000000-0005-0000-0000-0000FD4E0000}"/>
    <cellStyle name="Normal 4 2 4 3 6" xfId="20218" xr:uid="{00000000-0005-0000-0000-0000FE4E0000}"/>
    <cellStyle name="Normal 4 2 4 3 6 2" xfId="20219" xr:uid="{00000000-0005-0000-0000-0000FF4E0000}"/>
    <cellStyle name="Normal 4 2 4 3 6 3" xfId="20220" xr:uid="{00000000-0005-0000-0000-0000004F0000}"/>
    <cellStyle name="Normal 4 2 4 3 6 4" xfId="20221" xr:uid="{00000000-0005-0000-0000-0000014F0000}"/>
    <cellStyle name="Normal 4 2 4 3 6 5" xfId="20222" xr:uid="{00000000-0005-0000-0000-0000024F0000}"/>
    <cellStyle name="Normal 4 2 4 3 6 6" xfId="20223" xr:uid="{00000000-0005-0000-0000-0000034F0000}"/>
    <cellStyle name="Normal 4 2 4 3 7" xfId="20224" xr:uid="{00000000-0005-0000-0000-0000044F0000}"/>
    <cellStyle name="Normal 4 2 4 3 7 2" xfId="20225" xr:uid="{00000000-0005-0000-0000-0000054F0000}"/>
    <cellStyle name="Normal 4 2 4 3 7 3" xfId="20226" xr:uid="{00000000-0005-0000-0000-0000064F0000}"/>
    <cellStyle name="Normal 4 2 4 3 7 4" xfId="20227" xr:uid="{00000000-0005-0000-0000-0000074F0000}"/>
    <cellStyle name="Normal 4 2 4 3 7 5" xfId="20228" xr:uid="{00000000-0005-0000-0000-0000084F0000}"/>
    <cellStyle name="Normal 4 2 4 3 7 6" xfId="20229" xr:uid="{00000000-0005-0000-0000-0000094F0000}"/>
    <cellStyle name="Normal 4 2 4 3 8" xfId="20230" xr:uid="{00000000-0005-0000-0000-00000A4F0000}"/>
    <cellStyle name="Normal 4 2 4 3 8 2" xfId="20231" xr:uid="{00000000-0005-0000-0000-00000B4F0000}"/>
    <cellStyle name="Normal 4 2 4 3 8 3" xfId="20232" xr:uid="{00000000-0005-0000-0000-00000C4F0000}"/>
    <cellStyle name="Normal 4 2 4 3 8 4" xfId="20233" xr:uid="{00000000-0005-0000-0000-00000D4F0000}"/>
    <cellStyle name="Normal 4 2 4 3 8 5" xfId="20234" xr:uid="{00000000-0005-0000-0000-00000E4F0000}"/>
    <cellStyle name="Normal 4 2 4 3 8 6" xfId="20235" xr:uid="{00000000-0005-0000-0000-00000F4F0000}"/>
    <cellStyle name="Normal 4 2 4 3 9" xfId="20236" xr:uid="{00000000-0005-0000-0000-0000104F0000}"/>
    <cellStyle name="Normal 4 2 4 3 9 2" xfId="20237" xr:uid="{00000000-0005-0000-0000-0000114F0000}"/>
    <cellStyle name="Normal 4 2 4 3 9 3" xfId="20238" xr:uid="{00000000-0005-0000-0000-0000124F0000}"/>
    <cellStyle name="Normal 4 2 4 3 9 4" xfId="20239" xr:uid="{00000000-0005-0000-0000-0000134F0000}"/>
    <cellStyle name="Normal 4 2 4 3 9 5" xfId="20240" xr:uid="{00000000-0005-0000-0000-0000144F0000}"/>
    <cellStyle name="Normal 4 2 4 3 9 6" xfId="20241" xr:uid="{00000000-0005-0000-0000-0000154F0000}"/>
    <cellStyle name="Normal 4 2 4 30" xfId="20242" xr:uid="{00000000-0005-0000-0000-0000164F0000}"/>
    <cellStyle name="Normal 4 2 4 31" xfId="20243" xr:uid="{00000000-0005-0000-0000-0000174F0000}"/>
    <cellStyle name="Normal 4 2 4 4" xfId="20244" xr:uid="{00000000-0005-0000-0000-0000184F0000}"/>
    <cellStyle name="Normal 4 2 4 4 2" xfId="20245" xr:uid="{00000000-0005-0000-0000-0000194F0000}"/>
    <cellStyle name="Normal 4 2 4 4 3" xfId="20246" xr:uid="{00000000-0005-0000-0000-00001A4F0000}"/>
    <cellStyle name="Normal 4 2 4 4 4" xfId="20247" xr:uid="{00000000-0005-0000-0000-00001B4F0000}"/>
    <cellStyle name="Normal 4 2 4 4 5" xfId="20248" xr:uid="{00000000-0005-0000-0000-00001C4F0000}"/>
    <cellStyle name="Normal 4 2 4 4 6" xfId="20249" xr:uid="{00000000-0005-0000-0000-00001D4F0000}"/>
    <cellStyle name="Normal 4 2 4 5" xfId="20250" xr:uid="{00000000-0005-0000-0000-00001E4F0000}"/>
    <cellStyle name="Normal 4 2 4 5 2" xfId="20251" xr:uid="{00000000-0005-0000-0000-00001F4F0000}"/>
    <cellStyle name="Normal 4 2 4 5 3" xfId="20252" xr:uid="{00000000-0005-0000-0000-0000204F0000}"/>
    <cellStyle name="Normal 4 2 4 5 4" xfId="20253" xr:uid="{00000000-0005-0000-0000-0000214F0000}"/>
    <cellStyle name="Normal 4 2 4 5 5" xfId="20254" xr:uid="{00000000-0005-0000-0000-0000224F0000}"/>
    <cellStyle name="Normal 4 2 4 5 6" xfId="20255" xr:uid="{00000000-0005-0000-0000-0000234F0000}"/>
    <cellStyle name="Normal 4 2 4 6" xfId="20256" xr:uid="{00000000-0005-0000-0000-0000244F0000}"/>
    <cellStyle name="Normal 4 2 4 6 2" xfId="20257" xr:uid="{00000000-0005-0000-0000-0000254F0000}"/>
    <cellStyle name="Normal 4 2 4 6 3" xfId="20258" xr:uid="{00000000-0005-0000-0000-0000264F0000}"/>
    <cellStyle name="Normal 4 2 4 6 4" xfId="20259" xr:uid="{00000000-0005-0000-0000-0000274F0000}"/>
    <cellStyle name="Normal 4 2 4 6 5" xfId="20260" xr:uid="{00000000-0005-0000-0000-0000284F0000}"/>
    <cellStyle name="Normal 4 2 4 6 6" xfId="20261" xr:uid="{00000000-0005-0000-0000-0000294F0000}"/>
    <cellStyle name="Normal 4 2 4 7" xfId="20262" xr:uid="{00000000-0005-0000-0000-00002A4F0000}"/>
    <cellStyle name="Normal 4 2 4 7 2" xfId="20263" xr:uid="{00000000-0005-0000-0000-00002B4F0000}"/>
    <cellStyle name="Normal 4 2 4 7 3" xfId="20264" xr:uid="{00000000-0005-0000-0000-00002C4F0000}"/>
    <cellStyle name="Normal 4 2 4 7 4" xfId="20265" xr:uid="{00000000-0005-0000-0000-00002D4F0000}"/>
    <cellStyle name="Normal 4 2 4 7 5" xfId="20266" xr:uid="{00000000-0005-0000-0000-00002E4F0000}"/>
    <cellStyle name="Normal 4 2 4 7 6" xfId="20267" xr:uid="{00000000-0005-0000-0000-00002F4F0000}"/>
    <cellStyle name="Normal 4 2 4 8" xfId="20268" xr:uid="{00000000-0005-0000-0000-0000304F0000}"/>
    <cellStyle name="Normal 4 2 4 8 2" xfId="20269" xr:uid="{00000000-0005-0000-0000-0000314F0000}"/>
    <cellStyle name="Normal 4 2 4 8 3" xfId="20270" xr:uid="{00000000-0005-0000-0000-0000324F0000}"/>
    <cellStyle name="Normal 4 2 4 8 4" xfId="20271" xr:uid="{00000000-0005-0000-0000-0000334F0000}"/>
    <cellStyle name="Normal 4 2 4 8 5" xfId="20272" xr:uid="{00000000-0005-0000-0000-0000344F0000}"/>
    <cellStyle name="Normal 4 2 4 8 6" xfId="20273" xr:uid="{00000000-0005-0000-0000-0000354F0000}"/>
    <cellStyle name="Normal 4 2 4 9" xfId="20274" xr:uid="{00000000-0005-0000-0000-0000364F0000}"/>
    <cellStyle name="Normal 4 2 4 9 2" xfId="20275" xr:uid="{00000000-0005-0000-0000-0000374F0000}"/>
    <cellStyle name="Normal 4 2 4 9 3" xfId="20276" xr:uid="{00000000-0005-0000-0000-0000384F0000}"/>
    <cellStyle name="Normal 4 2 4 9 4" xfId="20277" xr:uid="{00000000-0005-0000-0000-0000394F0000}"/>
    <cellStyle name="Normal 4 2 4 9 5" xfId="20278" xr:uid="{00000000-0005-0000-0000-00003A4F0000}"/>
    <cellStyle name="Normal 4 2 4 9 6" xfId="20279" xr:uid="{00000000-0005-0000-0000-00003B4F0000}"/>
    <cellStyle name="Normal 4 2 5" xfId="20280" xr:uid="{00000000-0005-0000-0000-00003C4F0000}"/>
    <cellStyle name="Normal 4 2 6" xfId="20281" xr:uid="{00000000-0005-0000-0000-00003D4F0000}"/>
    <cellStyle name="Normal 4 2 7" xfId="20282" xr:uid="{00000000-0005-0000-0000-00003E4F0000}"/>
    <cellStyle name="Normal 4 2 8" xfId="20283" xr:uid="{00000000-0005-0000-0000-00003F4F0000}"/>
    <cellStyle name="Normal 4 2 9" xfId="20284" xr:uid="{00000000-0005-0000-0000-0000404F0000}"/>
    <cellStyle name="Normal 4 20" xfId="20285" xr:uid="{00000000-0005-0000-0000-0000414F0000}"/>
    <cellStyle name="Normal 4 21" xfId="20286" xr:uid="{00000000-0005-0000-0000-0000424F0000}"/>
    <cellStyle name="Normal 4 22" xfId="20287" xr:uid="{00000000-0005-0000-0000-0000434F0000}"/>
    <cellStyle name="Normal 4 23" xfId="20288" xr:uid="{00000000-0005-0000-0000-0000444F0000}"/>
    <cellStyle name="Normal 4 24" xfId="20289" xr:uid="{00000000-0005-0000-0000-0000454F0000}"/>
    <cellStyle name="Normal 4 25" xfId="20290" xr:uid="{00000000-0005-0000-0000-0000464F0000}"/>
    <cellStyle name="Normal 4 26" xfId="20291" xr:uid="{00000000-0005-0000-0000-0000474F0000}"/>
    <cellStyle name="Normal 4 27" xfId="20292" xr:uid="{00000000-0005-0000-0000-0000484F0000}"/>
    <cellStyle name="Normal 4 3" xfId="20293" xr:uid="{00000000-0005-0000-0000-0000494F0000}"/>
    <cellStyle name="Normal 4 3 10" xfId="20294" xr:uid="{00000000-0005-0000-0000-00004A4F0000}"/>
    <cellStyle name="Normal 4 3 10 2" xfId="20295" xr:uid="{00000000-0005-0000-0000-00004B4F0000}"/>
    <cellStyle name="Normal 4 3 10 3" xfId="20296" xr:uid="{00000000-0005-0000-0000-00004C4F0000}"/>
    <cellStyle name="Normal 4 3 10 4" xfId="20297" xr:uid="{00000000-0005-0000-0000-00004D4F0000}"/>
    <cellStyle name="Normal 4 3 10 5" xfId="20298" xr:uid="{00000000-0005-0000-0000-00004E4F0000}"/>
    <cellStyle name="Normal 4 3 10 6" xfId="20299" xr:uid="{00000000-0005-0000-0000-00004F4F0000}"/>
    <cellStyle name="Normal 4 3 11" xfId="20300" xr:uid="{00000000-0005-0000-0000-0000504F0000}"/>
    <cellStyle name="Normal 4 3 11 2" xfId="20301" xr:uid="{00000000-0005-0000-0000-0000514F0000}"/>
    <cellStyle name="Normal 4 3 11 3" xfId="20302" xr:uid="{00000000-0005-0000-0000-0000524F0000}"/>
    <cellStyle name="Normal 4 3 11 4" xfId="20303" xr:uid="{00000000-0005-0000-0000-0000534F0000}"/>
    <cellStyle name="Normal 4 3 11 5" xfId="20304" xr:uid="{00000000-0005-0000-0000-0000544F0000}"/>
    <cellStyle name="Normal 4 3 11 6" xfId="20305" xr:uid="{00000000-0005-0000-0000-0000554F0000}"/>
    <cellStyle name="Normal 4 3 12" xfId="20306" xr:uid="{00000000-0005-0000-0000-0000564F0000}"/>
    <cellStyle name="Normal 4 3 12 2" xfId="20307" xr:uid="{00000000-0005-0000-0000-0000574F0000}"/>
    <cellStyle name="Normal 4 3 12 3" xfId="20308" xr:uid="{00000000-0005-0000-0000-0000584F0000}"/>
    <cellStyle name="Normal 4 3 12 4" xfId="20309" xr:uid="{00000000-0005-0000-0000-0000594F0000}"/>
    <cellStyle name="Normal 4 3 12 5" xfId="20310" xr:uid="{00000000-0005-0000-0000-00005A4F0000}"/>
    <cellStyle name="Normal 4 3 12 6" xfId="20311" xr:uid="{00000000-0005-0000-0000-00005B4F0000}"/>
    <cellStyle name="Normal 4 3 13" xfId="20312" xr:uid="{00000000-0005-0000-0000-00005C4F0000}"/>
    <cellStyle name="Normal 4 3 13 2" xfId="20313" xr:uid="{00000000-0005-0000-0000-00005D4F0000}"/>
    <cellStyle name="Normal 4 3 13 3" xfId="20314" xr:uid="{00000000-0005-0000-0000-00005E4F0000}"/>
    <cellStyle name="Normal 4 3 13 4" xfId="20315" xr:uid="{00000000-0005-0000-0000-00005F4F0000}"/>
    <cellStyle name="Normal 4 3 13 5" xfId="20316" xr:uid="{00000000-0005-0000-0000-0000604F0000}"/>
    <cellStyle name="Normal 4 3 13 6" xfId="20317" xr:uid="{00000000-0005-0000-0000-0000614F0000}"/>
    <cellStyle name="Normal 4 3 14" xfId="20318" xr:uid="{00000000-0005-0000-0000-0000624F0000}"/>
    <cellStyle name="Normal 4 3 15" xfId="20319" xr:uid="{00000000-0005-0000-0000-0000634F0000}"/>
    <cellStyle name="Normal 4 3 16" xfId="20320" xr:uid="{00000000-0005-0000-0000-0000644F0000}"/>
    <cellStyle name="Normal 4 3 17" xfId="20321" xr:uid="{00000000-0005-0000-0000-0000654F0000}"/>
    <cellStyle name="Normal 4 3 18" xfId="20322" xr:uid="{00000000-0005-0000-0000-0000664F0000}"/>
    <cellStyle name="Normal 4 3 19" xfId="20323" xr:uid="{00000000-0005-0000-0000-0000674F0000}"/>
    <cellStyle name="Normal 4 3 2" xfId="20324" xr:uid="{00000000-0005-0000-0000-0000684F0000}"/>
    <cellStyle name="Normal 4 3 2 10" xfId="20325" xr:uid="{00000000-0005-0000-0000-0000694F0000}"/>
    <cellStyle name="Normal 4 3 2 10 2" xfId="20326" xr:uid="{00000000-0005-0000-0000-00006A4F0000}"/>
    <cellStyle name="Normal 4 3 2 10 3" xfId="20327" xr:uid="{00000000-0005-0000-0000-00006B4F0000}"/>
    <cellStyle name="Normal 4 3 2 10 4" xfId="20328" xr:uid="{00000000-0005-0000-0000-00006C4F0000}"/>
    <cellStyle name="Normal 4 3 2 10 5" xfId="20329" xr:uid="{00000000-0005-0000-0000-00006D4F0000}"/>
    <cellStyle name="Normal 4 3 2 10 6" xfId="20330" xr:uid="{00000000-0005-0000-0000-00006E4F0000}"/>
    <cellStyle name="Normal 4 3 2 11" xfId="20331" xr:uid="{00000000-0005-0000-0000-00006F4F0000}"/>
    <cellStyle name="Normal 4 3 2 11 2" xfId="20332" xr:uid="{00000000-0005-0000-0000-0000704F0000}"/>
    <cellStyle name="Normal 4 3 2 11 3" xfId="20333" xr:uid="{00000000-0005-0000-0000-0000714F0000}"/>
    <cellStyle name="Normal 4 3 2 11 4" xfId="20334" xr:uid="{00000000-0005-0000-0000-0000724F0000}"/>
    <cellStyle name="Normal 4 3 2 11 5" xfId="20335" xr:uid="{00000000-0005-0000-0000-0000734F0000}"/>
    <cellStyle name="Normal 4 3 2 11 6" xfId="20336" xr:uid="{00000000-0005-0000-0000-0000744F0000}"/>
    <cellStyle name="Normal 4 3 2 12" xfId="20337" xr:uid="{00000000-0005-0000-0000-0000754F0000}"/>
    <cellStyle name="Normal 4 3 2 13" xfId="20338" xr:uid="{00000000-0005-0000-0000-0000764F0000}"/>
    <cellStyle name="Normal 4 3 2 14" xfId="20339" xr:uid="{00000000-0005-0000-0000-0000774F0000}"/>
    <cellStyle name="Normal 4 3 2 15" xfId="20340" xr:uid="{00000000-0005-0000-0000-0000784F0000}"/>
    <cellStyle name="Normal 4 3 2 16" xfId="20341" xr:uid="{00000000-0005-0000-0000-0000794F0000}"/>
    <cellStyle name="Normal 4 3 2 17" xfId="20342" xr:uid="{00000000-0005-0000-0000-00007A4F0000}"/>
    <cellStyle name="Normal 4 3 2 18" xfId="20343" xr:uid="{00000000-0005-0000-0000-00007B4F0000}"/>
    <cellStyle name="Normal 4 3 2 19" xfId="20344" xr:uid="{00000000-0005-0000-0000-00007C4F0000}"/>
    <cellStyle name="Normal 4 3 2 2" xfId="20345" xr:uid="{00000000-0005-0000-0000-00007D4F0000}"/>
    <cellStyle name="Normal 4 3 2 2 10" xfId="20346" xr:uid="{00000000-0005-0000-0000-00007E4F0000}"/>
    <cellStyle name="Normal 4 3 2 2 10 2" xfId="20347" xr:uid="{00000000-0005-0000-0000-00007F4F0000}"/>
    <cellStyle name="Normal 4 3 2 2 10 3" xfId="20348" xr:uid="{00000000-0005-0000-0000-0000804F0000}"/>
    <cellStyle name="Normal 4 3 2 2 10 4" xfId="20349" xr:uid="{00000000-0005-0000-0000-0000814F0000}"/>
    <cellStyle name="Normal 4 3 2 2 10 5" xfId="20350" xr:uid="{00000000-0005-0000-0000-0000824F0000}"/>
    <cellStyle name="Normal 4 3 2 2 10 6" xfId="20351" xr:uid="{00000000-0005-0000-0000-0000834F0000}"/>
    <cellStyle name="Normal 4 3 2 2 11" xfId="20352" xr:uid="{00000000-0005-0000-0000-0000844F0000}"/>
    <cellStyle name="Normal 4 3 2 2 12" xfId="20353" xr:uid="{00000000-0005-0000-0000-0000854F0000}"/>
    <cellStyle name="Normal 4 3 2 2 13" xfId="20354" xr:uid="{00000000-0005-0000-0000-0000864F0000}"/>
    <cellStyle name="Normal 4 3 2 2 14" xfId="20355" xr:uid="{00000000-0005-0000-0000-0000874F0000}"/>
    <cellStyle name="Normal 4 3 2 2 15" xfId="20356" xr:uid="{00000000-0005-0000-0000-0000884F0000}"/>
    <cellStyle name="Normal 4 3 2 2 2" xfId="20357" xr:uid="{00000000-0005-0000-0000-0000894F0000}"/>
    <cellStyle name="Normal 4 3 2 2 2 10" xfId="20358" xr:uid="{00000000-0005-0000-0000-00008A4F0000}"/>
    <cellStyle name="Normal 4 3 2 2 2 11" xfId="20359" xr:uid="{00000000-0005-0000-0000-00008B4F0000}"/>
    <cellStyle name="Normal 4 3 2 2 2 12" xfId="20360" xr:uid="{00000000-0005-0000-0000-00008C4F0000}"/>
    <cellStyle name="Normal 4 3 2 2 2 13" xfId="20361" xr:uid="{00000000-0005-0000-0000-00008D4F0000}"/>
    <cellStyle name="Normal 4 3 2 2 2 14" xfId="20362" xr:uid="{00000000-0005-0000-0000-00008E4F0000}"/>
    <cellStyle name="Normal 4 3 2 2 2 2" xfId="20363" xr:uid="{00000000-0005-0000-0000-00008F4F0000}"/>
    <cellStyle name="Normal 4 3 2 2 2 2 2" xfId="20364" xr:uid="{00000000-0005-0000-0000-0000904F0000}"/>
    <cellStyle name="Normal 4 3 2 2 2 2 3" xfId="20365" xr:uid="{00000000-0005-0000-0000-0000914F0000}"/>
    <cellStyle name="Normal 4 3 2 2 2 2 4" xfId="20366" xr:uid="{00000000-0005-0000-0000-0000924F0000}"/>
    <cellStyle name="Normal 4 3 2 2 2 2 5" xfId="20367" xr:uid="{00000000-0005-0000-0000-0000934F0000}"/>
    <cellStyle name="Normal 4 3 2 2 2 2 6" xfId="20368" xr:uid="{00000000-0005-0000-0000-0000944F0000}"/>
    <cellStyle name="Normal 4 3 2 2 2 3" xfId="20369" xr:uid="{00000000-0005-0000-0000-0000954F0000}"/>
    <cellStyle name="Normal 4 3 2 2 2 3 2" xfId="20370" xr:uid="{00000000-0005-0000-0000-0000964F0000}"/>
    <cellStyle name="Normal 4 3 2 2 2 3 3" xfId="20371" xr:uid="{00000000-0005-0000-0000-0000974F0000}"/>
    <cellStyle name="Normal 4 3 2 2 2 3 4" xfId="20372" xr:uid="{00000000-0005-0000-0000-0000984F0000}"/>
    <cellStyle name="Normal 4 3 2 2 2 3 5" xfId="20373" xr:uid="{00000000-0005-0000-0000-0000994F0000}"/>
    <cellStyle name="Normal 4 3 2 2 2 3 6" xfId="20374" xr:uid="{00000000-0005-0000-0000-00009A4F0000}"/>
    <cellStyle name="Normal 4 3 2 2 2 4" xfId="20375" xr:uid="{00000000-0005-0000-0000-00009B4F0000}"/>
    <cellStyle name="Normal 4 3 2 2 2 4 2" xfId="20376" xr:uid="{00000000-0005-0000-0000-00009C4F0000}"/>
    <cellStyle name="Normal 4 3 2 2 2 4 3" xfId="20377" xr:uid="{00000000-0005-0000-0000-00009D4F0000}"/>
    <cellStyle name="Normal 4 3 2 2 2 4 4" xfId="20378" xr:uid="{00000000-0005-0000-0000-00009E4F0000}"/>
    <cellStyle name="Normal 4 3 2 2 2 4 5" xfId="20379" xr:uid="{00000000-0005-0000-0000-00009F4F0000}"/>
    <cellStyle name="Normal 4 3 2 2 2 4 6" xfId="20380" xr:uid="{00000000-0005-0000-0000-0000A04F0000}"/>
    <cellStyle name="Normal 4 3 2 2 2 5" xfId="20381" xr:uid="{00000000-0005-0000-0000-0000A14F0000}"/>
    <cellStyle name="Normal 4 3 2 2 2 5 2" xfId="20382" xr:uid="{00000000-0005-0000-0000-0000A24F0000}"/>
    <cellStyle name="Normal 4 3 2 2 2 5 3" xfId="20383" xr:uid="{00000000-0005-0000-0000-0000A34F0000}"/>
    <cellStyle name="Normal 4 3 2 2 2 5 4" xfId="20384" xr:uid="{00000000-0005-0000-0000-0000A44F0000}"/>
    <cellStyle name="Normal 4 3 2 2 2 5 5" xfId="20385" xr:uid="{00000000-0005-0000-0000-0000A54F0000}"/>
    <cellStyle name="Normal 4 3 2 2 2 5 6" xfId="20386" xr:uid="{00000000-0005-0000-0000-0000A64F0000}"/>
    <cellStyle name="Normal 4 3 2 2 2 6" xfId="20387" xr:uid="{00000000-0005-0000-0000-0000A74F0000}"/>
    <cellStyle name="Normal 4 3 2 2 2 6 2" xfId="20388" xr:uid="{00000000-0005-0000-0000-0000A84F0000}"/>
    <cellStyle name="Normal 4 3 2 2 2 6 3" xfId="20389" xr:uid="{00000000-0005-0000-0000-0000A94F0000}"/>
    <cellStyle name="Normal 4 3 2 2 2 6 4" xfId="20390" xr:uid="{00000000-0005-0000-0000-0000AA4F0000}"/>
    <cellStyle name="Normal 4 3 2 2 2 6 5" xfId="20391" xr:uid="{00000000-0005-0000-0000-0000AB4F0000}"/>
    <cellStyle name="Normal 4 3 2 2 2 6 6" xfId="20392" xr:uid="{00000000-0005-0000-0000-0000AC4F0000}"/>
    <cellStyle name="Normal 4 3 2 2 2 7" xfId="20393" xr:uid="{00000000-0005-0000-0000-0000AD4F0000}"/>
    <cellStyle name="Normal 4 3 2 2 2 7 2" xfId="20394" xr:uid="{00000000-0005-0000-0000-0000AE4F0000}"/>
    <cellStyle name="Normal 4 3 2 2 2 7 3" xfId="20395" xr:uid="{00000000-0005-0000-0000-0000AF4F0000}"/>
    <cellStyle name="Normal 4 3 2 2 2 7 4" xfId="20396" xr:uid="{00000000-0005-0000-0000-0000B04F0000}"/>
    <cellStyle name="Normal 4 3 2 2 2 7 5" xfId="20397" xr:uid="{00000000-0005-0000-0000-0000B14F0000}"/>
    <cellStyle name="Normal 4 3 2 2 2 7 6" xfId="20398" xr:uid="{00000000-0005-0000-0000-0000B24F0000}"/>
    <cellStyle name="Normal 4 3 2 2 2 8" xfId="20399" xr:uid="{00000000-0005-0000-0000-0000B34F0000}"/>
    <cellStyle name="Normal 4 3 2 2 2 8 2" xfId="20400" xr:uid="{00000000-0005-0000-0000-0000B44F0000}"/>
    <cellStyle name="Normal 4 3 2 2 2 8 3" xfId="20401" xr:uid="{00000000-0005-0000-0000-0000B54F0000}"/>
    <cellStyle name="Normal 4 3 2 2 2 8 4" xfId="20402" xr:uid="{00000000-0005-0000-0000-0000B64F0000}"/>
    <cellStyle name="Normal 4 3 2 2 2 8 5" xfId="20403" xr:uid="{00000000-0005-0000-0000-0000B74F0000}"/>
    <cellStyle name="Normal 4 3 2 2 2 8 6" xfId="20404" xr:uid="{00000000-0005-0000-0000-0000B84F0000}"/>
    <cellStyle name="Normal 4 3 2 2 2 9" xfId="20405" xr:uid="{00000000-0005-0000-0000-0000B94F0000}"/>
    <cellStyle name="Normal 4 3 2 2 2 9 2" xfId="20406" xr:uid="{00000000-0005-0000-0000-0000BA4F0000}"/>
    <cellStyle name="Normal 4 3 2 2 2 9 3" xfId="20407" xr:uid="{00000000-0005-0000-0000-0000BB4F0000}"/>
    <cellStyle name="Normal 4 3 2 2 2 9 4" xfId="20408" xr:uid="{00000000-0005-0000-0000-0000BC4F0000}"/>
    <cellStyle name="Normal 4 3 2 2 2 9 5" xfId="20409" xr:uid="{00000000-0005-0000-0000-0000BD4F0000}"/>
    <cellStyle name="Normal 4 3 2 2 2 9 6" xfId="20410" xr:uid="{00000000-0005-0000-0000-0000BE4F0000}"/>
    <cellStyle name="Normal 4 3 2 2 3" xfId="20411" xr:uid="{00000000-0005-0000-0000-0000BF4F0000}"/>
    <cellStyle name="Normal 4 3 2 2 3 2" xfId="20412" xr:uid="{00000000-0005-0000-0000-0000C04F0000}"/>
    <cellStyle name="Normal 4 3 2 2 3 3" xfId="20413" xr:uid="{00000000-0005-0000-0000-0000C14F0000}"/>
    <cellStyle name="Normal 4 3 2 2 3 4" xfId="20414" xr:uid="{00000000-0005-0000-0000-0000C24F0000}"/>
    <cellStyle name="Normal 4 3 2 2 3 5" xfId="20415" xr:uid="{00000000-0005-0000-0000-0000C34F0000}"/>
    <cellStyle name="Normal 4 3 2 2 3 6" xfId="20416" xr:uid="{00000000-0005-0000-0000-0000C44F0000}"/>
    <cellStyle name="Normal 4 3 2 2 4" xfId="20417" xr:uid="{00000000-0005-0000-0000-0000C54F0000}"/>
    <cellStyle name="Normal 4 3 2 2 4 2" xfId="20418" xr:uid="{00000000-0005-0000-0000-0000C64F0000}"/>
    <cellStyle name="Normal 4 3 2 2 4 3" xfId="20419" xr:uid="{00000000-0005-0000-0000-0000C74F0000}"/>
    <cellStyle name="Normal 4 3 2 2 4 4" xfId="20420" xr:uid="{00000000-0005-0000-0000-0000C84F0000}"/>
    <cellStyle name="Normal 4 3 2 2 4 5" xfId="20421" xr:uid="{00000000-0005-0000-0000-0000C94F0000}"/>
    <cellStyle name="Normal 4 3 2 2 4 6" xfId="20422" xr:uid="{00000000-0005-0000-0000-0000CA4F0000}"/>
    <cellStyle name="Normal 4 3 2 2 5" xfId="20423" xr:uid="{00000000-0005-0000-0000-0000CB4F0000}"/>
    <cellStyle name="Normal 4 3 2 2 5 2" xfId="20424" xr:uid="{00000000-0005-0000-0000-0000CC4F0000}"/>
    <cellStyle name="Normal 4 3 2 2 5 3" xfId="20425" xr:uid="{00000000-0005-0000-0000-0000CD4F0000}"/>
    <cellStyle name="Normal 4 3 2 2 5 4" xfId="20426" xr:uid="{00000000-0005-0000-0000-0000CE4F0000}"/>
    <cellStyle name="Normal 4 3 2 2 5 5" xfId="20427" xr:uid="{00000000-0005-0000-0000-0000CF4F0000}"/>
    <cellStyle name="Normal 4 3 2 2 5 6" xfId="20428" xr:uid="{00000000-0005-0000-0000-0000D04F0000}"/>
    <cellStyle name="Normal 4 3 2 2 6" xfId="20429" xr:uid="{00000000-0005-0000-0000-0000D14F0000}"/>
    <cellStyle name="Normal 4 3 2 2 6 2" xfId="20430" xr:uid="{00000000-0005-0000-0000-0000D24F0000}"/>
    <cellStyle name="Normal 4 3 2 2 6 3" xfId="20431" xr:uid="{00000000-0005-0000-0000-0000D34F0000}"/>
    <cellStyle name="Normal 4 3 2 2 6 4" xfId="20432" xr:uid="{00000000-0005-0000-0000-0000D44F0000}"/>
    <cellStyle name="Normal 4 3 2 2 6 5" xfId="20433" xr:uid="{00000000-0005-0000-0000-0000D54F0000}"/>
    <cellStyle name="Normal 4 3 2 2 6 6" xfId="20434" xr:uid="{00000000-0005-0000-0000-0000D64F0000}"/>
    <cellStyle name="Normal 4 3 2 2 7" xfId="20435" xr:uid="{00000000-0005-0000-0000-0000D74F0000}"/>
    <cellStyle name="Normal 4 3 2 2 7 2" xfId="20436" xr:uid="{00000000-0005-0000-0000-0000D84F0000}"/>
    <cellStyle name="Normal 4 3 2 2 7 3" xfId="20437" xr:uid="{00000000-0005-0000-0000-0000D94F0000}"/>
    <cellStyle name="Normal 4 3 2 2 7 4" xfId="20438" xr:uid="{00000000-0005-0000-0000-0000DA4F0000}"/>
    <cellStyle name="Normal 4 3 2 2 7 5" xfId="20439" xr:uid="{00000000-0005-0000-0000-0000DB4F0000}"/>
    <cellStyle name="Normal 4 3 2 2 7 6" xfId="20440" xr:uid="{00000000-0005-0000-0000-0000DC4F0000}"/>
    <cellStyle name="Normal 4 3 2 2 8" xfId="20441" xr:uid="{00000000-0005-0000-0000-0000DD4F0000}"/>
    <cellStyle name="Normal 4 3 2 2 8 2" xfId="20442" xr:uid="{00000000-0005-0000-0000-0000DE4F0000}"/>
    <cellStyle name="Normal 4 3 2 2 8 3" xfId="20443" xr:uid="{00000000-0005-0000-0000-0000DF4F0000}"/>
    <cellStyle name="Normal 4 3 2 2 8 4" xfId="20444" xr:uid="{00000000-0005-0000-0000-0000E04F0000}"/>
    <cellStyle name="Normal 4 3 2 2 8 5" xfId="20445" xr:uid="{00000000-0005-0000-0000-0000E14F0000}"/>
    <cellStyle name="Normal 4 3 2 2 8 6" xfId="20446" xr:uid="{00000000-0005-0000-0000-0000E24F0000}"/>
    <cellStyle name="Normal 4 3 2 2 9" xfId="20447" xr:uid="{00000000-0005-0000-0000-0000E34F0000}"/>
    <cellStyle name="Normal 4 3 2 2 9 2" xfId="20448" xr:uid="{00000000-0005-0000-0000-0000E44F0000}"/>
    <cellStyle name="Normal 4 3 2 2 9 3" xfId="20449" xr:uid="{00000000-0005-0000-0000-0000E54F0000}"/>
    <cellStyle name="Normal 4 3 2 2 9 4" xfId="20450" xr:uid="{00000000-0005-0000-0000-0000E64F0000}"/>
    <cellStyle name="Normal 4 3 2 2 9 5" xfId="20451" xr:uid="{00000000-0005-0000-0000-0000E74F0000}"/>
    <cellStyle name="Normal 4 3 2 2 9 6" xfId="20452" xr:uid="{00000000-0005-0000-0000-0000E84F0000}"/>
    <cellStyle name="Normal 4 3 2 20" xfId="20453" xr:uid="{00000000-0005-0000-0000-0000E94F0000}"/>
    <cellStyle name="Normal 4 3 2 21" xfId="20454" xr:uid="{00000000-0005-0000-0000-0000EA4F0000}"/>
    <cellStyle name="Normal 4 3 2 22" xfId="20455" xr:uid="{00000000-0005-0000-0000-0000EB4F0000}"/>
    <cellStyle name="Normal 4 3 2 23" xfId="20456" xr:uid="{00000000-0005-0000-0000-0000EC4F0000}"/>
    <cellStyle name="Normal 4 3 2 24" xfId="20457" xr:uid="{00000000-0005-0000-0000-0000ED4F0000}"/>
    <cellStyle name="Normal 4 3 2 25" xfId="20458" xr:uid="{00000000-0005-0000-0000-0000EE4F0000}"/>
    <cellStyle name="Normal 4 3 2 26" xfId="20459" xr:uid="{00000000-0005-0000-0000-0000EF4F0000}"/>
    <cellStyle name="Normal 4 3 2 27" xfId="20460" xr:uid="{00000000-0005-0000-0000-0000F04F0000}"/>
    <cellStyle name="Normal 4 3 2 28" xfId="20461" xr:uid="{00000000-0005-0000-0000-0000F14F0000}"/>
    <cellStyle name="Normal 4 3 2 29" xfId="20462" xr:uid="{00000000-0005-0000-0000-0000F24F0000}"/>
    <cellStyle name="Normal 4 3 2 3" xfId="20463" xr:uid="{00000000-0005-0000-0000-0000F34F0000}"/>
    <cellStyle name="Normal 4 3 2 3 10" xfId="20464" xr:uid="{00000000-0005-0000-0000-0000F44F0000}"/>
    <cellStyle name="Normal 4 3 2 3 11" xfId="20465" xr:uid="{00000000-0005-0000-0000-0000F54F0000}"/>
    <cellStyle name="Normal 4 3 2 3 12" xfId="20466" xr:uid="{00000000-0005-0000-0000-0000F64F0000}"/>
    <cellStyle name="Normal 4 3 2 3 13" xfId="20467" xr:uid="{00000000-0005-0000-0000-0000F74F0000}"/>
    <cellStyle name="Normal 4 3 2 3 14" xfId="20468" xr:uid="{00000000-0005-0000-0000-0000F84F0000}"/>
    <cellStyle name="Normal 4 3 2 3 2" xfId="20469" xr:uid="{00000000-0005-0000-0000-0000F94F0000}"/>
    <cellStyle name="Normal 4 3 2 3 2 2" xfId="20470" xr:uid="{00000000-0005-0000-0000-0000FA4F0000}"/>
    <cellStyle name="Normal 4 3 2 3 2 3" xfId="20471" xr:uid="{00000000-0005-0000-0000-0000FB4F0000}"/>
    <cellStyle name="Normal 4 3 2 3 2 4" xfId="20472" xr:uid="{00000000-0005-0000-0000-0000FC4F0000}"/>
    <cellStyle name="Normal 4 3 2 3 2 5" xfId="20473" xr:uid="{00000000-0005-0000-0000-0000FD4F0000}"/>
    <cellStyle name="Normal 4 3 2 3 2 6" xfId="20474" xr:uid="{00000000-0005-0000-0000-0000FE4F0000}"/>
    <cellStyle name="Normal 4 3 2 3 3" xfId="20475" xr:uid="{00000000-0005-0000-0000-0000FF4F0000}"/>
    <cellStyle name="Normal 4 3 2 3 3 2" xfId="20476" xr:uid="{00000000-0005-0000-0000-000000500000}"/>
    <cellStyle name="Normal 4 3 2 3 3 3" xfId="20477" xr:uid="{00000000-0005-0000-0000-000001500000}"/>
    <cellStyle name="Normal 4 3 2 3 3 4" xfId="20478" xr:uid="{00000000-0005-0000-0000-000002500000}"/>
    <cellStyle name="Normal 4 3 2 3 3 5" xfId="20479" xr:uid="{00000000-0005-0000-0000-000003500000}"/>
    <cellStyle name="Normal 4 3 2 3 3 6" xfId="20480" xr:uid="{00000000-0005-0000-0000-000004500000}"/>
    <cellStyle name="Normal 4 3 2 3 4" xfId="20481" xr:uid="{00000000-0005-0000-0000-000005500000}"/>
    <cellStyle name="Normal 4 3 2 3 4 2" xfId="20482" xr:uid="{00000000-0005-0000-0000-000006500000}"/>
    <cellStyle name="Normal 4 3 2 3 4 3" xfId="20483" xr:uid="{00000000-0005-0000-0000-000007500000}"/>
    <cellStyle name="Normal 4 3 2 3 4 4" xfId="20484" xr:uid="{00000000-0005-0000-0000-000008500000}"/>
    <cellStyle name="Normal 4 3 2 3 4 5" xfId="20485" xr:uid="{00000000-0005-0000-0000-000009500000}"/>
    <cellStyle name="Normal 4 3 2 3 4 6" xfId="20486" xr:uid="{00000000-0005-0000-0000-00000A500000}"/>
    <cellStyle name="Normal 4 3 2 3 5" xfId="20487" xr:uid="{00000000-0005-0000-0000-00000B500000}"/>
    <cellStyle name="Normal 4 3 2 3 5 2" xfId="20488" xr:uid="{00000000-0005-0000-0000-00000C500000}"/>
    <cellStyle name="Normal 4 3 2 3 5 3" xfId="20489" xr:uid="{00000000-0005-0000-0000-00000D500000}"/>
    <cellStyle name="Normal 4 3 2 3 5 4" xfId="20490" xr:uid="{00000000-0005-0000-0000-00000E500000}"/>
    <cellStyle name="Normal 4 3 2 3 5 5" xfId="20491" xr:uid="{00000000-0005-0000-0000-00000F500000}"/>
    <cellStyle name="Normal 4 3 2 3 5 6" xfId="20492" xr:uid="{00000000-0005-0000-0000-000010500000}"/>
    <cellStyle name="Normal 4 3 2 3 6" xfId="20493" xr:uid="{00000000-0005-0000-0000-000011500000}"/>
    <cellStyle name="Normal 4 3 2 3 6 2" xfId="20494" xr:uid="{00000000-0005-0000-0000-000012500000}"/>
    <cellStyle name="Normal 4 3 2 3 6 3" xfId="20495" xr:uid="{00000000-0005-0000-0000-000013500000}"/>
    <cellStyle name="Normal 4 3 2 3 6 4" xfId="20496" xr:uid="{00000000-0005-0000-0000-000014500000}"/>
    <cellStyle name="Normal 4 3 2 3 6 5" xfId="20497" xr:uid="{00000000-0005-0000-0000-000015500000}"/>
    <cellStyle name="Normal 4 3 2 3 6 6" xfId="20498" xr:uid="{00000000-0005-0000-0000-000016500000}"/>
    <cellStyle name="Normal 4 3 2 3 7" xfId="20499" xr:uid="{00000000-0005-0000-0000-000017500000}"/>
    <cellStyle name="Normal 4 3 2 3 7 2" xfId="20500" xr:uid="{00000000-0005-0000-0000-000018500000}"/>
    <cellStyle name="Normal 4 3 2 3 7 3" xfId="20501" xr:uid="{00000000-0005-0000-0000-000019500000}"/>
    <cellStyle name="Normal 4 3 2 3 7 4" xfId="20502" xr:uid="{00000000-0005-0000-0000-00001A500000}"/>
    <cellStyle name="Normal 4 3 2 3 7 5" xfId="20503" xr:uid="{00000000-0005-0000-0000-00001B500000}"/>
    <cellStyle name="Normal 4 3 2 3 7 6" xfId="20504" xr:uid="{00000000-0005-0000-0000-00001C500000}"/>
    <cellStyle name="Normal 4 3 2 3 8" xfId="20505" xr:uid="{00000000-0005-0000-0000-00001D500000}"/>
    <cellStyle name="Normal 4 3 2 3 8 2" xfId="20506" xr:uid="{00000000-0005-0000-0000-00001E500000}"/>
    <cellStyle name="Normal 4 3 2 3 8 3" xfId="20507" xr:uid="{00000000-0005-0000-0000-00001F500000}"/>
    <cellStyle name="Normal 4 3 2 3 8 4" xfId="20508" xr:uid="{00000000-0005-0000-0000-000020500000}"/>
    <cellStyle name="Normal 4 3 2 3 8 5" xfId="20509" xr:uid="{00000000-0005-0000-0000-000021500000}"/>
    <cellStyle name="Normal 4 3 2 3 8 6" xfId="20510" xr:uid="{00000000-0005-0000-0000-000022500000}"/>
    <cellStyle name="Normal 4 3 2 3 9" xfId="20511" xr:uid="{00000000-0005-0000-0000-000023500000}"/>
    <cellStyle name="Normal 4 3 2 3 9 2" xfId="20512" xr:uid="{00000000-0005-0000-0000-000024500000}"/>
    <cellStyle name="Normal 4 3 2 3 9 3" xfId="20513" xr:uid="{00000000-0005-0000-0000-000025500000}"/>
    <cellStyle name="Normal 4 3 2 3 9 4" xfId="20514" xr:uid="{00000000-0005-0000-0000-000026500000}"/>
    <cellStyle name="Normal 4 3 2 3 9 5" xfId="20515" xr:uid="{00000000-0005-0000-0000-000027500000}"/>
    <cellStyle name="Normal 4 3 2 3 9 6" xfId="20516" xr:uid="{00000000-0005-0000-0000-000028500000}"/>
    <cellStyle name="Normal 4 3 2 30" xfId="20517" xr:uid="{00000000-0005-0000-0000-000029500000}"/>
    <cellStyle name="Normal 4 3 2 31" xfId="20518" xr:uid="{00000000-0005-0000-0000-00002A500000}"/>
    <cellStyle name="Normal 4 3 2 4" xfId="20519" xr:uid="{00000000-0005-0000-0000-00002B500000}"/>
    <cellStyle name="Normal 4 3 2 4 2" xfId="20520" xr:uid="{00000000-0005-0000-0000-00002C500000}"/>
    <cellStyle name="Normal 4 3 2 4 3" xfId="20521" xr:uid="{00000000-0005-0000-0000-00002D500000}"/>
    <cellStyle name="Normal 4 3 2 4 4" xfId="20522" xr:uid="{00000000-0005-0000-0000-00002E500000}"/>
    <cellStyle name="Normal 4 3 2 4 5" xfId="20523" xr:uid="{00000000-0005-0000-0000-00002F500000}"/>
    <cellStyle name="Normal 4 3 2 4 6" xfId="20524" xr:uid="{00000000-0005-0000-0000-000030500000}"/>
    <cellStyle name="Normal 4 3 2 5" xfId="20525" xr:uid="{00000000-0005-0000-0000-000031500000}"/>
    <cellStyle name="Normal 4 3 2 5 2" xfId="20526" xr:uid="{00000000-0005-0000-0000-000032500000}"/>
    <cellStyle name="Normal 4 3 2 5 3" xfId="20527" xr:uid="{00000000-0005-0000-0000-000033500000}"/>
    <cellStyle name="Normal 4 3 2 5 4" xfId="20528" xr:uid="{00000000-0005-0000-0000-000034500000}"/>
    <cellStyle name="Normal 4 3 2 5 5" xfId="20529" xr:uid="{00000000-0005-0000-0000-000035500000}"/>
    <cellStyle name="Normal 4 3 2 5 6" xfId="20530" xr:uid="{00000000-0005-0000-0000-000036500000}"/>
    <cellStyle name="Normal 4 3 2 6" xfId="20531" xr:uid="{00000000-0005-0000-0000-000037500000}"/>
    <cellStyle name="Normal 4 3 2 6 2" xfId="20532" xr:uid="{00000000-0005-0000-0000-000038500000}"/>
    <cellStyle name="Normal 4 3 2 6 3" xfId="20533" xr:uid="{00000000-0005-0000-0000-000039500000}"/>
    <cellStyle name="Normal 4 3 2 6 4" xfId="20534" xr:uid="{00000000-0005-0000-0000-00003A500000}"/>
    <cellStyle name="Normal 4 3 2 6 5" xfId="20535" xr:uid="{00000000-0005-0000-0000-00003B500000}"/>
    <cellStyle name="Normal 4 3 2 6 6" xfId="20536" xr:uid="{00000000-0005-0000-0000-00003C500000}"/>
    <cellStyle name="Normal 4 3 2 7" xfId="20537" xr:uid="{00000000-0005-0000-0000-00003D500000}"/>
    <cellStyle name="Normal 4 3 2 7 2" xfId="20538" xr:uid="{00000000-0005-0000-0000-00003E500000}"/>
    <cellStyle name="Normal 4 3 2 7 3" xfId="20539" xr:uid="{00000000-0005-0000-0000-00003F500000}"/>
    <cellStyle name="Normal 4 3 2 7 4" xfId="20540" xr:uid="{00000000-0005-0000-0000-000040500000}"/>
    <cellStyle name="Normal 4 3 2 7 5" xfId="20541" xr:uid="{00000000-0005-0000-0000-000041500000}"/>
    <cellStyle name="Normal 4 3 2 7 6" xfId="20542" xr:uid="{00000000-0005-0000-0000-000042500000}"/>
    <cellStyle name="Normal 4 3 2 8" xfId="20543" xr:uid="{00000000-0005-0000-0000-000043500000}"/>
    <cellStyle name="Normal 4 3 2 8 2" xfId="20544" xr:uid="{00000000-0005-0000-0000-000044500000}"/>
    <cellStyle name="Normal 4 3 2 8 3" xfId="20545" xr:uid="{00000000-0005-0000-0000-000045500000}"/>
    <cellStyle name="Normal 4 3 2 8 4" xfId="20546" xr:uid="{00000000-0005-0000-0000-000046500000}"/>
    <cellStyle name="Normal 4 3 2 8 5" xfId="20547" xr:uid="{00000000-0005-0000-0000-000047500000}"/>
    <cellStyle name="Normal 4 3 2 8 6" xfId="20548" xr:uid="{00000000-0005-0000-0000-000048500000}"/>
    <cellStyle name="Normal 4 3 2 9" xfId="20549" xr:uid="{00000000-0005-0000-0000-000049500000}"/>
    <cellStyle name="Normal 4 3 2 9 2" xfId="20550" xr:uid="{00000000-0005-0000-0000-00004A500000}"/>
    <cellStyle name="Normal 4 3 2 9 3" xfId="20551" xr:uid="{00000000-0005-0000-0000-00004B500000}"/>
    <cellStyle name="Normal 4 3 2 9 4" xfId="20552" xr:uid="{00000000-0005-0000-0000-00004C500000}"/>
    <cellStyle name="Normal 4 3 2 9 5" xfId="20553" xr:uid="{00000000-0005-0000-0000-00004D500000}"/>
    <cellStyle name="Normal 4 3 2 9 6" xfId="20554" xr:uid="{00000000-0005-0000-0000-00004E500000}"/>
    <cellStyle name="Normal 4 3 20" xfId="20555" xr:uid="{00000000-0005-0000-0000-00004F500000}"/>
    <cellStyle name="Normal 4 3 21" xfId="20556" xr:uid="{00000000-0005-0000-0000-000050500000}"/>
    <cellStyle name="Normal 4 3 22" xfId="20557" xr:uid="{00000000-0005-0000-0000-000051500000}"/>
    <cellStyle name="Normal 4 3 23" xfId="20558" xr:uid="{00000000-0005-0000-0000-000052500000}"/>
    <cellStyle name="Normal 4 3 24" xfId="20559" xr:uid="{00000000-0005-0000-0000-000053500000}"/>
    <cellStyle name="Normal 4 3 25" xfId="20560" xr:uid="{00000000-0005-0000-0000-000054500000}"/>
    <cellStyle name="Normal 4 3 26" xfId="20561" xr:uid="{00000000-0005-0000-0000-000055500000}"/>
    <cellStyle name="Normal 4 3 27" xfId="20562" xr:uid="{00000000-0005-0000-0000-000056500000}"/>
    <cellStyle name="Normal 4 3 28" xfId="20563" xr:uid="{00000000-0005-0000-0000-000057500000}"/>
    <cellStyle name="Normal 4 3 29" xfId="20564" xr:uid="{00000000-0005-0000-0000-000058500000}"/>
    <cellStyle name="Normal 4 3 3" xfId="20565" xr:uid="{00000000-0005-0000-0000-000059500000}"/>
    <cellStyle name="Normal 4 3 3 10" xfId="20566" xr:uid="{00000000-0005-0000-0000-00005A500000}"/>
    <cellStyle name="Normal 4 3 3 10 2" xfId="20567" xr:uid="{00000000-0005-0000-0000-00005B500000}"/>
    <cellStyle name="Normal 4 3 3 10 3" xfId="20568" xr:uid="{00000000-0005-0000-0000-00005C500000}"/>
    <cellStyle name="Normal 4 3 3 10 4" xfId="20569" xr:uid="{00000000-0005-0000-0000-00005D500000}"/>
    <cellStyle name="Normal 4 3 3 10 5" xfId="20570" xr:uid="{00000000-0005-0000-0000-00005E500000}"/>
    <cellStyle name="Normal 4 3 3 10 6" xfId="20571" xr:uid="{00000000-0005-0000-0000-00005F500000}"/>
    <cellStyle name="Normal 4 3 3 11" xfId="20572" xr:uid="{00000000-0005-0000-0000-000060500000}"/>
    <cellStyle name="Normal 4 3 3 11 2" xfId="20573" xr:uid="{00000000-0005-0000-0000-000061500000}"/>
    <cellStyle name="Normal 4 3 3 11 3" xfId="20574" xr:uid="{00000000-0005-0000-0000-000062500000}"/>
    <cellStyle name="Normal 4 3 3 11 4" xfId="20575" xr:uid="{00000000-0005-0000-0000-000063500000}"/>
    <cellStyle name="Normal 4 3 3 11 5" xfId="20576" xr:uid="{00000000-0005-0000-0000-000064500000}"/>
    <cellStyle name="Normal 4 3 3 11 6" xfId="20577" xr:uid="{00000000-0005-0000-0000-000065500000}"/>
    <cellStyle name="Normal 4 3 3 12" xfId="20578" xr:uid="{00000000-0005-0000-0000-000066500000}"/>
    <cellStyle name="Normal 4 3 3 13" xfId="20579" xr:uid="{00000000-0005-0000-0000-000067500000}"/>
    <cellStyle name="Normal 4 3 3 14" xfId="20580" xr:uid="{00000000-0005-0000-0000-000068500000}"/>
    <cellStyle name="Normal 4 3 3 15" xfId="20581" xr:uid="{00000000-0005-0000-0000-000069500000}"/>
    <cellStyle name="Normal 4 3 3 16" xfId="20582" xr:uid="{00000000-0005-0000-0000-00006A500000}"/>
    <cellStyle name="Normal 4 3 3 17" xfId="20583" xr:uid="{00000000-0005-0000-0000-00006B500000}"/>
    <cellStyle name="Normal 4 3 3 18" xfId="20584" xr:uid="{00000000-0005-0000-0000-00006C500000}"/>
    <cellStyle name="Normal 4 3 3 19" xfId="20585" xr:uid="{00000000-0005-0000-0000-00006D500000}"/>
    <cellStyle name="Normal 4 3 3 2" xfId="20586" xr:uid="{00000000-0005-0000-0000-00006E500000}"/>
    <cellStyle name="Normal 4 3 3 2 10" xfId="20587" xr:uid="{00000000-0005-0000-0000-00006F500000}"/>
    <cellStyle name="Normal 4 3 3 2 10 2" xfId="20588" xr:uid="{00000000-0005-0000-0000-000070500000}"/>
    <cellStyle name="Normal 4 3 3 2 10 3" xfId="20589" xr:uid="{00000000-0005-0000-0000-000071500000}"/>
    <cellStyle name="Normal 4 3 3 2 10 4" xfId="20590" xr:uid="{00000000-0005-0000-0000-000072500000}"/>
    <cellStyle name="Normal 4 3 3 2 10 5" xfId="20591" xr:uid="{00000000-0005-0000-0000-000073500000}"/>
    <cellStyle name="Normal 4 3 3 2 10 6" xfId="20592" xr:uid="{00000000-0005-0000-0000-000074500000}"/>
    <cellStyle name="Normal 4 3 3 2 11" xfId="20593" xr:uid="{00000000-0005-0000-0000-000075500000}"/>
    <cellStyle name="Normal 4 3 3 2 12" xfId="20594" xr:uid="{00000000-0005-0000-0000-000076500000}"/>
    <cellStyle name="Normal 4 3 3 2 13" xfId="20595" xr:uid="{00000000-0005-0000-0000-000077500000}"/>
    <cellStyle name="Normal 4 3 3 2 14" xfId="20596" xr:uid="{00000000-0005-0000-0000-000078500000}"/>
    <cellStyle name="Normal 4 3 3 2 15" xfId="20597" xr:uid="{00000000-0005-0000-0000-000079500000}"/>
    <cellStyle name="Normal 4 3 3 2 2" xfId="20598" xr:uid="{00000000-0005-0000-0000-00007A500000}"/>
    <cellStyle name="Normal 4 3 3 2 2 10" xfId="20599" xr:uid="{00000000-0005-0000-0000-00007B500000}"/>
    <cellStyle name="Normal 4 3 3 2 2 11" xfId="20600" xr:uid="{00000000-0005-0000-0000-00007C500000}"/>
    <cellStyle name="Normal 4 3 3 2 2 12" xfId="20601" xr:uid="{00000000-0005-0000-0000-00007D500000}"/>
    <cellStyle name="Normal 4 3 3 2 2 13" xfId="20602" xr:uid="{00000000-0005-0000-0000-00007E500000}"/>
    <cellStyle name="Normal 4 3 3 2 2 14" xfId="20603" xr:uid="{00000000-0005-0000-0000-00007F500000}"/>
    <cellStyle name="Normal 4 3 3 2 2 2" xfId="20604" xr:uid="{00000000-0005-0000-0000-000080500000}"/>
    <cellStyle name="Normal 4 3 3 2 2 2 2" xfId="20605" xr:uid="{00000000-0005-0000-0000-000081500000}"/>
    <cellStyle name="Normal 4 3 3 2 2 2 3" xfId="20606" xr:uid="{00000000-0005-0000-0000-000082500000}"/>
    <cellStyle name="Normal 4 3 3 2 2 2 4" xfId="20607" xr:uid="{00000000-0005-0000-0000-000083500000}"/>
    <cellStyle name="Normal 4 3 3 2 2 2 5" xfId="20608" xr:uid="{00000000-0005-0000-0000-000084500000}"/>
    <cellStyle name="Normal 4 3 3 2 2 2 6" xfId="20609" xr:uid="{00000000-0005-0000-0000-000085500000}"/>
    <cellStyle name="Normal 4 3 3 2 2 3" xfId="20610" xr:uid="{00000000-0005-0000-0000-000086500000}"/>
    <cellStyle name="Normal 4 3 3 2 2 3 2" xfId="20611" xr:uid="{00000000-0005-0000-0000-000087500000}"/>
    <cellStyle name="Normal 4 3 3 2 2 3 3" xfId="20612" xr:uid="{00000000-0005-0000-0000-000088500000}"/>
    <cellStyle name="Normal 4 3 3 2 2 3 4" xfId="20613" xr:uid="{00000000-0005-0000-0000-000089500000}"/>
    <cellStyle name="Normal 4 3 3 2 2 3 5" xfId="20614" xr:uid="{00000000-0005-0000-0000-00008A500000}"/>
    <cellStyle name="Normal 4 3 3 2 2 3 6" xfId="20615" xr:uid="{00000000-0005-0000-0000-00008B500000}"/>
    <cellStyle name="Normal 4 3 3 2 2 4" xfId="20616" xr:uid="{00000000-0005-0000-0000-00008C500000}"/>
    <cellStyle name="Normal 4 3 3 2 2 4 2" xfId="20617" xr:uid="{00000000-0005-0000-0000-00008D500000}"/>
    <cellStyle name="Normal 4 3 3 2 2 4 3" xfId="20618" xr:uid="{00000000-0005-0000-0000-00008E500000}"/>
    <cellStyle name="Normal 4 3 3 2 2 4 4" xfId="20619" xr:uid="{00000000-0005-0000-0000-00008F500000}"/>
    <cellStyle name="Normal 4 3 3 2 2 4 5" xfId="20620" xr:uid="{00000000-0005-0000-0000-000090500000}"/>
    <cellStyle name="Normal 4 3 3 2 2 4 6" xfId="20621" xr:uid="{00000000-0005-0000-0000-000091500000}"/>
    <cellStyle name="Normal 4 3 3 2 2 5" xfId="20622" xr:uid="{00000000-0005-0000-0000-000092500000}"/>
    <cellStyle name="Normal 4 3 3 2 2 5 2" xfId="20623" xr:uid="{00000000-0005-0000-0000-000093500000}"/>
    <cellStyle name="Normal 4 3 3 2 2 5 3" xfId="20624" xr:uid="{00000000-0005-0000-0000-000094500000}"/>
    <cellStyle name="Normal 4 3 3 2 2 5 4" xfId="20625" xr:uid="{00000000-0005-0000-0000-000095500000}"/>
    <cellStyle name="Normal 4 3 3 2 2 5 5" xfId="20626" xr:uid="{00000000-0005-0000-0000-000096500000}"/>
    <cellStyle name="Normal 4 3 3 2 2 5 6" xfId="20627" xr:uid="{00000000-0005-0000-0000-000097500000}"/>
    <cellStyle name="Normal 4 3 3 2 2 6" xfId="20628" xr:uid="{00000000-0005-0000-0000-000098500000}"/>
    <cellStyle name="Normal 4 3 3 2 2 6 2" xfId="20629" xr:uid="{00000000-0005-0000-0000-000099500000}"/>
    <cellStyle name="Normal 4 3 3 2 2 6 3" xfId="20630" xr:uid="{00000000-0005-0000-0000-00009A500000}"/>
    <cellStyle name="Normal 4 3 3 2 2 6 4" xfId="20631" xr:uid="{00000000-0005-0000-0000-00009B500000}"/>
    <cellStyle name="Normal 4 3 3 2 2 6 5" xfId="20632" xr:uid="{00000000-0005-0000-0000-00009C500000}"/>
    <cellStyle name="Normal 4 3 3 2 2 6 6" xfId="20633" xr:uid="{00000000-0005-0000-0000-00009D500000}"/>
    <cellStyle name="Normal 4 3 3 2 2 7" xfId="20634" xr:uid="{00000000-0005-0000-0000-00009E500000}"/>
    <cellStyle name="Normal 4 3 3 2 2 7 2" xfId="20635" xr:uid="{00000000-0005-0000-0000-00009F500000}"/>
    <cellStyle name="Normal 4 3 3 2 2 7 3" xfId="20636" xr:uid="{00000000-0005-0000-0000-0000A0500000}"/>
    <cellStyle name="Normal 4 3 3 2 2 7 4" xfId="20637" xr:uid="{00000000-0005-0000-0000-0000A1500000}"/>
    <cellStyle name="Normal 4 3 3 2 2 7 5" xfId="20638" xr:uid="{00000000-0005-0000-0000-0000A2500000}"/>
    <cellStyle name="Normal 4 3 3 2 2 7 6" xfId="20639" xr:uid="{00000000-0005-0000-0000-0000A3500000}"/>
    <cellStyle name="Normal 4 3 3 2 2 8" xfId="20640" xr:uid="{00000000-0005-0000-0000-0000A4500000}"/>
    <cellStyle name="Normal 4 3 3 2 2 8 2" xfId="20641" xr:uid="{00000000-0005-0000-0000-0000A5500000}"/>
    <cellStyle name="Normal 4 3 3 2 2 8 3" xfId="20642" xr:uid="{00000000-0005-0000-0000-0000A6500000}"/>
    <cellStyle name="Normal 4 3 3 2 2 8 4" xfId="20643" xr:uid="{00000000-0005-0000-0000-0000A7500000}"/>
    <cellStyle name="Normal 4 3 3 2 2 8 5" xfId="20644" xr:uid="{00000000-0005-0000-0000-0000A8500000}"/>
    <cellStyle name="Normal 4 3 3 2 2 8 6" xfId="20645" xr:uid="{00000000-0005-0000-0000-0000A9500000}"/>
    <cellStyle name="Normal 4 3 3 2 2 9" xfId="20646" xr:uid="{00000000-0005-0000-0000-0000AA500000}"/>
    <cellStyle name="Normal 4 3 3 2 2 9 2" xfId="20647" xr:uid="{00000000-0005-0000-0000-0000AB500000}"/>
    <cellStyle name="Normal 4 3 3 2 2 9 3" xfId="20648" xr:uid="{00000000-0005-0000-0000-0000AC500000}"/>
    <cellStyle name="Normal 4 3 3 2 2 9 4" xfId="20649" xr:uid="{00000000-0005-0000-0000-0000AD500000}"/>
    <cellStyle name="Normal 4 3 3 2 2 9 5" xfId="20650" xr:uid="{00000000-0005-0000-0000-0000AE500000}"/>
    <cellStyle name="Normal 4 3 3 2 2 9 6" xfId="20651" xr:uid="{00000000-0005-0000-0000-0000AF500000}"/>
    <cellStyle name="Normal 4 3 3 2 3" xfId="20652" xr:uid="{00000000-0005-0000-0000-0000B0500000}"/>
    <cellStyle name="Normal 4 3 3 2 3 2" xfId="20653" xr:uid="{00000000-0005-0000-0000-0000B1500000}"/>
    <cellStyle name="Normal 4 3 3 2 3 3" xfId="20654" xr:uid="{00000000-0005-0000-0000-0000B2500000}"/>
    <cellStyle name="Normal 4 3 3 2 3 4" xfId="20655" xr:uid="{00000000-0005-0000-0000-0000B3500000}"/>
    <cellStyle name="Normal 4 3 3 2 3 5" xfId="20656" xr:uid="{00000000-0005-0000-0000-0000B4500000}"/>
    <cellStyle name="Normal 4 3 3 2 3 6" xfId="20657" xr:uid="{00000000-0005-0000-0000-0000B5500000}"/>
    <cellStyle name="Normal 4 3 3 2 4" xfId="20658" xr:uid="{00000000-0005-0000-0000-0000B6500000}"/>
    <cellStyle name="Normal 4 3 3 2 4 2" xfId="20659" xr:uid="{00000000-0005-0000-0000-0000B7500000}"/>
    <cellStyle name="Normal 4 3 3 2 4 3" xfId="20660" xr:uid="{00000000-0005-0000-0000-0000B8500000}"/>
    <cellStyle name="Normal 4 3 3 2 4 4" xfId="20661" xr:uid="{00000000-0005-0000-0000-0000B9500000}"/>
    <cellStyle name="Normal 4 3 3 2 4 5" xfId="20662" xr:uid="{00000000-0005-0000-0000-0000BA500000}"/>
    <cellStyle name="Normal 4 3 3 2 4 6" xfId="20663" xr:uid="{00000000-0005-0000-0000-0000BB500000}"/>
    <cellStyle name="Normal 4 3 3 2 5" xfId="20664" xr:uid="{00000000-0005-0000-0000-0000BC500000}"/>
    <cellStyle name="Normal 4 3 3 2 5 2" xfId="20665" xr:uid="{00000000-0005-0000-0000-0000BD500000}"/>
    <cellStyle name="Normal 4 3 3 2 5 3" xfId="20666" xr:uid="{00000000-0005-0000-0000-0000BE500000}"/>
    <cellStyle name="Normal 4 3 3 2 5 4" xfId="20667" xr:uid="{00000000-0005-0000-0000-0000BF500000}"/>
    <cellStyle name="Normal 4 3 3 2 5 5" xfId="20668" xr:uid="{00000000-0005-0000-0000-0000C0500000}"/>
    <cellStyle name="Normal 4 3 3 2 5 6" xfId="20669" xr:uid="{00000000-0005-0000-0000-0000C1500000}"/>
    <cellStyle name="Normal 4 3 3 2 6" xfId="20670" xr:uid="{00000000-0005-0000-0000-0000C2500000}"/>
    <cellStyle name="Normal 4 3 3 2 6 2" xfId="20671" xr:uid="{00000000-0005-0000-0000-0000C3500000}"/>
    <cellStyle name="Normal 4 3 3 2 6 3" xfId="20672" xr:uid="{00000000-0005-0000-0000-0000C4500000}"/>
    <cellStyle name="Normal 4 3 3 2 6 4" xfId="20673" xr:uid="{00000000-0005-0000-0000-0000C5500000}"/>
    <cellStyle name="Normal 4 3 3 2 6 5" xfId="20674" xr:uid="{00000000-0005-0000-0000-0000C6500000}"/>
    <cellStyle name="Normal 4 3 3 2 6 6" xfId="20675" xr:uid="{00000000-0005-0000-0000-0000C7500000}"/>
    <cellStyle name="Normal 4 3 3 2 7" xfId="20676" xr:uid="{00000000-0005-0000-0000-0000C8500000}"/>
    <cellStyle name="Normal 4 3 3 2 7 2" xfId="20677" xr:uid="{00000000-0005-0000-0000-0000C9500000}"/>
    <cellStyle name="Normal 4 3 3 2 7 3" xfId="20678" xr:uid="{00000000-0005-0000-0000-0000CA500000}"/>
    <cellStyle name="Normal 4 3 3 2 7 4" xfId="20679" xr:uid="{00000000-0005-0000-0000-0000CB500000}"/>
    <cellStyle name="Normal 4 3 3 2 7 5" xfId="20680" xr:uid="{00000000-0005-0000-0000-0000CC500000}"/>
    <cellStyle name="Normal 4 3 3 2 7 6" xfId="20681" xr:uid="{00000000-0005-0000-0000-0000CD500000}"/>
    <cellStyle name="Normal 4 3 3 2 8" xfId="20682" xr:uid="{00000000-0005-0000-0000-0000CE500000}"/>
    <cellStyle name="Normal 4 3 3 2 8 2" xfId="20683" xr:uid="{00000000-0005-0000-0000-0000CF500000}"/>
    <cellStyle name="Normal 4 3 3 2 8 3" xfId="20684" xr:uid="{00000000-0005-0000-0000-0000D0500000}"/>
    <cellStyle name="Normal 4 3 3 2 8 4" xfId="20685" xr:uid="{00000000-0005-0000-0000-0000D1500000}"/>
    <cellStyle name="Normal 4 3 3 2 8 5" xfId="20686" xr:uid="{00000000-0005-0000-0000-0000D2500000}"/>
    <cellStyle name="Normal 4 3 3 2 8 6" xfId="20687" xr:uid="{00000000-0005-0000-0000-0000D3500000}"/>
    <cellStyle name="Normal 4 3 3 2 9" xfId="20688" xr:uid="{00000000-0005-0000-0000-0000D4500000}"/>
    <cellStyle name="Normal 4 3 3 2 9 2" xfId="20689" xr:uid="{00000000-0005-0000-0000-0000D5500000}"/>
    <cellStyle name="Normal 4 3 3 2 9 3" xfId="20690" xr:uid="{00000000-0005-0000-0000-0000D6500000}"/>
    <cellStyle name="Normal 4 3 3 2 9 4" xfId="20691" xr:uid="{00000000-0005-0000-0000-0000D7500000}"/>
    <cellStyle name="Normal 4 3 3 2 9 5" xfId="20692" xr:uid="{00000000-0005-0000-0000-0000D8500000}"/>
    <cellStyle name="Normal 4 3 3 2 9 6" xfId="20693" xr:uid="{00000000-0005-0000-0000-0000D9500000}"/>
    <cellStyle name="Normal 4 3 3 20" xfId="20694" xr:uid="{00000000-0005-0000-0000-0000DA500000}"/>
    <cellStyle name="Normal 4 3 3 21" xfId="20695" xr:uid="{00000000-0005-0000-0000-0000DB500000}"/>
    <cellStyle name="Normal 4 3 3 22" xfId="20696" xr:uid="{00000000-0005-0000-0000-0000DC500000}"/>
    <cellStyle name="Normal 4 3 3 23" xfId="20697" xr:uid="{00000000-0005-0000-0000-0000DD500000}"/>
    <cellStyle name="Normal 4 3 3 24" xfId="20698" xr:uid="{00000000-0005-0000-0000-0000DE500000}"/>
    <cellStyle name="Normal 4 3 3 25" xfId="20699" xr:uid="{00000000-0005-0000-0000-0000DF500000}"/>
    <cellStyle name="Normal 4 3 3 26" xfId="20700" xr:uid="{00000000-0005-0000-0000-0000E0500000}"/>
    <cellStyle name="Normal 4 3 3 27" xfId="20701" xr:uid="{00000000-0005-0000-0000-0000E1500000}"/>
    <cellStyle name="Normal 4 3 3 28" xfId="20702" xr:uid="{00000000-0005-0000-0000-0000E2500000}"/>
    <cellStyle name="Normal 4 3 3 29" xfId="20703" xr:uid="{00000000-0005-0000-0000-0000E3500000}"/>
    <cellStyle name="Normal 4 3 3 3" xfId="20704" xr:uid="{00000000-0005-0000-0000-0000E4500000}"/>
    <cellStyle name="Normal 4 3 3 3 10" xfId="20705" xr:uid="{00000000-0005-0000-0000-0000E5500000}"/>
    <cellStyle name="Normal 4 3 3 3 11" xfId="20706" xr:uid="{00000000-0005-0000-0000-0000E6500000}"/>
    <cellStyle name="Normal 4 3 3 3 12" xfId="20707" xr:uid="{00000000-0005-0000-0000-0000E7500000}"/>
    <cellStyle name="Normal 4 3 3 3 13" xfId="20708" xr:uid="{00000000-0005-0000-0000-0000E8500000}"/>
    <cellStyle name="Normal 4 3 3 3 14" xfId="20709" xr:uid="{00000000-0005-0000-0000-0000E9500000}"/>
    <cellStyle name="Normal 4 3 3 3 2" xfId="20710" xr:uid="{00000000-0005-0000-0000-0000EA500000}"/>
    <cellStyle name="Normal 4 3 3 3 2 2" xfId="20711" xr:uid="{00000000-0005-0000-0000-0000EB500000}"/>
    <cellStyle name="Normal 4 3 3 3 2 3" xfId="20712" xr:uid="{00000000-0005-0000-0000-0000EC500000}"/>
    <cellStyle name="Normal 4 3 3 3 2 4" xfId="20713" xr:uid="{00000000-0005-0000-0000-0000ED500000}"/>
    <cellStyle name="Normal 4 3 3 3 2 5" xfId="20714" xr:uid="{00000000-0005-0000-0000-0000EE500000}"/>
    <cellStyle name="Normal 4 3 3 3 2 6" xfId="20715" xr:uid="{00000000-0005-0000-0000-0000EF500000}"/>
    <cellStyle name="Normal 4 3 3 3 3" xfId="20716" xr:uid="{00000000-0005-0000-0000-0000F0500000}"/>
    <cellStyle name="Normal 4 3 3 3 3 2" xfId="20717" xr:uid="{00000000-0005-0000-0000-0000F1500000}"/>
    <cellStyle name="Normal 4 3 3 3 3 3" xfId="20718" xr:uid="{00000000-0005-0000-0000-0000F2500000}"/>
    <cellStyle name="Normal 4 3 3 3 3 4" xfId="20719" xr:uid="{00000000-0005-0000-0000-0000F3500000}"/>
    <cellStyle name="Normal 4 3 3 3 3 5" xfId="20720" xr:uid="{00000000-0005-0000-0000-0000F4500000}"/>
    <cellStyle name="Normal 4 3 3 3 3 6" xfId="20721" xr:uid="{00000000-0005-0000-0000-0000F5500000}"/>
    <cellStyle name="Normal 4 3 3 3 4" xfId="20722" xr:uid="{00000000-0005-0000-0000-0000F6500000}"/>
    <cellStyle name="Normal 4 3 3 3 4 2" xfId="20723" xr:uid="{00000000-0005-0000-0000-0000F7500000}"/>
    <cellStyle name="Normal 4 3 3 3 4 3" xfId="20724" xr:uid="{00000000-0005-0000-0000-0000F8500000}"/>
    <cellStyle name="Normal 4 3 3 3 4 4" xfId="20725" xr:uid="{00000000-0005-0000-0000-0000F9500000}"/>
    <cellStyle name="Normal 4 3 3 3 4 5" xfId="20726" xr:uid="{00000000-0005-0000-0000-0000FA500000}"/>
    <cellStyle name="Normal 4 3 3 3 4 6" xfId="20727" xr:uid="{00000000-0005-0000-0000-0000FB500000}"/>
    <cellStyle name="Normal 4 3 3 3 5" xfId="20728" xr:uid="{00000000-0005-0000-0000-0000FC500000}"/>
    <cellStyle name="Normal 4 3 3 3 5 2" xfId="20729" xr:uid="{00000000-0005-0000-0000-0000FD500000}"/>
    <cellStyle name="Normal 4 3 3 3 5 3" xfId="20730" xr:uid="{00000000-0005-0000-0000-0000FE500000}"/>
    <cellStyle name="Normal 4 3 3 3 5 4" xfId="20731" xr:uid="{00000000-0005-0000-0000-0000FF500000}"/>
    <cellStyle name="Normal 4 3 3 3 5 5" xfId="20732" xr:uid="{00000000-0005-0000-0000-000000510000}"/>
    <cellStyle name="Normal 4 3 3 3 5 6" xfId="20733" xr:uid="{00000000-0005-0000-0000-000001510000}"/>
    <cellStyle name="Normal 4 3 3 3 6" xfId="20734" xr:uid="{00000000-0005-0000-0000-000002510000}"/>
    <cellStyle name="Normal 4 3 3 3 6 2" xfId="20735" xr:uid="{00000000-0005-0000-0000-000003510000}"/>
    <cellStyle name="Normal 4 3 3 3 6 3" xfId="20736" xr:uid="{00000000-0005-0000-0000-000004510000}"/>
    <cellStyle name="Normal 4 3 3 3 6 4" xfId="20737" xr:uid="{00000000-0005-0000-0000-000005510000}"/>
    <cellStyle name="Normal 4 3 3 3 6 5" xfId="20738" xr:uid="{00000000-0005-0000-0000-000006510000}"/>
    <cellStyle name="Normal 4 3 3 3 6 6" xfId="20739" xr:uid="{00000000-0005-0000-0000-000007510000}"/>
    <cellStyle name="Normal 4 3 3 3 7" xfId="20740" xr:uid="{00000000-0005-0000-0000-000008510000}"/>
    <cellStyle name="Normal 4 3 3 3 7 2" xfId="20741" xr:uid="{00000000-0005-0000-0000-000009510000}"/>
    <cellStyle name="Normal 4 3 3 3 7 3" xfId="20742" xr:uid="{00000000-0005-0000-0000-00000A510000}"/>
    <cellStyle name="Normal 4 3 3 3 7 4" xfId="20743" xr:uid="{00000000-0005-0000-0000-00000B510000}"/>
    <cellStyle name="Normal 4 3 3 3 7 5" xfId="20744" xr:uid="{00000000-0005-0000-0000-00000C510000}"/>
    <cellStyle name="Normal 4 3 3 3 7 6" xfId="20745" xr:uid="{00000000-0005-0000-0000-00000D510000}"/>
    <cellStyle name="Normal 4 3 3 3 8" xfId="20746" xr:uid="{00000000-0005-0000-0000-00000E510000}"/>
    <cellStyle name="Normal 4 3 3 3 8 2" xfId="20747" xr:uid="{00000000-0005-0000-0000-00000F510000}"/>
    <cellStyle name="Normal 4 3 3 3 8 3" xfId="20748" xr:uid="{00000000-0005-0000-0000-000010510000}"/>
    <cellStyle name="Normal 4 3 3 3 8 4" xfId="20749" xr:uid="{00000000-0005-0000-0000-000011510000}"/>
    <cellStyle name="Normal 4 3 3 3 8 5" xfId="20750" xr:uid="{00000000-0005-0000-0000-000012510000}"/>
    <cellStyle name="Normal 4 3 3 3 8 6" xfId="20751" xr:uid="{00000000-0005-0000-0000-000013510000}"/>
    <cellStyle name="Normal 4 3 3 3 9" xfId="20752" xr:uid="{00000000-0005-0000-0000-000014510000}"/>
    <cellStyle name="Normal 4 3 3 3 9 2" xfId="20753" xr:uid="{00000000-0005-0000-0000-000015510000}"/>
    <cellStyle name="Normal 4 3 3 3 9 3" xfId="20754" xr:uid="{00000000-0005-0000-0000-000016510000}"/>
    <cellStyle name="Normal 4 3 3 3 9 4" xfId="20755" xr:uid="{00000000-0005-0000-0000-000017510000}"/>
    <cellStyle name="Normal 4 3 3 3 9 5" xfId="20756" xr:uid="{00000000-0005-0000-0000-000018510000}"/>
    <cellStyle name="Normal 4 3 3 3 9 6" xfId="20757" xr:uid="{00000000-0005-0000-0000-000019510000}"/>
    <cellStyle name="Normal 4 3 3 30" xfId="20758" xr:uid="{00000000-0005-0000-0000-00001A510000}"/>
    <cellStyle name="Normal 4 3 3 31" xfId="20759" xr:uid="{00000000-0005-0000-0000-00001B510000}"/>
    <cellStyle name="Normal 4 3 3 4" xfId="20760" xr:uid="{00000000-0005-0000-0000-00001C510000}"/>
    <cellStyle name="Normal 4 3 3 4 2" xfId="20761" xr:uid="{00000000-0005-0000-0000-00001D510000}"/>
    <cellStyle name="Normal 4 3 3 4 3" xfId="20762" xr:uid="{00000000-0005-0000-0000-00001E510000}"/>
    <cellStyle name="Normal 4 3 3 4 4" xfId="20763" xr:uid="{00000000-0005-0000-0000-00001F510000}"/>
    <cellStyle name="Normal 4 3 3 4 5" xfId="20764" xr:uid="{00000000-0005-0000-0000-000020510000}"/>
    <cellStyle name="Normal 4 3 3 4 6" xfId="20765" xr:uid="{00000000-0005-0000-0000-000021510000}"/>
    <cellStyle name="Normal 4 3 3 5" xfId="20766" xr:uid="{00000000-0005-0000-0000-000022510000}"/>
    <cellStyle name="Normal 4 3 3 5 2" xfId="20767" xr:uid="{00000000-0005-0000-0000-000023510000}"/>
    <cellStyle name="Normal 4 3 3 5 3" xfId="20768" xr:uid="{00000000-0005-0000-0000-000024510000}"/>
    <cellStyle name="Normal 4 3 3 5 4" xfId="20769" xr:uid="{00000000-0005-0000-0000-000025510000}"/>
    <cellStyle name="Normal 4 3 3 5 5" xfId="20770" xr:uid="{00000000-0005-0000-0000-000026510000}"/>
    <cellStyle name="Normal 4 3 3 5 6" xfId="20771" xr:uid="{00000000-0005-0000-0000-000027510000}"/>
    <cellStyle name="Normal 4 3 3 6" xfId="20772" xr:uid="{00000000-0005-0000-0000-000028510000}"/>
    <cellStyle name="Normal 4 3 3 6 2" xfId="20773" xr:uid="{00000000-0005-0000-0000-000029510000}"/>
    <cellStyle name="Normal 4 3 3 6 3" xfId="20774" xr:uid="{00000000-0005-0000-0000-00002A510000}"/>
    <cellStyle name="Normal 4 3 3 6 4" xfId="20775" xr:uid="{00000000-0005-0000-0000-00002B510000}"/>
    <cellStyle name="Normal 4 3 3 6 5" xfId="20776" xr:uid="{00000000-0005-0000-0000-00002C510000}"/>
    <cellStyle name="Normal 4 3 3 6 6" xfId="20777" xr:uid="{00000000-0005-0000-0000-00002D510000}"/>
    <cellStyle name="Normal 4 3 3 7" xfId="20778" xr:uid="{00000000-0005-0000-0000-00002E510000}"/>
    <cellStyle name="Normal 4 3 3 7 2" xfId="20779" xr:uid="{00000000-0005-0000-0000-00002F510000}"/>
    <cellStyle name="Normal 4 3 3 7 3" xfId="20780" xr:uid="{00000000-0005-0000-0000-000030510000}"/>
    <cellStyle name="Normal 4 3 3 7 4" xfId="20781" xr:uid="{00000000-0005-0000-0000-000031510000}"/>
    <cellStyle name="Normal 4 3 3 7 5" xfId="20782" xr:uid="{00000000-0005-0000-0000-000032510000}"/>
    <cellStyle name="Normal 4 3 3 7 6" xfId="20783" xr:uid="{00000000-0005-0000-0000-000033510000}"/>
    <cellStyle name="Normal 4 3 3 8" xfId="20784" xr:uid="{00000000-0005-0000-0000-000034510000}"/>
    <cellStyle name="Normal 4 3 3 8 2" xfId="20785" xr:uid="{00000000-0005-0000-0000-000035510000}"/>
    <cellStyle name="Normal 4 3 3 8 3" xfId="20786" xr:uid="{00000000-0005-0000-0000-000036510000}"/>
    <cellStyle name="Normal 4 3 3 8 4" xfId="20787" xr:uid="{00000000-0005-0000-0000-000037510000}"/>
    <cellStyle name="Normal 4 3 3 8 5" xfId="20788" xr:uid="{00000000-0005-0000-0000-000038510000}"/>
    <cellStyle name="Normal 4 3 3 8 6" xfId="20789" xr:uid="{00000000-0005-0000-0000-000039510000}"/>
    <cellStyle name="Normal 4 3 3 9" xfId="20790" xr:uid="{00000000-0005-0000-0000-00003A510000}"/>
    <cellStyle name="Normal 4 3 3 9 2" xfId="20791" xr:uid="{00000000-0005-0000-0000-00003B510000}"/>
    <cellStyle name="Normal 4 3 3 9 3" xfId="20792" xr:uid="{00000000-0005-0000-0000-00003C510000}"/>
    <cellStyle name="Normal 4 3 3 9 4" xfId="20793" xr:uid="{00000000-0005-0000-0000-00003D510000}"/>
    <cellStyle name="Normal 4 3 3 9 5" xfId="20794" xr:uid="{00000000-0005-0000-0000-00003E510000}"/>
    <cellStyle name="Normal 4 3 3 9 6" xfId="20795" xr:uid="{00000000-0005-0000-0000-00003F510000}"/>
    <cellStyle name="Normal 4 3 30" xfId="20796" xr:uid="{00000000-0005-0000-0000-000040510000}"/>
    <cellStyle name="Normal 4 3 31" xfId="20797" xr:uid="{00000000-0005-0000-0000-000041510000}"/>
    <cellStyle name="Normal 4 3 32" xfId="20798" xr:uid="{00000000-0005-0000-0000-000042510000}"/>
    <cellStyle name="Normal 4 3 33" xfId="20799" xr:uid="{00000000-0005-0000-0000-000043510000}"/>
    <cellStyle name="Normal 4 3 34" xfId="20800" xr:uid="{00000000-0005-0000-0000-000044510000}"/>
    <cellStyle name="Normal 4 3 35" xfId="20801" xr:uid="{00000000-0005-0000-0000-000045510000}"/>
    <cellStyle name="Normal 4 3 4" xfId="20802" xr:uid="{00000000-0005-0000-0000-000046510000}"/>
    <cellStyle name="Normal 4 3 4 10" xfId="20803" xr:uid="{00000000-0005-0000-0000-000047510000}"/>
    <cellStyle name="Normal 4 3 4 10 2" xfId="20804" xr:uid="{00000000-0005-0000-0000-000048510000}"/>
    <cellStyle name="Normal 4 3 4 10 3" xfId="20805" xr:uid="{00000000-0005-0000-0000-000049510000}"/>
    <cellStyle name="Normal 4 3 4 10 4" xfId="20806" xr:uid="{00000000-0005-0000-0000-00004A510000}"/>
    <cellStyle name="Normal 4 3 4 10 5" xfId="20807" xr:uid="{00000000-0005-0000-0000-00004B510000}"/>
    <cellStyle name="Normal 4 3 4 10 6" xfId="20808" xr:uid="{00000000-0005-0000-0000-00004C510000}"/>
    <cellStyle name="Normal 4 3 4 11" xfId="20809" xr:uid="{00000000-0005-0000-0000-00004D510000}"/>
    <cellStyle name="Normal 4 3 4 12" xfId="20810" xr:uid="{00000000-0005-0000-0000-00004E510000}"/>
    <cellStyle name="Normal 4 3 4 13" xfId="20811" xr:uid="{00000000-0005-0000-0000-00004F510000}"/>
    <cellStyle name="Normal 4 3 4 14" xfId="20812" xr:uid="{00000000-0005-0000-0000-000050510000}"/>
    <cellStyle name="Normal 4 3 4 15" xfId="20813" xr:uid="{00000000-0005-0000-0000-000051510000}"/>
    <cellStyle name="Normal 4 3 4 2" xfId="20814" xr:uid="{00000000-0005-0000-0000-000052510000}"/>
    <cellStyle name="Normal 4 3 4 2 10" xfId="20815" xr:uid="{00000000-0005-0000-0000-000053510000}"/>
    <cellStyle name="Normal 4 3 4 2 11" xfId="20816" xr:uid="{00000000-0005-0000-0000-000054510000}"/>
    <cellStyle name="Normal 4 3 4 2 12" xfId="20817" xr:uid="{00000000-0005-0000-0000-000055510000}"/>
    <cellStyle name="Normal 4 3 4 2 13" xfId="20818" xr:uid="{00000000-0005-0000-0000-000056510000}"/>
    <cellStyle name="Normal 4 3 4 2 14" xfId="20819" xr:uid="{00000000-0005-0000-0000-000057510000}"/>
    <cellStyle name="Normal 4 3 4 2 2" xfId="20820" xr:uid="{00000000-0005-0000-0000-000058510000}"/>
    <cellStyle name="Normal 4 3 4 2 2 2" xfId="20821" xr:uid="{00000000-0005-0000-0000-000059510000}"/>
    <cellStyle name="Normal 4 3 4 2 2 3" xfId="20822" xr:uid="{00000000-0005-0000-0000-00005A510000}"/>
    <cellStyle name="Normal 4 3 4 2 2 4" xfId="20823" xr:uid="{00000000-0005-0000-0000-00005B510000}"/>
    <cellStyle name="Normal 4 3 4 2 2 5" xfId="20824" xr:uid="{00000000-0005-0000-0000-00005C510000}"/>
    <cellStyle name="Normal 4 3 4 2 2 6" xfId="20825" xr:uid="{00000000-0005-0000-0000-00005D510000}"/>
    <cellStyle name="Normal 4 3 4 2 3" xfId="20826" xr:uid="{00000000-0005-0000-0000-00005E510000}"/>
    <cellStyle name="Normal 4 3 4 2 3 2" xfId="20827" xr:uid="{00000000-0005-0000-0000-00005F510000}"/>
    <cellStyle name="Normal 4 3 4 2 3 3" xfId="20828" xr:uid="{00000000-0005-0000-0000-000060510000}"/>
    <cellStyle name="Normal 4 3 4 2 3 4" xfId="20829" xr:uid="{00000000-0005-0000-0000-000061510000}"/>
    <cellStyle name="Normal 4 3 4 2 3 5" xfId="20830" xr:uid="{00000000-0005-0000-0000-000062510000}"/>
    <cellStyle name="Normal 4 3 4 2 3 6" xfId="20831" xr:uid="{00000000-0005-0000-0000-000063510000}"/>
    <cellStyle name="Normal 4 3 4 2 4" xfId="20832" xr:uid="{00000000-0005-0000-0000-000064510000}"/>
    <cellStyle name="Normal 4 3 4 2 4 2" xfId="20833" xr:uid="{00000000-0005-0000-0000-000065510000}"/>
    <cellStyle name="Normal 4 3 4 2 4 3" xfId="20834" xr:uid="{00000000-0005-0000-0000-000066510000}"/>
    <cellStyle name="Normal 4 3 4 2 4 4" xfId="20835" xr:uid="{00000000-0005-0000-0000-000067510000}"/>
    <cellStyle name="Normal 4 3 4 2 4 5" xfId="20836" xr:uid="{00000000-0005-0000-0000-000068510000}"/>
    <cellStyle name="Normal 4 3 4 2 4 6" xfId="20837" xr:uid="{00000000-0005-0000-0000-000069510000}"/>
    <cellStyle name="Normal 4 3 4 2 5" xfId="20838" xr:uid="{00000000-0005-0000-0000-00006A510000}"/>
    <cellStyle name="Normal 4 3 4 2 5 2" xfId="20839" xr:uid="{00000000-0005-0000-0000-00006B510000}"/>
    <cellStyle name="Normal 4 3 4 2 5 3" xfId="20840" xr:uid="{00000000-0005-0000-0000-00006C510000}"/>
    <cellStyle name="Normal 4 3 4 2 5 4" xfId="20841" xr:uid="{00000000-0005-0000-0000-00006D510000}"/>
    <cellStyle name="Normal 4 3 4 2 5 5" xfId="20842" xr:uid="{00000000-0005-0000-0000-00006E510000}"/>
    <cellStyle name="Normal 4 3 4 2 5 6" xfId="20843" xr:uid="{00000000-0005-0000-0000-00006F510000}"/>
    <cellStyle name="Normal 4 3 4 2 6" xfId="20844" xr:uid="{00000000-0005-0000-0000-000070510000}"/>
    <cellStyle name="Normal 4 3 4 2 6 2" xfId="20845" xr:uid="{00000000-0005-0000-0000-000071510000}"/>
    <cellStyle name="Normal 4 3 4 2 6 3" xfId="20846" xr:uid="{00000000-0005-0000-0000-000072510000}"/>
    <cellStyle name="Normal 4 3 4 2 6 4" xfId="20847" xr:uid="{00000000-0005-0000-0000-000073510000}"/>
    <cellStyle name="Normal 4 3 4 2 6 5" xfId="20848" xr:uid="{00000000-0005-0000-0000-000074510000}"/>
    <cellStyle name="Normal 4 3 4 2 6 6" xfId="20849" xr:uid="{00000000-0005-0000-0000-000075510000}"/>
    <cellStyle name="Normal 4 3 4 2 7" xfId="20850" xr:uid="{00000000-0005-0000-0000-000076510000}"/>
    <cellStyle name="Normal 4 3 4 2 7 2" xfId="20851" xr:uid="{00000000-0005-0000-0000-000077510000}"/>
    <cellStyle name="Normal 4 3 4 2 7 3" xfId="20852" xr:uid="{00000000-0005-0000-0000-000078510000}"/>
    <cellStyle name="Normal 4 3 4 2 7 4" xfId="20853" xr:uid="{00000000-0005-0000-0000-000079510000}"/>
    <cellStyle name="Normal 4 3 4 2 7 5" xfId="20854" xr:uid="{00000000-0005-0000-0000-00007A510000}"/>
    <cellStyle name="Normal 4 3 4 2 7 6" xfId="20855" xr:uid="{00000000-0005-0000-0000-00007B510000}"/>
    <cellStyle name="Normal 4 3 4 2 8" xfId="20856" xr:uid="{00000000-0005-0000-0000-00007C510000}"/>
    <cellStyle name="Normal 4 3 4 2 8 2" xfId="20857" xr:uid="{00000000-0005-0000-0000-00007D510000}"/>
    <cellStyle name="Normal 4 3 4 2 8 3" xfId="20858" xr:uid="{00000000-0005-0000-0000-00007E510000}"/>
    <cellStyle name="Normal 4 3 4 2 8 4" xfId="20859" xr:uid="{00000000-0005-0000-0000-00007F510000}"/>
    <cellStyle name="Normal 4 3 4 2 8 5" xfId="20860" xr:uid="{00000000-0005-0000-0000-000080510000}"/>
    <cellStyle name="Normal 4 3 4 2 8 6" xfId="20861" xr:uid="{00000000-0005-0000-0000-000081510000}"/>
    <cellStyle name="Normal 4 3 4 2 9" xfId="20862" xr:uid="{00000000-0005-0000-0000-000082510000}"/>
    <cellStyle name="Normal 4 3 4 2 9 2" xfId="20863" xr:uid="{00000000-0005-0000-0000-000083510000}"/>
    <cellStyle name="Normal 4 3 4 2 9 3" xfId="20864" xr:uid="{00000000-0005-0000-0000-000084510000}"/>
    <cellStyle name="Normal 4 3 4 2 9 4" xfId="20865" xr:uid="{00000000-0005-0000-0000-000085510000}"/>
    <cellStyle name="Normal 4 3 4 2 9 5" xfId="20866" xr:uid="{00000000-0005-0000-0000-000086510000}"/>
    <cellStyle name="Normal 4 3 4 2 9 6" xfId="20867" xr:uid="{00000000-0005-0000-0000-000087510000}"/>
    <cellStyle name="Normal 4 3 4 3" xfId="20868" xr:uid="{00000000-0005-0000-0000-000088510000}"/>
    <cellStyle name="Normal 4 3 4 3 2" xfId="20869" xr:uid="{00000000-0005-0000-0000-000089510000}"/>
    <cellStyle name="Normal 4 3 4 3 3" xfId="20870" xr:uid="{00000000-0005-0000-0000-00008A510000}"/>
    <cellStyle name="Normal 4 3 4 3 4" xfId="20871" xr:uid="{00000000-0005-0000-0000-00008B510000}"/>
    <cellStyle name="Normal 4 3 4 3 5" xfId="20872" xr:uid="{00000000-0005-0000-0000-00008C510000}"/>
    <cellStyle name="Normal 4 3 4 3 6" xfId="20873" xr:uid="{00000000-0005-0000-0000-00008D510000}"/>
    <cellStyle name="Normal 4 3 4 4" xfId="20874" xr:uid="{00000000-0005-0000-0000-00008E510000}"/>
    <cellStyle name="Normal 4 3 4 4 2" xfId="20875" xr:uid="{00000000-0005-0000-0000-00008F510000}"/>
    <cellStyle name="Normal 4 3 4 4 3" xfId="20876" xr:uid="{00000000-0005-0000-0000-000090510000}"/>
    <cellStyle name="Normal 4 3 4 4 4" xfId="20877" xr:uid="{00000000-0005-0000-0000-000091510000}"/>
    <cellStyle name="Normal 4 3 4 4 5" xfId="20878" xr:uid="{00000000-0005-0000-0000-000092510000}"/>
    <cellStyle name="Normal 4 3 4 4 6" xfId="20879" xr:uid="{00000000-0005-0000-0000-000093510000}"/>
    <cellStyle name="Normal 4 3 4 5" xfId="20880" xr:uid="{00000000-0005-0000-0000-000094510000}"/>
    <cellStyle name="Normal 4 3 4 5 2" xfId="20881" xr:uid="{00000000-0005-0000-0000-000095510000}"/>
    <cellStyle name="Normal 4 3 4 5 3" xfId="20882" xr:uid="{00000000-0005-0000-0000-000096510000}"/>
    <cellStyle name="Normal 4 3 4 5 4" xfId="20883" xr:uid="{00000000-0005-0000-0000-000097510000}"/>
    <cellStyle name="Normal 4 3 4 5 5" xfId="20884" xr:uid="{00000000-0005-0000-0000-000098510000}"/>
    <cellStyle name="Normal 4 3 4 5 6" xfId="20885" xr:uid="{00000000-0005-0000-0000-000099510000}"/>
    <cellStyle name="Normal 4 3 4 6" xfId="20886" xr:uid="{00000000-0005-0000-0000-00009A510000}"/>
    <cellStyle name="Normal 4 3 4 6 2" xfId="20887" xr:uid="{00000000-0005-0000-0000-00009B510000}"/>
    <cellStyle name="Normal 4 3 4 6 3" xfId="20888" xr:uid="{00000000-0005-0000-0000-00009C510000}"/>
    <cellStyle name="Normal 4 3 4 6 4" xfId="20889" xr:uid="{00000000-0005-0000-0000-00009D510000}"/>
    <cellStyle name="Normal 4 3 4 6 5" xfId="20890" xr:uid="{00000000-0005-0000-0000-00009E510000}"/>
    <cellStyle name="Normal 4 3 4 6 6" xfId="20891" xr:uid="{00000000-0005-0000-0000-00009F510000}"/>
    <cellStyle name="Normal 4 3 4 7" xfId="20892" xr:uid="{00000000-0005-0000-0000-0000A0510000}"/>
    <cellStyle name="Normal 4 3 4 7 2" xfId="20893" xr:uid="{00000000-0005-0000-0000-0000A1510000}"/>
    <cellStyle name="Normal 4 3 4 7 3" xfId="20894" xr:uid="{00000000-0005-0000-0000-0000A2510000}"/>
    <cellStyle name="Normal 4 3 4 7 4" xfId="20895" xr:uid="{00000000-0005-0000-0000-0000A3510000}"/>
    <cellStyle name="Normal 4 3 4 7 5" xfId="20896" xr:uid="{00000000-0005-0000-0000-0000A4510000}"/>
    <cellStyle name="Normal 4 3 4 7 6" xfId="20897" xr:uid="{00000000-0005-0000-0000-0000A5510000}"/>
    <cellStyle name="Normal 4 3 4 8" xfId="20898" xr:uid="{00000000-0005-0000-0000-0000A6510000}"/>
    <cellStyle name="Normal 4 3 4 8 2" xfId="20899" xr:uid="{00000000-0005-0000-0000-0000A7510000}"/>
    <cellStyle name="Normal 4 3 4 8 3" xfId="20900" xr:uid="{00000000-0005-0000-0000-0000A8510000}"/>
    <cellStyle name="Normal 4 3 4 8 4" xfId="20901" xr:uid="{00000000-0005-0000-0000-0000A9510000}"/>
    <cellStyle name="Normal 4 3 4 8 5" xfId="20902" xr:uid="{00000000-0005-0000-0000-0000AA510000}"/>
    <cellStyle name="Normal 4 3 4 8 6" xfId="20903" xr:uid="{00000000-0005-0000-0000-0000AB510000}"/>
    <cellStyle name="Normal 4 3 4 9" xfId="20904" xr:uid="{00000000-0005-0000-0000-0000AC510000}"/>
    <cellStyle name="Normal 4 3 4 9 2" xfId="20905" xr:uid="{00000000-0005-0000-0000-0000AD510000}"/>
    <cellStyle name="Normal 4 3 4 9 3" xfId="20906" xr:uid="{00000000-0005-0000-0000-0000AE510000}"/>
    <cellStyle name="Normal 4 3 4 9 4" xfId="20907" xr:uid="{00000000-0005-0000-0000-0000AF510000}"/>
    <cellStyle name="Normal 4 3 4 9 5" xfId="20908" xr:uid="{00000000-0005-0000-0000-0000B0510000}"/>
    <cellStyle name="Normal 4 3 4 9 6" xfId="20909" xr:uid="{00000000-0005-0000-0000-0000B1510000}"/>
    <cellStyle name="Normal 4 3 5" xfId="20910" xr:uid="{00000000-0005-0000-0000-0000B2510000}"/>
    <cellStyle name="Normal 4 3 5 10" xfId="20911" xr:uid="{00000000-0005-0000-0000-0000B3510000}"/>
    <cellStyle name="Normal 4 3 5 11" xfId="20912" xr:uid="{00000000-0005-0000-0000-0000B4510000}"/>
    <cellStyle name="Normal 4 3 5 12" xfId="20913" xr:uid="{00000000-0005-0000-0000-0000B5510000}"/>
    <cellStyle name="Normal 4 3 5 13" xfId="20914" xr:uid="{00000000-0005-0000-0000-0000B6510000}"/>
    <cellStyle name="Normal 4 3 5 14" xfId="20915" xr:uid="{00000000-0005-0000-0000-0000B7510000}"/>
    <cellStyle name="Normal 4 3 5 2" xfId="20916" xr:uid="{00000000-0005-0000-0000-0000B8510000}"/>
    <cellStyle name="Normal 4 3 5 2 2" xfId="20917" xr:uid="{00000000-0005-0000-0000-0000B9510000}"/>
    <cellStyle name="Normal 4 3 5 2 3" xfId="20918" xr:uid="{00000000-0005-0000-0000-0000BA510000}"/>
    <cellStyle name="Normal 4 3 5 2 4" xfId="20919" xr:uid="{00000000-0005-0000-0000-0000BB510000}"/>
    <cellStyle name="Normal 4 3 5 2 5" xfId="20920" xr:uid="{00000000-0005-0000-0000-0000BC510000}"/>
    <cellStyle name="Normal 4 3 5 2 6" xfId="20921" xr:uid="{00000000-0005-0000-0000-0000BD510000}"/>
    <cellStyle name="Normal 4 3 5 3" xfId="20922" xr:uid="{00000000-0005-0000-0000-0000BE510000}"/>
    <cellStyle name="Normal 4 3 5 3 2" xfId="20923" xr:uid="{00000000-0005-0000-0000-0000BF510000}"/>
    <cellStyle name="Normal 4 3 5 3 3" xfId="20924" xr:uid="{00000000-0005-0000-0000-0000C0510000}"/>
    <cellStyle name="Normal 4 3 5 3 4" xfId="20925" xr:uid="{00000000-0005-0000-0000-0000C1510000}"/>
    <cellStyle name="Normal 4 3 5 3 5" xfId="20926" xr:uid="{00000000-0005-0000-0000-0000C2510000}"/>
    <cellStyle name="Normal 4 3 5 3 6" xfId="20927" xr:uid="{00000000-0005-0000-0000-0000C3510000}"/>
    <cellStyle name="Normal 4 3 5 4" xfId="20928" xr:uid="{00000000-0005-0000-0000-0000C4510000}"/>
    <cellStyle name="Normal 4 3 5 4 2" xfId="20929" xr:uid="{00000000-0005-0000-0000-0000C5510000}"/>
    <cellStyle name="Normal 4 3 5 4 3" xfId="20930" xr:uid="{00000000-0005-0000-0000-0000C6510000}"/>
    <cellStyle name="Normal 4 3 5 4 4" xfId="20931" xr:uid="{00000000-0005-0000-0000-0000C7510000}"/>
    <cellStyle name="Normal 4 3 5 4 5" xfId="20932" xr:uid="{00000000-0005-0000-0000-0000C8510000}"/>
    <cellStyle name="Normal 4 3 5 4 6" xfId="20933" xr:uid="{00000000-0005-0000-0000-0000C9510000}"/>
    <cellStyle name="Normal 4 3 5 5" xfId="20934" xr:uid="{00000000-0005-0000-0000-0000CA510000}"/>
    <cellStyle name="Normal 4 3 5 5 2" xfId="20935" xr:uid="{00000000-0005-0000-0000-0000CB510000}"/>
    <cellStyle name="Normal 4 3 5 5 3" xfId="20936" xr:uid="{00000000-0005-0000-0000-0000CC510000}"/>
    <cellStyle name="Normal 4 3 5 5 4" xfId="20937" xr:uid="{00000000-0005-0000-0000-0000CD510000}"/>
    <cellStyle name="Normal 4 3 5 5 5" xfId="20938" xr:uid="{00000000-0005-0000-0000-0000CE510000}"/>
    <cellStyle name="Normal 4 3 5 5 6" xfId="20939" xr:uid="{00000000-0005-0000-0000-0000CF510000}"/>
    <cellStyle name="Normal 4 3 5 6" xfId="20940" xr:uid="{00000000-0005-0000-0000-0000D0510000}"/>
    <cellStyle name="Normal 4 3 5 6 2" xfId="20941" xr:uid="{00000000-0005-0000-0000-0000D1510000}"/>
    <cellStyle name="Normal 4 3 5 6 3" xfId="20942" xr:uid="{00000000-0005-0000-0000-0000D2510000}"/>
    <cellStyle name="Normal 4 3 5 6 4" xfId="20943" xr:uid="{00000000-0005-0000-0000-0000D3510000}"/>
    <cellStyle name="Normal 4 3 5 6 5" xfId="20944" xr:uid="{00000000-0005-0000-0000-0000D4510000}"/>
    <cellStyle name="Normal 4 3 5 6 6" xfId="20945" xr:uid="{00000000-0005-0000-0000-0000D5510000}"/>
    <cellStyle name="Normal 4 3 5 7" xfId="20946" xr:uid="{00000000-0005-0000-0000-0000D6510000}"/>
    <cellStyle name="Normal 4 3 5 7 2" xfId="20947" xr:uid="{00000000-0005-0000-0000-0000D7510000}"/>
    <cellStyle name="Normal 4 3 5 7 3" xfId="20948" xr:uid="{00000000-0005-0000-0000-0000D8510000}"/>
    <cellStyle name="Normal 4 3 5 7 4" xfId="20949" xr:uid="{00000000-0005-0000-0000-0000D9510000}"/>
    <cellStyle name="Normal 4 3 5 7 5" xfId="20950" xr:uid="{00000000-0005-0000-0000-0000DA510000}"/>
    <cellStyle name="Normal 4 3 5 7 6" xfId="20951" xr:uid="{00000000-0005-0000-0000-0000DB510000}"/>
    <cellStyle name="Normal 4 3 5 8" xfId="20952" xr:uid="{00000000-0005-0000-0000-0000DC510000}"/>
    <cellStyle name="Normal 4 3 5 8 2" xfId="20953" xr:uid="{00000000-0005-0000-0000-0000DD510000}"/>
    <cellStyle name="Normal 4 3 5 8 3" xfId="20954" xr:uid="{00000000-0005-0000-0000-0000DE510000}"/>
    <cellStyle name="Normal 4 3 5 8 4" xfId="20955" xr:uid="{00000000-0005-0000-0000-0000DF510000}"/>
    <cellStyle name="Normal 4 3 5 8 5" xfId="20956" xr:uid="{00000000-0005-0000-0000-0000E0510000}"/>
    <cellStyle name="Normal 4 3 5 8 6" xfId="20957" xr:uid="{00000000-0005-0000-0000-0000E1510000}"/>
    <cellStyle name="Normal 4 3 5 9" xfId="20958" xr:uid="{00000000-0005-0000-0000-0000E2510000}"/>
    <cellStyle name="Normal 4 3 5 9 2" xfId="20959" xr:uid="{00000000-0005-0000-0000-0000E3510000}"/>
    <cellStyle name="Normal 4 3 5 9 3" xfId="20960" xr:uid="{00000000-0005-0000-0000-0000E4510000}"/>
    <cellStyle name="Normal 4 3 5 9 4" xfId="20961" xr:uid="{00000000-0005-0000-0000-0000E5510000}"/>
    <cellStyle name="Normal 4 3 5 9 5" xfId="20962" xr:uid="{00000000-0005-0000-0000-0000E6510000}"/>
    <cellStyle name="Normal 4 3 5 9 6" xfId="20963" xr:uid="{00000000-0005-0000-0000-0000E7510000}"/>
    <cellStyle name="Normal 4 3 6" xfId="20964" xr:uid="{00000000-0005-0000-0000-0000E8510000}"/>
    <cellStyle name="Normal 4 3 6 2" xfId="20965" xr:uid="{00000000-0005-0000-0000-0000E9510000}"/>
    <cellStyle name="Normal 4 3 6 3" xfId="20966" xr:uid="{00000000-0005-0000-0000-0000EA510000}"/>
    <cellStyle name="Normal 4 3 6 4" xfId="20967" xr:uid="{00000000-0005-0000-0000-0000EB510000}"/>
    <cellStyle name="Normal 4 3 6 5" xfId="20968" xr:uid="{00000000-0005-0000-0000-0000EC510000}"/>
    <cellStyle name="Normal 4 3 6 6" xfId="20969" xr:uid="{00000000-0005-0000-0000-0000ED510000}"/>
    <cellStyle name="Normal 4 3 7" xfId="20970" xr:uid="{00000000-0005-0000-0000-0000EE510000}"/>
    <cellStyle name="Normal 4 3 7 2" xfId="20971" xr:uid="{00000000-0005-0000-0000-0000EF510000}"/>
    <cellStyle name="Normal 4 3 7 3" xfId="20972" xr:uid="{00000000-0005-0000-0000-0000F0510000}"/>
    <cellStyle name="Normal 4 3 7 4" xfId="20973" xr:uid="{00000000-0005-0000-0000-0000F1510000}"/>
    <cellStyle name="Normal 4 3 7 5" xfId="20974" xr:uid="{00000000-0005-0000-0000-0000F2510000}"/>
    <cellStyle name="Normal 4 3 7 6" xfId="20975" xr:uid="{00000000-0005-0000-0000-0000F3510000}"/>
    <cellStyle name="Normal 4 3 8" xfId="20976" xr:uid="{00000000-0005-0000-0000-0000F4510000}"/>
    <cellStyle name="Normal 4 3 8 2" xfId="20977" xr:uid="{00000000-0005-0000-0000-0000F5510000}"/>
    <cellStyle name="Normal 4 3 8 3" xfId="20978" xr:uid="{00000000-0005-0000-0000-0000F6510000}"/>
    <cellStyle name="Normal 4 3 8 4" xfId="20979" xr:uid="{00000000-0005-0000-0000-0000F7510000}"/>
    <cellStyle name="Normal 4 3 8 5" xfId="20980" xr:uid="{00000000-0005-0000-0000-0000F8510000}"/>
    <cellStyle name="Normal 4 3 8 6" xfId="20981" xr:uid="{00000000-0005-0000-0000-0000F9510000}"/>
    <cellStyle name="Normal 4 3 9" xfId="20982" xr:uid="{00000000-0005-0000-0000-0000FA510000}"/>
    <cellStyle name="Normal 4 3 9 2" xfId="20983" xr:uid="{00000000-0005-0000-0000-0000FB510000}"/>
    <cellStyle name="Normal 4 3 9 3" xfId="20984" xr:uid="{00000000-0005-0000-0000-0000FC510000}"/>
    <cellStyle name="Normal 4 3 9 4" xfId="20985" xr:uid="{00000000-0005-0000-0000-0000FD510000}"/>
    <cellStyle name="Normal 4 3 9 5" xfId="20986" xr:uid="{00000000-0005-0000-0000-0000FE510000}"/>
    <cellStyle name="Normal 4 3 9 6" xfId="20987" xr:uid="{00000000-0005-0000-0000-0000FF510000}"/>
    <cellStyle name="Normal 4 4" xfId="20988" xr:uid="{00000000-0005-0000-0000-000000520000}"/>
    <cellStyle name="Normal 4 4 10" xfId="20989" xr:uid="{00000000-0005-0000-0000-000001520000}"/>
    <cellStyle name="Normal 4 4 10 2" xfId="20990" xr:uid="{00000000-0005-0000-0000-000002520000}"/>
    <cellStyle name="Normal 4 4 10 3" xfId="20991" xr:uid="{00000000-0005-0000-0000-000003520000}"/>
    <cellStyle name="Normal 4 4 10 4" xfId="20992" xr:uid="{00000000-0005-0000-0000-000004520000}"/>
    <cellStyle name="Normal 4 4 10 5" xfId="20993" xr:uid="{00000000-0005-0000-0000-000005520000}"/>
    <cellStyle name="Normal 4 4 10 6" xfId="20994" xr:uid="{00000000-0005-0000-0000-000006520000}"/>
    <cellStyle name="Normal 4 4 11" xfId="20995" xr:uid="{00000000-0005-0000-0000-000007520000}"/>
    <cellStyle name="Normal 4 4 11 2" xfId="20996" xr:uid="{00000000-0005-0000-0000-000008520000}"/>
    <cellStyle name="Normal 4 4 11 3" xfId="20997" xr:uid="{00000000-0005-0000-0000-000009520000}"/>
    <cellStyle name="Normal 4 4 11 4" xfId="20998" xr:uid="{00000000-0005-0000-0000-00000A520000}"/>
    <cellStyle name="Normal 4 4 11 5" xfId="20999" xr:uid="{00000000-0005-0000-0000-00000B520000}"/>
    <cellStyle name="Normal 4 4 11 6" xfId="21000" xr:uid="{00000000-0005-0000-0000-00000C520000}"/>
    <cellStyle name="Normal 4 4 12" xfId="21001" xr:uid="{00000000-0005-0000-0000-00000D520000}"/>
    <cellStyle name="Normal 4 4 12 2" xfId="21002" xr:uid="{00000000-0005-0000-0000-00000E520000}"/>
    <cellStyle name="Normal 4 4 12 3" xfId="21003" xr:uid="{00000000-0005-0000-0000-00000F520000}"/>
    <cellStyle name="Normal 4 4 12 4" xfId="21004" xr:uid="{00000000-0005-0000-0000-000010520000}"/>
    <cellStyle name="Normal 4 4 12 5" xfId="21005" xr:uid="{00000000-0005-0000-0000-000011520000}"/>
    <cellStyle name="Normal 4 4 12 6" xfId="21006" xr:uid="{00000000-0005-0000-0000-000012520000}"/>
    <cellStyle name="Normal 4 4 13" xfId="21007" xr:uid="{00000000-0005-0000-0000-000013520000}"/>
    <cellStyle name="Normal 4 4 13 2" xfId="21008" xr:uid="{00000000-0005-0000-0000-000014520000}"/>
    <cellStyle name="Normal 4 4 13 3" xfId="21009" xr:uid="{00000000-0005-0000-0000-000015520000}"/>
    <cellStyle name="Normal 4 4 13 4" xfId="21010" xr:uid="{00000000-0005-0000-0000-000016520000}"/>
    <cellStyle name="Normal 4 4 13 5" xfId="21011" xr:uid="{00000000-0005-0000-0000-000017520000}"/>
    <cellStyle name="Normal 4 4 13 6" xfId="21012" xr:uid="{00000000-0005-0000-0000-000018520000}"/>
    <cellStyle name="Normal 4 4 14" xfId="21013" xr:uid="{00000000-0005-0000-0000-000019520000}"/>
    <cellStyle name="Normal 4 4 15" xfId="21014" xr:uid="{00000000-0005-0000-0000-00001A520000}"/>
    <cellStyle name="Normal 4 4 16" xfId="21015" xr:uid="{00000000-0005-0000-0000-00001B520000}"/>
    <cellStyle name="Normal 4 4 17" xfId="21016" xr:uid="{00000000-0005-0000-0000-00001C520000}"/>
    <cellStyle name="Normal 4 4 18" xfId="21017" xr:uid="{00000000-0005-0000-0000-00001D520000}"/>
    <cellStyle name="Normal 4 4 19" xfId="21018" xr:uid="{00000000-0005-0000-0000-00001E520000}"/>
    <cellStyle name="Normal 4 4 2" xfId="21019" xr:uid="{00000000-0005-0000-0000-00001F520000}"/>
    <cellStyle name="Normal 4 4 2 10" xfId="21020" xr:uid="{00000000-0005-0000-0000-000020520000}"/>
    <cellStyle name="Normal 4 4 2 10 2" xfId="21021" xr:uid="{00000000-0005-0000-0000-000021520000}"/>
    <cellStyle name="Normal 4 4 2 10 3" xfId="21022" xr:uid="{00000000-0005-0000-0000-000022520000}"/>
    <cellStyle name="Normal 4 4 2 10 4" xfId="21023" xr:uid="{00000000-0005-0000-0000-000023520000}"/>
    <cellStyle name="Normal 4 4 2 10 5" xfId="21024" xr:uid="{00000000-0005-0000-0000-000024520000}"/>
    <cellStyle name="Normal 4 4 2 10 6" xfId="21025" xr:uid="{00000000-0005-0000-0000-000025520000}"/>
    <cellStyle name="Normal 4 4 2 11" xfId="21026" xr:uid="{00000000-0005-0000-0000-000026520000}"/>
    <cellStyle name="Normal 4 4 2 11 2" xfId="21027" xr:uid="{00000000-0005-0000-0000-000027520000}"/>
    <cellStyle name="Normal 4 4 2 11 3" xfId="21028" xr:uid="{00000000-0005-0000-0000-000028520000}"/>
    <cellStyle name="Normal 4 4 2 11 4" xfId="21029" xr:uid="{00000000-0005-0000-0000-000029520000}"/>
    <cellStyle name="Normal 4 4 2 11 5" xfId="21030" xr:uid="{00000000-0005-0000-0000-00002A520000}"/>
    <cellStyle name="Normal 4 4 2 11 6" xfId="21031" xr:uid="{00000000-0005-0000-0000-00002B520000}"/>
    <cellStyle name="Normal 4 4 2 12" xfId="21032" xr:uid="{00000000-0005-0000-0000-00002C520000}"/>
    <cellStyle name="Normal 4 4 2 13" xfId="21033" xr:uid="{00000000-0005-0000-0000-00002D520000}"/>
    <cellStyle name="Normal 4 4 2 14" xfId="21034" xr:uid="{00000000-0005-0000-0000-00002E520000}"/>
    <cellStyle name="Normal 4 4 2 15" xfId="21035" xr:uid="{00000000-0005-0000-0000-00002F520000}"/>
    <cellStyle name="Normal 4 4 2 16" xfId="21036" xr:uid="{00000000-0005-0000-0000-000030520000}"/>
    <cellStyle name="Normal 4 4 2 17" xfId="21037" xr:uid="{00000000-0005-0000-0000-000031520000}"/>
    <cellStyle name="Normal 4 4 2 18" xfId="21038" xr:uid="{00000000-0005-0000-0000-000032520000}"/>
    <cellStyle name="Normal 4 4 2 19" xfId="21039" xr:uid="{00000000-0005-0000-0000-000033520000}"/>
    <cellStyle name="Normal 4 4 2 2" xfId="21040" xr:uid="{00000000-0005-0000-0000-000034520000}"/>
    <cellStyle name="Normal 4 4 2 2 10" xfId="21041" xr:uid="{00000000-0005-0000-0000-000035520000}"/>
    <cellStyle name="Normal 4 4 2 2 10 2" xfId="21042" xr:uid="{00000000-0005-0000-0000-000036520000}"/>
    <cellStyle name="Normal 4 4 2 2 10 3" xfId="21043" xr:uid="{00000000-0005-0000-0000-000037520000}"/>
    <cellStyle name="Normal 4 4 2 2 10 4" xfId="21044" xr:uid="{00000000-0005-0000-0000-000038520000}"/>
    <cellStyle name="Normal 4 4 2 2 10 5" xfId="21045" xr:uid="{00000000-0005-0000-0000-000039520000}"/>
    <cellStyle name="Normal 4 4 2 2 10 6" xfId="21046" xr:uid="{00000000-0005-0000-0000-00003A520000}"/>
    <cellStyle name="Normal 4 4 2 2 11" xfId="21047" xr:uid="{00000000-0005-0000-0000-00003B520000}"/>
    <cellStyle name="Normal 4 4 2 2 12" xfId="21048" xr:uid="{00000000-0005-0000-0000-00003C520000}"/>
    <cellStyle name="Normal 4 4 2 2 13" xfId="21049" xr:uid="{00000000-0005-0000-0000-00003D520000}"/>
    <cellStyle name="Normal 4 4 2 2 14" xfId="21050" xr:uid="{00000000-0005-0000-0000-00003E520000}"/>
    <cellStyle name="Normal 4 4 2 2 15" xfId="21051" xr:uid="{00000000-0005-0000-0000-00003F520000}"/>
    <cellStyle name="Normal 4 4 2 2 2" xfId="21052" xr:uid="{00000000-0005-0000-0000-000040520000}"/>
    <cellStyle name="Normal 4 4 2 2 2 10" xfId="21053" xr:uid="{00000000-0005-0000-0000-000041520000}"/>
    <cellStyle name="Normal 4 4 2 2 2 11" xfId="21054" xr:uid="{00000000-0005-0000-0000-000042520000}"/>
    <cellStyle name="Normal 4 4 2 2 2 12" xfId="21055" xr:uid="{00000000-0005-0000-0000-000043520000}"/>
    <cellStyle name="Normal 4 4 2 2 2 13" xfId="21056" xr:uid="{00000000-0005-0000-0000-000044520000}"/>
    <cellStyle name="Normal 4 4 2 2 2 14" xfId="21057" xr:uid="{00000000-0005-0000-0000-000045520000}"/>
    <cellStyle name="Normal 4 4 2 2 2 2" xfId="21058" xr:uid="{00000000-0005-0000-0000-000046520000}"/>
    <cellStyle name="Normal 4 4 2 2 2 2 2" xfId="21059" xr:uid="{00000000-0005-0000-0000-000047520000}"/>
    <cellStyle name="Normal 4 4 2 2 2 2 3" xfId="21060" xr:uid="{00000000-0005-0000-0000-000048520000}"/>
    <cellStyle name="Normal 4 4 2 2 2 2 4" xfId="21061" xr:uid="{00000000-0005-0000-0000-000049520000}"/>
    <cellStyle name="Normal 4 4 2 2 2 2 5" xfId="21062" xr:uid="{00000000-0005-0000-0000-00004A520000}"/>
    <cellStyle name="Normal 4 4 2 2 2 2 6" xfId="21063" xr:uid="{00000000-0005-0000-0000-00004B520000}"/>
    <cellStyle name="Normal 4 4 2 2 2 3" xfId="21064" xr:uid="{00000000-0005-0000-0000-00004C520000}"/>
    <cellStyle name="Normal 4 4 2 2 2 3 2" xfId="21065" xr:uid="{00000000-0005-0000-0000-00004D520000}"/>
    <cellStyle name="Normal 4 4 2 2 2 3 3" xfId="21066" xr:uid="{00000000-0005-0000-0000-00004E520000}"/>
    <cellStyle name="Normal 4 4 2 2 2 3 4" xfId="21067" xr:uid="{00000000-0005-0000-0000-00004F520000}"/>
    <cellStyle name="Normal 4 4 2 2 2 3 5" xfId="21068" xr:uid="{00000000-0005-0000-0000-000050520000}"/>
    <cellStyle name="Normal 4 4 2 2 2 3 6" xfId="21069" xr:uid="{00000000-0005-0000-0000-000051520000}"/>
    <cellStyle name="Normal 4 4 2 2 2 4" xfId="21070" xr:uid="{00000000-0005-0000-0000-000052520000}"/>
    <cellStyle name="Normal 4 4 2 2 2 4 2" xfId="21071" xr:uid="{00000000-0005-0000-0000-000053520000}"/>
    <cellStyle name="Normal 4 4 2 2 2 4 3" xfId="21072" xr:uid="{00000000-0005-0000-0000-000054520000}"/>
    <cellStyle name="Normal 4 4 2 2 2 4 4" xfId="21073" xr:uid="{00000000-0005-0000-0000-000055520000}"/>
    <cellStyle name="Normal 4 4 2 2 2 4 5" xfId="21074" xr:uid="{00000000-0005-0000-0000-000056520000}"/>
    <cellStyle name="Normal 4 4 2 2 2 4 6" xfId="21075" xr:uid="{00000000-0005-0000-0000-000057520000}"/>
    <cellStyle name="Normal 4 4 2 2 2 5" xfId="21076" xr:uid="{00000000-0005-0000-0000-000058520000}"/>
    <cellStyle name="Normal 4 4 2 2 2 5 2" xfId="21077" xr:uid="{00000000-0005-0000-0000-000059520000}"/>
    <cellStyle name="Normal 4 4 2 2 2 5 3" xfId="21078" xr:uid="{00000000-0005-0000-0000-00005A520000}"/>
    <cellStyle name="Normal 4 4 2 2 2 5 4" xfId="21079" xr:uid="{00000000-0005-0000-0000-00005B520000}"/>
    <cellStyle name="Normal 4 4 2 2 2 5 5" xfId="21080" xr:uid="{00000000-0005-0000-0000-00005C520000}"/>
    <cellStyle name="Normal 4 4 2 2 2 5 6" xfId="21081" xr:uid="{00000000-0005-0000-0000-00005D520000}"/>
    <cellStyle name="Normal 4 4 2 2 2 6" xfId="21082" xr:uid="{00000000-0005-0000-0000-00005E520000}"/>
    <cellStyle name="Normal 4 4 2 2 2 6 2" xfId="21083" xr:uid="{00000000-0005-0000-0000-00005F520000}"/>
    <cellStyle name="Normal 4 4 2 2 2 6 3" xfId="21084" xr:uid="{00000000-0005-0000-0000-000060520000}"/>
    <cellStyle name="Normal 4 4 2 2 2 6 4" xfId="21085" xr:uid="{00000000-0005-0000-0000-000061520000}"/>
    <cellStyle name="Normal 4 4 2 2 2 6 5" xfId="21086" xr:uid="{00000000-0005-0000-0000-000062520000}"/>
    <cellStyle name="Normal 4 4 2 2 2 6 6" xfId="21087" xr:uid="{00000000-0005-0000-0000-000063520000}"/>
    <cellStyle name="Normal 4 4 2 2 2 7" xfId="21088" xr:uid="{00000000-0005-0000-0000-000064520000}"/>
    <cellStyle name="Normal 4 4 2 2 2 7 2" xfId="21089" xr:uid="{00000000-0005-0000-0000-000065520000}"/>
    <cellStyle name="Normal 4 4 2 2 2 7 3" xfId="21090" xr:uid="{00000000-0005-0000-0000-000066520000}"/>
    <cellStyle name="Normal 4 4 2 2 2 7 4" xfId="21091" xr:uid="{00000000-0005-0000-0000-000067520000}"/>
    <cellStyle name="Normal 4 4 2 2 2 7 5" xfId="21092" xr:uid="{00000000-0005-0000-0000-000068520000}"/>
    <cellStyle name="Normal 4 4 2 2 2 7 6" xfId="21093" xr:uid="{00000000-0005-0000-0000-000069520000}"/>
    <cellStyle name="Normal 4 4 2 2 2 8" xfId="21094" xr:uid="{00000000-0005-0000-0000-00006A520000}"/>
    <cellStyle name="Normal 4 4 2 2 2 8 2" xfId="21095" xr:uid="{00000000-0005-0000-0000-00006B520000}"/>
    <cellStyle name="Normal 4 4 2 2 2 8 3" xfId="21096" xr:uid="{00000000-0005-0000-0000-00006C520000}"/>
    <cellStyle name="Normal 4 4 2 2 2 8 4" xfId="21097" xr:uid="{00000000-0005-0000-0000-00006D520000}"/>
    <cellStyle name="Normal 4 4 2 2 2 8 5" xfId="21098" xr:uid="{00000000-0005-0000-0000-00006E520000}"/>
    <cellStyle name="Normal 4 4 2 2 2 8 6" xfId="21099" xr:uid="{00000000-0005-0000-0000-00006F520000}"/>
    <cellStyle name="Normal 4 4 2 2 2 9" xfId="21100" xr:uid="{00000000-0005-0000-0000-000070520000}"/>
    <cellStyle name="Normal 4 4 2 2 2 9 2" xfId="21101" xr:uid="{00000000-0005-0000-0000-000071520000}"/>
    <cellStyle name="Normal 4 4 2 2 2 9 3" xfId="21102" xr:uid="{00000000-0005-0000-0000-000072520000}"/>
    <cellStyle name="Normal 4 4 2 2 2 9 4" xfId="21103" xr:uid="{00000000-0005-0000-0000-000073520000}"/>
    <cellStyle name="Normal 4 4 2 2 2 9 5" xfId="21104" xr:uid="{00000000-0005-0000-0000-000074520000}"/>
    <cellStyle name="Normal 4 4 2 2 2 9 6" xfId="21105" xr:uid="{00000000-0005-0000-0000-000075520000}"/>
    <cellStyle name="Normal 4 4 2 2 3" xfId="21106" xr:uid="{00000000-0005-0000-0000-000076520000}"/>
    <cellStyle name="Normal 4 4 2 2 3 2" xfId="21107" xr:uid="{00000000-0005-0000-0000-000077520000}"/>
    <cellStyle name="Normal 4 4 2 2 3 3" xfId="21108" xr:uid="{00000000-0005-0000-0000-000078520000}"/>
    <cellStyle name="Normal 4 4 2 2 3 4" xfId="21109" xr:uid="{00000000-0005-0000-0000-000079520000}"/>
    <cellStyle name="Normal 4 4 2 2 3 5" xfId="21110" xr:uid="{00000000-0005-0000-0000-00007A520000}"/>
    <cellStyle name="Normal 4 4 2 2 3 6" xfId="21111" xr:uid="{00000000-0005-0000-0000-00007B520000}"/>
    <cellStyle name="Normal 4 4 2 2 4" xfId="21112" xr:uid="{00000000-0005-0000-0000-00007C520000}"/>
    <cellStyle name="Normal 4 4 2 2 4 2" xfId="21113" xr:uid="{00000000-0005-0000-0000-00007D520000}"/>
    <cellStyle name="Normal 4 4 2 2 4 3" xfId="21114" xr:uid="{00000000-0005-0000-0000-00007E520000}"/>
    <cellStyle name="Normal 4 4 2 2 4 4" xfId="21115" xr:uid="{00000000-0005-0000-0000-00007F520000}"/>
    <cellStyle name="Normal 4 4 2 2 4 5" xfId="21116" xr:uid="{00000000-0005-0000-0000-000080520000}"/>
    <cellStyle name="Normal 4 4 2 2 4 6" xfId="21117" xr:uid="{00000000-0005-0000-0000-000081520000}"/>
    <cellStyle name="Normal 4 4 2 2 5" xfId="21118" xr:uid="{00000000-0005-0000-0000-000082520000}"/>
    <cellStyle name="Normal 4 4 2 2 5 2" xfId="21119" xr:uid="{00000000-0005-0000-0000-000083520000}"/>
    <cellStyle name="Normal 4 4 2 2 5 3" xfId="21120" xr:uid="{00000000-0005-0000-0000-000084520000}"/>
    <cellStyle name="Normal 4 4 2 2 5 4" xfId="21121" xr:uid="{00000000-0005-0000-0000-000085520000}"/>
    <cellStyle name="Normal 4 4 2 2 5 5" xfId="21122" xr:uid="{00000000-0005-0000-0000-000086520000}"/>
    <cellStyle name="Normal 4 4 2 2 5 6" xfId="21123" xr:uid="{00000000-0005-0000-0000-000087520000}"/>
    <cellStyle name="Normal 4 4 2 2 6" xfId="21124" xr:uid="{00000000-0005-0000-0000-000088520000}"/>
    <cellStyle name="Normal 4 4 2 2 6 2" xfId="21125" xr:uid="{00000000-0005-0000-0000-000089520000}"/>
    <cellStyle name="Normal 4 4 2 2 6 3" xfId="21126" xr:uid="{00000000-0005-0000-0000-00008A520000}"/>
    <cellStyle name="Normal 4 4 2 2 6 4" xfId="21127" xr:uid="{00000000-0005-0000-0000-00008B520000}"/>
    <cellStyle name="Normal 4 4 2 2 6 5" xfId="21128" xr:uid="{00000000-0005-0000-0000-00008C520000}"/>
    <cellStyle name="Normal 4 4 2 2 6 6" xfId="21129" xr:uid="{00000000-0005-0000-0000-00008D520000}"/>
    <cellStyle name="Normal 4 4 2 2 7" xfId="21130" xr:uid="{00000000-0005-0000-0000-00008E520000}"/>
    <cellStyle name="Normal 4 4 2 2 7 2" xfId="21131" xr:uid="{00000000-0005-0000-0000-00008F520000}"/>
    <cellStyle name="Normal 4 4 2 2 7 3" xfId="21132" xr:uid="{00000000-0005-0000-0000-000090520000}"/>
    <cellStyle name="Normal 4 4 2 2 7 4" xfId="21133" xr:uid="{00000000-0005-0000-0000-000091520000}"/>
    <cellStyle name="Normal 4 4 2 2 7 5" xfId="21134" xr:uid="{00000000-0005-0000-0000-000092520000}"/>
    <cellStyle name="Normal 4 4 2 2 7 6" xfId="21135" xr:uid="{00000000-0005-0000-0000-000093520000}"/>
    <cellStyle name="Normal 4 4 2 2 8" xfId="21136" xr:uid="{00000000-0005-0000-0000-000094520000}"/>
    <cellStyle name="Normal 4 4 2 2 8 2" xfId="21137" xr:uid="{00000000-0005-0000-0000-000095520000}"/>
    <cellStyle name="Normal 4 4 2 2 8 3" xfId="21138" xr:uid="{00000000-0005-0000-0000-000096520000}"/>
    <cellStyle name="Normal 4 4 2 2 8 4" xfId="21139" xr:uid="{00000000-0005-0000-0000-000097520000}"/>
    <cellStyle name="Normal 4 4 2 2 8 5" xfId="21140" xr:uid="{00000000-0005-0000-0000-000098520000}"/>
    <cellStyle name="Normal 4 4 2 2 8 6" xfId="21141" xr:uid="{00000000-0005-0000-0000-000099520000}"/>
    <cellStyle name="Normal 4 4 2 2 9" xfId="21142" xr:uid="{00000000-0005-0000-0000-00009A520000}"/>
    <cellStyle name="Normal 4 4 2 2 9 2" xfId="21143" xr:uid="{00000000-0005-0000-0000-00009B520000}"/>
    <cellStyle name="Normal 4 4 2 2 9 3" xfId="21144" xr:uid="{00000000-0005-0000-0000-00009C520000}"/>
    <cellStyle name="Normal 4 4 2 2 9 4" xfId="21145" xr:uid="{00000000-0005-0000-0000-00009D520000}"/>
    <cellStyle name="Normal 4 4 2 2 9 5" xfId="21146" xr:uid="{00000000-0005-0000-0000-00009E520000}"/>
    <cellStyle name="Normal 4 4 2 2 9 6" xfId="21147" xr:uid="{00000000-0005-0000-0000-00009F520000}"/>
    <cellStyle name="Normal 4 4 2 20" xfId="21148" xr:uid="{00000000-0005-0000-0000-0000A0520000}"/>
    <cellStyle name="Normal 4 4 2 21" xfId="21149" xr:uid="{00000000-0005-0000-0000-0000A1520000}"/>
    <cellStyle name="Normal 4 4 2 22" xfId="21150" xr:uid="{00000000-0005-0000-0000-0000A2520000}"/>
    <cellStyle name="Normal 4 4 2 23" xfId="21151" xr:uid="{00000000-0005-0000-0000-0000A3520000}"/>
    <cellStyle name="Normal 4 4 2 24" xfId="21152" xr:uid="{00000000-0005-0000-0000-0000A4520000}"/>
    <cellStyle name="Normal 4 4 2 25" xfId="21153" xr:uid="{00000000-0005-0000-0000-0000A5520000}"/>
    <cellStyle name="Normal 4 4 2 26" xfId="21154" xr:uid="{00000000-0005-0000-0000-0000A6520000}"/>
    <cellStyle name="Normal 4 4 2 27" xfId="21155" xr:uid="{00000000-0005-0000-0000-0000A7520000}"/>
    <cellStyle name="Normal 4 4 2 28" xfId="21156" xr:uid="{00000000-0005-0000-0000-0000A8520000}"/>
    <cellStyle name="Normal 4 4 2 29" xfId="21157" xr:uid="{00000000-0005-0000-0000-0000A9520000}"/>
    <cellStyle name="Normal 4 4 2 3" xfId="21158" xr:uid="{00000000-0005-0000-0000-0000AA520000}"/>
    <cellStyle name="Normal 4 4 2 3 10" xfId="21159" xr:uid="{00000000-0005-0000-0000-0000AB520000}"/>
    <cellStyle name="Normal 4 4 2 3 11" xfId="21160" xr:uid="{00000000-0005-0000-0000-0000AC520000}"/>
    <cellStyle name="Normal 4 4 2 3 12" xfId="21161" xr:uid="{00000000-0005-0000-0000-0000AD520000}"/>
    <cellStyle name="Normal 4 4 2 3 13" xfId="21162" xr:uid="{00000000-0005-0000-0000-0000AE520000}"/>
    <cellStyle name="Normal 4 4 2 3 14" xfId="21163" xr:uid="{00000000-0005-0000-0000-0000AF520000}"/>
    <cellStyle name="Normal 4 4 2 3 2" xfId="21164" xr:uid="{00000000-0005-0000-0000-0000B0520000}"/>
    <cellStyle name="Normal 4 4 2 3 2 2" xfId="21165" xr:uid="{00000000-0005-0000-0000-0000B1520000}"/>
    <cellStyle name="Normal 4 4 2 3 2 3" xfId="21166" xr:uid="{00000000-0005-0000-0000-0000B2520000}"/>
    <cellStyle name="Normal 4 4 2 3 2 4" xfId="21167" xr:uid="{00000000-0005-0000-0000-0000B3520000}"/>
    <cellStyle name="Normal 4 4 2 3 2 5" xfId="21168" xr:uid="{00000000-0005-0000-0000-0000B4520000}"/>
    <cellStyle name="Normal 4 4 2 3 2 6" xfId="21169" xr:uid="{00000000-0005-0000-0000-0000B5520000}"/>
    <cellStyle name="Normal 4 4 2 3 3" xfId="21170" xr:uid="{00000000-0005-0000-0000-0000B6520000}"/>
    <cellStyle name="Normal 4 4 2 3 3 2" xfId="21171" xr:uid="{00000000-0005-0000-0000-0000B7520000}"/>
    <cellStyle name="Normal 4 4 2 3 3 3" xfId="21172" xr:uid="{00000000-0005-0000-0000-0000B8520000}"/>
    <cellStyle name="Normal 4 4 2 3 3 4" xfId="21173" xr:uid="{00000000-0005-0000-0000-0000B9520000}"/>
    <cellStyle name="Normal 4 4 2 3 3 5" xfId="21174" xr:uid="{00000000-0005-0000-0000-0000BA520000}"/>
    <cellStyle name="Normal 4 4 2 3 3 6" xfId="21175" xr:uid="{00000000-0005-0000-0000-0000BB520000}"/>
    <cellStyle name="Normal 4 4 2 3 4" xfId="21176" xr:uid="{00000000-0005-0000-0000-0000BC520000}"/>
    <cellStyle name="Normal 4 4 2 3 4 2" xfId="21177" xr:uid="{00000000-0005-0000-0000-0000BD520000}"/>
    <cellStyle name="Normal 4 4 2 3 4 3" xfId="21178" xr:uid="{00000000-0005-0000-0000-0000BE520000}"/>
    <cellStyle name="Normal 4 4 2 3 4 4" xfId="21179" xr:uid="{00000000-0005-0000-0000-0000BF520000}"/>
    <cellStyle name="Normal 4 4 2 3 4 5" xfId="21180" xr:uid="{00000000-0005-0000-0000-0000C0520000}"/>
    <cellStyle name="Normal 4 4 2 3 4 6" xfId="21181" xr:uid="{00000000-0005-0000-0000-0000C1520000}"/>
    <cellStyle name="Normal 4 4 2 3 5" xfId="21182" xr:uid="{00000000-0005-0000-0000-0000C2520000}"/>
    <cellStyle name="Normal 4 4 2 3 5 2" xfId="21183" xr:uid="{00000000-0005-0000-0000-0000C3520000}"/>
    <cellStyle name="Normal 4 4 2 3 5 3" xfId="21184" xr:uid="{00000000-0005-0000-0000-0000C4520000}"/>
    <cellStyle name="Normal 4 4 2 3 5 4" xfId="21185" xr:uid="{00000000-0005-0000-0000-0000C5520000}"/>
    <cellStyle name="Normal 4 4 2 3 5 5" xfId="21186" xr:uid="{00000000-0005-0000-0000-0000C6520000}"/>
    <cellStyle name="Normal 4 4 2 3 5 6" xfId="21187" xr:uid="{00000000-0005-0000-0000-0000C7520000}"/>
    <cellStyle name="Normal 4 4 2 3 6" xfId="21188" xr:uid="{00000000-0005-0000-0000-0000C8520000}"/>
    <cellStyle name="Normal 4 4 2 3 6 2" xfId="21189" xr:uid="{00000000-0005-0000-0000-0000C9520000}"/>
    <cellStyle name="Normal 4 4 2 3 6 3" xfId="21190" xr:uid="{00000000-0005-0000-0000-0000CA520000}"/>
    <cellStyle name="Normal 4 4 2 3 6 4" xfId="21191" xr:uid="{00000000-0005-0000-0000-0000CB520000}"/>
    <cellStyle name="Normal 4 4 2 3 6 5" xfId="21192" xr:uid="{00000000-0005-0000-0000-0000CC520000}"/>
    <cellStyle name="Normal 4 4 2 3 6 6" xfId="21193" xr:uid="{00000000-0005-0000-0000-0000CD520000}"/>
    <cellStyle name="Normal 4 4 2 3 7" xfId="21194" xr:uid="{00000000-0005-0000-0000-0000CE520000}"/>
    <cellStyle name="Normal 4 4 2 3 7 2" xfId="21195" xr:uid="{00000000-0005-0000-0000-0000CF520000}"/>
    <cellStyle name="Normal 4 4 2 3 7 3" xfId="21196" xr:uid="{00000000-0005-0000-0000-0000D0520000}"/>
    <cellStyle name="Normal 4 4 2 3 7 4" xfId="21197" xr:uid="{00000000-0005-0000-0000-0000D1520000}"/>
    <cellStyle name="Normal 4 4 2 3 7 5" xfId="21198" xr:uid="{00000000-0005-0000-0000-0000D2520000}"/>
    <cellStyle name="Normal 4 4 2 3 7 6" xfId="21199" xr:uid="{00000000-0005-0000-0000-0000D3520000}"/>
    <cellStyle name="Normal 4 4 2 3 8" xfId="21200" xr:uid="{00000000-0005-0000-0000-0000D4520000}"/>
    <cellStyle name="Normal 4 4 2 3 8 2" xfId="21201" xr:uid="{00000000-0005-0000-0000-0000D5520000}"/>
    <cellStyle name="Normal 4 4 2 3 8 3" xfId="21202" xr:uid="{00000000-0005-0000-0000-0000D6520000}"/>
    <cellStyle name="Normal 4 4 2 3 8 4" xfId="21203" xr:uid="{00000000-0005-0000-0000-0000D7520000}"/>
    <cellStyle name="Normal 4 4 2 3 8 5" xfId="21204" xr:uid="{00000000-0005-0000-0000-0000D8520000}"/>
    <cellStyle name="Normal 4 4 2 3 8 6" xfId="21205" xr:uid="{00000000-0005-0000-0000-0000D9520000}"/>
    <cellStyle name="Normal 4 4 2 3 9" xfId="21206" xr:uid="{00000000-0005-0000-0000-0000DA520000}"/>
    <cellStyle name="Normal 4 4 2 3 9 2" xfId="21207" xr:uid="{00000000-0005-0000-0000-0000DB520000}"/>
    <cellStyle name="Normal 4 4 2 3 9 3" xfId="21208" xr:uid="{00000000-0005-0000-0000-0000DC520000}"/>
    <cellStyle name="Normal 4 4 2 3 9 4" xfId="21209" xr:uid="{00000000-0005-0000-0000-0000DD520000}"/>
    <cellStyle name="Normal 4 4 2 3 9 5" xfId="21210" xr:uid="{00000000-0005-0000-0000-0000DE520000}"/>
    <cellStyle name="Normal 4 4 2 3 9 6" xfId="21211" xr:uid="{00000000-0005-0000-0000-0000DF520000}"/>
    <cellStyle name="Normal 4 4 2 30" xfId="21212" xr:uid="{00000000-0005-0000-0000-0000E0520000}"/>
    <cellStyle name="Normal 4 4 2 31" xfId="21213" xr:uid="{00000000-0005-0000-0000-0000E1520000}"/>
    <cellStyle name="Normal 4 4 2 4" xfId="21214" xr:uid="{00000000-0005-0000-0000-0000E2520000}"/>
    <cellStyle name="Normal 4 4 2 4 2" xfId="21215" xr:uid="{00000000-0005-0000-0000-0000E3520000}"/>
    <cellStyle name="Normal 4 4 2 4 3" xfId="21216" xr:uid="{00000000-0005-0000-0000-0000E4520000}"/>
    <cellStyle name="Normal 4 4 2 4 4" xfId="21217" xr:uid="{00000000-0005-0000-0000-0000E5520000}"/>
    <cellStyle name="Normal 4 4 2 4 5" xfId="21218" xr:uid="{00000000-0005-0000-0000-0000E6520000}"/>
    <cellStyle name="Normal 4 4 2 4 6" xfId="21219" xr:uid="{00000000-0005-0000-0000-0000E7520000}"/>
    <cellStyle name="Normal 4 4 2 5" xfId="21220" xr:uid="{00000000-0005-0000-0000-0000E8520000}"/>
    <cellStyle name="Normal 4 4 2 5 2" xfId="21221" xr:uid="{00000000-0005-0000-0000-0000E9520000}"/>
    <cellStyle name="Normal 4 4 2 5 3" xfId="21222" xr:uid="{00000000-0005-0000-0000-0000EA520000}"/>
    <cellStyle name="Normal 4 4 2 5 4" xfId="21223" xr:uid="{00000000-0005-0000-0000-0000EB520000}"/>
    <cellStyle name="Normal 4 4 2 5 5" xfId="21224" xr:uid="{00000000-0005-0000-0000-0000EC520000}"/>
    <cellStyle name="Normal 4 4 2 5 6" xfId="21225" xr:uid="{00000000-0005-0000-0000-0000ED520000}"/>
    <cellStyle name="Normal 4 4 2 6" xfId="21226" xr:uid="{00000000-0005-0000-0000-0000EE520000}"/>
    <cellStyle name="Normal 4 4 2 6 2" xfId="21227" xr:uid="{00000000-0005-0000-0000-0000EF520000}"/>
    <cellStyle name="Normal 4 4 2 6 3" xfId="21228" xr:uid="{00000000-0005-0000-0000-0000F0520000}"/>
    <cellStyle name="Normal 4 4 2 6 4" xfId="21229" xr:uid="{00000000-0005-0000-0000-0000F1520000}"/>
    <cellStyle name="Normal 4 4 2 6 5" xfId="21230" xr:uid="{00000000-0005-0000-0000-0000F2520000}"/>
    <cellStyle name="Normal 4 4 2 6 6" xfId="21231" xr:uid="{00000000-0005-0000-0000-0000F3520000}"/>
    <cellStyle name="Normal 4 4 2 7" xfId="21232" xr:uid="{00000000-0005-0000-0000-0000F4520000}"/>
    <cellStyle name="Normal 4 4 2 7 2" xfId="21233" xr:uid="{00000000-0005-0000-0000-0000F5520000}"/>
    <cellStyle name="Normal 4 4 2 7 3" xfId="21234" xr:uid="{00000000-0005-0000-0000-0000F6520000}"/>
    <cellStyle name="Normal 4 4 2 7 4" xfId="21235" xr:uid="{00000000-0005-0000-0000-0000F7520000}"/>
    <cellStyle name="Normal 4 4 2 7 5" xfId="21236" xr:uid="{00000000-0005-0000-0000-0000F8520000}"/>
    <cellStyle name="Normal 4 4 2 7 6" xfId="21237" xr:uid="{00000000-0005-0000-0000-0000F9520000}"/>
    <cellStyle name="Normal 4 4 2 8" xfId="21238" xr:uid="{00000000-0005-0000-0000-0000FA520000}"/>
    <cellStyle name="Normal 4 4 2 8 2" xfId="21239" xr:uid="{00000000-0005-0000-0000-0000FB520000}"/>
    <cellStyle name="Normal 4 4 2 8 3" xfId="21240" xr:uid="{00000000-0005-0000-0000-0000FC520000}"/>
    <cellStyle name="Normal 4 4 2 8 4" xfId="21241" xr:uid="{00000000-0005-0000-0000-0000FD520000}"/>
    <cellStyle name="Normal 4 4 2 8 5" xfId="21242" xr:uid="{00000000-0005-0000-0000-0000FE520000}"/>
    <cellStyle name="Normal 4 4 2 8 6" xfId="21243" xr:uid="{00000000-0005-0000-0000-0000FF520000}"/>
    <cellStyle name="Normal 4 4 2 9" xfId="21244" xr:uid="{00000000-0005-0000-0000-000000530000}"/>
    <cellStyle name="Normal 4 4 2 9 2" xfId="21245" xr:uid="{00000000-0005-0000-0000-000001530000}"/>
    <cellStyle name="Normal 4 4 2 9 3" xfId="21246" xr:uid="{00000000-0005-0000-0000-000002530000}"/>
    <cellStyle name="Normal 4 4 2 9 4" xfId="21247" xr:uid="{00000000-0005-0000-0000-000003530000}"/>
    <cellStyle name="Normal 4 4 2 9 5" xfId="21248" xr:uid="{00000000-0005-0000-0000-000004530000}"/>
    <cellStyle name="Normal 4 4 2 9 6" xfId="21249" xr:uid="{00000000-0005-0000-0000-000005530000}"/>
    <cellStyle name="Normal 4 4 20" xfId="21250" xr:uid="{00000000-0005-0000-0000-000006530000}"/>
    <cellStyle name="Normal 4 4 21" xfId="21251" xr:uid="{00000000-0005-0000-0000-000007530000}"/>
    <cellStyle name="Normal 4 4 22" xfId="21252" xr:uid="{00000000-0005-0000-0000-000008530000}"/>
    <cellStyle name="Normal 4 4 23" xfId="21253" xr:uid="{00000000-0005-0000-0000-000009530000}"/>
    <cellStyle name="Normal 4 4 24" xfId="21254" xr:uid="{00000000-0005-0000-0000-00000A530000}"/>
    <cellStyle name="Normal 4 4 25" xfId="21255" xr:uid="{00000000-0005-0000-0000-00000B530000}"/>
    <cellStyle name="Normal 4 4 26" xfId="21256" xr:uid="{00000000-0005-0000-0000-00000C530000}"/>
    <cellStyle name="Normal 4 4 27" xfId="21257" xr:uid="{00000000-0005-0000-0000-00000D530000}"/>
    <cellStyle name="Normal 4 4 28" xfId="21258" xr:uid="{00000000-0005-0000-0000-00000E530000}"/>
    <cellStyle name="Normal 4 4 29" xfId="21259" xr:uid="{00000000-0005-0000-0000-00000F530000}"/>
    <cellStyle name="Normal 4 4 3" xfId="21260" xr:uid="{00000000-0005-0000-0000-000010530000}"/>
    <cellStyle name="Normal 4 4 3 10" xfId="21261" xr:uid="{00000000-0005-0000-0000-000011530000}"/>
    <cellStyle name="Normal 4 4 3 10 2" xfId="21262" xr:uid="{00000000-0005-0000-0000-000012530000}"/>
    <cellStyle name="Normal 4 4 3 10 3" xfId="21263" xr:uid="{00000000-0005-0000-0000-000013530000}"/>
    <cellStyle name="Normal 4 4 3 10 4" xfId="21264" xr:uid="{00000000-0005-0000-0000-000014530000}"/>
    <cellStyle name="Normal 4 4 3 10 5" xfId="21265" xr:uid="{00000000-0005-0000-0000-000015530000}"/>
    <cellStyle name="Normal 4 4 3 10 6" xfId="21266" xr:uid="{00000000-0005-0000-0000-000016530000}"/>
    <cellStyle name="Normal 4 4 3 11" xfId="21267" xr:uid="{00000000-0005-0000-0000-000017530000}"/>
    <cellStyle name="Normal 4 4 3 11 2" xfId="21268" xr:uid="{00000000-0005-0000-0000-000018530000}"/>
    <cellStyle name="Normal 4 4 3 11 3" xfId="21269" xr:uid="{00000000-0005-0000-0000-000019530000}"/>
    <cellStyle name="Normal 4 4 3 11 4" xfId="21270" xr:uid="{00000000-0005-0000-0000-00001A530000}"/>
    <cellStyle name="Normal 4 4 3 11 5" xfId="21271" xr:uid="{00000000-0005-0000-0000-00001B530000}"/>
    <cellStyle name="Normal 4 4 3 11 6" xfId="21272" xr:uid="{00000000-0005-0000-0000-00001C530000}"/>
    <cellStyle name="Normal 4 4 3 12" xfId="21273" xr:uid="{00000000-0005-0000-0000-00001D530000}"/>
    <cellStyle name="Normal 4 4 3 13" xfId="21274" xr:uid="{00000000-0005-0000-0000-00001E530000}"/>
    <cellStyle name="Normal 4 4 3 14" xfId="21275" xr:uid="{00000000-0005-0000-0000-00001F530000}"/>
    <cellStyle name="Normal 4 4 3 15" xfId="21276" xr:uid="{00000000-0005-0000-0000-000020530000}"/>
    <cellStyle name="Normal 4 4 3 16" xfId="21277" xr:uid="{00000000-0005-0000-0000-000021530000}"/>
    <cellStyle name="Normal 4 4 3 17" xfId="21278" xr:uid="{00000000-0005-0000-0000-000022530000}"/>
    <cellStyle name="Normal 4 4 3 18" xfId="21279" xr:uid="{00000000-0005-0000-0000-000023530000}"/>
    <cellStyle name="Normal 4 4 3 19" xfId="21280" xr:uid="{00000000-0005-0000-0000-000024530000}"/>
    <cellStyle name="Normal 4 4 3 2" xfId="21281" xr:uid="{00000000-0005-0000-0000-000025530000}"/>
    <cellStyle name="Normal 4 4 3 2 10" xfId="21282" xr:uid="{00000000-0005-0000-0000-000026530000}"/>
    <cellStyle name="Normal 4 4 3 2 10 2" xfId="21283" xr:uid="{00000000-0005-0000-0000-000027530000}"/>
    <cellStyle name="Normal 4 4 3 2 10 3" xfId="21284" xr:uid="{00000000-0005-0000-0000-000028530000}"/>
    <cellStyle name="Normal 4 4 3 2 10 4" xfId="21285" xr:uid="{00000000-0005-0000-0000-000029530000}"/>
    <cellStyle name="Normal 4 4 3 2 10 5" xfId="21286" xr:uid="{00000000-0005-0000-0000-00002A530000}"/>
    <cellStyle name="Normal 4 4 3 2 10 6" xfId="21287" xr:uid="{00000000-0005-0000-0000-00002B530000}"/>
    <cellStyle name="Normal 4 4 3 2 11" xfId="21288" xr:uid="{00000000-0005-0000-0000-00002C530000}"/>
    <cellStyle name="Normal 4 4 3 2 12" xfId="21289" xr:uid="{00000000-0005-0000-0000-00002D530000}"/>
    <cellStyle name="Normal 4 4 3 2 13" xfId="21290" xr:uid="{00000000-0005-0000-0000-00002E530000}"/>
    <cellStyle name="Normal 4 4 3 2 14" xfId="21291" xr:uid="{00000000-0005-0000-0000-00002F530000}"/>
    <cellStyle name="Normal 4 4 3 2 15" xfId="21292" xr:uid="{00000000-0005-0000-0000-000030530000}"/>
    <cellStyle name="Normal 4 4 3 2 2" xfId="21293" xr:uid="{00000000-0005-0000-0000-000031530000}"/>
    <cellStyle name="Normal 4 4 3 2 2 10" xfId="21294" xr:uid="{00000000-0005-0000-0000-000032530000}"/>
    <cellStyle name="Normal 4 4 3 2 2 11" xfId="21295" xr:uid="{00000000-0005-0000-0000-000033530000}"/>
    <cellStyle name="Normal 4 4 3 2 2 12" xfId="21296" xr:uid="{00000000-0005-0000-0000-000034530000}"/>
    <cellStyle name="Normal 4 4 3 2 2 13" xfId="21297" xr:uid="{00000000-0005-0000-0000-000035530000}"/>
    <cellStyle name="Normal 4 4 3 2 2 14" xfId="21298" xr:uid="{00000000-0005-0000-0000-000036530000}"/>
    <cellStyle name="Normal 4 4 3 2 2 2" xfId="21299" xr:uid="{00000000-0005-0000-0000-000037530000}"/>
    <cellStyle name="Normal 4 4 3 2 2 2 2" xfId="21300" xr:uid="{00000000-0005-0000-0000-000038530000}"/>
    <cellStyle name="Normal 4 4 3 2 2 2 3" xfId="21301" xr:uid="{00000000-0005-0000-0000-000039530000}"/>
    <cellStyle name="Normal 4 4 3 2 2 2 4" xfId="21302" xr:uid="{00000000-0005-0000-0000-00003A530000}"/>
    <cellStyle name="Normal 4 4 3 2 2 2 5" xfId="21303" xr:uid="{00000000-0005-0000-0000-00003B530000}"/>
    <cellStyle name="Normal 4 4 3 2 2 2 6" xfId="21304" xr:uid="{00000000-0005-0000-0000-00003C530000}"/>
    <cellStyle name="Normal 4 4 3 2 2 3" xfId="21305" xr:uid="{00000000-0005-0000-0000-00003D530000}"/>
    <cellStyle name="Normal 4 4 3 2 2 3 2" xfId="21306" xr:uid="{00000000-0005-0000-0000-00003E530000}"/>
    <cellStyle name="Normal 4 4 3 2 2 3 3" xfId="21307" xr:uid="{00000000-0005-0000-0000-00003F530000}"/>
    <cellStyle name="Normal 4 4 3 2 2 3 4" xfId="21308" xr:uid="{00000000-0005-0000-0000-000040530000}"/>
    <cellStyle name="Normal 4 4 3 2 2 3 5" xfId="21309" xr:uid="{00000000-0005-0000-0000-000041530000}"/>
    <cellStyle name="Normal 4 4 3 2 2 3 6" xfId="21310" xr:uid="{00000000-0005-0000-0000-000042530000}"/>
    <cellStyle name="Normal 4 4 3 2 2 4" xfId="21311" xr:uid="{00000000-0005-0000-0000-000043530000}"/>
    <cellStyle name="Normal 4 4 3 2 2 4 2" xfId="21312" xr:uid="{00000000-0005-0000-0000-000044530000}"/>
    <cellStyle name="Normal 4 4 3 2 2 4 3" xfId="21313" xr:uid="{00000000-0005-0000-0000-000045530000}"/>
    <cellStyle name="Normal 4 4 3 2 2 4 4" xfId="21314" xr:uid="{00000000-0005-0000-0000-000046530000}"/>
    <cellStyle name="Normal 4 4 3 2 2 4 5" xfId="21315" xr:uid="{00000000-0005-0000-0000-000047530000}"/>
    <cellStyle name="Normal 4 4 3 2 2 4 6" xfId="21316" xr:uid="{00000000-0005-0000-0000-000048530000}"/>
    <cellStyle name="Normal 4 4 3 2 2 5" xfId="21317" xr:uid="{00000000-0005-0000-0000-000049530000}"/>
    <cellStyle name="Normal 4 4 3 2 2 5 2" xfId="21318" xr:uid="{00000000-0005-0000-0000-00004A530000}"/>
    <cellStyle name="Normal 4 4 3 2 2 5 3" xfId="21319" xr:uid="{00000000-0005-0000-0000-00004B530000}"/>
    <cellStyle name="Normal 4 4 3 2 2 5 4" xfId="21320" xr:uid="{00000000-0005-0000-0000-00004C530000}"/>
    <cellStyle name="Normal 4 4 3 2 2 5 5" xfId="21321" xr:uid="{00000000-0005-0000-0000-00004D530000}"/>
    <cellStyle name="Normal 4 4 3 2 2 5 6" xfId="21322" xr:uid="{00000000-0005-0000-0000-00004E530000}"/>
    <cellStyle name="Normal 4 4 3 2 2 6" xfId="21323" xr:uid="{00000000-0005-0000-0000-00004F530000}"/>
    <cellStyle name="Normal 4 4 3 2 2 6 2" xfId="21324" xr:uid="{00000000-0005-0000-0000-000050530000}"/>
    <cellStyle name="Normal 4 4 3 2 2 6 3" xfId="21325" xr:uid="{00000000-0005-0000-0000-000051530000}"/>
    <cellStyle name="Normal 4 4 3 2 2 6 4" xfId="21326" xr:uid="{00000000-0005-0000-0000-000052530000}"/>
    <cellStyle name="Normal 4 4 3 2 2 6 5" xfId="21327" xr:uid="{00000000-0005-0000-0000-000053530000}"/>
    <cellStyle name="Normal 4 4 3 2 2 6 6" xfId="21328" xr:uid="{00000000-0005-0000-0000-000054530000}"/>
    <cellStyle name="Normal 4 4 3 2 2 7" xfId="21329" xr:uid="{00000000-0005-0000-0000-000055530000}"/>
    <cellStyle name="Normal 4 4 3 2 2 7 2" xfId="21330" xr:uid="{00000000-0005-0000-0000-000056530000}"/>
    <cellStyle name="Normal 4 4 3 2 2 7 3" xfId="21331" xr:uid="{00000000-0005-0000-0000-000057530000}"/>
    <cellStyle name="Normal 4 4 3 2 2 7 4" xfId="21332" xr:uid="{00000000-0005-0000-0000-000058530000}"/>
    <cellStyle name="Normal 4 4 3 2 2 7 5" xfId="21333" xr:uid="{00000000-0005-0000-0000-000059530000}"/>
    <cellStyle name="Normal 4 4 3 2 2 7 6" xfId="21334" xr:uid="{00000000-0005-0000-0000-00005A530000}"/>
    <cellStyle name="Normal 4 4 3 2 2 8" xfId="21335" xr:uid="{00000000-0005-0000-0000-00005B530000}"/>
    <cellStyle name="Normal 4 4 3 2 2 8 2" xfId="21336" xr:uid="{00000000-0005-0000-0000-00005C530000}"/>
    <cellStyle name="Normal 4 4 3 2 2 8 3" xfId="21337" xr:uid="{00000000-0005-0000-0000-00005D530000}"/>
    <cellStyle name="Normal 4 4 3 2 2 8 4" xfId="21338" xr:uid="{00000000-0005-0000-0000-00005E530000}"/>
    <cellStyle name="Normal 4 4 3 2 2 8 5" xfId="21339" xr:uid="{00000000-0005-0000-0000-00005F530000}"/>
    <cellStyle name="Normal 4 4 3 2 2 8 6" xfId="21340" xr:uid="{00000000-0005-0000-0000-000060530000}"/>
    <cellStyle name="Normal 4 4 3 2 2 9" xfId="21341" xr:uid="{00000000-0005-0000-0000-000061530000}"/>
    <cellStyle name="Normal 4 4 3 2 2 9 2" xfId="21342" xr:uid="{00000000-0005-0000-0000-000062530000}"/>
    <cellStyle name="Normal 4 4 3 2 2 9 3" xfId="21343" xr:uid="{00000000-0005-0000-0000-000063530000}"/>
    <cellStyle name="Normal 4 4 3 2 2 9 4" xfId="21344" xr:uid="{00000000-0005-0000-0000-000064530000}"/>
    <cellStyle name="Normal 4 4 3 2 2 9 5" xfId="21345" xr:uid="{00000000-0005-0000-0000-000065530000}"/>
    <cellStyle name="Normal 4 4 3 2 2 9 6" xfId="21346" xr:uid="{00000000-0005-0000-0000-000066530000}"/>
    <cellStyle name="Normal 4 4 3 2 3" xfId="21347" xr:uid="{00000000-0005-0000-0000-000067530000}"/>
    <cellStyle name="Normal 4 4 3 2 3 2" xfId="21348" xr:uid="{00000000-0005-0000-0000-000068530000}"/>
    <cellStyle name="Normal 4 4 3 2 3 3" xfId="21349" xr:uid="{00000000-0005-0000-0000-000069530000}"/>
    <cellStyle name="Normal 4 4 3 2 3 4" xfId="21350" xr:uid="{00000000-0005-0000-0000-00006A530000}"/>
    <cellStyle name="Normal 4 4 3 2 3 5" xfId="21351" xr:uid="{00000000-0005-0000-0000-00006B530000}"/>
    <cellStyle name="Normal 4 4 3 2 3 6" xfId="21352" xr:uid="{00000000-0005-0000-0000-00006C530000}"/>
    <cellStyle name="Normal 4 4 3 2 4" xfId="21353" xr:uid="{00000000-0005-0000-0000-00006D530000}"/>
    <cellStyle name="Normal 4 4 3 2 4 2" xfId="21354" xr:uid="{00000000-0005-0000-0000-00006E530000}"/>
    <cellStyle name="Normal 4 4 3 2 4 3" xfId="21355" xr:uid="{00000000-0005-0000-0000-00006F530000}"/>
    <cellStyle name="Normal 4 4 3 2 4 4" xfId="21356" xr:uid="{00000000-0005-0000-0000-000070530000}"/>
    <cellStyle name="Normal 4 4 3 2 4 5" xfId="21357" xr:uid="{00000000-0005-0000-0000-000071530000}"/>
    <cellStyle name="Normal 4 4 3 2 4 6" xfId="21358" xr:uid="{00000000-0005-0000-0000-000072530000}"/>
    <cellStyle name="Normal 4 4 3 2 5" xfId="21359" xr:uid="{00000000-0005-0000-0000-000073530000}"/>
    <cellStyle name="Normal 4 4 3 2 5 2" xfId="21360" xr:uid="{00000000-0005-0000-0000-000074530000}"/>
    <cellStyle name="Normal 4 4 3 2 5 3" xfId="21361" xr:uid="{00000000-0005-0000-0000-000075530000}"/>
    <cellStyle name="Normal 4 4 3 2 5 4" xfId="21362" xr:uid="{00000000-0005-0000-0000-000076530000}"/>
    <cellStyle name="Normal 4 4 3 2 5 5" xfId="21363" xr:uid="{00000000-0005-0000-0000-000077530000}"/>
    <cellStyle name="Normal 4 4 3 2 5 6" xfId="21364" xr:uid="{00000000-0005-0000-0000-000078530000}"/>
    <cellStyle name="Normal 4 4 3 2 6" xfId="21365" xr:uid="{00000000-0005-0000-0000-000079530000}"/>
    <cellStyle name="Normal 4 4 3 2 6 2" xfId="21366" xr:uid="{00000000-0005-0000-0000-00007A530000}"/>
    <cellStyle name="Normal 4 4 3 2 6 3" xfId="21367" xr:uid="{00000000-0005-0000-0000-00007B530000}"/>
    <cellStyle name="Normal 4 4 3 2 6 4" xfId="21368" xr:uid="{00000000-0005-0000-0000-00007C530000}"/>
    <cellStyle name="Normal 4 4 3 2 6 5" xfId="21369" xr:uid="{00000000-0005-0000-0000-00007D530000}"/>
    <cellStyle name="Normal 4 4 3 2 6 6" xfId="21370" xr:uid="{00000000-0005-0000-0000-00007E530000}"/>
    <cellStyle name="Normal 4 4 3 2 7" xfId="21371" xr:uid="{00000000-0005-0000-0000-00007F530000}"/>
    <cellStyle name="Normal 4 4 3 2 7 2" xfId="21372" xr:uid="{00000000-0005-0000-0000-000080530000}"/>
    <cellStyle name="Normal 4 4 3 2 7 3" xfId="21373" xr:uid="{00000000-0005-0000-0000-000081530000}"/>
    <cellStyle name="Normal 4 4 3 2 7 4" xfId="21374" xr:uid="{00000000-0005-0000-0000-000082530000}"/>
    <cellStyle name="Normal 4 4 3 2 7 5" xfId="21375" xr:uid="{00000000-0005-0000-0000-000083530000}"/>
    <cellStyle name="Normal 4 4 3 2 7 6" xfId="21376" xr:uid="{00000000-0005-0000-0000-000084530000}"/>
    <cellStyle name="Normal 4 4 3 2 8" xfId="21377" xr:uid="{00000000-0005-0000-0000-000085530000}"/>
    <cellStyle name="Normal 4 4 3 2 8 2" xfId="21378" xr:uid="{00000000-0005-0000-0000-000086530000}"/>
    <cellStyle name="Normal 4 4 3 2 8 3" xfId="21379" xr:uid="{00000000-0005-0000-0000-000087530000}"/>
    <cellStyle name="Normal 4 4 3 2 8 4" xfId="21380" xr:uid="{00000000-0005-0000-0000-000088530000}"/>
    <cellStyle name="Normal 4 4 3 2 8 5" xfId="21381" xr:uid="{00000000-0005-0000-0000-000089530000}"/>
    <cellStyle name="Normal 4 4 3 2 8 6" xfId="21382" xr:uid="{00000000-0005-0000-0000-00008A530000}"/>
    <cellStyle name="Normal 4 4 3 2 9" xfId="21383" xr:uid="{00000000-0005-0000-0000-00008B530000}"/>
    <cellStyle name="Normal 4 4 3 2 9 2" xfId="21384" xr:uid="{00000000-0005-0000-0000-00008C530000}"/>
    <cellStyle name="Normal 4 4 3 2 9 3" xfId="21385" xr:uid="{00000000-0005-0000-0000-00008D530000}"/>
    <cellStyle name="Normal 4 4 3 2 9 4" xfId="21386" xr:uid="{00000000-0005-0000-0000-00008E530000}"/>
    <cellStyle name="Normal 4 4 3 2 9 5" xfId="21387" xr:uid="{00000000-0005-0000-0000-00008F530000}"/>
    <cellStyle name="Normal 4 4 3 2 9 6" xfId="21388" xr:uid="{00000000-0005-0000-0000-000090530000}"/>
    <cellStyle name="Normal 4 4 3 20" xfId="21389" xr:uid="{00000000-0005-0000-0000-000091530000}"/>
    <cellStyle name="Normal 4 4 3 21" xfId="21390" xr:uid="{00000000-0005-0000-0000-000092530000}"/>
    <cellStyle name="Normal 4 4 3 22" xfId="21391" xr:uid="{00000000-0005-0000-0000-000093530000}"/>
    <cellStyle name="Normal 4 4 3 23" xfId="21392" xr:uid="{00000000-0005-0000-0000-000094530000}"/>
    <cellStyle name="Normal 4 4 3 24" xfId="21393" xr:uid="{00000000-0005-0000-0000-000095530000}"/>
    <cellStyle name="Normal 4 4 3 25" xfId="21394" xr:uid="{00000000-0005-0000-0000-000096530000}"/>
    <cellStyle name="Normal 4 4 3 26" xfId="21395" xr:uid="{00000000-0005-0000-0000-000097530000}"/>
    <cellStyle name="Normal 4 4 3 27" xfId="21396" xr:uid="{00000000-0005-0000-0000-000098530000}"/>
    <cellStyle name="Normal 4 4 3 28" xfId="21397" xr:uid="{00000000-0005-0000-0000-000099530000}"/>
    <cellStyle name="Normal 4 4 3 29" xfId="21398" xr:uid="{00000000-0005-0000-0000-00009A530000}"/>
    <cellStyle name="Normal 4 4 3 3" xfId="21399" xr:uid="{00000000-0005-0000-0000-00009B530000}"/>
    <cellStyle name="Normal 4 4 3 3 10" xfId="21400" xr:uid="{00000000-0005-0000-0000-00009C530000}"/>
    <cellStyle name="Normal 4 4 3 3 11" xfId="21401" xr:uid="{00000000-0005-0000-0000-00009D530000}"/>
    <cellStyle name="Normal 4 4 3 3 12" xfId="21402" xr:uid="{00000000-0005-0000-0000-00009E530000}"/>
    <cellStyle name="Normal 4 4 3 3 13" xfId="21403" xr:uid="{00000000-0005-0000-0000-00009F530000}"/>
    <cellStyle name="Normal 4 4 3 3 14" xfId="21404" xr:uid="{00000000-0005-0000-0000-0000A0530000}"/>
    <cellStyle name="Normal 4 4 3 3 2" xfId="21405" xr:uid="{00000000-0005-0000-0000-0000A1530000}"/>
    <cellStyle name="Normal 4 4 3 3 2 2" xfId="21406" xr:uid="{00000000-0005-0000-0000-0000A2530000}"/>
    <cellStyle name="Normal 4 4 3 3 2 3" xfId="21407" xr:uid="{00000000-0005-0000-0000-0000A3530000}"/>
    <cellStyle name="Normal 4 4 3 3 2 4" xfId="21408" xr:uid="{00000000-0005-0000-0000-0000A4530000}"/>
    <cellStyle name="Normal 4 4 3 3 2 5" xfId="21409" xr:uid="{00000000-0005-0000-0000-0000A5530000}"/>
    <cellStyle name="Normal 4 4 3 3 2 6" xfId="21410" xr:uid="{00000000-0005-0000-0000-0000A6530000}"/>
    <cellStyle name="Normal 4 4 3 3 3" xfId="21411" xr:uid="{00000000-0005-0000-0000-0000A7530000}"/>
    <cellStyle name="Normal 4 4 3 3 3 2" xfId="21412" xr:uid="{00000000-0005-0000-0000-0000A8530000}"/>
    <cellStyle name="Normal 4 4 3 3 3 3" xfId="21413" xr:uid="{00000000-0005-0000-0000-0000A9530000}"/>
    <cellStyle name="Normal 4 4 3 3 3 4" xfId="21414" xr:uid="{00000000-0005-0000-0000-0000AA530000}"/>
    <cellStyle name="Normal 4 4 3 3 3 5" xfId="21415" xr:uid="{00000000-0005-0000-0000-0000AB530000}"/>
    <cellStyle name="Normal 4 4 3 3 3 6" xfId="21416" xr:uid="{00000000-0005-0000-0000-0000AC530000}"/>
    <cellStyle name="Normal 4 4 3 3 4" xfId="21417" xr:uid="{00000000-0005-0000-0000-0000AD530000}"/>
    <cellStyle name="Normal 4 4 3 3 4 2" xfId="21418" xr:uid="{00000000-0005-0000-0000-0000AE530000}"/>
    <cellStyle name="Normal 4 4 3 3 4 3" xfId="21419" xr:uid="{00000000-0005-0000-0000-0000AF530000}"/>
    <cellStyle name="Normal 4 4 3 3 4 4" xfId="21420" xr:uid="{00000000-0005-0000-0000-0000B0530000}"/>
    <cellStyle name="Normal 4 4 3 3 4 5" xfId="21421" xr:uid="{00000000-0005-0000-0000-0000B1530000}"/>
    <cellStyle name="Normal 4 4 3 3 4 6" xfId="21422" xr:uid="{00000000-0005-0000-0000-0000B2530000}"/>
    <cellStyle name="Normal 4 4 3 3 5" xfId="21423" xr:uid="{00000000-0005-0000-0000-0000B3530000}"/>
    <cellStyle name="Normal 4 4 3 3 5 2" xfId="21424" xr:uid="{00000000-0005-0000-0000-0000B4530000}"/>
    <cellStyle name="Normal 4 4 3 3 5 3" xfId="21425" xr:uid="{00000000-0005-0000-0000-0000B5530000}"/>
    <cellStyle name="Normal 4 4 3 3 5 4" xfId="21426" xr:uid="{00000000-0005-0000-0000-0000B6530000}"/>
    <cellStyle name="Normal 4 4 3 3 5 5" xfId="21427" xr:uid="{00000000-0005-0000-0000-0000B7530000}"/>
    <cellStyle name="Normal 4 4 3 3 5 6" xfId="21428" xr:uid="{00000000-0005-0000-0000-0000B8530000}"/>
    <cellStyle name="Normal 4 4 3 3 6" xfId="21429" xr:uid="{00000000-0005-0000-0000-0000B9530000}"/>
    <cellStyle name="Normal 4 4 3 3 6 2" xfId="21430" xr:uid="{00000000-0005-0000-0000-0000BA530000}"/>
    <cellStyle name="Normal 4 4 3 3 6 3" xfId="21431" xr:uid="{00000000-0005-0000-0000-0000BB530000}"/>
    <cellStyle name="Normal 4 4 3 3 6 4" xfId="21432" xr:uid="{00000000-0005-0000-0000-0000BC530000}"/>
    <cellStyle name="Normal 4 4 3 3 6 5" xfId="21433" xr:uid="{00000000-0005-0000-0000-0000BD530000}"/>
    <cellStyle name="Normal 4 4 3 3 6 6" xfId="21434" xr:uid="{00000000-0005-0000-0000-0000BE530000}"/>
    <cellStyle name="Normal 4 4 3 3 7" xfId="21435" xr:uid="{00000000-0005-0000-0000-0000BF530000}"/>
    <cellStyle name="Normal 4 4 3 3 7 2" xfId="21436" xr:uid="{00000000-0005-0000-0000-0000C0530000}"/>
    <cellStyle name="Normal 4 4 3 3 7 3" xfId="21437" xr:uid="{00000000-0005-0000-0000-0000C1530000}"/>
    <cellStyle name="Normal 4 4 3 3 7 4" xfId="21438" xr:uid="{00000000-0005-0000-0000-0000C2530000}"/>
    <cellStyle name="Normal 4 4 3 3 7 5" xfId="21439" xr:uid="{00000000-0005-0000-0000-0000C3530000}"/>
    <cellStyle name="Normal 4 4 3 3 7 6" xfId="21440" xr:uid="{00000000-0005-0000-0000-0000C4530000}"/>
    <cellStyle name="Normal 4 4 3 3 8" xfId="21441" xr:uid="{00000000-0005-0000-0000-0000C5530000}"/>
    <cellStyle name="Normal 4 4 3 3 8 2" xfId="21442" xr:uid="{00000000-0005-0000-0000-0000C6530000}"/>
    <cellStyle name="Normal 4 4 3 3 8 3" xfId="21443" xr:uid="{00000000-0005-0000-0000-0000C7530000}"/>
    <cellStyle name="Normal 4 4 3 3 8 4" xfId="21444" xr:uid="{00000000-0005-0000-0000-0000C8530000}"/>
    <cellStyle name="Normal 4 4 3 3 8 5" xfId="21445" xr:uid="{00000000-0005-0000-0000-0000C9530000}"/>
    <cellStyle name="Normal 4 4 3 3 8 6" xfId="21446" xr:uid="{00000000-0005-0000-0000-0000CA530000}"/>
    <cellStyle name="Normal 4 4 3 3 9" xfId="21447" xr:uid="{00000000-0005-0000-0000-0000CB530000}"/>
    <cellStyle name="Normal 4 4 3 3 9 2" xfId="21448" xr:uid="{00000000-0005-0000-0000-0000CC530000}"/>
    <cellStyle name="Normal 4 4 3 3 9 3" xfId="21449" xr:uid="{00000000-0005-0000-0000-0000CD530000}"/>
    <cellStyle name="Normal 4 4 3 3 9 4" xfId="21450" xr:uid="{00000000-0005-0000-0000-0000CE530000}"/>
    <cellStyle name="Normal 4 4 3 3 9 5" xfId="21451" xr:uid="{00000000-0005-0000-0000-0000CF530000}"/>
    <cellStyle name="Normal 4 4 3 3 9 6" xfId="21452" xr:uid="{00000000-0005-0000-0000-0000D0530000}"/>
    <cellStyle name="Normal 4 4 3 30" xfId="21453" xr:uid="{00000000-0005-0000-0000-0000D1530000}"/>
    <cellStyle name="Normal 4 4 3 31" xfId="21454" xr:uid="{00000000-0005-0000-0000-0000D2530000}"/>
    <cellStyle name="Normal 4 4 3 4" xfId="21455" xr:uid="{00000000-0005-0000-0000-0000D3530000}"/>
    <cellStyle name="Normal 4 4 3 4 2" xfId="21456" xr:uid="{00000000-0005-0000-0000-0000D4530000}"/>
    <cellStyle name="Normal 4 4 3 4 3" xfId="21457" xr:uid="{00000000-0005-0000-0000-0000D5530000}"/>
    <cellStyle name="Normal 4 4 3 4 4" xfId="21458" xr:uid="{00000000-0005-0000-0000-0000D6530000}"/>
    <cellStyle name="Normal 4 4 3 4 5" xfId="21459" xr:uid="{00000000-0005-0000-0000-0000D7530000}"/>
    <cellStyle name="Normal 4 4 3 4 6" xfId="21460" xr:uid="{00000000-0005-0000-0000-0000D8530000}"/>
    <cellStyle name="Normal 4 4 3 5" xfId="21461" xr:uid="{00000000-0005-0000-0000-0000D9530000}"/>
    <cellStyle name="Normal 4 4 3 5 2" xfId="21462" xr:uid="{00000000-0005-0000-0000-0000DA530000}"/>
    <cellStyle name="Normal 4 4 3 5 3" xfId="21463" xr:uid="{00000000-0005-0000-0000-0000DB530000}"/>
    <cellStyle name="Normal 4 4 3 5 4" xfId="21464" xr:uid="{00000000-0005-0000-0000-0000DC530000}"/>
    <cellStyle name="Normal 4 4 3 5 5" xfId="21465" xr:uid="{00000000-0005-0000-0000-0000DD530000}"/>
    <cellStyle name="Normal 4 4 3 5 6" xfId="21466" xr:uid="{00000000-0005-0000-0000-0000DE530000}"/>
    <cellStyle name="Normal 4 4 3 6" xfId="21467" xr:uid="{00000000-0005-0000-0000-0000DF530000}"/>
    <cellStyle name="Normal 4 4 3 6 2" xfId="21468" xr:uid="{00000000-0005-0000-0000-0000E0530000}"/>
    <cellStyle name="Normal 4 4 3 6 3" xfId="21469" xr:uid="{00000000-0005-0000-0000-0000E1530000}"/>
    <cellStyle name="Normal 4 4 3 6 4" xfId="21470" xr:uid="{00000000-0005-0000-0000-0000E2530000}"/>
    <cellStyle name="Normal 4 4 3 6 5" xfId="21471" xr:uid="{00000000-0005-0000-0000-0000E3530000}"/>
    <cellStyle name="Normal 4 4 3 6 6" xfId="21472" xr:uid="{00000000-0005-0000-0000-0000E4530000}"/>
    <cellStyle name="Normal 4 4 3 7" xfId="21473" xr:uid="{00000000-0005-0000-0000-0000E5530000}"/>
    <cellStyle name="Normal 4 4 3 7 2" xfId="21474" xr:uid="{00000000-0005-0000-0000-0000E6530000}"/>
    <cellStyle name="Normal 4 4 3 7 3" xfId="21475" xr:uid="{00000000-0005-0000-0000-0000E7530000}"/>
    <cellStyle name="Normal 4 4 3 7 4" xfId="21476" xr:uid="{00000000-0005-0000-0000-0000E8530000}"/>
    <cellStyle name="Normal 4 4 3 7 5" xfId="21477" xr:uid="{00000000-0005-0000-0000-0000E9530000}"/>
    <cellStyle name="Normal 4 4 3 7 6" xfId="21478" xr:uid="{00000000-0005-0000-0000-0000EA530000}"/>
    <cellStyle name="Normal 4 4 3 8" xfId="21479" xr:uid="{00000000-0005-0000-0000-0000EB530000}"/>
    <cellStyle name="Normal 4 4 3 8 2" xfId="21480" xr:uid="{00000000-0005-0000-0000-0000EC530000}"/>
    <cellStyle name="Normal 4 4 3 8 3" xfId="21481" xr:uid="{00000000-0005-0000-0000-0000ED530000}"/>
    <cellStyle name="Normal 4 4 3 8 4" xfId="21482" xr:uid="{00000000-0005-0000-0000-0000EE530000}"/>
    <cellStyle name="Normal 4 4 3 8 5" xfId="21483" xr:uid="{00000000-0005-0000-0000-0000EF530000}"/>
    <cellStyle name="Normal 4 4 3 8 6" xfId="21484" xr:uid="{00000000-0005-0000-0000-0000F0530000}"/>
    <cellStyle name="Normal 4 4 3 9" xfId="21485" xr:uid="{00000000-0005-0000-0000-0000F1530000}"/>
    <cellStyle name="Normal 4 4 3 9 2" xfId="21486" xr:uid="{00000000-0005-0000-0000-0000F2530000}"/>
    <cellStyle name="Normal 4 4 3 9 3" xfId="21487" xr:uid="{00000000-0005-0000-0000-0000F3530000}"/>
    <cellStyle name="Normal 4 4 3 9 4" xfId="21488" xr:uid="{00000000-0005-0000-0000-0000F4530000}"/>
    <cellStyle name="Normal 4 4 3 9 5" xfId="21489" xr:uid="{00000000-0005-0000-0000-0000F5530000}"/>
    <cellStyle name="Normal 4 4 3 9 6" xfId="21490" xr:uid="{00000000-0005-0000-0000-0000F6530000}"/>
    <cellStyle name="Normal 4 4 30" xfId="21491" xr:uid="{00000000-0005-0000-0000-0000F7530000}"/>
    <cellStyle name="Normal 4 4 31" xfId="21492" xr:uid="{00000000-0005-0000-0000-0000F8530000}"/>
    <cellStyle name="Normal 4 4 32" xfId="21493" xr:uid="{00000000-0005-0000-0000-0000F9530000}"/>
    <cellStyle name="Normal 4 4 33" xfId="21494" xr:uid="{00000000-0005-0000-0000-0000FA530000}"/>
    <cellStyle name="Normal 4 4 4" xfId="21495" xr:uid="{00000000-0005-0000-0000-0000FB530000}"/>
    <cellStyle name="Normal 4 4 4 10" xfId="21496" xr:uid="{00000000-0005-0000-0000-0000FC530000}"/>
    <cellStyle name="Normal 4 4 4 10 2" xfId="21497" xr:uid="{00000000-0005-0000-0000-0000FD530000}"/>
    <cellStyle name="Normal 4 4 4 10 3" xfId="21498" xr:uid="{00000000-0005-0000-0000-0000FE530000}"/>
    <cellStyle name="Normal 4 4 4 10 4" xfId="21499" xr:uid="{00000000-0005-0000-0000-0000FF530000}"/>
    <cellStyle name="Normal 4 4 4 10 5" xfId="21500" xr:uid="{00000000-0005-0000-0000-000000540000}"/>
    <cellStyle name="Normal 4 4 4 10 6" xfId="21501" xr:uid="{00000000-0005-0000-0000-000001540000}"/>
    <cellStyle name="Normal 4 4 4 11" xfId="21502" xr:uid="{00000000-0005-0000-0000-000002540000}"/>
    <cellStyle name="Normal 4 4 4 12" xfId="21503" xr:uid="{00000000-0005-0000-0000-000003540000}"/>
    <cellStyle name="Normal 4 4 4 13" xfId="21504" xr:uid="{00000000-0005-0000-0000-000004540000}"/>
    <cellStyle name="Normal 4 4 4 14" xfId="21505" xr:uid="{00000000-0005-0000-0000-000005540000}"/>
    <cellStyle name="Normal 4 4 4 15" xfId="21506" xr:uid="{00000000-0005-0000-0000-000006540000}"/>
    <cellStyle name="Normal 4 4 4 2" xfId="21507" xr:uid="{00000000-0005-0000-0000-000007540000}"/>
    <cellStyle name="Normal 4 4 4 2 10" xfId="21508" xr:uid="{00000000-0005-0000-0000-000008540000}"/>
    <cellStyle name="Normal 4 4 4 2 11" xfId="21509" xr:uid="{00000000-0005-0000-0000-000009540000}"/>
    <cellStyle name="Normal 4 4 4 2 12" xfId="21510" xr:uid="{00000000-0005-0000-0000-00000A540000}"/>
    <cellStyle name="Normal 4 4 4 2 13" xfId="21511" xr:uid="{00000000-0005-0000-0000-00000B540000}"/>
    <cellStyle name="Normal 4 4 4 2 14" xfId="21512" xr:uid="{00000000-0005-0000-0000-00000C540000}"/>
    <cellStyle name="Normal 4 4 4 2 2" xfId="21513" xr:uid="{00000000-0005-0000-0000-00000D540000}"/>
    <cellStyle name="Normal 4 4 4 2 2 2" xfId="21514" xr:uid="{00000000-0005-0000-0000-00000E540000}"/>
    <cellStyle name="Normal 4 4 4 2 2 3" xfId="21515" xr:uid="{00000000-0005-0000-0000-00000F540000}"/>
    <cellStyle name="Normal 4 4 4 2 2 4" xfId="21516" xr:uid="{00000000-0005-0000-0000-000010540000}"/>
    <cellStyle name="Normal 4 4 4 2 2 5" xfId="21517" xr:uid="{00000000-0005-0000-0000-000011540000}"/>
    <cellStyle name="Normal 4 4 4 2 2 6" xfId="21518" xr:uid="{00000000-0005-0000-0000-000012540000}"/>
    <cellStyle name="Normal 4 4 4 2 3" xfId="21519" xr:uid="{00000000-0005-0000-0000-000013540000}"/>
    <cellStyle name="Normal 4 4 4 2 3 2" xfId="21520" xr:uid="{00000000-0005-0000-0000-000014540000}"/>
    <cellStyle name="Normal 4 4 4 2 3 3" xfId="21521" xr:uid="{00000000-0005-0000-0000-000015540000}"/>
    <cellStyle name="Normal 4 4 4 2 3 4" xfId="21522" xr:uid="{00000000-0005-0000-0000-000016540000}"/>
    <cellStyle name="Normal 4 4 4 2 3 5" xfId="21523" xr:uid="{00000000-0005-0000-0000-000017540000}"/>
    <cellStyle name="Normal 4 4 4 2 3 6" xfId="21524" xr:uid="{00000000-0005-0000-0000-000018540000}"/>
    <cellStyle name="Normal 4 4 4 2 4" xfId="21525" xr:uid="{00000000-0005-0000-0000-000019540000}"/>
    <cellStyle name="Normal 4 4 4 2 4 2" xfId="21526" xr:uid="{00000000-0005-0000-0000-00001A540000}"/>
    <cellStyle name="Normal 4 4 4 2 4 3" xfId="21527" xr:uid="{00000000-0005-0000-0000-00001B540000}"/>
    <cellStyle name="Normal 4 4 4 2 4 4" xfId="21528" xr:uid="{00000000-0005-0000-0000-00001C540000}"/>
    <cellStyle name="Normal 4 4 4 2 4 5" xfId="21529" xr:uid="{00000000-0005-0000-0000-00001D540000}"/>
    <cellStyle name="Normal 4 4 4 2 4 6" xfId="21530" xr:uid="{00000000-0005-0000-0000-00001E540000}"/>
    <cellStyle name="Normal 4 4 4 2 5" xfId="21531" xr:uid="{00000000-0005-0000-0000-00001F540000}"/>
    <cellStyle name="Normal 4 4 4 2 5 2" xfId="21532" xr:uid="{00000000-0005-0000-0000-000020540000}"/>
    <cellStyle name="Normal 4 4 4 2 5 3" xfId="21533" xr:uid="{00000000-0005-0000-0000-000021540000}"/>
    <cellStyle name="Normal 4 4 4 2 5 4" xfId="21534" xr:uid="{00000000-0005-0000-0000-000022540000}"/>
    <cellStyle name="Normal 4 4 4 2 5 5" xfId="21535" xr:uid="{00000000-0005-0000-0000-000023540000}"/>
    <cellStyle name="Normal 4 4 4 2 5 6" xfId="21536" xr:uid="{00000000-0005-0000-0000-000024540000}"/>
    <cellStyle name="Normal 4 4 4 2 6" xfId="21537" xr:uid="{00000000-0005-0000-0000-000025540000}"/>
    <cellStyle name="Normal 4 4 4 2 6 2" xfId="21538" xr:uid="{00000000-0005-0000-0000-000026540000}"/>
    <cellStyle name="Normal 4 4 4 2 6 3" xfId="21539" xr:uid="{00000000-0005-0000-0000-000027540000}"/>
    <cellStyle name="Normal 4 4 4 2 6 4" xfId="21540" xr:uid="{00000000-0005-0000-0000-000028540000}"/>
    <cellStyle name="Normal 4 4 4 2 6 5" xfId="21541" xr:uid="{00000000-0005-0000-0000-000029540000}"/>
    <cellStyle name="Normal 4 4 4 2 6 6" xfId="21542" xr:uid="{00000000-0005-0000-0000-00002A540000}"/>
    <cellStyle name="Normal 4 4 4 2 7" xfId="21543" xr:uid="{00000000-0005-0000-0000-00002B540000}"/>
    <cellStyle name="Normal 4 4 4 2 7 2" xfId="21544" xr:uid="{00000000-0005-0000-0000-00002C540000}"/>
    <cellStyle name="Normal 4 4 4 2 7 3" xfId="21545" xr:uid="{00000000-0005-0000-0000-00002D540000}"/>
    <cellStyle name="Normal 4 4 4 2 7 4" xfId="21546" xr:uid="{00000000-0005-0000-0000-00002E540000}"/>
    <cellStyle name="Normal 4 4 4 2 7 5" xfId="21547" xr:uid="{00000000-0005-0000-0000-00002F540000}"/>
    <cellStyle name="Normal 4 4 4 2 7 6" xfId="21548" xr:uid="{00000000-0005-0000-0000-000030540000}"/>
    <cellStyle name="Normal 4 4 4 2 8" xfId="21549" xr:uid="{00000000-0005-0000-0000-000031540000}"/>
    <cellStyle name="Normal 4 4 4 2 8 2" xfId="21550" xr:uid="{00000000-0005-0000-0000-000032540000}"/>
    <cellStyle name="Normal 4 4 4 2 8 3" xfId="21551" xr:uid="{00000000-0005-0000-0000-000033540000}"/>
    <cellStyle name="Normal 4 4 4 2 8 4" xfId="21552" xr:uid="{00000000-0005-0000-0000-000034540000}"/>
    <cellStyle name="Normal 4 4 4 2 8 5" xfId="21553" xr:uid="{00000000-0005-0000-0000-000035540000}"/>
    <cellStyle name="Normal 4 4 4 2 8 6" xfId="21554" xr:uid="{00000000-0005-0000-0000-000036540000}"/>
    <cellStyle name="Normal 4 4 4 2 9" xfId="21555" xr:uid="{00000000-0005-0000-0000-000037540000}"/>
    <cellStyle name="Normal 4 4 4 2 9 2" xfId="21556" xr:uid="{00000000-0005-0000-0000-000038540000}"/>
    <cellStyle name="Normal 4 4 4 2 9 3" xfId="21557" xr:uid="{00000000-0005-0000-0000-000039540000}"/>
    <cellStyle name="Normal 4 4 4 2 9 4" xfId="21558" xr:uid="{00000000-0005-0000-0000-00003A540000}"/>
    <cellStyle name="Normal 4 4 4 2 9 5" xfId="21559" xr:uid="{00000000-0005-0000-0000-00003B540000}"/>
    <cellStyle name="Normal 4 4 4 2 9 6" xfId="21560" xr:uid="{00000000-0005-0000-0000-00003C540000}"/>
    <cellStyle name="Normal 4 4 4 3" xfId="21561" xr:uid="{00000000-0005-0000-0000-00003D540000}"/>
    <cellStyle name="Normal 4 4 4 3 2" xfId="21562" xr:uid="{00000000-0005-0000-0000-00003E540000}"/>
    <cellStyle name="Normal 4 4 4 3 3" xfId="21563" xr:uid="{00000000-0005-0000-0000-00003F540000}"/>
    <cellStyle name="Normal 4 4 4 3 4" xfId="21564" xr:uid="{00000000-0005-0000-0000-000040540000}"/>
    <cellStyle name="Normal 4 4 4 3 5" xfId="21565" xr:uid="{00000000-0005-0000-0000-000041540000}"/>
    <cellStyle name="Normal 4 4 4 3 6" xfId="21566" xr:uid="{00000000-0005-0000-0000-000042540000}"/>
    <cellStyle name="Normal 4 4 4 4" xfId="21567" xr:uid="{00000000-0005-0000-0000-000043540000}"/>
    <cellStyle name="Normal 4 4 4 4 2" xfId="21568" xr:uid="{00000000-0005-0000-0000-000044540000}"/>
    <cellStyle name="Normal 4 4 4 4 3" xfId="21569" xr:uid="{00000000-0005-0000-0000-000045540000}"/>
    <cellStyle name="Normal 4 4 4 4 4" xfId="21570" xr:uid="{00000000-0005-0000-0000-000046540000}"/>
    <cellStyle name="Normal 4 4 4 4 5" xfId="21571" xr:uid="{00000000-0005-0000-0000-000047540000}"/>
    <cellStyle name="Normal 4 4 4 4 6" xfId="21572" xr:uid="{00000000-0005-0000-0000-000048540000}"/>
    <cellStyle name="Normal 4 4 4 5" xfId="21573" xr:uid="{00000000-0005-0000-0000-000049540000}"/>
    <cellStyle name="Normal 4 4 4 5 2" xfId="21574" xr:uid="{00000000-0005-0000-0000-00004A540000}"/>
    <cellStyle name="Normal 4 4 4 5 3" xfId="21575" xr:uid="{00000000-0005-0000-0000-00004B540000}"/>
    <cellStyle name="Normal 4 4 4 5 4" xfId="21576" xr:uid="{00000000-0005-0000-0000-00004C540000}"/>
    <cellStyle name="Normal 4 4 4 5 5" xfId="21577" xr:uid="{00000000-0005-0000-0000-00004D540000}"/>
    <cellStyle name="Normal 4 4 4 5 6" xfId="21578" xr:uid="{00000000-0005-0000-0000-00004E540000}"/>
    <cellStyle name="Normal 4 4 4 6" xfId="21579" xr:uid="{00000000-0005-0000-0000-00004F540000}"/>
    <cellStyle name="Normal 4 4 4 6 2" xfId="21580" xr:uid="{00000000-0005-0000-0000-000050540000}"/>
    <cellStyle name="Normal 4 4 4 6 3" xfId="21581" xr:uid="{00000000-0005-0000-0000-000051540000}"/>
    <cellStyle name="Normal 4 4 4 6 4" xfId="21582" xr:uid="{00000000-0005-0000-0000-000052540000}"/>
    <cellStyle name="Normal 4 4 4 6 5" xfId="21583" xr:uid="{00000000-0005-0000-0000-000053540000}"/>
    <cellStyle name="Normal 4 4 4 6 6" xfId="21584" xr:uid="{00000000-0005-0000-0000-000054540000}"/>
    <cellStyle name="Normal 4 4 4 7" xfId="21585" xr:uid="{00000000-0005-0000-0000-000055540000}"/>
    <cellStyle name="Normal 4 4 4 7 2" xfId="21586" xr:uid="{00000000-0005-0000-0000-000056540000}"/>
    <cellStyle name="Normal 4 4 4 7 3" xfId="21587" xr:uid="{00000000-0005-0000-0000-000057540000}"/>
    <cellStyle name="Normal 4 4 4 7 4" xfId="21588" xr:uid="{00000000-0005-0000-0000-000058540000}"/>
    <cellStyle name="Normal 4 4 4 7 5" xfId="21589" xr:uid="{00000000-0005-0000-0000-000059540000}"/>
    <cellStyle name="Normal 4 4 4 7 6" xfId="21590" xr:uid="{00000000-0005-0000-0000-00005A540000}"/>
    <cellStyle name="Normal 4 4 4 8" xfId="21591" xr:uid="{00000000-0005-0000-0000-00005B540000}"/>
    <cellStyle name="Normal 4 4 4 8 2" xfId="21592" xr:uid="{00000000-0005-0000-0000-00005C540000}"/>
    <cellStyle name="Normal 4 4 4 8 3" xfId="21593" xr:uid="{00000000-0005-0000-0000-00005D540000}"/>
    <cellStyle name="Normal 4 4 4 8 4" xfId="21594" xr:uid="{00000000-0005-0000-0000-00005E540000}"/>
    <cellStyle name="Normal 4 4 4 8 5" xfId="21595" xr:uid="{00000000-0005-0000-0000-00005F540000}"/>
    <cellStyle name="Normal 4 4 4 8 6" xfId="21596" xr:uid="{00000000-0005-0000-0000-000060540000}"/>
    <cellStyle name="Normal 4 4 4 9" xfId="21597" xr:uid="{00000000-0005-0000-0000-000061540000}"/>
    <cellStyle name="Normal 4 4 4 9 2" xfId="21598" xr:uid="{00000000-0005-0000-0000-000062540000}"/>
    <cellStyle name="Normal 4 4 4 9 3" xfId="21599" xr:uid="{00000000-0005-0000-0000-000063540000}"/>
    <cellStyle name="Normal 4 4 4 9 4" xfId="21600" xr:uid="{00000000-0005-0000-0000-000064540000}"/>
    <cellStyle name="Normal 4 4 4 9 5" xfId="21601" xr:uid="{00000000-0005-0000-0000-000065540000}"/>
    <cellStyle name="Normal 4 4 4 9 6" xfId="21602" xr:uid="{00000000-0005-0000-0000-000066540000}"/>
    <cellStyle name="Normal 4 4 5" xfId="21603" xr:uid="{00000000-0005-0000-0000-000067540000}"/>
    <cellStyle name="Normal 4 4 5 10" xfId="21604" xr:uid="{00000000-0005-0000-0000-000068540000}"/>
    <cellStyle name="Normal 4 4 5 11" xfId="21605" xr:uid="{00000000-0005-0000-0000-000069540000}"/>
    <cellStyle name="Normal 4 4 5 12" xfId="21606" xr:uid="{00000000-0005-0000-0000-00006A540000}"/>
    <cellStyle name="Normal 4 4 5 13" xfId="21607" xr:uid="{00000000-0005-0000-0000-00006B540000}"/>
    <cellStyle name="Normal 4 4 5 14" xfId="21608" xr:uid="{00000000-0005-0000-0000-00006C540000}"/>
    <cellStyle name="Normal 4 4 5 2" xfId="21609" xr:uid="{00000000-0005-0000-0000-00006D540000}"/>
    <cellStyle name="Normal 4 4 5 2 2" xfId="21610" xr:uid="{00000000-0005-0000-0000-00006E540000}"/>
    <cellStyle name="Normal 4 4 5 2 3" xfId="21611" xr:uid="{00000000-0005-0000-0000-00006F540000}"/>
    <cellStyle name="Normal 4 4 5 2 4" xfId="21612" xr:uid="{00000000-0005-0000-0000-000070540000}"/>
    <cellStyle name="Normal 4 4 5 2 5" xfId="21613" xr:uid="{00000000-0005-0000-0000-000071540000}"/>
    <cellStyle name="Normal 4 4 5 2 6" xfId="21614" xr:uid="{00000000-0005-0000-0000-000072540000}"/>
    <cellStyle name="Normal 4 4 5 3" xfId="21615" xr:uid="{00000000-0005-0000-0000-000073540000}"/>
    <cellStyle name="Normal 4 4 5 3 2" xfId="21616" xr:uid="{00000000-0005-0000-0000-000074540000}"/>
    <cellStyle name="Normal 4 4 5 3 3" xfId="21617" xr:uid="{00000000-0005-0000-0000-000075540000}"/>
    <cellStyle name="Normal 4 4 5 3 4" xfId="21618" xr:uid="{00000000-0005-0000-0000-000076540000}"/>
    <cellStyle name="Normal 4 4 5 3 5" xfId="21619" xr:uid="{00000000-0005-0000-0000-000077540000}"/>
    <cellStyle name="Normal 4 4 5 3 6" xfId="21620" xr:uid="{00000000-0005-0000-0000-000078540000}"/>
    <cellStyle name="Normal 4 4 5 4" xfId="21621" xr:uid="{00000000-0005-0000-0000-000079540000}"/>
    <cellStyle name="Normal 4 4 5 4 2" xfId="21622" xr:uid="{00000000-0005-0000-0000-00007A540000}"/>
    <cellStyle name="Normal 4 4 5 4 3" xfId="21623" xr:uid="{00000000-0005-0000-0000-00007B540000}"/>
    <cellStyle name="Normal 4 4 5 4 4" xfId="21624" xr:uid="{00000000-0005-0000-0000-00007C540000}"/>
    <cellStyle name="Normal 4 4 5 4 5" xfId="21625" xr:uid="{00000000-0005-0000-0000-00007D540000}"/>
    <cellStyle name="Normal 4 4 5 4 6" xfId="21626" xr:uid="{00000000-0005-0000-0000-00007E540000}"/>
    <cellStyle name="Normal 4 4 5 5" xfId="21627" xr:uid="{00000000-0005-0000-0000-00007F540000}"/>
    <cellStyle name="Normal 4 4 5 5 2" xfId="21628" xr:uid="{00000000-0005-0000-0000-000080540000}"/>
    <cellStyle name="Normal 4 4 5 5 3" xfId="21629" xr:uid="{00000000-0005-0000-0000-000081540000}"/>
    <cellStyle name="Normal 4 4 5 5 4" xfId="21630" xr:uid="{00000000-0005-0000-0000-000082540000}"/>
    <cellStyle name="Normal 4 4 5 5 5" xfId="21631" xr:uid="{00000000-0005-0000-0000-000083540000}"/>
    <cellStyle name="Normal 4 4 5 5 6" xfId="21632" xr:uid="{00000000-0005-0000-0000-000084540000}"/>
    <cellStyle name="Normal 4 4 5 6" xfId="21633" xr:uid="{00000000-0005-0000-0000-000085540000}"/>
    <cellStyle name="Normal 4 4 5 6 2" xfId="21634" xr:uid="{00000000-0005-0000-0000-000086540000}"/>
    <cellStyle name="Normal 4 4 5 6 3" xfId="21635" xr:uid="{00000000-0005-0000-0000-000087540000}"/>
    <cellStyle name="Normal 4 4 5 6 4" xfId="21636" xr:uid="{00000000-0005-0000-0000-000088540000}"/>
    <cellStyle name="Normal 4 4 5 6 5" xfId="21637" xr:uid="{00000000-0005-0000-0000-000089540000}"/>
    <cellStyle name="Normal 4 4 5 6 6" xfId="21638" xr:uid="{00000000-0005-0000-0000-00008A540000}"/>
    <cellStyle name="Normal 4 4 5 7" xfId="21639" xr:uid="{00000000-0005-0000-0000-00008B540000}"/>
    <cellStyle name="Normal 4 4 5 7 2" xfId="21640" xr:uid="{00000000-0005-0000-0000-00008C540000}"/>
    <cellStyle name="Normal 4 4 5 7 3" xfId="21641" xr:uid="{00000000-0005-0000-0000-00008D540000}"/>
    <cellStyle name="Normal 4 4 5 7 4" xfId="21642" xr:uid="{00000000-0005-0000-0000-00008E540000}"/>
    <cellStyle name="Normal 4 4 5 7 5" xfId="21643" xr:uid="{00000000-0005-0000-0000-00008F540000}"/>
    <cellStyle name="Normal 4 4 5 7 6" xfId="21644" xr:uid="{00000000-0005-0000-0000-000090540000}"/>
    <cellStyle name="Normal 4 4 5 8" xfId="21645" xr:uid="{00000000-0005-0000-0000-000091540000}"/>
    <cellStyle name="Normal 4 4 5 8 2" xfId="21646" xr:uid="{00000000-0005-0000-0000-000092540000}"/>
    <cellStyle name="Normal 4 4 5 8 3" xfId="21647" xr:uid="{00000000-0005-0000-0000-000093540000}"/>
    <cellStyle name="Normal 4 4 5 8 4" xfId="21648" xr:uid="{00000000-0005-0000-0000-000094540000}"/>
    <cellStyle name="Normal 4 4 5 8 5" xfId="21649" xr:uid="{00000000-0005-0000-0000-000095540000}"/>
    <cellStyle name="Normal 4 4 5 8 6" xfId="21650" xr:uid="{00000000-0005-0000-0000-000096540000}"/>
    <cellStyle name="Normal 4 4 5 9" xfId="21651" xr:uid="{00000000-0005-0000-0000-000097540000}"/>
    <cellStyle name="Normal 4 4 5 9 2" xfId="21652" xr:uid="{00000000-0005-0000-0000-000098540000}"/>
    <cellStyle name="Normal 4 4 5 9 3" xfId="21653" xr:uid="{00000000-0005-0000-0000-000099540000}"/>
    <cellStyle name="Normal 4 4 5 9 4" xfId="21654" xr:uid="{00000000-0005-0000-0000-00009A540000}"/>
    <cellStyle name="Normal 4 4 5 9 5" xfId="21655" xr:uid="{00000000-0005-0000-0000-00009B540000}"/>
    <cellStyle name="Normal 4 4 5 9 6" xfId="21656" xr:uid="{00000000-0005-0000-0000-00009C540000}"/>
    <cellStyle name="Normal 4 4 6" xfId="21657" xr:uid="{00000000-0005-0000-0000-00009D540000}"/>
    <cellStyle name="Normal 4 4 6 2" xfId="21658" xr:uid="{00000000-0005-0000-0000-00009E540000}"/>
    <cellStyle name="Normal 4 4 6 3" xfId="21659" xr:uid="{00000000-0005-0000-0000-00009F540000}"/>
    <cellStyle name="Normal 4 4 6 4" xfId="21660" xr:uid="{00000000-0005-0000-0000-0000A0540000}"/>
    <cellStyle name="Normal 4 4 6 5" xfId="21661" xr:uid="{00000000-0005-0000-0000-0000A1540000}"/>
    <cellStyle name="Normal 4 4 6 6" xfId="21662" xr:uid="{00000000-0005-0000-0000-0000A2540000}"/>
    <cellStyle name="Normal 4 4 7" xfId="21663" xr:uid="{00000000-0005-0000-0000-0000A3540000}"/>
    <cellStyle name="Normal 4 4 7 2" xfId="21664" xr:uid="{00000000-0005-0000-0000-0000A4540000}"/>
    <cellStyle name="Normal 4 4 7 3" xfId="21665" xr:uid="{00000000-0005-0000-0000-0000A5540000}"/>
    <cellStyle name="Normal 4 4 7 4" xfId="21666" xr:uid="{00000000-0005-0000-0000-0000A6540000}"/>
    <cellStyle name="Normal 4 4 7 5" xfId="21667" xr:uid="{00000000-0005-0000-0000-0000A7540000}"/>
    <cellStyle name="Normal 4 4 7 6" xfId="21668" xr:uid="{00000000-0005-0000-0000-0000A8540000}"/>
    <cellStyle name="Normal 4 4 8" xfId="21669" xr:uid="{00000000-0005-0000-0000-0000A9540000}"/>
    <cellStyle name="Normal 4 4 8 2" xfId="21670" xr:uid="{00000000-0005-0000-0000-0000AA540000}"/>
    <cellStyle name="Normal 4 4 8 3" xfId="21671" xr:uid="{00000000-0005-0000-0000-0000AB540000}"/>
    <cellStyle name="Normal 4 4 8 4" xfId="21672" xr:uid="{00000000-0005-0000-0000-0000AC540000}"/>
    <cellStyle name="Normal 4 4 8 5" xfId="21673" xr:uid="{00000000-0005-0000-0000-0000AD540000}"/>
    <cellStyle name="Normal 4 4 8 6" xfId="21674" xr:uid="{00000000-0005-0000-0000-0000AE540000}"/>
    <cellStyle name="Normal 4 4 9" xfId="21675" xr:uid="{00000000-0005-0000-0000-0000AF540000}"/>
    <cellStyle name="Normal 4 4 9 2" xfId="21676" xr:uid="{00000000-0005-0000-0000-0000B0540000}"/>
    <cellStyle name="Normal 4 4 9 3" xfId="21677" xr:uid="{00000000-0005-0000-0000-0000B1540000}"/>
    <cellStyle name="Normal 4 4 9 4" xfId="21678" xr:uid="{00000000-0005-0000-0000-0000B2540000}"/>
    <cellStyle name="Normal 4 4 9 5" xfId="21679" xr:uid="{00000000-0005-0000-0000-0000B3540000}"/>
    <cellStyle name="Normal 4 4 9 6" xfId="21680" xr:uid="{00000000-0005-0000-0000-0000B4540000}"/>
    <cellStyle name="Normal 4 5" xfId="21681" xr:uid="{00000000-0005-0000-0000-0000B5540000}"/>
    <cellStyle name="Normal 4 5 10" xfId="21682" xr:uid="{00000000-0005-0000-0000-0000B6540000}"/>
    <cellStyle name="Normal 4 5 10 2" xfId="21683" xr:uid="{00000000-0005-0000-0000-0000B7540000}"/>
    <cellStyle name="Normal 4 5 10 3" xfId="21684" xr:uid="{00000000-0005-0000-0000-0000B8540000}"/>
    <cellStyle name="Normal 4 5 10 4" xfId="21685" xr:uid="{00000000-0005-0000-0000-0000B9540000}"/>
    <cellStyle name="Normal 4 5 10 5" xfId="21686" xr:uid="{00000000-0005-0000-0000-0000BA540000}"/>
    <cellStyle name="Normal 4 5 10 6" xfId="21687" xr:uid="{00000000-0005-0000-0000-0000BB540000}"/>
    <cellStyle name="Normal 4 5 11" xfId="21688" xr:uid="{00000000-0005-0000-0000-0000BC540000}"/>
    <cellStyle name="Normal 4 5 11 2" xfId="21689" xr:uid="{00000000-0005-0000-0000-0000BD540000}"/>
    <cellStyle name="Normal 4 5 11 3" xfId="21690" xr:uid="{00000000-0005-0000-0000-0000BE540000}"/>
    <cellStyle name="Normal 4 5 11 4" xfId="21691" xr:uid="{00000000-0005-0000-0000-0000BF540000}"/>
    <cellStyle name="Normal 4 5 11 5" xfId="21692" xr:uid="{00000000-0005-0000-0000-0000C0540000}"/>
    <cellStyle name="Normal 4 5 11 6" xfId="21693" xr:uid="{00000000-0005-0000-0000-0000C1540000}"/>
    <cellStyle name="Normal 4 5 12" xfId="21694" xr:uid="{00000000-0005-0000-0000-0000C2540000}"/>
    <cellStyle name="Normal 4 5 12 2" xfId="21695" xr:uid="{00000000-0005-0000-0000-0000C3540000}"/>
    <cellStyle name="Normal 4 5 12 3" xfId="21696" xr:uid="{00000000-0005-0000-0000-0000C4540000}"/>
    <cellStyle name="Normal 4 5 12 4" xfId="21697" xr:uid="{00000000-0005-0000-0000-0000C5540000}"/>
    <cellStyle name="Normal 4 5 12 5" xfId="21698" xr:uid="{00000000-0005-0000-0000-0000C6540000}"/>
    <cellStyle name="Normal 4 5 12 6" xfId="21699" xr:uid="{00000000-0005-0000-0000-0000C7540000}"/>
    <cellStyle name="Normal 4 5 13" xfId="21700" xr:uid="{00000000-0005-0000-0000-0000C8540000}"/>
    <cellStyle name="Normal 4 5 13 2" xfId="21701" xr:uid="{00000000-0005-0000-0000-0000C9540000}"/>
    <cellStyle name="Normal 4 5 13 3" xfId="21702" xr:uid="{00000000-0005-0000-0000-0000CA540000}"/>
    <cellStyle name="Normal 4 5 13 4" xfId="21703" xr:uid="{00000000-0005-0000-0000-0000CB540000}"/>
    <cellStyle name="Normal 4 5 13 5" xfId="21704" xr:uid="{00000000-0005-0000-0000-0000CC540000}"/>
    <cellStyle name="Normal 4 5 13 6" xfId="21705" xr:uid="{00000000-0005-0000-0000-0000CD540000}"/>
    <cellStyle name="Normal 4 5 14" xfId="21706" xr:uid="{00000000-0005-0000-0000-0000CE540000}"/>
    <cellStyle name="Normal 4 5 15" xfId="21707" xr:uid="{00000000-0005-0000-0000-0000CF540000}"/>
    <cellStyle name="Normal 4 5 16" xfId="21708" xr:uid="{00000000-0005-0000-0000-0000D0540000}"/>
    <cellStyle name="Normal 4 5 17" xfId="21709" xr:uid="{00000000-0005-0000-0000-0000D1540000}"/>
    <cellStyle name="Normal 4 5 18" xfId="21710" xr:uid="{00000000-0005-0000-0000-0000D2540000}"/>
    <cellStyle name="Normal 4 5 19" xfId="21711" xr:uid="{00000000-0005-0000-0000-0000D3540000}"/>
    <cellStyle name="Normal 4 5 2" xfId="21712" xr:uid="{00000000-0005-0000-0000-0000D4540000}"/>
    <cellStyle name="Normal 4 5 2 10" xfId="21713" xr:uid="{00000000-0005-0000-0000-0000D5540000}"/>
    <cellStyle name="Normal 4 5 2 10 2" xfId="21714" xr:uid="{00000000-0005-0000-0000-0000D6540000}"/>
    <cellStyle name="Normal 4 5 2 10 3" xfId="21715" xr:uid="{00000000-0005-0000-0000-0000D7540000}"/>
    <cellStyle name="Normal 4 5 2 10 4" xfId="21716" xr:uid="{00000000-0005-0000-0000-0000D8540000}"/>
    <cellStyle name="Normal 4 5 2 10 5" xfId="21717" xr:uid="{00000000-0005-0000-0000-0000D9540000}"/>
    <cellStyle name="Normal 4 5 2 10 6" xfId="21718" xr:uid="{00000000-0005-0000-0000-0000DA540000}"/>
    <cellStyle name="Normal 4 5 2 11" xfId="21719" xr:uid="{00000000-0005-0000-0000-0000DB540000}"/>
    <cellStyle name="Normal 4 5 2 11 2" xfId="21720" xr:uid="{00000000-0005-0000-0000-0000DC540000}"/>
    <cellStyle name="Normal 4 5 2 11 3" xfId="21721" xr:uid="{00000000-0005-0000-0000-0000DD540000}"/>
    <cellStyle name="Normal 4 5 2 11 4" xfId="21722" xr:uid="{00000000-0005-0000-0000-0000DE540000}"/>
    <cellStyle name="Normal 4 5 2 11 5" xfId="21723" xr:uid="{00000000-0005-0000-0000-0000DF540000}"/>
    <cellStyle name="Normal 4 5 2 11 6" xfId="21724" xr:uid="{00000000-0005-0000-0000-0000E0540000}"/>
    <cellStyle name="Normal 4 5 2 12" xfId="21725" xr:uid="{00000000-0005-0000-0000-0000E1540000}"/>
    <cellStyle name="Normal 4 5 2 13" xfId="21726" xr:uid="{00000000-0005-0000-0000-0000E2540000}"/>
    <cellStyle name="Normal 4 5 2 14" xfId="21727" xr:uid="{00000000-0005-0000-0000-0000E3540000}"/>
    <cellStyle name="Normal 4 5 2 15" xfId="21728" xr:uid="{00000000-0005-0000-0000-0000E4540000}"/>
    <cellStyle name="Normal 4 5 2 16" xfId="21729" xr:uid="{00000000-0005-0000-0000-0000E5540000}"/>
    <cellStyle name="Normal 4 5 2 17" xfId="21730" xr:uid="{00000000-0005-0000-0000-0000E6540000}"/>
    <cellStyle name="Normal 4 5 2 18" xfId="21731" xr:uid="{00000000-0005-0000-0000-0000E7540000}"/>
    <cellStyle name="Normal 4 5 2 19" xfId="21732" xr:uid="{00000000-0005-0000-0000-0000E8540000}"/>
    <cellStyle name="Normal 4 5 2 2" xfId="21733" xr:uid="{00000000-0005-0000-0000-0000E9540000}"/>
    <cellStyle name="Normal 4 5 2 2 10" xfId="21734" xr:uid="{00000000-0005-0000-0000-0000EA540000}"/>
    <cellStyle name="Normal 4 5 2 2 10 2" xfId="21735" xr:uid="{00000000-0005-0000-0000-0000EB540000}"/>
    <cellStyle name="Normal 4 5 2 2 10 3" xfId="21736" xr:uid="{00000000-0005-0000-0000-0000EC540000}"/>
    <cellStyle name="Normal 4 5 2 2 10 4" xfId="21737" xr:uid="{00000000-0005-0000-0000-0000ED540000}"/>
    <cellStyle name="Normal 4 5 2 2 10 5" xfId="21738" xr:uid="{00000000-0005-0000-0000-0000EE540000}"/>
    <cellStyle name="Normal 4 5 2 2 10 6" xfId="21739" xr:uid="{00000000-0005-0000-0000-0000EF540000}"/>
    <cellStyle name="Normal 4 5 2 2 11" xfId="21740" xr:uid="{00000000-0005-0000-0000-0000F0540000}"/>
    <cellStyle name="Normal 4 5 2 2 12" xfId="21741" xr:uid="{00000000-0005-0000-0000-0000F1540000}"/>
    <cellStyle name="Normal 4 5 2 2 13" xfId="21742" xr:uid="{00000000-0005-0000-0000-0000F2540000}"/>
    <cellStyle name="Normal 4 5 2 2 14" xfId="21743" xr:uid="{00000000-0005-0000-0000-0000F3540000}"/>
    <cellStyle name="Normal 4 5 2 2 15" xfId="21744" xr:uid="{00000000-0005-0000-0000-0000F4540000}"/>
    <cellStyle name="Normal 4 5 2 2 2" xfId="21745" xr:uid="{00000000-0005-0000-0000-0000F5540000}"/>
    <cellStyle name="Normal 4 5 2 2 2 10" xfId="21746" xr:uid="{00000000-0005-0000-0000-0000F6540000}"/>
    <cellStyle name="Normal 4 5 2 2 2 11" xfId="21747" xr:uid="{00000000-0005-0000-0000-0000F7540000}"/>
    <cellStyle name="Normal 4 5 2 2 2 12" xfId="21748" xr:uid="{00000000-0005-0000-0000-0000F8540000}"/>
    <cellStyle name="Normal 4 5 2 2 2 13" xfId="21749" xr:uid="{00000000-0005-0000-0000-0000F9540000}"/>
    <cellStyle name="Normal 4 5 2 2 2 14" xfId="21750" xr:uid="{00000000-0005-0000-0000-0000FA540000}"/>
    <cellStyle name="Normal 4 5 2 2 2 2" xfId="21751" xr:uid="{00000000-0005-0000-0000-0000FB540000}"/>
    <cellStyle name="Normal 4 5 2 2 2 2 2" xfId="21752" xr:uid="{00000000-0005-0000-0000-0000FC540000}"/>
    <cellStyle name="Normal 4 5 2 2 2 2 3" xfId="21753" xr:uid="{00000000-0005-0000-0000-0000FD540000}"/>
    <cellStyle name="Normal 4 5 2 2 2 2 4" xfId="21754" xr:uid="{00000000-0005-0000-0000-0000FE540000}"/>
    <cellStyle name="Normal 4 5 2 2 2 2 5" xfId="21755" xr:uid="{00000000-0005-0000-0000-0000FF540000}"/>
    <cellStyle name="Normal 4 5 2 2 2 2 6" xfId="21756" xr:uid="{00000000-0005-0000-0000-000000550000}"/>
    <cellStyle name="Normal 4 5 2 2 2 3" xfId="21757" xr:uid="{00000000-0005-0000-0000-000001550000}"/>
    <cellStyle name="Normal 4 5 2 2 2 3 2" xfId="21758" xr:uid="{00000000-0005-0000-0000-000002550000}"/>
    <cellStyle name="Normal 4 5 2 2 2 3 3" xfId="21759" xr:uid="{00000000-0005-0000-0000-000003550000}"/>
    <cellStyle name="Normal 4 5 2 2 2 3 4" xfId="21760" xr:uid="{00000000-0005-0000-0000-000004550000}"/>
    <cellStyle name="Normal 4 5 2 2 2 3 5" xfId="21761" xr:uid="{00000000-0005-0000-0000-000005550000}"/>
    <cellStyle name="Normal 4 5 2 2 2 3 6" xfId="21762" xr:uid="{00000000-0005-0000-0000-000006550000}"/>
    <cellStyle name="Normal 4 5 2 2 2 4" xfId="21763" xr:uid="{00000000-0005-0000-0000-000007550000}"/>
    <cellStyle name="Normal 4 5 2 2 2 4 2" xfId="21764" xr:uid="{00000000-0005-0000-0000-000008550000}"/>
    <cellStyle name="Normal 4 5 2 2 2 4 3" xfId="21765" xr:uid="{00000000-0005-0000-0000-000009550000}"/>
    <cellStyle name="Normal 4 5 2 2 2 4 4" xfId="21766" xr:uid="{00000000-0005-0000-0000-00000A550000}"/>
    <cellStyle name="Normal 4 5 2 2 2 4 5" xfId="21767" xr:uid="{00000000-0005-0000-0000-00000B550000}"/>
    <cellStyle name="Normal 4 5 2 2 2 4 6" xfId="21768" xr:uid="{00000000-0005-0000-0000-00000C550000}"/>
    <cellStyle name="Normal 4 5 2 2 2 5" xfId="21769" xr:uid="{00000000-0005-0000-0000-00000D550000}"/>
    <cellStyle name="Normal 4 5 2 2 2 5 2" xfId="21770" xr:uid="{00000000-0005-0000-0000-00000E550000}"/>
    <cellStyle name="Normal 4 5 2 2 2 5 3" xfId="21771" xr:uid="{00000000-0005-0000-0000-00000F550000}"/>
    <cellStyle name="Normal 4 5 2 2 2 5 4" xfId="21772" xr:uid="{00000000-0005-0000-0000-000010550000}"/>
    <cellStyle name="Normal 4 5 2 2 2 5 5" xfId="21773" xr:uid="{00000000-0005-0000-0000-000011550000}"/>
    <cellStyle name="Normal 4 5 2 2 2 5 6" xfId="21774" xr:uid="{00000000-0005-0000-0000-000012550000}"/>
    <cellStyle name="Normal 4 5 2 2 2 6" xfId="21775" xr:uid="{00000000-0005-0000-0000-000013550000}"/>
    <cellStyle name="Normal 4 5 2 2 2 6 2" xfId="21776" xr:uid="{00000000-0005-0000-0000-000014550000}"/>
    <cellStyle name="Normal 4 5 2 2 2 6 3" xfId="21777" xr:uid="{00000000-0005-0000-0000-000015550000}"/>
    <cellStyle name="Normal 4 5 2 2 2 6 4" xfId="21778" xr:uid="{00000000-0005-0000-0000-000016550000}"/>
    <cellStyle name="Normal 4 5 2 2 2 6 5" xfId="21779" xr:uid="{00000000-0005-0000-0000-000017550000}"/>
    <cellStyle name="Normal 4 5 2 2 2 6 6" xfId="21780" xr:uid="{00000000-0005-0000-0000-000018550000}"/>
    <cellStyle name="Normal 4 5 2 2 2 7" xfId="21781" xr:uid="{00000000-0005-0000-0000-000019550000}"/>
    <cellStyle name="Normal 4 5 2 2 2 7 2" xfId="21782" xr:uid="{00000000-0005-0000-0000-00001A550000}"/>
    <cellStyle name="Normal 4 5 2 2 2 7 3" xfId="21783" xr:uid="{00000000-0005-0000-0000-00001B550000}"/>
    <cellStyle name="Normal 4 5 2 2 2 7 4" xfId="21784" xr:uid="{00000000-0005-0000-0000-00001C550000}"/>
    <cellStyle name="Normal 4 5 2 2 2 7 5" xfId="21785" xr:uid="{00000000-0005-0000-0000-00001D550000}"/>
    <cellStyle name="Normal 4 5 2 2 2 7 6" xfId="21786" xr:uid="{00000000-0005-0000-0000-00001E550000}"/>
    <cellStyle name="Normal 4 5 2 2 2 8" xfId="21787" xr:uid="{00000000-0005-0000-0000-00001F550000}"/>
    <cellStyle name="Normal 4 5 2 2 2 8 2" xfId="21788" xr:uid="{00000000-0005-0000-0000-000020550000}"/>
    <cellStyle name="Normal 4 5 2 2 2 8 3" xfId="21789" xr:uid="{00000000-0005-0000-0000-000021550000}"/>
    <cellStyle name="Normal 4 5 2 2 2 8 4" xfId="21790" xr:uid="{00000000-0005-0000-0000-000022550000}"/>
    <cellStyle name="Normal 4 5 2 2 2 8 5" xfId="21791" xr:uid="{00000000-0005-0000-0000-000023550000}"/>
    <cellStyle name="Normal 4 5 2 2 2 8 6" xfId="21792" xr:uid="{00000000-0005-0000-0000-000024550000}"/>
    <cellStyle name="Normal 4 5 2 2 2 9" xfId="21793" xr:uid="{00000000-0005-0000-0000-000025550000}"/>
    <cellStyle name="Normal 4 5 2 2 2 9 2" xfId="21794" xr:uid="{00000000-0005-0000-0000-000026550000}"/>
    <cellStyle name="Normal 4 5 2 2 2 9 3" xfId="21795" xr:uid="{00000000-0005-0000-0000-000027550000}"/>
    <cellStyle name="Normal 4 5 2 2 2 9 4" xfId="21796" xr:uid="{00000000-0005-0000-0000-000028550000}"/>
    <cellStyle name="Normal 4 5 2 2 2 9 5" xfId="21797" xr:uid="{00000000-0005-0000-0000-000029550000}"/>
    <cellStyle name="Normal 4 5 2 2 2 9 6" xfId="21798" xr:uid="{00000000-0005-0000-0000-00002A550000}"/>
    <cellStyle name="Normal 4 5 2 2 3" xfId="21799" xr:uid="{00000000-0005-0000-0000-00002B550000}"/>
    <cellStyle name="Normal 4 5 2 2 3 2" xfId="21800" xr:uid="{00000000-0005-0000-0000-00002C550000}"/>
    <cellStyle name="Normal 4 5 2 2 3 3" xfId="21801" xr:uid="{00000000-0005-0000-0000-00002D550000}"/>
    <cellStyle name="Normal 4 5 2 2 3 4" xfId="21802" xr:uid="{00000000-0005-0000-0000-00002E550000}"/>
    <cellStyle name="Normal 4 5 2 2 3 5" xfId="21803" xr:uid="{00000000-0005-0000-0000-00002F550000}"/>
    <cellStyle name="Normal 4 5 2 2 3 6" xfId="21804" xr:uid="{00000000-0005-0000-0000-000030550000}"/>
    <cellStyle name="Normal 4 5 2 2 4" xfId="21805" xr:uid="{00000000-0005-0000-0000-000031550000}"/>
    <cellStyle name="Normal 4 5 2 2 4 2" xfId="21806" xr:uid="{00000000-0005-0000-0000-000032550000}"/>
    <cellStyle name="Normal 4 5 2 2 4 3" xfId="21807" xr:uid="{00000000-0005-0000-0000-000033550000}"/>
    <cellStyle name="Normal 4 5 2 2 4 4" xfId="21808" xr:uid="{00000000-0005-0000-0000-000034550000}"/>
    <cellStyle name="Normal 4 5 2 2 4 5" xfId="21809" xr:uid="{00000000-0005-0000-0000-000035550000}"/>
    <cellStyle name="Normal 4 5 2 2 4 6" xfId="21810" xr:uid="{00000000-0005-0000-0000-000036550000}"/>
    <cellStyle name="Normal 4 5 2 2 5" xfId="21811" xr:uid="{00000000-0005-0000-0000-000037550000}"/>
    <cellStyle name="Normal 4 5 2 2 5 2" xfId="21812" xr:uid="{00000000-0005-0000-0000-000038550000}"/>
    <cellStyle name="Normal 4 5 2 2 5 3" xfId="21813" xr:uid="{00000000-0005-0000-0000-000039550000}"/>
    <cellStyle name="Normal 4 5 2 2 5 4" xfId="21814" xr:uid="{00000000-0005-0000-0000-00003A550000}"/>
    <cellStyle name="Normal 4 5 2 2 5 5" xfId="21815" xr:uid="{00000000-0005-0000-0000-00003B550000}"/>
    <cellStyle name="Normal 4 5 2 2 5 6" xfId="21816" xr:uid="{00000000-0005-0000-0000-00003C550000}"/>
    <cellStyle name="Normal 4 5 2 2 6" xfId="21817" xr:uid="{00000000-0005-0000-0000-00003D550000}"/>
    <cellStyle name="Normal 4 5 2 2 6 2" xfId="21818" xr:uid="{00000000-0005-0000-0000-00003E550000}"/>
    <cellStyle name="Normal 4 5 2 2 6 3" xfId="21819" xr:uid="{00000000-0005-0000-0000-00003F550000}"/>
    <cellStyle name="Normal 4 5 2 2 6 4" xfId="21820" xr:uid="{00000000-0005-0000-0000-000040550000}"/>
    <cellStyle name="Normal 4 5 2 2 6 5" xfId="21821" xr:uid="{00000000-0005-0000-0000-000041550000}"/>
    <cellStyle name="Normal 4 5 2 2 6 6" xfId="21822" xr:uid="{00000000-0005-0000-0000-000042550000}"/>
    <cellStyle name="Normal 4 5 2 2 7" xfId="21823" xr:uid="{00000000-0005-0000-0000-000043550000}"/>
    <cellStyle name="Normal 4 5 2 2 7 2" xfId="21824" xr:uid="{00000000-0005-0000-0000-000044550000}"/>
    <cellStyle name="Normal 4 5 2 2 7 3" xfId="21825" xr:uid="{00000000-0005-0000-0000-000045550000}"/>
    <cellStyle name="Normal 4 5 2 2 7 4" xfId="21826" xr:uid="{00000000-0005-0000-0000-000046550000}"/>
    <cellStyle name="Normal 4 5 2 2 7 5" xfId="21827" xr:uid="{00000000-0005-0000-0000-000047550000}"/>
    <cellStyle name="Normal 4 5 2 2 7 6" xfId="21828" xr:uid="{00000000-0005-0000-0000-000048550000}"/>
    <cellStyle name="Normal 4 5 2 2 8" xfId="21829" xr:uid="{00000000-0005-0000-0000-000049550000}"/>
    <cellStyle name="Normal 4 5 2 2 8 2" xfId="21830" xr:uid="{00000000-0005-0000-0000-00004A550000}"/>
    <cellStyle name="Normal 4 5 2 2 8 3" xfId="21831" xr:uid="{00000000-0005-0000-0000-00004B550000}"/>
    <cellStyle name="Normal 4 5 2 2 8 4" xfId="21832" xr:uid="{00000000-0005-0000-0000-00004C550000}"/>
    <cellStyle name="Normal 4 5 2 2 8 5" xfId="21833" xr:uid="{00000000-0005-0000-0000-00004D550000}"/>
    <cellStyle name="Normal 4 5 2 2 8 6" xfId="21834" xr:uid="{00000000-0005-0000-0000-00004E550000}"/>
    <cellStyle name="Normal 4 5 2 2 9" xfId="21835" xr:uid="{00000000-0005-0000-0000-00004F550000}"/>
    <cellStyle name="Normal 4 5 2 2 9 2" xfId="21836" xr:uid="{00000000-0005-0000-0000-000050550000}"/>
    <cellStyle name="Normal 4 5 2 2 9 3" xfId="21837" xr:uid="{00000000-0005-0000-0000-000051550000}"/>
    <cellStyle name="Normal 4 5 2 2 9 4" xfId="21838" xr:uid="{00000000-0005-0000-0000-000052550000}"/>
    <cellStyle name="Normal 4 5 2 2 9 5" xfId="21839" xr:uid="{00000000-0005-0000-0000-000053550000}"/>
    <cellStyle name="Normal 4 5 2 2 9 6" xfId="21840" xr:uid="{00000000-0005-0000-0000-000054550000}"/>
    <cellStyle name="Normal 4 5 2 20" xfId="21841" xr:uid="{00000000-0005-0000-0000-000055550000}"/>
    <cellStyle name="Normal 4 5 2 21" xfId="21842" xr:uid="{00000000-0005-0000-0000-000056550000}"/>
    <cellStyle name="Normal 4 5 2 22" xfId="21843" xr:uid="{00000000-0005-0000-0000-000057550000}"/>
    <cellStyle name="Normal 4 5 2 23" xfId="21844" xr:uid="{00000000-0005-0000-0000-000058550000}"/>
    <cellStyle name="Normal 4 5 2 24" xfId="21845" xr:uid="{00000000-0005-0000-0000-000059550000}"/>
    <cellStyle name="Normal 4 5 2 25" xfId="21846" xr:uid="{00000000-0005-0000-0000-00005A550000}"/>
    <cellStyle name="Normal 4 5 2 26" xfId="21847" xr:uid="{00000000-0005-0000-0000-00005B550000}"/>
    <cellStyle name="Normal 4 5 2 27" xfId="21848" xr:uid="{00000000-0005-0000-0000-00005C550000}"/>
    <cellStyle name="Normal 4 5 2 28" xfId="21849" xr:uid="{00000000-0005-0000-0000-00005D550000}"/>
    <cellStyle name="Normal 4 5 2 29" xfId="21850" xr:uid="{00000000-0005-0000-0000-00005E550000}"/>
    <cellStyle name="Normal 4 5 2 3" xfId="21851" xr:uid="{00000000-0005-0000-0000-00005F550000}"/>
    <cellStyle name="Normal 4 5 2 3 10" xfId="21852" xr:uid="{00000000-0005-0000-0000-000060550000}"/>
    <cellStyle name="Normal 4 5 2 3 11" xfId="21853" xr:uid="{00000000-0005-0000-0000-000061550000}"/>
    <cellStyle name="Normal 4 5 2 3 12" xfId="21854" xr:uid="{00000000-0005-0000-0000-000062550000}"/>
    <cellStyle name="Normal 4 5 2 3 13" xfId="21855" xr:uid="{00000000-0005-0000-0000-000063550000}"/>
    <cellStyle name="Normal 4 5 2 3 14" xfId="21856" xr:uid="{00000000-0005-0000-0000-000064550000}"/>
    <cellStyle name="Normal 4 5 2 3 2" xfId="21857" xr:uid="{00000000-0005-0000-0000-000065550000}"/>
    <cellStyle name="Normal 4 5 2 3 2 2" xfId="21858" xr:uid="{00000000-0005-0000-0000-000066550000}"/>
    <cellStyle name="Normal 4 5 2 3 2 3" xfId="21859" xr:uid="{00000000-0005-0000-0000-000067550000}"/>
    <cellStyle name="Normal 4 5 2 3 2 4" xfId="21860" xr:uid="{00000000-0005-0000-0000-000068550000}"/>
    <cellStyle name="Normal 4 5 2 3 2 5" xfId="21861" xr:uid="{00000000-0005-0000-0000-000069550000}"/>
    <cellStyle name="Normal 4 5 2 3 2 6" xfId="21862" xr:uid="{00000000-0005-0000-0000-00006A550000}"/>
    <cellStyle name="Normal 4 5 2 3 3" xfId="21863" xr:uid="{00000000-0005-0000-0000-00006B550000}"/>
    <cellStyle name="Normal 4 5 2 3 3 2" xfId="21864" xr:uid="{00000000-0005-0000-0000-00006C550000}"/>
    <cellStyle name="Normal 4 5 2 3 3 3" xfId="21865" xr:uid="{00000000-0005-0000-0000-00006D550000}"/>
    <cellStyle name="Normal 4 5 2 3 3 4" xfId="21866" xr:uid="{00000000-0005-0000-0000-00006E550000}"/>
    <cellStyle name="Normal 4 5 2 3 3 5" xfId="21867" xr:uid="{00000000-0005-0000-0000-00006F550000}"/>
    <cellStyle name="Normal 4 5 2 3 3 6" xfId="21868" xr:uid="{00000000-0005-0000-0000-000070550000}"/>
    <cellStyle name="Normal 4 5 2 3 4" xfId="21869" xr:uid="{00000000-0005-0000-0000-000071550000}"/>
    <cellStyle name="Normal 4 5 2 3 4 2" xfId="21870" xr:uid="{00000000-0005-0000-0000-000072550000}"/>
    <cellStyle name="Normal 4 5 2 3 4 3" xfId="21871" xr:uid="{00000000-0005-0000-0000-000073550000}"/>
    <cellStyle name="Normal 4 5 2 3 4 4" xfId="21872" xr:uid="{00000000-0005-0000-0000-000074550000}"/>
    <cellStyle name="Normal 4 5 2 3 4 5" xfId="21873" xr:uid="{00000000-0005-0000-0000-000075550000}"/>
    <cellStyle name="Normal 4 5 2 3 4 6" xfId="21874" xr:uid="{00000000-0005-0000-0000-000076550000}"/>
    <cellStyle name="Normal 4 5 2 3 5" xfId="21875" xr:uid="{00000000-0005-0000-0000-000077550000}"/>
    <cellStyle name="Normal 4 5 2 3 5 2" xfId="21876" xr:uid="{00000000-0005-0000-0000-000078550000}"/>
    <cellStyle name="Normal 4 5 2 3 5 3" xfId="21877" xr:uid="{00000000-0005-0000-0000-000079550000}"/>
    <cellStyle name="Normal 4 5 2 3 5 4" xfId="21878" xr:uid="{00000000-0005-0000-0000-00007A550000}"/>
    <cellStyle name="Normal 4 5 2 3 5 5" xfId="21879" xr:uid="{00000000-0005-0000-0000-00007B550000}"/>
    <cellStyle name="Normal 4 5 2 3 5 6" xfId="21880" xr:uid="{00000000-0005-0000-0000-00007C550000}"/>
    <cellStyle name="Normal 4 5 2 3 6" xfId="21881" xr:uid="{00000000-0005-0000-0000-00007D550000}"/>
    <cellStyle name="Normal 4 5 2 3 6 2" xfId="21882" xr:uid="{00000000-0005-0000-0000-00007E550000}"/>
    <cellStyle name="Normal 4 5 2 3 6 3" xfId="21883" xr:uid="{00000000-0005-0000-0000-00007F550000}"/>
    <cellStyle name="Normal 4 5 2 3 6 4" xfId="21884" xr:uid="{00000000-0005-0000-0000-000080550000}"/>
    <cellStyle name="Normal 4 5 2 3 6 5" xfId="21885" xr:uid="{00000000-0005-0000-0000-000081550000}"/>
    <cellStyle name="Normal 4 5 2 3 6 6" xfId="21886" xr:uid="{00000000-0005-0000-0000-000082550000}"/>
    <cellStyle name="Normal 4 5 2 3 7" xfId="21887" xr:uid="{00000000-0005-0000-0000-000083550000}"/>
    <cellStyle name="Normal 4 5 2 3 7 2" xfId="21888" xr:uid="{00000000-0005-0000-0000-000084550000}"/>
    <cellStyle name="Normal 4 5 2 3 7 3" xfId="21889" xr:uid="{00000000-0005-0000-0000-000085550000}"/>
    <cellStyle name="Normal 4 5 2 3 7 4" xfId="21890" xr:uid="{00000000-0005-0000-0000-000086550000}"/>
    <cellStyle name="Normal 4 5 2 3 7 5" xfId="21891" xr:uid="{00000000-0005-0000-0000-000087550000}"/>
    <cellStyle name="Normal 4 5 2 3 7 6" xfId="21892" xr:uid="{00000000-0005-0000-0000-000088550000}"/>
    <cellStyle name="Normal 4 5 2 3 8" xfId="21893" xr:uid="{00000000-0005-0000-0000-000089550000}"/>
    <cellStyle name="Normal 4 5 2 3 8 2" xfId="21894" xr:uid="{00000000-0005-0000-0000-00008A550000}"/>
    <cellStyle name="Normal 4 5 2 3 8 3" xfId="21895" xr:uid="{00000000-0005-0000-0000-00008B550000}"/>
    <cellStyle name="Normal 4 5 2 3 8 4" xfId="21896" xr:uid="{00000000-0005-0000-0000-00008C550000}"/>
    <cellStyle name="Normal 4 5 2 3 8 5" xfId="21897" xr:uid="{00000000-0005-0000-0000-00008D550000}"/>
    <cellStyle name="Normal 4 5 2 3 8 6" xfId="21898" xr:uid="{00000000-0005-0000-0000-00008E550000}"/>
    <cellStyle name="Normal 4 5 2 3 9" xfId="21899" xr:uid="{00000000-0005-0000-0000-00008F550000}"/>
    <cellStyle name="Normal 4 5 2 3 9 2" xfId="21900" xr:uid="{00000000-0005-0000-0000-000090550000}"/>
    <cellStyle name="Normal 4 5 2 3 9 3" xfId="21901" xr:uid="{00000000-0005-0000-0000-000091550000}"/>
    <cellStyle name="Normal 4 5 2 3 9 4" xfId="21902" xr:uid="{00000000-0005-0000-0000-000092550000}"/>
    <cellStyle name="Normal 4 5 2 3 9 5" xfId="21903" xr:uid="{00000000-0005-0000-0000-000093550000}"/>
    <cellStyle name="Normal 4 5 2 3 9 6" xfId="21904" xr:uid="{00000000-0005-0000-0000-000094550000}"/>
    <cellStyle name="Normal 4 5 2 30" xfId="21905" xr:uid="{00000000-0005-0000-0000-000095550000}"/>
    <cellStyle name="Normal 4 5 2 31" xfId="21906" xr:uid="{00000000-0005-0000-0000-000096550000}"/>
    <cellStyle name="Normal 4 5 2 4" xfId="21907" xr:uid="{00000000-0005-0000-0000-000097550000}"/>
    <cellStyle name="Normal 4 5 2 4 2" xfId="21908" xr:uid="{00000000-0005-0000-0000-000098550000}"/>
    <cellStyle name="Normal 4 5 2 4 3" xfId="21909" xr:uid="{00000000-0005-0000-0000-000099550000}"/>
    <cellStyle name="Normal 4 5 2 4 4" xfId="21910" xr:uid="{00000000-0005-0000-0000-00009A550000}"/>
    <cellStyle name="Normal 4 5 2 4 5" xfId="21911" xr:uid="{00000000-0005-0000-0000-00009B550000}"/>
    <cellStyle name="Normal 4 5 2 4 6" xfId="21912" xr:uid="{00000000-0005-0000-0000-00009C550000}"/>
    <cellStyle name="Normal 4 5 2 5" xfId="21913" xr:uid="{00000000-0005-0000-0000-00009D550000}"/>
    <cellStyle name="Normal 4 5 2 5 2" xfId="21914" xr:uid="{00000000-0005-0000-0000-00009E550000}"/>
    <cellStyle name="Normal 4 5 2 5 3" xfId="21915" xr:uid="{00000000-0005-0000-0000-00009F550000}"/>
    <cellStyle name="Normal 4 5 2 5 4" xfId="21916" xr:uid="{00000000-0005-0000-0000-0000A0550000}"/>
    <cellStyle name="Normal 4 5 2 5 5" xfId="21917" xr:uid="{00000000-0005-0000-0000-0000A1550000}"/>
    <cellStyle name="Normal 4 5 2 5 6" xfId="21918" xr:uid="{00000000-0005-0000-0000-0000A2550000}"/>
    <cellStyle name="Normal 4 5 2 6" xfId="21919" xr:uid="{00000000-0005-0000-0000-0000A3550000}"/>
    <cellStyle name="Normal 4 5 2 6 2" xfId="21920" xr:uid="{00000000-0005-0000-0000-0000A4550000}"/>
    <cellStyle name="Normal 4 5 2 6 3" xfId="21921" xr:uid="{00000000-0005-0000-0000-0000A5550000}"/>
    <cellStyle name="Normal 4 5 2 6 4" xfId="21922" xr:uid="{00000000-0005-0000-0000-0000A6550000}"/>
    <cellStyle name="Normal 4 5 2 6 5" xfId="21923" xr:uid="{00000000-0005-0000-0000-0000A7550000}"/>
    <cellStyle name="Normal 4 5 2 6 6" xfId="21924" xr:uid="{00000000-0005-0000-0000-0000A8550000}"/>
    <cellStyle name="Normal 4 5 2 7" xfId="21925" xr:uid="{00000000-0005-0000-0000-0000A9550000}"/>
    <cellStyle name="Normal 4 5 2 7 2" xfId="21926" xr:uid="{00000000-0005-0000-0000-0000AA550000}"/>
    <cellStyle name="Normal 4 5 2 7 3" xfId="21927" xr:uid="{00000000-0005-0000-0000-0000AB550000}"/>
    <cellStyle name="Normal 4 5 2 7 4" xfId="21928" xr:uid="{00000000-0005-0000-0000-0000AC550000}"/>
    <cellStyle name="Normal 4 5 2 7 5" xfId="21929" xr:uid="{00000000-0005-0000-0000-0000AD550000}"/>
    <cellStyle name="Normal 4 5 2 7 6" xfId="21930" xr:uid="{00000000-0005-0000-0000-0000AE550000}"/>
    <cellStyle name="Normal 4 5 2 8" xfId="21931" xr:uid="{00000000-0005-0000-0000-0000AF550000}"/>
    <cellStyle name="Normal 4 5 2 8 2" xfId="21932" xr:uid="{00000000-0005-0000-0000-0000B0550000}"/>
    <cellStyle name="Normal 4 5 2 8 3" xfId="21933" xr:uid="{00000000-0005-0000-0000-0000B1550000}"/>
    <cellStyle name="Normal 4 5 2 8 4" xfId="21934" xr:uid="{00000000-0005-0000-0000-0000B2550000}"/>
    <cellStyle name="Normal 4 5 2 8 5" xfId="21935" xr:uid="{00000000-0005-0000-0000-0000B3550000}"/>
    <cellStyle name="Normal 4 5 2 8 6" xfId="21936" xr:uid="{00000000-0005-0000-0000-0000B4550000}"/>
    <cellStyle name="Normal 4 5 2 9" xfId="21937" xr:uid="{00000000-0005-0000-0000-0000B5550000}"/>
    <cellStyle name="Normal 4 5 2 9 2" xfId="21938" xr:uid="{00000000-0005-0000-0000-0000B6550000}"/>
    <cellStyle name="Normal 4 5 2 9 3" xfId="21939" xr:uid="{00000000-0005-0000-0000-0000B7550000}"/>
    <cellStyle name="Normal 4 5 2 9 4" xfId="21940" xr:uid="{00000000-0005-0000-0000-0000B8550000}"/>
    <cellStyle name="Normal 4 5 2 9 5" xfId="21941" xr:uid="{00000000-0005-0000-0000-0000B9550000}"/>
    <cellStyle name="Normal 4 5 2 9 6" xfId="21942" xr:uid="{00000000-0005-0000-0000-0000BA550000}"/>
    <cellStyle name="Normal 4 5 20" xfId="21943" xr:uid="{00000000-0005-0000-0000-0000BB550000}"/>
    <cellStyle name="Normal 4 5 21" xfId="21944" xr:uid="{00000000-0005-0000-0000-0000BC550000}"/>
    <cellStyle name="Normal 4 5 22" xfId="21945" xr:uid="{00000000-0005-0000-0000-0000BD550000}"/>
    <cellStyle name="Normal 4 5 23" xfId="21946" xr:uid="{00000000-0005-0000-0000-0000BE550000}"/>
    <cellStyle name="Normal 4 5 24" xfId="21947" xr:uid="{00000000-0005-0000-0000-0000BF550000}"/>
    <cellStyle name="Normal 4 5 25" xfId="21948" xr:uid="{00000000-0005-0000-0000-0000C0550000}"/>
    <cellStyle name="Normal 4 5 26" xfId="21949" xr:uid="{00000000-0005-0000-0000-0000C1550000}"/>
    <cellStyle name="Normal 4 5 27" xfId="21950" xr:uid="{00000000-0005-0000-0000-0000C2550000}"/>
    <cellStyle name="Normal 4 5 28" xfId="21951" xr:uid="{00000000-0005-0000-0000-0000C3550000}"/>
    <cellStyle name="Normal 4 5 29" xfId="21952" xr:uid="{00000000-0005-0000-0000-0000C4550000}"/>
    <cellStyle name="Normal 4 5 3" xfId="21953" xr:uid="{00000000-0005-0000-0000-0000C5550000}"/>
    <cellStyle name="Normal 4 5 3 10" xfId="21954" xr:uid="{00000000-0005-0000-0000-0000C6550000}"/>
    <cellStyle name="Normal 4 5 3 10 2" xfId="21955" xr:uid="{00000000-0005-0000-0000-0000C7550000}"/>
    <cellStyle name="Normal 4 5 3 10 3" xfId="21956" xr:uid="{00000000-0005-0000-0000-0000C8550000}"/>
    <cellStyle name="Normal 4 5 3 10 4" xfId="21957" xr:uid="{00000000-0005-0000-0000-0000C9550000}"/>
    <cellStyle name="Normal 4 5 3 10 5" xfId="21958" xr:uid="{00000000-0005-0000-0000-0000CA550000}"/>
    <cellStyle name="Normal 4 5 3 10 6" xfId="21959" xr:uid="{00000000-0005-0000-0000-0000CB550000}"/>
    <cellStyle name="Normal 4 5 3 11" xfId="21960" xr:uid="{00000000-0005-0000-0000-0000CC550000}"/>
    <cellStyle name="Normal 4 5 3 11 2" xfId="21961" xr:uid="{00000000-0005-0000-0000-0000CD550000}"/>
    <cellStyle name="Normal 4 5 3 11 3" xfId="21962" xr:uid="{00000000-0005-0000-0000-0000CE550000}"/>
    <cellStyle name="Normal 4 5 3 11 4" xfId="21963" xr:uid="{00000000-0005-0000-0000-0000CF550000}"/>
    <cellStyle name="Normal 4 5 3 11 5" xfId="21964" xr:uid="{00000000-0005-0000-0000-0000D0550000}"/>
    <cellStyle name="Normal 4 5 3 11 6" xfId="21965" xr:uid="{00000000-0005-0000-0000-0000D1550000}"/>
    <cellStyle name="Normal 4 5 3 12" xfId="21966" xr:uid="{00000000-0005-0000-0000-0000D2550000}"/>
    <cellStyle name="Normal 4 5 3 13" xfId="21967" xr:uid="{00000000-0005-0000-0000-0000D3550000}"/>
    <cellStyle name="Normal 4 5 3 14" xfId="21968" xr:uid="{00000000-0005-0000-0000-0000D4550000}"/>
    <cellStyle name="Normal 4 5 3 15" xfId="21969" xr:uid="{00000000-0005-0000-0000-0000D5550000}"/>
    <cellStyle name="Normal 4 5 3 16" xfId="21970" xr:uid="{00000000-0005-0000-0000-0000D6550000}"/>
    <cellStyle name="Normal 4 5 3 17" xfId="21971" xr:uid="{00000000-0005-0000-0000-0000D7550000}"/>
    <cellStyle name="Normal 4 5 3 18" xfId="21972" xr:uid="{00000000-0005-0000-0000-0000D8550000}"/>
    <cellStyle name="Normal 4 5 3 19" xfId="21973" xr:uid="{00000000-0005-0000-0000-0000D9550000}"/>
    <cellStyle name="Normal 4 5 3 2" xfId="21974" xr:uid="{00000000-0005-0000-0000-0000DA550000}"/>
    <cellStyle name="Normal 4 5 3 2 10" xfId="21975" xr:uid="{00000000-0005-0000-0000-0000DB550000}"/>
    <cellStyle name="Normal 4 5 3 2 10 2" xfId="21976" xr:uid="{00000000-0005-0000-0000-0000DC550000}"/>
    <cellStyle name="Normal 4 5 3 2 10 3" xfId="21977" xr:uid="{00000000-0005-0000-0000-0000DD550000}"/>
    <cellStyle name="Normal 4 5 3 2 10 4" xfId="21978" xr:uid="{00000000-0005-0000-0000-0000DE550000}"/>
    <cellStyle name="Normal 4 5 3 2 10 5" xfId="21979" xr:uid="{00000000-0005-0000-0000-0000DF550000}"/>
    <cellStyle name="Normal 4 5 3 2 10 6" xfId="21980" xr:uid="{00000000-0005-0000-0000-0000E0550000}"/>
    <cellStyle name="Normal 4 5 3 2 11" xfId="21981" xr:uid="{00000000-0005-0000-0000-0000E1550000}"/>
    <cellStyle name="Normal 4 5 3 2 12" xfId="21982" xr:uid="{00000000-0005-0000-0000-0000E2550000}"/>
    <cellStyle name="Normal 4 5 3 2 13" xfId="21983" xr:uid="{00000000-0005-0000-0000-0000E3550000}"/>
    <cellStyle name="Normal 4 5 3 2 14" xfId="21984" xr:uid="{00000000-0005-0000-0000-0000E4550000}"/>
    <cellStyle name="Normal 4 5 3 2 15" xfId="21985" xr:uid="{00000000-0005-0000-0000-0000E5550000}"/>
    <cellStyle name="Normal 4 5 3 2 2" xfId="21986" xr:uid="{00000000-0005-0000-0000-0000E6550000}"/>
    <cellStyle name="Normal 4 5 3 2 2 10" xfId="21987" xr:uid="{00000000-0005-0000-0000-0000E7550000}"/>
    <cellStyle name="Normal 4 5 3 2 2 11" xfId="21988" xr:uid="{00000000-0005-0000-0000-0000E8550000}"/>
    <cellStyle name="Normal 4 5 3 2 2 12" xfId="21989" xr:uid="{00000000-0005-0000-0000-0000E9550000}"/>
    <cellStyle name="Normal 4 5 3 2 2 13" xfId="21990" xr:uid="{00000000-0005-0000-0000-0000EA550000}"/>
    <cellStyle name="Normal 4 5 3 2 2 14" xfId="21991" xr:uid="{00000000-0005-0000-0000-0000EB550000}"/>
    <cellStyle name="Normal 4 5 3 2 2 2" xfId="21992" xr:uid="{00000000-0005-0000-0000-0000EC550000}"/>
    <cellStyle name="Normal 4 5 3 2 2 2 2" xfId="21993" xr:uid="{00000000-0005-0000-0000-0000ED550000}"/>
    <cellStyle name="Normal 4 5 3 2 2 2 3" xfId="21994" xr:uid="{00000000-0005-0000-0000-0000EE550000}"/>
    <cellStyle name="Normal 4 5 3 2 2 2 4" xfId="21995" xr:uid="{00000000-0005-0000-0000-0000EF550000}"/>
    <cellStyle name="Normal 4 5 3 2 2 2 5" xfId="21996" xr:uid="{00000000-0005-0000-0000-0000F0550000}"/>
    <cellStyle name="Normal 4 5 3 2 2 2 6" xfId="21997" xr:uid="{00000000-0005-0000-0000-0000F1550000}"/>
    <cellStyle name="Normal 4 5 3 2 2 3" xfId="21998" xr:uid="{00000000-0005-0000-0000-0000F2550000}"/>
    <cellStyle name="Normal 4 5 3 2 2 3 2" xfId="21999" xr:uid="{00000000-0005-0000-0000-0000F3550000}"/>
    <cellStyle name="Normal 4 5 3 2 2 3 3" xfId="22000" xr:uid="{00000000-0005-0000-0000-0000F4550000}"/>
    <cellStyle name="Normal 4 5 3 2 2 3 4" xfId="22001" xr:uid="{00000000-0005-0000-0000-0000F5550000}"/>
    <cellStyle name="Normal 4 5 3 2 2 3 5" xfId="22002" xr:uid="{00000000-0005-0000-0000-0000F6550000}"/>
    <cellStyle name="Normal 4 5 3 2 2 3 6" xfId="22003" xr:uid="{00000000-0005-0000-0000-0000F7550000}"/>
    <cellStyle name="Normal 4 5 3 2 2 4" xfId="22004" xr:uid="{00000000-0005-0000-0000-0000F8550000}"/>
    <cellStyle name="Normal 4 5 3 2 2 4 2" xfId="22005" xr:uid="{00000000-0005-0000-0000-0000F9550000}"/>
    <cellStyle name="Normal 4 5 3 2 2 4 3" xfId="22006" xr:uid="{00000000-0005-0000-0000-0000FA550000}"/>
    <cellStyle name="Normal 4 5 3 2 2 4 4" xfId="22007" xr:uid="{00000000-0005-0000-0000-0000FB550000}"/>
    <cellStyle name="Normal 4 5 3 2 2 4 5" xfId="22008" xr:uid="{00000000-0005-0000-0000-0000FC550000}"/>
    <cellStyle name="Normal 4 5 3 2 2 4 6" xfId="22009" xr:uid="{00000000-0005-0000-0000-0000FD550000}"/>
    <cellStyle name="Normal 4 5 3 2 2 5" xfId="22010" xr:uid="{00000000-0005-0000-0000-0000FE550000}"/>
    <cellStyle name="Normal 4 5 3 2 2 5 2" xfId="22011" xr:uid="{00000000-0005-0000-0000-0000FF550000}"/>
    <cellStyle name="Normal 4 5 3 2 2 5 3" xfId="22012" xr:uid="{00000000-0005-0000-0000-000000560000}"/>
    <cellStyle name="Normal 4 5 3 2 2 5 4" xfId="22013" xr:uid="{00000000-0005-0000-0000-000001560000}"/>
    <cellStyle name="Normal 4 5 3 2 2 5 5" xfId="22014" xr:uid="{00000000-0005-0000-0000-000002560000}"/>
    <cellStyle name="Normal 4 5 3 2 2 5 6" xfId="22015" xr:uid="{00000000-0005-0000-0000-000003560000}"/>
    <cellStyle name="Normal 4 5 3 2 2 6" xfId="22016" xr:uid="{00000000-0005-0000-0000-000004560000}"/>
    <cellStyle name="Normal 4 5 3 2 2 6 2" xfId="22017" xr:uid="{00000000-0005-0000-0000-000005560000}"/>
    <cellStyle name="Normal 4 5 3 2 2 6 3" xfId="22018" xr:uid="{00000000-0005-0000-0000-000006560000}"/>
    <cellStyle name="Normal 4 5 3 2 2 6 4" xfId="22019" xr:uid="{00000000-0005-0000-0000-000007560000}"/>
    <cellStyle name="Normal 4 5 3 2 2 6 5" xfId="22020" xr:uid="{00000000-0005-0000-0000-000008560000}"/>
    <cellStyle name="Normal 4 5 3 2 2 6 6" xfId="22021" xr:uid="{00000000-0005-0000-0000-000009560000}"/>
    <cellStyle name="Normal 4 5 3 2 2 7" xfId="22022" xr:uid="{00000000-0005-0000-0000-00000A560000}"/>
    <cellStyle name="Normal 4 5 3 2 2 7 2" xfId="22023" xr:uid="{00000000-0005-0000-0000-00000B560000}"/>
    <cellStyle name="Normal 4 5 3 2 2 7 3" xfId="22024" xr:uid="{00000000-0005-0000-0000-00000C560000}"/>
    <cellStyle name="Normal 4 5 3 2 2 7 4" xfId="22025" xr:uid="{00000000-0005-0000-0000-00000D560000}"/>
    <cellStyle name="Normal 4 5 3 2 2 7 5" xfId="22026" xr:uid="{00000000-0005-0000-0000-00000E560000}"/>
    <cellStyle name="Normal 4 5 3 2 2 7 6" xfId="22027" xr:uid="{00000000-0005-0000-0000-00000F560000}"/>
    <cellStyle name="Normal 4 5 3 2 2 8" xfId="22028" xr:uid="{00000000-0005-0000-0000-000010560000}"/>
    <cellStyle name="Normal 4 5 3 2 2 8 2" xfId="22029" xr:uid="{00000000-0005-0000-0000-000011560000}"/>
    <cellStyle name="Normal 4 5 3 2 2 8 3" xfId="22030" xr:uid="{00000000-0005-0000-0000-000012560000}"/>
    <cellStyle name="Normal 4 5 3 2 2 8 4" xfId="22031" xr:uid="{00000000-0005-0000-0000-000013560000}"/>
    <cellStyle name="Normal 4 5 3 2 2 8 5" xfId="22032" xr:uid="{00000000-0005-0000-0000-000014560000}"/>
    <cellStyle name="Normal 4 5 3 2 2 8 6" xfId="22033" xr:uid="{00000000-0005-0000-0000-000015560000}"/>
    <cellStyle name="Normal 4 5 3 2 2 9" xfId="22034" xr:uid="{00000000-0005-0000-0000-000016560000}"/>
    <cellStyle name="Normal 4 5 3 2 2 9 2" xfId="22035" xr:uid="{00000000-0005-0000-0000-000017560000}"/>
    <cellStyle name="Normal 4 5 3 2 2 9 3" xfId="22036" xr:uid="{00000000-0005-0000-0000-000018560000}"/>
    <cellStyle name="Normal 4 5 3 2 2 9 4" xfId="22037" xr:uid="{00000000-0005-0000-0000-000019560000}"/>
    <cellStyle name="Normal 4 5 3 2 2 9 5" xfId="22038" xr:uid="{00000000-0005-0000-0000-00001A560000}"/>
    <cellStyle name="Normal 4 5 3 2 2 9 6" xfId="22039" xr:uid="{00000000-0005-0000-0000-00001B560000}"/>
    <cellStyle name="Normal 4 5 3 2 3" xfId="22040" xr:uid="{00000000-0005-0000-0000-00001C560000}"/>
    <cellStyle name="Normal 4 5 3 2 3 2" xfId="22041" xr:uid="{00000000-0005-0000-0000-00001D560000}"/>
    <cellStyle name="Normal 4 5 3 2 3 3" xfId="22042" xr:uid="{00000000-0005-0000-0000-00001E560000}"/>
    <cellStyle name="Normal 4 5 3 2 3 4" xfId="22043" xr:uid="{00000000-0005-0000-0000-00001F560000}"/>
    <cellStyle name="Normal 4 5 3 2 3 5" xfId="22044" xr:uid="{00000000-0005-0000-0000-000020560000}"/>
    <cellStyle name="Normal 4 5 3 2 3 6" xfId="22045" xr:uid="{00000000-0005-0000-0000-000021560000}"/>
    <cellStyle name="Normal 4 5 3 2 4" xfId="22046" xr:uid="{00000000-0005-0000-0000-000022560000}"/>
    <cellStyle name="Normal 4 5 3 2 4 2" xfId="22047" xr:uid="{00000000-0005-0000-0000-000023560000}"/>
    <cellStyle name="Normal 4 5 3 2 4 3" xfId="22048" xr:uid="{00000000-0005-0000-0000-000024560000}"/>
    <cellStyle name="Normal 4 5 3 2 4 4" xfId="22049" xr:uid="{00000000-0005-0000-0000-000025560000}"/>
    <cellStyle name="Normal 4 5 3 2 4 5" xfId="22050" xr:uid="{00000000-0005-0000-0000-000026560000}"/>
    <cellStyle name="Normal 4 5 3 2 4 6" xfId="22051" xr:uid="{00000000-0005-0000-0000-000027560000}"/>
    <cellStyle name="Normal 4 5 3 2 5" xfId="22052" xr:uid="{00000000-0005-0000-0000-000028560000}"/>
    <cellStyle name="Normal 4 5 3 2 5 2" xfId="22053" xr:uid="{00000000-0005-0000-0000-000029560000}"/>
    <cellStyle name="Normal 4 5 3 2 5 3" xfId="22054" xr:uid="{00000000-0005-0000-0000-00002A560000}"/>
    <cellStyle name="Normal 4 5 3 2 5 4" xfId="22055" xr:uid="{00000000-0005-0000-0000-00002B560000}"/>
    <cellStyle name="Normal 4 5 3 2 5 5" xfId="22056" xr:uid="{00000000-0005-0000-0000-00002C560000}"/>
    <cellStyle name="Normal 4 5 3 2 5 6" xfId="22057" xr:uid="{00000000-0005-0000-0000-00002D560000}"/>
    <cellStyle name="Normal 4 5 3 2 6" xfId="22058" xr:uid="{00000000-0005-0000-0000-00002E560000}"/>
    <cellStyle name="Normal 4 5 3 2 6 2" xfId="22059" xr:uid="{00000000-0005-0000-0000-00002F560000}"/>
    <cellStyle name="Normal 4 5 3 2 6 3" xfId="22060" xr:uid="{00000000-0005-0000-0000-000030560000}"/>
    <cellStyle name="Normal 4 5 3 2 6 4" xfId="22061" xr:uid="{00000000-0005-0000-0000-000031560000}"/>
    <cellStyle name="Normal 4 5 3 2 6 5" xfId="22062" xr:uid="{00000000-0005-0000-0000-000032560000}"/>
    <cellStyle name="Normal 4 5 3 2 6 6" xfId="22063" xr:uid="{00000000-0005-0000-0000-000033560000}"/>
    <cellStyle name="Normal 4 5 3 2 7" xfId="22064" xr:uid="{00000000-0005-0000-0000-000034560000}"/>
    <cellStyle name="Normal 4 5 3 2 7 2" xfId="22065" xr:uid="{00000000-0005-0000-0000-000035560000}"/>
    <cellStyle name="Normal 4 5 3 2 7 3" xfId="22066" xr:uid="{00000000-0005-0000-0000-000036560000}"/>
    <cellStyle name="Normal 4 5 3 2 7 4" xfId="22067" xr:uid="{00000000-0005-0000-0000-000037560000}"/>
    <cellStyle name="Normal 4 5 3 2 7 5" xfId="22068" xr:uid="{00000000-0005-0000-0000-000038560000}"/>
    <cellStyle name="Normal 4 5 3 2 7 6" xfId="22069" xr:uid="{00000000-0005-0000-0000-000039560000}"/>
    <cellStyle name="Normal 4 5 3 2 8" xfId="22070" xr:uid="{00000000-0005-0000-0000-00003A560000}"/>
    <cellStyle name="Normal 4 5 3 2 8 2" xfId="22071" xr:uid="{00000000-0005-0000-0000-00003B560000}"/>
    <cellStyle name="Normal 4 5 3 2 8 3" xfId="22072" xr:uid="{00000000-0005-0000-0000-00003C560000}"/>
    <cellStyle name="Normal 4 5 3 2 8 4" xfId="22073" xr:uid="{00000000-0005-0000-0000-00003D560000}"/>
    <cellStyle name="Normal 4 5 3 2 8 5" xfId="22074" xr:uid="{00000000-0005-0000-0000-00003E560000}"/>
    <cellStyle name="Normal 4 5 3 2 8 6" xfId="22075" xr:uid="{00000000-0005-0000-0000-00003F560000}"/>
    <cellStyle name="Normal 4 5 3 2 9" xfId="22076" xr:uid="{00000000-0005-0000-0000-000040560000}"/>
    <cellStyle name="Normal 4 5 3 2 9 2" xfId="22077" xr:uid="{00000000-0005-0000-0000-000041560000}"/>
    <cellStyle name="Normal 4 5 3 2 9 3" xfId="22078" xr:uid="{00000000-0005-0000-0000-000042560000}"/>
    <cellStyle name="Normal 4 5 3 2 9 4" xfId="22079" xr:uid="{00000000-0005-0000-0000-000043560000}"/>
    <cellStyle name="Normal 4 5 3 2 9 5" xfId="22080" xr:uid="{00000000-0005-0000-0000-000044560000}"/>
    <cellStyle name="Normal 4 5 3 2 9 6" xfId="22081" xr:uid="{00000000-0005-0000-0000-000045560000}"/>
    <cellStyle name="Normal 4 5 3 20" xfId="22082" xr:uid="{00000000-0005-0000-0000-000046560000}"/>
    <cellStyle name="Normal 4 5 3 21" xfId="22083" xr:uid="{00000000-0005-0000-0000-000047560000}"/>
    <cellStyle name="Normal 4 5 3 22" xfId="22084" xr:uid="{00000000-0005-0000-0000-000048560000}"/>
    <cellStyle name="Normal 4 5 3 23" xfId="22085" xr:uid="{00000000-0005-0000-0000-000049560000}"/>
    <cellStyle name="Normal 4 5 3 24" xfId="22086" xr:uid="{00000000-0005-0000-0000-00004A560000}"/>
    <cellStyle name="Normal 4 5 3 25" xfId="22087" xr:uid="{00000000-0005-0000-0000-00004B560000}"/>
    <cellStyle name="Normal 4 5 3 26" xfId="22088" xr:uid="{00000000-0005-0000-0000-00004C560000}"/>
    <cellStyle name="Normal 4 5 3 27" xfId="22089" xr:uid="{00000000-0005-0000-0000-00004D560000}"/>
    <cellStyle name="Normal 4 5 3 28" xfId="22090" xr:uid="{00000000-0005-0000-0000-00004E560000}"/>
    <cellStyle name="Normal 4 5 3 29" xfId="22091" xr:uid="{00000000-0005-0000-0000-00004F560000}"/>
    <cellStyle name="Normal 4 5 3 3" xfId="22092" xr:uid="{00000000-0005-0000-0000-000050560000}"/>
    <cellStyle name="Normal 4 5 3 3 10" xfId="22093" xr:uid="{00000000-0005-0000-0000-000051560000}"/>
    <cellStyle name="Normal 4 5 3 3 11" xfId="22094" xr:uid="{00000000-0005-0000-0000-000052560000}"/>
    <cellStyle name="Normal 4 5 3 3 12" xfId="22095" xr:uid="{00000000-0005-0000-0000-000053560000}"/>
    <cellStyle name="Normal 4 5 3 3 13" xfId="22096" xr:uid="{00000000-0005-0000-0000-000054560000}"/>
    <cellStyle name="Normal 4 5 3 3 14" xfId="22097" xr:uid="{00000000-0005-0000-0000-000055560000}"/>
    <cellStyle name="Normal 4 5 3 3 2" xfId="22098" xr:uid="{00000000-0005-0000-0000-000056560000}"/>
    <cellStyle name="Normal 4 5 3 3 2 2" xfId="22099" xr:uid="{00000000-0005-0000-0000-000057560000}"/>
    <cellStyle name="Normal 4 5 3 3 2 3" xfId="22100" xr:uid="{00000000-0005-0000-0000-000058560000}"/>
    <cellStyle name="Normal 4 5 3 3 2 4" xfId="22101" xr:uid="{00000000-0005-0000-0000-000059560000}"/>
    <cellStyle name="Normal 4 5 3 3 2 5" xfId="22102" xr:uid="{00000000-0005-0000-0000-00005A560000}"/>
    <cellStyle name="Normal 4 5 3 3 2 6" xfId="22103" xr:uid="{00000000-0005-0000-0000-00005B560000}"/>
    <cellStyle name="Normal 4 5 3 3 3" xfId="22104" xr:uid="{00000000-0005-0000-0000-00005C560000}"/>
    <cellStyle name="Normal 4 5 3 3 3 2" xfId="22105" xr:uid="{00000000-0005-0000-0000-00005D560000}"/>
    <cellStyle name="Normal 4 5 3 3 3 3" xfId="22106" xr:uid="{00000000-0005-0000-0000-00005E560000}"/>
    <cellStyle name="Normal 4 5 3 3 3 4" xfId="22107" xr:uid="{00000000-0005-0000-0000-00005F560000}"/>
    <cellStyle name="Normal 4 5 3 3 3 5" xfId="22108" xr:uid="{00000000-0005-0000-0000-000060560000}"/>
    <cellStyle name="Normal 4 5 3 3 3 6" xfId="22109" xr:uid="{00000000-0005-0000-0000-000061560000}"/>
    <cellStyle name="Normal 4 5 3 3 4" xfId="22110" xr:uid="{00000000-0005-0000-0000-000062560000}"/>
    <cellStyle name="Normal 4 5 3 3 4 2" xfId="22111" xr:uid="{00000000-0005-0000-0000-000063560000}"/>
    <cellStyle name="Normal 4 5 3 3 4 3" xfId="22112" xr:uid="{00000000-0005-0000-0000-000064560000}"/>
    <cellStyle name="Normal 4 5 3 3 4 4" xfId="22113" xr:uid="{00000000-0005-0000-0000-000065560000}"/>
    <cellStyle name="Normal 4 5 3 3 4 5" xfId="22114" xr:uid="{00000000-0005-0000-0000-000066560000}"/>
    <cellStyle name="Normal 4 5 3 3 4 6" xfId="22115" xr:uid="{00000000-0005-0000-0000-000067560000}"/>
    <cellStyle name="Normal 4 5 3 3 5" xfId="22116" xr:uid="{00000000-0005-0000-0000-000068560000}"/>
    <cellStyle name="Normal 4 5 3 3 5 2" xfId="22117" xr:uid="{00000000-0005-0000-0000-000069560000}"/>
    <cellStyle name="Normal 4 5 3 3 5 3" xfId="22118" xr:uid="{00000000-0005-0000-0000-00006A560000}"/>
    <cellStyle name="Normal 4 5 3 3 5 4" xfId="22119" xr:uid="{00000000-0005-0000-0000-00006B560000}"/>
    <cellStyle name="Normal 4 5 3 3 5 5" xfId="22120" xr:uid="{00000000-0005-0000-0000-00006C560000}"/>
    <cellStyle name="Normal 4 5 3 3 5 6" xfId="22121" xr:uid="{00000000-0005-0000-0000-00006D560000}"/>
    <cellStyle name="Normal 4 5 3 3 6" xfId="22122" xr:uid="{00000000-0005-0000-0000-00006E560000}"/>
    <cellStyle name="Normal 4 5 3 3 6 2" xfId="22123" xr:uid="{00000000-0005-0000-0000-00006F560000}"/>
    <cellStyle name="Normal 4 5 3 3 6 3" xfId="22124" xr:uid="{00000000-0005-0000-0000-000070560000}"/>
    <cellStyle name="Normal 4 5 3 3 6 4" xfId="22125" xr:uid="{00000000-0005-0000-0000-000071560000}"/>
    <cellStyle name="Normal 4 5 3 3 6 5" xfId="22126" xr:uid="{00000000-0005-0000-0000-000072560000}"/>
    <cellStyle name="Normal 4 5 3 3 6 6" xfId="22127" xr:uid="{00000000-0005-0000-0000-000073560000}"/>
    <cellStyle name="Normal 4 5 3 3 7" xfId="22128" xr:uid="{00000000-0005-0000-0000-000074560000}"/>
    <cellStyle name="Normal 4 5 3 3 7 2" xfId="22129" xr:uid="{00000000-0005-0000-0000-000075560000}"/>
    <cellStyle name="Normal 4 5 3 3 7 3" xfId="22130" xr:uid="{00000000-0005-0000-0000-000076560000}"/>
    <cellStyle name="Normal 4 5 3 3 7 4" xfId="22131" xr:uid="{00000000-0005-0000-0000-000077560000}"/>
    <cellStyle name="Normal 4 5 3 3 7 5" xfId="22132" xr:uid="{00000000-0005-0000-0000-000078560000}"/>
    <cellStyle name="Normal 4 5 3 3 7 6" xfId="22133" xr:uid="{00000000-0005-0000-0000-000079560000}"/>
    <cellStyle name="Normal 4 5 3 3 8" xfId="22134" xr:uid="{00000000-0005-0000-0000-00007A560000}"/>
    <cellStyle name="Normal 4 5 3 3 8 2" xfId="22135" xr:uid="{00000000-0005-0000-0000-00007B560000}"/>
    <cellStyle name="Normal 4 5 3 3 8 3" xfId="22136" xr:uid="{00000000-0005-0000-0000-00007C560000}"/>
    <cellStyle name="Normal 4 5 3 3 8 4" xfId="22137" xr:uid="{00000000-0005-0000-0000-00007D560000}"/>
    <cellStyle name="Normal 4 5 3 3 8 5" xfId="22138" xr:uid="{00000000-0005-0000-0000-00007E560000}"/>
    <cellStyle name="Normal 4 5 3 3 8 6" xfId="22139" xr:uid="{00000000-0005-0000-0000-00007F560000}"/>
    <cellStyle name="Normal 4 5 3 3 9" xfId="22140" xr:uid="{00000000-0005-0000-0000-000080560000}"/>
    <cellStyle name="Normal 4 5 3 3 9 2" xfId="22141" xr:uid="{00000000-0005-0000-0000-000081560000}"/>
    <cellStyle name="Normal 4 5 3 3 9 3" xfId="22142" xr:uid="{00000000-0005-0000-0000-000082560000}"/>
    <cellStyle name="Normal 4 5 3 3 9 4" xfId="22143" xr:uid="{00000000-0005-0000-0000-000083560000}"/>
    <cellStyle name="Normal 4 5 3 3 9 5" xfId="22144" xr:uid="{00000000-0005-0000-0000-000084560000}"/>
    <cellStyle name="Normal 4 5 3 3 9 6" xfId="22145" xr:uid="{00000000-0005-0000-0000-000085560000}"/>
    <cellStyle name="Normal 4 5 3 30" xfId="22146" xr:uid="{00000000-0005-0000-0000-000086560000}"/>
    <cellStyle name="Normal 4 5 3 31" xfId="22147" xr:uid="{00000000-0005-0000-0000-000087560000}"/>
    <cellStyle name="Normal 4 5 3 4" xfId="22148" xr:uid="{00000000-0005-0000-0000-000088560000}"/>
    <cellStyle name="Normal 4 5 3 4 2" xfId="22149" xr:uid="{00000000-0005-0000-0000-000089560000}"/>
    <cellStyle name="Normal 4 5 3 4 3" xfId="22150" xr:uid="{00000000-0005-0000-0000-00008A560000}"/>
    <cellStyle name="Normal 4 5 3 4 4" xfId="22151" xr:uid="{00000000-0005-0000-0000-00008B560000}"/>
    <cellStyle name="Normal 4 5 3 4 5" xfId="22152" xr:uid="{00000000-0005-0000-0000-00008C560000}"/>
    <cellStyle name="Normal 4 5 3 4 6" xfId="22153" xr:uid="{00000000-0005-0000-0000-00008D560000}"/>
    <cellStyle name="Normal 4 5 3 5" xfId="22154" xr:uid="{00000000-0005-0000-0000-00008E560000}"/>
    <cellStyle name="Normal 4 5 3 5 2" xfId="22155" xr:uid="{00000000-0005-0000-0000-00008F560000}"/>
    <cellStyle name="Normal 4 5 3 5 3" xfId="22156" xr:uid="{00000000-0005-0000-0000-000090560000}"/>
    <cellStyle name="Normal 4 5 3 5 4" xfId="22157" xr:uid="{00000000-0005-0000-0000-000091560000}"/>
    <cellStyle name="Normal 4 5 3 5 5" xfId="22158" xr:uid="{00000000-0005-0000-0000-000092560000}"/>
    <cellStyle name="Normal 4 5 3 5 6" xfId="22159" xr:uid="{00000000-0005-0000-0000-000093560000}"/>
    <cellStyle name="Normal 4 5 3 6" xfId="22160" xr:uid="{00000000-0005-0000-0000-000094560000}"/>
    <cellStyle name="Normal 4 5 3 6 2" xfId="22161" xr:uid="{00000000-0005-0000-0000-000095560000}"/>
    <cellStyle name="Normal 4 5 3 6 3" xfId="22162" xr:uid="{00000000-0005-0000-0000-000096560000}"/>
    <cellStyle name="Normal 4 5 3 6 4" xfId="22163" xr:uid="{00000000-0005-0000-0000-000097560000}"/>
    <cellStyle name="Normal 4 5 3 6 5" xfId="22164" xr:uid="{00000000-0005-0000-0000-000098560000}"/>
    <cellStyle name="Normal 4 5 3 6 6" xfId="22165" xr:uid="{00000000-0005-0000-0000-000099560000}"/>
    <cellStyle name="Normal 4 5 3 7" xfId="22166" xr:uid="{00000000-0005-0000-0000-00009A560000}"/>
    <cellStyle name="Normal 4 5 3 7 2" xfId="22167" xr:uid="{00000000-0005-0000-0000-00009B560000}"/>
    <cellStyle name="Normal 4 5 3 7 3" xfId="22168" xr:uid="{00000000-0005-0000-0000-00009C560000}"/>
    <cellStyle name="Normal 4 5 3 7 4" xfId="22169" xr:uid="{00000000-0005-0000-0000-00009D560000}"/>
    <cellStyle name="Normal 4 5 3 7 5" xfId="22170" xr:uid="{00000000-0005-0000-0000-00009E560000}"/>
    <cellStyle name="Normal 4 5 3 7 6" xfId="22171" xr:uid="{00000000-0005-0000-0000-00009F560000}"/>
    <cellStyle name="Normal 4 5 3 8" xfId="22172" xr:uid="{00000000-0005-0000-0000-0000A0560000}"/>
    <cellStyle name="Normal 4 5 3 8 2" xfId="22173" xr:uid="{00000000-0005-0000-0000-0000A1560000}"/>
    <cellStyle name="Normal 4 5 3 8 3" xfId="22174" xr:uid="{00000000-0005-0000-0000-0000A2560000}"/>
    <cellStyle name="Normal 4 5 3 8 4" xfId="22175" xr:uid="{00000000-0005-0000-0000-0000A3560000}"/>
    <cellStyle name="Normal 4 5 3 8 5" xfId="22176" xr:uid="{00000000-0005-0000-0000-0000A4560000}"/>
    <cellStyle name="Normal 4 5 3 8 6" xfId="22177" xr:uid="{00000000-0005-0000-0000-0000A5560000}"/>
    <cellStyle name="Normal 4 5 3 9" xfId="22178" xr:uid="{00000000-0005-0000-0000-0000A6560000}"/>
    <cellStyle name="Normal 4 5 3 9 2" xfId="22179" xr:uid="{00000000-0005-0000-0000-0000A7560000}"/>
    <cellStyle name="Normal 4 5 3 9 3" xfId="22180" xr:uid="{00000000-0005-0000-0000-0000A8560000}"/>
    <cellStyle name="Normal 4 5 3 9 4" xfId="22181" xr:uid="{00000000-0005-0000-0000-0000A9560000}"/>
    <cellStyle name="Normal 4 5 3 9 5" xfId="22182" xr:uid="{00000000-0005-0000-0000-0000AA560000}"/>
    <cellStyle name="Normal 4 5 3 9 6" xfId="22183" xr:uid="{00000000-0005-0000-0000-0000AB560000}"/>
    <cellStyle name="Normal 4 5 30" xfId="22184" xr:uid="{00000000-0005-0000-0000-0000AC560000}"/>
    <cellStyle name="Normal 4 5 31" xfId="22185" xr:uid="{00000000-0005-0000-0000-0000AD560000}"/>
    <cellStyle name="Normal 4 5 32" xfId="22186" xr:uid="{00000000-0005-0000-0000-0000AE560000}"/>
    <cellStyle name="Normal 4 5 33" xfId="22187" xr:uid="{00000000-0005-0000-0000-0000AF560000}"/>
    <cellStyle name="Normal 4 5 4" xfId="22188" xr:uid="{00000000-0005-0000-0000-0000B0560000}"/>
    <cellStyle name="Normal 4 5 4 10" xfId="22189" xr:uid="{00000000-0005-0000-0000-0000B1560000}"/>
    <cellStyle name="Normal 4 5 4 10 2" xfId="22190" xr:uid="{00000000-0005-0000-0000-0000B2560000}"/>
    <cellStyle name="Normal 4 5 4 10 3" xfId="22191" xr:uid="{00000000-0005-0000-0000-0000B3560000}"/>
    <cellStyle name="Normal 4 5 4 10 4" xfId="22192" xr:uid="{00000000-0005-0000-0000-0000B4560000}"/>
    <cellStyle name="Normal 4 5 4 10 5" xfId="22193" xr:uid="{00000000-0005-0000-0000-0000B5560000}"/>
    <cellStyle name="Normal 4 5 4 10 6" xfId="22194" xr:uid="{00000000-0005-0000-0000-0000B6560000}"/>
    <cellStyle name="Normal 4 5 4 11" xfId="22195" xr:uid="{00000000-0005-0000-0000-0000B7560000}"/>
    <cellStyle name="Normal 4 5 4 12" xfId="22196" xr:uid="{00000000-0005-0000-0000-0000B8560000}"/>
    <cellStyle name="Normal 4 5 4 13" xfId="22197" xr:uid="{00000000-0005-0000-0000-0000B9560000}"/>
    <cellStyle name="Normal 4 5 4 14" xfId="22198" xr:uid="{00000000-0005-0000-0000-0000BA560000}"/>
    <cellStyle name="Normal 4 5 4 15" xfId="22199" xr:uid="{00000000-0005-0000-0000-0000BB560000}"/>
    <cellStyle name="Normal 4 5 4 2" xfId="22200" xr:uid="{00000000-0005-0000-0000-0000BC560000}"/>
    <cellStyle name="Normal 4 5 4 2 10" xfId="22201" xr:uid="{00000000-0005-0000-0000-0000BD560000}"/>
    <cellStyle name="Normal 4 5 4 2 11" xfId="22202" xr:uid="{00000000-0005-0000-0000-0000BE560000}"/>
    <cellStyle name="Normal 4 5 4 2 12" xfId="22203" xr:uid="{00000000-0005-0000-0000-0000BF560000}"/>
    <cellStyle name="Normal 4 5 4 2 13" xfId="22204" xr:uid="{00000000-0005-0000-0000-0000C0560000}"/>
    <cellStyle name="Normal 4 5 4 2 14" xfId="22205" xr:uid="{00000000-0005-0000-0000-0000C1560000}"/>
    <cellStyle name="Normal 4 5 4 2 2" xfId="22206" xr:uid="{00000000-0005-0000-0000-0000C2560000}"/>
    <cellStyle name="Normal 4 5 4 2 2 2" xfId="22207" xr:uid="{00000000-0005-0000-0000-0000C3560000}"/>
    <cellStyle name="Normal 4 5 4 2 2 3" xfId="22208" xr:uid="{00000000-0005-0000-0000-0000C4560000}"/>
    <cellStyle name="Normal 4 5 4 2 2 4" xfId="22209" xr:uid="{00000000-0005-0000-0000-0000C5560000}"/>
    <cellStyle name="Normal 4 5 4 2 2 5" xfId="22210" xr:uid="{00000000-0005-0000-0000-0000C6560000}"/>
    <cellStyle name="Normal 4 5 4 2 2 6" xfId="22211" xr:uid="{00000000-0005-0000-0000-0000C7560000}"/>
    <cellStyle name="Normal 4 5 4 2 3" xfId="22212" xr:uid="{00000000-0005-0000-0000-0000C8560000}"/>
    <cellStyle name="Normal 4 5 4 2 3 2" xfId="22213" xr:uid="{00000000-0005-0000-0000-0000C9560000}"/>
    <cellStyle name="Normal 4 5 4 2 3 3" xfId="22214" xr:uid="{00000000-0005-0000-0000-0000CA560000}"/>
    <cellStyle name="Normal 4 5 4 2 3 4" xfId="22215" xr:uid="{00000000-0005-0000-0000-0000CB560000}"/>
    <cellStyle name="Normal 4 5 4 2 3 5" xfId="22216" xr:uid="{00000000-0005-0000-0000-0000CC560000}"/>
    <cellStyle name="Normal 4 5 4 2 3 6" xfId="22217" xr:uid="{00000000-0005-0000-0000-0000CD560000}"/>
    <cellStyle name="Normal 4 5 4 2 4" xfId="22218" xr:uid="{00000000-0005-0000-0000-0000CE560000}"/>
    <cellStyle name="Normal 4 5 4 2 4 2" xfId="22219" xr:uid="{00000000-0005-0000-0000-0000CF560000}"/>
    <cellStyle name="Normal 4 5 4 2 4 3" xfId="22220" xr:uid="{00000000-0005-0000-0000-0000D0560000}"/>
    <cellStyle name="Normal 4 5 4 2 4 4" xfId="22221" xr:uid="{00000000-0005-0000-0000-0000D1560000}"/>
    <cellStyle name="Normal 4 5 4 2 4 5" xfId="22222" xr:uid="{00000000-0005-0000-0000-0000D2560000}"/>
    <cellStyle name="Normal 4 5 4 2 4 6" xfId="22223" xr:uid="{00000000-0005-0000-0000-0000D3560000}"/>
    <cellStyle name="Normal 4 5 4 2 5" xfId="22224" xr:uid="{00000000-0005-0000-0000-0000D4560000}"/>
    <cellStyle name="Normal 4 5 4 2 5 2" xfId="22225" xr:uid="{00000000-0005-0000-0000-0000D5560000}"/>
    <cellStyle name="Normal 4 5 4 2 5 3" xfId="22226" xr:uid="{00000000-0005-0000-0000-0000D6560000}"/>
    <cellStyle name="Normal 4 5 4 2 5 4" xfId="22227" xr:uid="{00000000-0005-0000-0000-0000D7560000}"/>
    <cellStyle name="Normal 4 5 4 2 5 5" xfId="22228" xr:uid="{00000000-0005-0000-0000-0000D8560000}"/>
    <cellStyle name="Normal 4 5 4 2 5 6" xfId="22229" xr:uid="{00000000-0005-0000-0000-0000D9560000}"/>
    <cellStyle name="Normal 4 5 4 2 6" xfId="22230" xr:uid="{00000000-0005-0000-0000-0000DA560000}"/>
    <cellStyle name="Normal 4 5 4 2 6 2" xfId="22231" xr:uid="{00000000-0005-0000-0000-0000DB560000}"/>
    <cellStyle name="Normal 4 5 4 2 6 3" xfId="22232" xr:uid="{00000000-0005-0000-0000-0000DC560000}"/>
    <cellStyle name="Normal 4 5 4 2 6 4" xfId="22233" xr:uid="{00000000-0005-0000-0000-0000DD560000}"/>
    <cellStyle name="Normal 4 5 4 2 6 5" xfId="22234" xr:uid="{00000000-0005-0000-0000-0000DE560000}"/>
    <cellStyle name="Normal 4 5 4 2 6 6" xfId="22235" xr:uid="{00000000-0005-0000-0000-0000DF560000}"/>
    <cellStyle name="Normal 4 5 4 2 7" xfId="22236" xr:uid="{00000000-0005-0000-0000-0000E0560000}"/>
    <cellStyle name="Normal 4 5 4 2 7 2" xfId="22237" xr:uid="{00000000-0005-0000-0000-0000E1560000}"/>
    <cellStyle name="Normal 4 5 4 2 7 3" xfId="22238" xr:uid="{00000000-0005-0000-0000-0000E2560000}"/>
    <cellStyle name="Normal 4 5 4 2 7 4" xfId="22239" xr:uid="{00000000-0005-0000-0000-0000E3560000}"/>
    <cellStyle name="Normal 4 5 4 2 7 5" xfId="22240" xr:uid="{00000000-0005-0000-0000-0000E4560000}"/>
    <cellStyle name="Normal 4 5 4 2 7 6" xfId="22241" xr:uid="{00000000-0005-0000-0000-0000E5560000}"/>
    <cellStyle name="Normal 4 5 4 2 8" xfId="22242" xr:uid="{00000000-0005-0000-0000-0000E6560000}"/>
    <cellStyle name="Normal 4 5 4 2 8 2" xfId="22243" xr:uid="{00000000-0005-0000-0000-0000E7560000}"/>
    <cellStyle name="Normal 4 5 4 2 8 3" xfId="22244" xr:uid="{00000000-0005-0000-0000-0000E8560000}"/>
    <cellStyle name="Normal 4 5 4 2 8 4" xfId="22245" xr:uid="{00000000-0005-0000-0000-0000E9560000}"/>
    <cellStyle name="Normal 4 5 4 2 8 5" xfId="22246" xr:uid="{00000000-0005-0000-0000-0000EA560000}"/>
    <cellStyle name="Normal 4 5 4 2 8 6" xfId="22247" xr:uid="{00000000-0005-0000-0000-0000EB560000}"/>
    <cellStyle name="Normal 4 5 4 2 9" xfId="22248" xr:uid="{00000000-0005-0000-0000-0000EC560000}"/>
    <cellStyle name="Normal 4 5 4 2 9 2" xfId="22249" xr:uid="{00000000-0005-0000-0000-0000ED560000}"/>
    <cellStyle name="Normal 4 5 4 2 9 3" xfId="22250" xr:uid="{00000000-0005-0000-0000-0000EE560000}"/>
    <cellStyle name="Normal 4 5 4 2 9 4" xfId="22251" xr:uid="{00000000-0005-0000-0000-0000EF560000}"/>
    <cellStyle name="Normal 4 5 4 2 9 5" xfId="22252" xr:uid="{00000000-0005-0000-0000-0000F0560000}"/>
    <cellStyle name="Normal 4 5 4 2 9 6" xfId="22253" xr:uid="{00000000-0005-0000-0000-0000F1560000}"/>
    <cellStyle name="Normal 4 5 4 3" xfId="22254" xr:uid="{00000000-0005-0000-0000-0000F2560000}"/>
    <cellStyle name="Normal 4 5 4 3 2" xfId="22255" xr:uid="{00000000-0005-0000-0000-0000F3560000}"/>
    <cellStyle name="Normal 4 5 4 3 3" xfId="22256" xr:uid="{00000000-0005-0000-0000-0000F4560000}"/>
    <cellStyle name="Normal 4 5 4 3 4" xfId="22257" xr:uid="{00000000-0005-0000-0000-0000F5560000}"/>
    <cellStyle name="Normal 4 5 4 3 5" xfId="22258" xr:uid="{00000000-0005-0000-0000-0000F6560000}"/>
    <cellStyle name="Normal 4 5 4 3 6" xfId="22259" xr:uid="{00000000-0005-0000-0000-0000F7560000}"/>
    <cellStyle name="Normal 4 5 4 4" xfId="22260" xr:uid="{00000000-0005-0000-0000-0000F8560000}"/>
    <cellStyle name="Normal 4 5 4 4 2" xfId="22261" xr:uid="{00000000-0005-0000-0000-0000F9560000}"/>
    <cellStyle name="Normal 4 5 4 4 3" xfId="22262" xr:uid="{00000000-0005-0000-0000-0000FA560000}"/>
    <cellStyle name="Normal 4 5 4 4 4" xfId="22263" xr:uid="{00000000-0005-0000-0000-0000FB560000}"/>
    <cellStyle name="Normal 4 5 4 4 5" xfId="22264" xr:uid="{00000000-0005-0000-0000-0000FC560000}"/>
    <cellStyle name="Normal 4 5 4 4 6" xfId="22265" xr:uid="{00000000-0005-0000-0000-0000FD560000}"/>
    <cellStyle name="Normal 4 5 4 5" xfId="22266" xr:uid="{00000000-0005-0000-0000-0000FE560000}"/>
    <cellStyle name="Normal 4 5 4 5 2" xfId="22267" xr:uid="{00000000-0005-0000-0000-0000FF560000}"/>
    <cellStyle name="Normal 4 5 4 5 3" xfId="22268" xr:uid="{00000000-0005-0000-0000-000000570000}"/>
    <cellStyle name="Normal 4 5 4 5 4" xfId="22269" xr:uid="{00000000-0005-0000-0000-000001570000}"/>
    <cellStyle name="Normal 4 5 4 5 5" xfId="22270" xr:uid="{00000000-0005-0000-0000-000002570000}"/>
    <cellStyle name="Normal 4 5 4 5 6" xfId="22271" xr:uid="{00000000-0005-0000-0000-000003570000}"/>
    <cellStyle name="Normal 4 5 4 6" xfId="22272" xr:uid="{00000000-0005-0000-0000-000004570000}"/>
    <cellStyle name="Normal 4 5 4 6 2" xfId="22273" xr:uid="{00000000-0005-0000-0000-000005570000}"/>
    <cellStyle name="Normal 4 5 4 6 3" xfId="22274" xr:uid="{00000000-0005-0000-0000-000006570000}"/>
    <cellStyle name="Normal 4 5 4 6 4" xfId="22275" xr:uid="{00000000-0005-0000-0000-000007570000}"/>
    <cellStyle name="Normal 4 5 4 6 5" xfId="22276" xr:uid="{00000000-0005-0000-0000-000008570000}"/>
    <cellStyle name="Normal 4 5 4 6 6" xfId="22277" xr:uid="{00000000-0005-0000-0000-000009570000}"/>
    <cellStyle name="Normal 4 5 4 7" xfId="22278" xr:uid="{00000000-0005-0000-0000-00000A570000}"/>
    <cellStyle name="Normal 4 5 4 7 2" xfId="22279" xr:uid="{00000000-0005-0000-0000-00000B570000}"/>
    <cellStyle name="Normal 4 5 4 7 3" xfId="22280" xr:uid="{00000000-0005-0000-0000-00000C570000}"/>
    <cellStyle name="Normal 4 5 4 7 4" xfId="22281" xr:uid="{00000000-0005-0000-0000-00000D570000}"/>
    <cellStyle name="Normal 4 5 4 7 5" xfId="22282" xr:uid="{00000000-0005-0000-0000-00000E570000}"/>
    <cellStyle name="Normal 4 5 4 7 6" xfId="22283" xr:uid="{00000000-0005-0000-0000-00000F570000}"/>
    <cellStyle name="Normal 4 5 4 8" xfId="22284" xr:uid="{00000000-0005-0000-0000-000010570000}"/>
    <cellStyle name="Normal 4 5 4 8 2" xfId="22285" xr:uid="{00000000-0005-0000-0000-000011570000}"/>
    <cellStyle name="Normal 4 5 4 8 3" xfId="22286" xr:uid="{00000000-0005-0000-0000-000012570000}"/>
    <cellStyle name="Normal 4 5 4 8 4" xfId="22287" xr:uid="{00000000-0005-0000-0000-000013570000}"/>
    <cellStyle name="Normal 4 5 4 8 5" xfId="22288" xr:uid="{00000000-0005-0000-0000-000014570000}"/>
    <cellStyle name="Normal 4 5 4 8 6" xfId="22289" xr:uid="{00000000-0005-0000-0000-000015570000}"/>
    <cellStyle name="Normal 4 5 4 9" xfId="22290" xr:uid="{00000000-0005-0000-0000-000016570000}"/>
    <cellStyle name="Normal 4 5 4 9 2" xfId="22291" xr:uid="{00000000-0005-0000-0000-000017570000}"/>
    <cellStyle name="Normal 4 5 4 9 3" xfId="22292" xr:uid="{00000000-0005-0000-0000-000018570000}"/>
    <cellStyle name="Normal 4 5 4 9 4" xfId="22293" xr:uid="{00000000-0005-0000-0000-000019570000}"/>
    <cellStyle name="Normal 4 5 4 9 5" xfId="22294" xr:uid="{00000000-0005-0000-0000-00001A570000}"/>
    <cellStyle name="Normal 4 5 4 9 6" xfId="22295" xr:uid="{00000000-0005-0000-0000-00001B570000}"/>
    <cellStyle name="Normal 4 5 5" xfId="22296" xr:uid="{00000000-0005-0000-0000-00001C570000}"/>
    <cellStyle name="Normal 4 5 5 10" xfId="22297" xr:uid="{00000000-0005-0000-0000-00001D570000}"/>
    <cellStyle name="Normal 4 5 5 11" xfId="22298" xr:uid="{00000000-0005-0000-0000-00001E570000}"/>
    <cellStyle name="Normal 4 5 5 12" xfId="22299" xr:uid="{00000000-0005-0000-0000-00001F570000}"/>
    <cellStyle name="Normal 4 5 5 13" xfId="22300" xr:uid="{00000000-0005-0000-0000-000020570000}"/>
    <cellStyle name="Normal 4 5 5 14" xfId="22301" xr:uid="{00000000-0005-0000-0000-000021570000}"/>
    <cellStyle name="Normal 4 5 5 2" xfId="22302" xr:uid="{00000000-0005-0000-0000-000022570000}"/>
    <cellStyle name="Normal 4 5 5 2 2" xfId="22303" xr:uid="{00000000-0005-0000-0000-000023570000}"/>
    <cellStyle name="Normal 4 5 5 2 3" xfId="22304" xr:uid="{00000000-0005-0000-0000-000024570000}"/>
    <cellStyle name="Normal 4 5 5 2 4" xfId="22305" xr:uid="{00000000-0005-0000-0000-000025570000}"/>
    <cellStyle name="Normal 4 5 5 2 5" xfId="22306" xr:uid="{00000000-0005-0000-0000-000026570000}"/>
    <cellStyle name="Normal 4 5 5 2 6" xfId="22307" xr:uid="{00000000-0005-0000-0000-000027570000}"/>
    <cellStyle name="Normal 4 5 5 3" xfId="22308" xr:uid="{00000000-0005-0000-0000-000028570000}"/>
    <cellStyle name="Normal 4 5 5 3 2" xfId="22309" xr:uid="{00000000-0005-0000-0000-000029570000}"/>
    <cellStyle name="Normal 4 5 5 3 3" xfId="22310" xr:uid="{00000000-0005-0000-0000-00002A570000}"/>
    <cellStyle name="Normal 4 5 5 3 4" xfId="22311" xr:uid="{00000000-0005-0000-0000-00002B570000}"/>
    <cellStyle name="Normal 4 5 5 3 5" xfId="22312" xr:uid="{00000000-0005-0000-0000-00002C570000}"/>
    <cellStyle name="Normal 4 5 5 3 6" xfId="22313" xr:uid="{00000000-0005-0000-0000-00002D570000}"/>
    <cellStyle name="Normal 4 5 5 4" xfId="22314" xr:uid="{00000000-0005-0000-0000-00002E570000}"/>
    <cellStyle name="Normal 4 5 5 4 2" xfId="22315" xr:uid="{00000000-0005-0000-0000-00002F570000}"/>
    <cellStyle name="Normal 4 5 5 4 3" xfId="22316" xr:uid="{00000000-0005-0000-0000-000030570000}"/>
    <cellStyle name="Normal 4 5 5 4 4" xfId="22317" xr:uid="{00000000-0005-0000-0000-000031570000}"/>
    <cellStyle name="Normal 4 5 5 4 5" xfId="22318" xr:uid="{00000000-0005-0000-0000-000032570000}"/>
    <cellStyle name="Normal 4 5 5 4 6" xfId="22319" xr:uid="{00000000-0005-0000-0000-000033570000}"/>
    <cellStyle name="Normal 4 5 5 5" xfId="22320" xr:uid="{00000000-0005-0000-0000-000034570000}"/>
    <cellStyle name="Normal 4 5 5 5 2" xfId="22321" xr:uid="{00000000-0005-0000-0000-000035570000}"/>
    <cellStyle name="Normal 4 5 5 5 3" xfId="22322" xr:uid="{00000000-0005-0000-0000-000036570000}"/>
    <cellStyle name="Normal 4 5 5 5 4" xfId="22323" xr:uid="{00000000-0005-0000-0000-000037570000}"/>
    <cellStyle name="Normal 4 5 5 5 5" xfId="22324" xr:uid="{00000000-0005-0000-0000-000038570000}"/>
    <cellStyle name="Normal 4 5 5 5 6" xfId="22325" xr:uid="{00000000-0005-0000-0000-000039570000}"/>
    <cellStyle name="Normal 4 5 5 6" xfId="22326" xr:uid="{00000000-0005-0000-0000-00003A570000}"/>
    <cellStyle name="Normal 4 5 5 6 2" xfId="22327" xr:uid="{00000000-0005-0000-0000-00003B570000}"/>
    <cellStyle name="Normal 4 5 5 6 3" xfId="22328" xr:uid="{00000000-0005-0000-0000-00003C570000}"/>
    <cellStyle name="Normal 4 5 5 6 4" xfId="22329" xr:uid="{00000000-0005-0000-0000-00003D570000}"/>
    <cellStyle name="Normal 4 5 5 6 5" xfId="22330" xr:uid="{00000000-0005-0000-0000-00003E570000}"/>
    <cellStyle name="Normal 4 5 5 6 6" xfId="22331" xr:uid="{00000000-0005-0000-0000-00003F570000}"/>
    <cellStyle name="Normal 4 5 5 7" xfId="22332" xr:uid="{00000000-0005-0000-0000-000040570000}"/>
    <cellStyle name="Normal 4 5 5 7 2" xfId="22333" xr:uid="{00000000-0005-0000-0000-000041570000}"/>
    <cellStyle name="Normal 4 5 5 7 3" xfId="22334" xr:uid="{00000000-0005-0000-0000-000042570000}"/>
    <cellStyle name="Normal 4 5 5 7 4" xfId="22335" xr:uid="{00000000-0005-0000-0000-000043570000}"/>
    <cellStyle name="Normal 4 5 5 7 5" xfId="22336" xr:uid="{00000000-0005-0000-0000-000044570000}"/>
    <cellStyle name="Normal 4 5 5 7 6" xfId="22337" xr:uid="{00000000-0005-0000-0000-000045570000}"/>
    <cellStyle name="Normal 4 5 5 8" xfId="22338" xr:uid="{00000000-0005-0000-0000-000046570000}"/>
    <cellStyle name="Normal 4 5 5 8 2" xfId="22339" xr:uid="{00000000-0005-0000-0000-000047570000}"/>
    <cellStyle name="Normal 4 5 5 8 3" xfId="22340" xr:uid="{00000000-0005-0000-0000-000048570000}"/>
    <cellStyle name="Normal 4 5 5 8 4" xfId="22341" xr:uid="{00000000-0005-0000-0000-000049570000}"/>
    <cellStyle name="Normal 4 5 5 8 5" xfId="22342" xr:uid="{00000000-0005-0000-0000-00004A570000}"/>
    <cellStyle name="Normal 4 5 5 8 6" xfId="22343" xr:uid="{00000000-0005-0000-0000-00004B570000}"/>
    <cellStyle name="Normal 4 5 5 9" xfId="22344" xr:uid="{00000000-0005-0000-0000-00004C570000}"/>
    <cellStyle name="Normal 4 5 5 9 2" xfId="22345" xr:uid="{00000000-0005-0000-0000-00004D570000}"/>
    <cellStyle name="Normal 4 5 5 9 3" xfId="22346" xr:uid="{00000000-0005-0000-0000-00004E570000}"/>
    <cellStyle name="Normal 4 5 5 9 4" xfId="22347" xr:uid="{00000000-0005-0000-0000-00004F570000}"/>
    <cellStyle name="Normal 4 5 5 9 5" xfId="22348" xr:uid="{00000000-0005-0000-0000-000050570000}"/>
    <cellStyle name="Normal 4 5 5 9 6" xfId="22349" xr:uid="{00000000-0005-0000-0000-000051570000}"/>
    <cellStyle name="Normal 4 5 6" xfId="22350" xr:uid="{00000000-0005-0000-0000-000052570000}"/>
    <cellStyle name="Normal 4 5 6 2" xfId="22351" xr:uid="{00000000-0005-0000-0000-000053570000}"/>
    <cellStyle name="Normal 4 5 6 3" xfId="22352" xr:uid="{00000000-0005-0000-0000-000054570000}"/>
    <cellStyle name="Normal 4 5 6 4" xfId="22353" xr:uid="{00000000-0005-0000-0000-000055570000}"/>
    <cellStyle name="Normal 4 5 6 5" xfId="22354" xr:uid="{00000000-0005-0000-0000-000056570000}"/>
    <cellStyle name="Normal 4 5 6 6" xfId="22355" xr:uid="{00000000-0005-0000-0000-000057570000}"/>
    <cellStyle name="Normal 4 5 7" xfId="22356" xr:uid="{00000000-0005-0000-0000-000058570000}"/>
    <cellStyle name="Normal 4 5 7 2" xfId="22357" xr:uid="{00000000-0005-0000-0000-000059570000}"/>
    <cellStyle name="Normal 4 5 7 3" xfId="22358" xr:uid="{00000000-0005-0000-0000-00005A570000}"/>
    <cellStyle name="Normal 4 5 7 4" xfId="22359" xr:uid="{00000000-0005-0000-0000-00005B570000}"/>
    <cellStyle name="Normal 4 5 7 5" xfId="22360" xr:uid="{00000000-0005-0000-0000-00005C570000}"/>
    <cellStyle name="Normal 4 5 7 6" xfId="22361" xr:uid="{00000000-0005-0000-0000-00005D570000}"/>
    <cellStyle name="Normal 4 5 8" xfId="22362" xr:uid="{00000000-0005-0000-0000-00005E570000}"/>
    <cellStyle name="Normal 4 5 8 2" xfId="22363" xr:uid="{00000000-0005-0000-0000-00005F570000}"/>
    <cellStyle name="Normal 4 5 8 3" xfId="22364" xr:uid="{00000000-0005-0000-0000-000060570000}"/>
    <cellStyle name="Normal 4 5 8 4" xfId="22365" xr:uid="{00000000-0005-0000-0000-000061570000}"/>
    <cellStyle name="Normal 4 5 8 5" xfId="22366" xr:uid="{00000000-0005-0000-0000-000062570000}"/>
    <cellStyle name="Normal 4 5 8 6" xfId="22367" xr:uid="{00000000-0005-0000-0000-000063570000}"/>
    <cellStyle name="Normal 4 5 9" xfId="22368" xr:uid="{00000000-0005-0000-0000-000064570000}"/>
    <cellStyle name="Normal 4 5 9 2" xfId="22369" xr:uid="{00000000-0005-0000-0000-000065570000}"/>
    <cellStyle name="Normal 4 5 9 3" xfId="22370" xr:uid="{00000000-0005-0000-0000-000066570000}"/>
    <cellStyle name="Normal 4 5 9 4" xfId="22371" xr:uid="{00000000-0005-0000-0000-000067570000}"/>
    <cellStyle name="Normal 4 5 9 5" xfId="22372" xr:uid="{00000000-0005-0000-0000-000068570000}"/>
    <cellStyle name="Normal 4 5 9 6" xfId="22373" xr:uid="{00000000-0005-0000-0000-000069570000}"/>
    <cellStyle name="Normal 4 6" xfId="22374" xr:uid="{00000000-0005-0000-0000-00006A570000}"/>
    <cellStyle name="Normal 4 6 10" xfId="22375" xr:uid="{00000000-0005-0000-0000-00006B570000}"/>
    <cellStyle name="Normal 4 6 10 2" xfId="22376" xr:uid="{00000000-0005-0000-0000-00006C570000}"/>
    <cellStyle name="Normal 4 6 10 3" xfId="22377" xr:uid="{00000000-0005-0000-0000-00006D570000}"/>
    <cellStyle name="Normal 4 6 10 4" xfId="22378" xr:uid="{00000000-0005-0000-0000-00006E570000}"/>
    <cellStyle name="Normal 4 6 10 5" xfId="22379" xr:uid="{00000000-0005-0000-0000-00006F570000}"/>
    <cellStyle name="Normal 4 6 10 6" xfId="22380" xr:uid="{00000000-0005-0000-0000-000070570000}"/>
    <cellStyle name="Normal 4 6 11" xfId="22381" xr:uid="{00000000-0005-0000-0000-000071570000}"/>
    <cellStyle name="Normal 4 6 11 2" xfId="22382" xr:uid="{00000000-0005-0000-0000-000072570000}"/>
    <cellStyle name="Normal 4 6 11 3" xfId="22383" xr:uid="{00000000-0005-0000-0000-000073570000}"/>
    <cellStyle name="Normal 4 6 11 4" xfId="22384" xr:uid="{00000000-0005-0000-0000-000074570000}"/>
    <cellStyle name="Normal 4 6 11 5" xfId="22385" xr:uid="{00000000-0005-0000-0000-000075570000}"/>
    <cellStyle name="Normal 4 6 11 6" xfId="22386" xr:uid="{00000000-0005-0000-0000-000076570000}"/>
    <cellStyle name="Normal 4 6 12" xfId="22387" xr:uid="{00000000-0005-0000-0000-000077570000}"/>
    <cellStyle name="Normal 4 6 12 2" xfId="22388" xr:uid="{00000000-0005-0000-0000-000078570000}"/>
    <cellStyle name="Normal 4 6 12 3" xfId="22389" xr:uid="{00000000-0005-0000-0000-000079570000}"/>
    <cellStyle name="Normal 4 6 12 4" xfId="22390" xr:uid="{00000000-0005-0000-0000-00007A570000}"/>
    <cellStyle name="Normal 4 6 12 5" xfId="22391" xr:uid="{00000000-0005-0000-0000-00007B570000}"/>
    <cellStyle name="Normal 4 6 12 6" xfId="22392" xr:uid="{00000000-0005-0000-0000-00007C570000}"/>
    <cellStyle name="Normal 4 6 13" xfId="22393" xr:uid="{00000000-0005-0000-0000-00007D570000}"/>
    <cellStyle name="Normal 4 6 13 2" xfId="22394" xr:uid="{00000000-0005-0000-0000-00007E570000}"/>
    <cellStyle name="Normal 4 6 13 3" xfId="22395" xr:uid="{00000000-0005-0000-0000-00007F570000}"/>
    <cellStyle name="Normal 4 6 13 4" xfId="22396" xr:uid="{00000000-0005-0000-0000-000080570000}"/>
    <cellStyle name="Normal 4 6 13 5" xfId="22397" xr:uid="{00000000-0005-0000-0000-000081570000}"/>
    <cellStyle name="Normal 4 6 13 6" xfId="22398" xr:uid="{00000000-0005-0000-0000-000082570000}"/>
    <cellStyle name="Normal 4 6 14" xfId="22399" xr:uid="{00000000-0005-0000-0000-000083570000}"/>
    <cellStyle name="Normal 4 6 15" xfId="22400" xr:uid="{00000000-0005-0000-0000-000084570000}"/>
    <cellStyle name="Normal 4 6 16" xfId="22401" xr:uid="{00000000-0005-0000-0000-000085570000}"/>
    <cellStyle name="Normal 4 6 17" xfId="22402" xr:uid="{00000000-0005-0000-0000-000086570000}"/>
    <cellStyle name="Normal 4 6 18" xfId="22403" xr:uid="{00000000-0005-0000-0000-000087570000}"/>
    <cellStyle name="Normal 4 6 19" xfId="22404" xr:uid="{00000000-0005-0000-0000-000088570000}"/>
    <cellStyle name="Normal 4 6 2" xfId="22405" xr:uid="{00000000-0005-0000-0000-000089570000}"/>
    <cellStyle name="Normal 4 6 2 10" xfId="22406" xr:uid="{00000000-0005-0000-0000-00008A570000}"/>
    <cellStyle name="Normal 4 6 2 10 2" xfId="22407" xr:uid="{00000000-0005-0000-0000-00008B570000}"/>
    <cellStyle name="Normal 4 6 2 10 3" xfId="22408" xr:uid="{00000000-0005-0000-0000-00008C570000}"/>
    <cellStyle name="Normal 4 6 2 10 4" xfId="22409" xr:uid="{00000000-0005-0000-0000-00008D570000}"/>
    <cellStyle name="Normal 4 6 2 10 5" xfId="22410" xr:uid="{00000000-0005-0000-0000-00008E570000}"/>
    <cellStyle name="Normal 4 6 2 10 6" xfId="22411" xr:uid="{00000000-0005-0000-0000-00008F570000}"/>
    <cellStyle name="Normal 4 6 2 11" xfId="22412" xr:uid="{00000000-0005-0000-0000-000090570000}"/>
    <cellStyle name="Normal 4 6 2 11 2" xfId="22413" xr:uid="{00000000-0005-0000-0000-000091570000}"/>
    <cellStyle name="Normal 4 6 2 11 3" xfId="22414" xr:uid="{00000000-0005-0000-0000-000092570000}"/>
    <cellStyle name="Normal 4 6 2 11 4" xfId="22415" xr:uid="{00000000-0005-0000-0000-000093570000}"/>
    <cellStyle name="Normal 4 6 2 11 5" xfId="22416" xr:uid="{00000000-0005-0000-0000-000094570000}"/>
    <cellStyle name="Normal 4 6 2 11 6" xfId="22417" xr:uid="{00000000-0005-0000-0000-000095570000}"/>
    <cellStyle name="Normal 4 6 2 12" xfId="22418" xr:uid="{00000000-0005-0000-0000-000096570000}"/>
    <cellStyle name="Normal 4 6 2 13" xfId="22419" xr:uid="{00000000-0005-0000-0000-000097570000}"/>
    <cellStyle name="Normal 4 6 2 14" xfId="22420" xr:uid="{00000000-0005-0000-0000-000098570000}"/>
    <cellStyle name="Normal 4 6 2 15" xfId="22421" xr:uid="{00000000-0005-0000-0000-000099570000}"/>
    <cellStyle name="Normal 4 6 2 16" xfId="22422" xr:uid="{00000000-0005-0000-0000-00009A570000}"/>
    <cellStyle name="Normal 4 6 2 17" xfId="22423" xr:uid="{00000000-0005-0000-0000-00009B570000}"/>
    <cellStyle name="Normal 4 6 2 18" xfId="22424" xr:uid="{00000000-0005-0000-0000-00009C570000}"/>
    <cellStyle name="Normal 4 6 2 19" xfId="22425" xr:uid="{00000000-0005-0000-0000-00009D570000}"/>
    <cellStyle name="Normal 4 6 2 2" xfId="22426" xr:uid="{00000000-0005-0000-0000-00009E570000}"/>
    <cellStyle name="Normal 4 6 2 2 10" xfId="22427" xr:uid="{00000000-0005-0000-0000-00009F570000}"/>
    <cellStyle name="Normal 4 6 2 2 10 2" xfId="22428" xr:uid="{00000000-0005-0000-0000-0000A0570000}"/>
    <cellStyle name="Normal 4 6 2 2 10 3" xfId="22429" xr:uid="{00000000-0005-0000-0000-0000A1570000}"/>
    <cellStyle name="Normal 4 6 2 2 10 4" xfId="22430" xr:uid="{00000000-0005-0000-0000-0000A2570000}"/>
    <cellStyle name="Normal 4 6 2 2 10 5" xfId="22431" xr:uid="{00000000-0005-0000-0000-0000A3570000}"/>
    <cellStyle name="Normal 4 6 2 2 10 6" xfId="22432" xr:uid="{00000000-0005-0000-0000-0000A4570000}"/>
    <cellStyle name="Normal 4 6 2 2 11" xfId="22433" xr:uid="{00000000-0005-0000-0000-0000A5570000}"/>
    <cellStyle name="Normal 4 6 2 2 12" xfId="22434" xr:uid="{00000000-0005-0000-0000-0000A6570000}"/>
    <cellStyle name="Normal 4 6 2 2 13" xfId="22435" xr:uid="{00000000-0005-0000-0000-0000A7570000}"/>
    <cellStyle name="Normal 4 6 2 2 14" xfId="22436" xr:uid="{00000000-0005-0000-0000-0000A8570000}"/>
    <cellStyle name="Normal 4 6 2 2 15" xfId="22437" xr:uid="{00000000-0005-0000-0000-0000A9570000}"/>
    <cellStyle name="Normal 4 6 2 2 2" xfId="22438" xr:uid="{00000000-0005-0000-0000-0000AA570000}"/>
    <cellStyle name="Normal 4 6 2 2 2 10" xfId="22439" xr:uid="{00000000-0005-0000-0000-0000AB570000}"/>
    <cellStyle name="Normal 4 6 2 2 2 11" xfId="22440" xr:uid="{00000000-0005-0000-0000-0000AC570000}"/>
    <cellStyle name="Normal 4 6 2 2 2 12" xfId="22441" xr:uid="{00000000-0005-0000-0000-0000AD570000}"/>
    <cellStyle name="Normal 4 6 2 2 2 13" xfId="22442" xr:uid="{00000000-0005-0000-0000-0000AE570000}"/>
    <cellStyle name="Normal 4 6 2 2 2 14" xfId="22443" xr:uid="{00000000-0005-0000-0000-0000AF570000}"/>
    <cellStyle name="Normal 4 6 2 2 2 2" xfId="22444" xr:uid="{00000000-0005-0000-0000-0000B0570000}"/>
    <cellStyle name="Normal 4 6 2 2 2 2 2" xfId="22445" xr:uid="{00000000-0005-0000-0000-0000B1570000}"/>
    <cellStyle name="Normal 4 6 2 2 2 2 3" xfId="22446" xr:uid="{00000000-0005-0000-0000-0000B2570000}"/>
    <cellStyle name="Normal 4 6 2 2 2 2 4" xfId="22447" xr:uid="{00000000-0005-0000-0000-0000B3570000}"/>
    <cellStyle name="Normal 4 6 2 2 2 2 5" xfId="22448" xr:uid="{00000000-0005-0000-0000-0000B4570000}"/>
    <cellStyle name="Normal 4 6 2 2 2 2 6" xfId="22449" xr:uid="{00000000-0005-0000-0000-0000B5570000}"/>
    <cellStyle name="Normal 4 6 2 2 2 3" xfId="22450" xr:uid="{00000000-0005-0000-0000-0000B6570000}"/>
    <cellStyle name="Normal 4 6 2 2 2 3 2" xfId="22451" xr:uid="{00000000-0005-0000-0000-0000B7570000}"/>
    <cellStyle name="Normal 4 6 2 2 2 3 3" xfId="22452" xr:uid="{00000000-0005-0000-0000-0000B8570000}"/>
    <cellStyle name="Normal 4 6 2 2 2 3 4" xfId="22453" xr:uid="{00000000-0005-0000-0000-0000B9570000}"/>
    <cellStyle name="Normal 4 6 2 2 2 3 5" xfId="22454" xr:uid="{00000000-0005-0000-0000-0000BA570000}"/>
    <cellStyle name="Normal 4 6 2 2 2 3 6" xfId="22455" xr:uid="{00000000-0005-0000-0000-0000BB570000}"/>
    <cellStyle name="Normal 4 6 2 2 2 4" xfId="22456" xr:uid="{00000000-0005-0000-0000-0000BC570000}"/>
    <cellStyle name="Normal 4 6 2 2 2 4 2" xfId="22457" xr:uid="{00000000-0005-0000-0000-0000BD570000}"/>
    <cellStyle name="Normal 4 6 2 2 2 4 3" xfId="22458" xr:uid="{00000000-0005-0000-0000-0000BE570000}"/>
    <cellStyle name="Normal 4 6 2 2 2 4 4" xfId="22459" xr:uid="{00000000-0005-0000-0000-0000BF570000}"/>
    <cellStyle name="Normal 4 6 2 2 2 4 5" xfId="22460" xr:uid="{00000000-0005-0000-0000-0000C0570000}"/>
    <cellStyle name="Normal 4 6 2 2 2 4 6" xfId="22461" xr:uid="{00000000-0005-0000-0000-0000C1570000}"/>
    <cellStyle name="Normal 4 6 2 2 2 5" xfId="22462" xr:uid="{00000000-0005-0000-0000-0000C2570000}"/>
    <cellStyle name="Normal 4 6 2 2 2 5 2" xfId="22463" xr:uid="{00000000-0005-0000-0000-0000C3570000}"/>
    <cellStyle name="Normal 4 6 2 2 2 5 3" xfId="22464" xr:uid="{00000000-0005-0000-0000-0000C4570000}"/>
    <cellStyle name="Normal 4 6 2 2 2 5 4" xfId="22465" xr:uid="{00000000-0005-0000-0000-0000C5570000}"/>
    <cellStyle name="Normal 4 6 2 2 2 5 5" xfId="22466" xr:uid="{00000000-0005-0000-0000-0000C6570000}"/>
    <cellStyle name="Normal 4 6 2 2 2 5 6" xfId="22467" xr:uid="{00000000-0005-0000-0000-0000C7570000}"/>
    <cellStyle name="Normal 4 6 2 2 2 6" xfId="22468" xr:uid="{00000000-0005-0000-0000-0000C8570000}"/>
    <cellStyle name="Normal 4 6 2 2 2 6 2" xfId="22469" xr:uid="{00000000-0005-0000-0000-0000C9570000}"/>
    <cellStyle name="Normal 4 6 2 2 2 6 3" xfId="22470" xr:uid="{00000000-0005-0000-0000-0000CA570000}"/>
    <cellStyle name="Normal 4 6 2 2 2 6 4" xfId="22471" xr:uid="{00000000-0005-0000-0000-0000CB570000}"/>
    <cellStyle name="Normal 4 6 2 2 2 6 5" xfId="22472" xr:uid="{00000000-0005-0000-0000-0000CC570000}"/>
    <cellStyle name="Normal 4 6 2 2 2 6 6" xfId="22473" xr:uid="{00000000-0005-0000-0000-0000CD570000}"/>
    <cellStyle name="Normal 4 6 2 2 2 7" xfId="22474" xr:uid="{00000000-0005-0000-0000-0000CE570000}"/>
    <cellStyle name="Normal 4 6 2 2 2 7 2" xfId="22475" xr:uid="{00000000-0005-0000-0000-0000CF570000}"/>
    <cellStyle name="Normal 4 6 2 2 2 7 3" xfId="22476" xr:uid="{00000000-0005-0000-0000-0000D0570000}"/>
    <cellStyle name="Normal 4 6 2 2 2 7 4" xfId="22477" xr:uid="{00000000-0005-0000-0000-0000D1570000}"/>
    <cellStyle name="Normal 4 6 2 2 2 7 5" xfId="22478" xr:uid="{00000000-0005-0000-0000-0000D2570000}"/>
    <cellStyle name="Normal 4 6 2 2 2 7 6" xfId="22479" xr:uid="{00000000-0005-0000-0000-0000D3570000}"/>
    <cellStyle name="Normal 4 6 2 2 2 8" xfId="22480" xr:uid="{00000000-0005-0000-0000-0000D4570000}"/>
    <cellStyle name="Normal 4 6 2 2 2 8 2" xfId="22481" xr:uid="{00000000-0005-0000-0000-0000D5570000}"/>
    <cellStyle name="Normal 4 6 2 2 2 8 3" xfId="22482" xr:uid="{00000000-0005-0000-0000-0000D6570000}"/>
    <cellStyle name="Normal 4 6 2 2 2 8 4" xfId="22483" xr:uid="{00000000-0005-0000-0000-0000D7570000}"/>
    <cellStyle name="Normal 4 6 2 2 2 8 5" xfId="22484" xr:uid="{00000000-0005-0000-0000-0000D8570000}"/>
    <cellStyle name="Normal 4 6 2 2 2 8 6" xfId="22485" xr:uid="{00000000-0005-0000-0000-0000D9570000}"/>
    <cellStyle name="Normal 4 6 2 2 2 9" xfId="22486" xr:uid="{00000000-0005-0000-0000-0000DA570000}"/>
    <cellStyle name="Normal 4 6 2 2 2 9 2" xfId="22487" xr:uid="{00000000-0005-0000-0000-0000DB570000}"/>
    <cellStyle name="Normal 4 6 2 2 2 9 3" xfId="22488" xr:uid="{00000000-0005-0000-0000-0000DC570000}"/>
    <cellStyle name="Normal 4 6 2 2 2 9 4" xfId="22489" xr:uid="{00000000-0005-0000-0000-0000DD570000}"/>
    <cellStyle name="Normal 4 6 2 2 2 9 5" xfId="22490" xr:uid="{00000000-0005-0000-0000-0000DE570000}"/>
    <cellStyle name="Normal 4 6 2 2 2 9 6" xfId="22491" xr:uid="{00000000-0005-0000-0000-0000DF570000}"/>
    <cellStyle name="Normal 4 6 2 2 3" xfId="22492" xr:uid="{00000000-0005-0000-0000-0000E0570000}"/>
    <cellStyle name="Normal 4 6 2 2 3 2" xfId="22493" xr:uid="{00000000-0005-0000-0000-0000E1570000}"/>
    <cellStyle name="Normal 4 6 2 2 3 3" xfId="22494" xr:uid="{00000000-0005-0000-0000-0000E2570000}"/>
    <cellStyle name="Normal 4 6 2 2 3 4" xfId="22495" xr:uid="{00000000-0005-0000-0000-0000E3570000}"/>
    <cellStyle name="Normal 4 6 2 2 3 5" xfId="22496" xr:uid="{00000000-0005-0000-0000-0000E4570000}"/>
    <cellStyle name="Normal 4 6 2 2 3 6" xfId="22497" xr:uid="{00000000-0005-0000-0000-0000E5570000}"/>
    <cellStyle name="Normal 4 6 2 2 4" xfId="22498" xr:uid="{00000000-0005-0000-0000-0000E6570000}"/>
    <cellStyle name="Normal 4 6 2 2 4 2" xfId="22499" xr:uid="{00000000-0005-0000-0000-0000E7570000}"/>
    <cellStyle name="Normal 4 6 2 2 4 3" xfId="22500" xr:uid="{00000000-0005-0000-0000-0000E8570000}"/>
    <cellStyle name="Normal 4 6 2 2 4 4" xfId="22501" xr:uid="{00000000-0005-0000-0000-0000E9570000}"/>
    <cellStyle name="Normal 4 6 2 2 4 5" xfId="22502" xr:uid="{00000000-0005-0000-0000-0000EA570000}"/>
    <cellStyle name="Normal 4 6 2 2 4 6" xfId="22503" xr:uid="{00000000-0005-0000-0000-0000EB570000}"/>
    <cellStyle name="Normal 4 6 2 2 5" xfId="22504" xr:uid="{00000000-0005-0000-0000-0000EC570000}"/>
    <cellStyle name="Normal 4 6 2 2 5 2" xfId="22505" xr:uid="{00000000-0005-0000-0000-0000ED570000}"/>
    <cellStyle name="Normal 4 6 2 2 5 3" xfId="22506" xr:uid="{00000000-0005-0000-0000-0000EE570000}"/>
    <cellStyle name="Normal 4 6 2 2 5 4" xfId="22507" xr:uid="{00000000-0005-0000-0000-0000EF570000}"/>
    <cellStyle name="Normal 4 6 2 2 5 5" xfId="22508" xr:uid="{00000000-0005-0000-0000-0000F0570000}"/>
    <cellStyle name="Normal 4 6 2 2 5 6" xfId="22509" xr:uid="{00000000-0005-0000-0000-0000F1570000}"/>
    <cellStyle name="Normal 4 6 2 2 6" xfId="22510" xr:uid="{00000000-0005-0000-0000-0000F2570000}"/>
    <cellStyle name="Normal 4 6 2 2 6 2" xfId="22511" xr:uid="{00000000-0005-0000-0000-0000F3570000}"/>
    <cellStyle name="Normal 4 6 2 2 6 3" xfId="22512" xr:uid="{00000000-0005-0000-0000-0000F4570000}"/>
    <cellStyle name="Normal 4 6 2 2 6 4" xfId="22513" xr:uid="{00000000-0005-0000-0000-0000F5570000}"/>
    <cellStyle name="Normal 4 6 2 2 6 5" xfId="22514" xr:uid="{00000000-0005-0000-0000-0000F6570000}"/>
    <cellStyle name="Normal 4 6 2 2 6 6" xfId="22515" xr:uid="{00000000-0005-0000-0000-0000F7570000}"/>
    <cellStyle name="Normal 4 6 2 2 7" xfId="22516" xr:uid="{00000000-0005-0000-0000-0000F8570000}"/>
    <cellStyle name="Normal 4 6 2 2 7 2" xfId="22517" xr:uid="{00000000-0005-0000-0000-0000F9570000}"/>
    <cellStyle name="Normal 4 6 2 2 7 3" xfId="22518" xr:uid="{00000000-0005-0000-0000-0000FA570000}"/>
    <cellStyle name="Normal 4 6 2 2 7 4" xfId="22519" xr:uid="{00000000-0005-0000-0000-0000FB570000}"/>
    <cellStyle name="Normal 4 6 2 2 7 5" xfId="22520" xr:uid="{00000000-0005-0000-0000-0000FC570000}"/>
    <cellStyle name="Normal 4 6 2 2 7 6" xfId="22521" xr:uid="{00000000-0005-0000-0000-0000FD570000}"/>
    <cellStyle name="Normal 4 6 2 2 8" xfId="22522" xr:uid="{00000000-0005-0000-0000-0000FE570000}"/>
    <cellStyle name="Normal 4 6 2 2 8 2" xfId="22523" xr:uid="{00000000-0005-0000-0000-0000FF570000}"/>
    <cellStyle name="Normal 4 6 2 2 8 3" xfId="22524" xr:uid="{00000000-0005-0000-0000-000000580000}"/>
    <cellStyle name="Normal 4 6 2 2 8 4" xfId="22525" xr:uid="{00000000-0005-0000-0000-000001580000}"/>
    <cellStyle name="Normal 4 6 2 2 8 5" xfId="22526" xr:uid="{00000000-0005-0000-0000-000002580000}"/>
    <cellStyle name="Normal 4 6 2 2 8 6" xfId="22527" xr:uid="{00000000-0005-0000-0000-000003580000}"/>
    <cellStyle name="Normal 4 6 2 2 9" xfId="22528" xr:uid="{00000000-0005-0000-0000-000004580000}"/>
    <cellStyle name="Normal 4 6 2 2 9 2" xfId="22529" xr:uid="{00000000-0005-0000-0000-000005580000}"/>
    <cellStyle name="Normal 4 6 2 2 9 3" xfId="22530" xr:uid="{00000000-0005-0000-0000-000006580000}"/>
    <cellStyle name="Normal 4 6 2 2 9 4" xfId="22531" xr:uid="{00000000-0005-0000-0000-000007580000}"/>
    <cellStyle name="Normal 4 6 2 2 9 5" xfId="22532" xr:uid="{00000000-0005-0000-0000-000008580000}"/>
    <cellStyle name="Normal 4 6 2 2 9 6" xfId="22533" xr:uid="{00000000-0005-0000-0000-000009580000}"/>
    <cellStyle name="Normal 4 6 2 20" xfId="22534" xr:uid="{00000000-0005-0000-0000-00000A580000}"/>
    <cellStyle name="Normal 4 6 2 21" xfId="22535" xr:uid="{00000000-0005-0000-0000-00000B580000}"/>
    <cellStyle name="Normal 4 6 2 22" xfId="22536" xr:uid="{00000000-0005-0000-0000-00000C580000}"/>
    <cellStyle name="Normal 4 6 2 23" xfId="22537" xr:uid="{00000000-0005-0000-0000-00000D580000}"/>
    <cellStyle name="Normal 4 6 2 24" xfId="22538" xr:uid="{00000000-0005-0000-0000-00000E580000}"/>
    <cellStyle name="Normal 4 6 2 25" xfId="22539" xr:uid="{00000000-0005-0000-0000-00000F580000}"/>
    <cellStyle name="Normal 4 6 2 26" xfId="22540" xr:uid="{00000000-0005-0000-0000-000010580000}"/>
    <cellStyle name="Normal 4 6 2 27" xfId="22541" xr:uid="{00000000-0005-0000-0000-000011580000}"/>
    <cellStyle name="Normal 4 6 2 28" xfId="22542" xr:uid="{00000000-0005-0000-0000-000012580000}"/>
    <cellStyle name="Normal 4 6 2 29" xfId="22543" xr:uid="{00000000-0005-0000-0000-000013580000}"/>
    <cellStyle name="Normal 4 6 2 3" xfId="22544" xr:uid="{00000000-0005-0000-0000-000014580000}"/>
    <cellStyle name="Normal 4 6 2 3 10" xfId="22545" xr:uid="{00000000-0005-0000-0000-000015580000}"/>
    <cellStyle name="Normal 4 6 2 3 11" xfId="22546" xr:uid="{00000000-0005-0000-0000-000016580000}"/>
    <cellStyle name="Normal 4 6 2 3 12" xfId="22547" xr:uid="{00000000-0005-0000-0000-000017580000}"/>
    <cellStyle name="Normal 4 6 2 3 13" xfId="22548" xr:uid="{00000000-0005-0000-0000-000018580000}"/>
    <cellStyle name="Normal 4 6 2 3 14" xfId="22549" xr:uid="{00000000-0005-0000-0000-000019580000}"/>
    <cellStyle name="Normal 4 6 2 3 2" xfId="22550" xr:uid="{00000000-0005-0000-0000-00001A580000}"/>
    <cellStyle name="Normal 4 6 2 3 2 2" xfId="22551" xr:uid="{00000000-0005-0000-0000-00001B580000}"/>
    <cellStyle name="Normal 4 6 2 3 2 3" xfId="22552" xr:uid="{00000000-0005-0000-0000-00001C580000}"/>
    <cellStyle name="Normal 4 6 2 3 2 4" xfId="22553" xr:uid="{00000000-0005-0000-0000-00001D580000}"/>
    <cellStyle name="Normal 4 6 2 3 2 5" xfId="22554" xr:uid="{00000000-0005-0000-0000-00001E580000}"/>
    <cellStyle name="Normal 4 6 2 3 2 6" xfId="22555" xr:uid="{00000000-0005-0000-0000-00001F580000}"/>
    <cellStyle name="Normal 4 6 2 3 3" xfId="22556" xr:uid="{00000000-0005-0000-0000-000020580000}"/>
    <cellStyle name="Normal 4 6 2 3 3 2" xfId="22557" xr:uid="{00000000-0005-0000-0000-000021580000}"/>
    <cellStyle name="Normal 4 6 2 3 3 3" xfId="22558" xr:uid="{00000000-0005-0000-0000-000022580000}"/>
    <cellStyle name="Normal 4 6 2 3 3 4" xfId="22559" xr:uid="{00000000-0005-0000-0000-000023580000}"/>
    <cellStyle name="Normal 4 6 2 3 3 5" xfId="22560" xr:uid="{00000000-0005-0000-0000-000024580000}"/>
    <cellStyle name="Normal 4 6 2 3 3 6" xfId="22561" xr:uid="{00000000-0005-0000-0000-000025580000}"/>
    <cellStyle name="Normal 4 6 2 3 4" xfId="22562" xr:uid="{00000000-0005-0000-0000-000026580000}"/>
    <cellStyle name="Normal 4 6 2 3 4 2" xfId="22563" xr:uid="{00000000-0005-0000-0000-000027580000}"/>
    <cellStyle name="Normal 4 6 2 3 4 3" xfId="22564" xr:uid="{00000000-0005-0000-0000-000028580000}"/>
    <cellStyle name="Normal 4 6 2 3 4 4" xfId="22565" xr:uid="{00000000-0005-0000-0000-000029580000}"/>
    <cellStyle name="Normal 4 6 2 3 4 5" xfId="22566" xr:uid="{00000000-0005-0000-0000-00002A580000}"/>
    <cellStyle name="Normal 4 6 2 3 4 6" xfId="22567" xr:uid="{00000000-0005-0000-0000-00002B580000}"/>
    <cellStyle name="Normal 4 6 2 3 5" xfId="22568" xr:uid="{00000000-0005-0000-0000-00002C580000}"/>
    <cellStyle name="Normal 4 6 2 3 5 2" xfId="22569" xr:uid="{00000000-0005-0000-0000-00002D580000}"/>
    <cellStyle name="Normal 4 6 2 3 5 3" xfId="22570" xr:uid="{00000000-0005-0000-0000-00002E580000}"/>
    <cellStyle name="Normal 4 6 2 3 5 4" xfId="22571" xr:uid="{00000000-0005-0000-0000-00002F580000}"/>
    <cellStyle name="Normal 4 6 2 3 5 5" xfId="22572" xr:uid="{00000000-0005-0000-0000-000030580000}"/>
    <cellStyle name="Normal 4 6 2 3 5 6" xfId="22573" xr:uid="{00000000-0005-0000-0000-000031580000}"/>
    <cellStyle name="Normal 4 6 2 3 6" xfId="22574" xr:uid="{00000000-0005-0000-0000-000032580000}"/>
    <cellStyle name="Normal 4 6 2 3 6 2" xfId="22575" xr:uid="{00000000-0005-0000-0000-000033580000}"/>
    <cellStyle name="Normal 4 6 2 3 6 3" xfId="22576" xr:uid="{00000000-0005-0000-0000-000034580000}"/>
    <cellStyle name="Normal 4 6 2 3 6 4" xfId="22577" xr:uid="{00000000-0005-0000-0000-000035580000}"/>
    <cellStyle name="Normal 4 6 2 3 6 5" xfId="22578" xr:uid="{00000000-0005-0000-0000-000036580000}"/>
    <cellStyle name="Normal 4 6 2 3 6 6" xfId="22579" xr:uid="{00000000-0005-0000-0000-000037580000}"/>
    <cellStyle name="Normal 4 6 2 3 7" xfId="22580" xr:uid="{00000000-0005-0000-0000-000038580000}"/>
    <cellStyle name="Normal 4 6 2 3 7 2" xfId="22581" xr:uid="{00000000-0005-0000-0000-000039580000}"/>
    <cellStyle name="Normal 4 6 2 3 7 3" xfId="22582" xr:uid="{00000000-0005-0000-0000-00003A580000}"/>
    <cellStyle name="Normal 4 6 2 3 7 4" xfId="22583" xr:uid="{00000000-0005-0000-0000-00003B580000}"/>
    <cellStyle name="Normal 4 6 2 3 7 5" xfId="22584" xr:uid="{00000000-0005-0000-0000-00003C580000}"/>
    <cellStyle name="Normal 4 6 2 3 7 6" xfId="22585" xr:uid="{00000000-0005-0000-0000-00003D580000}"/>
    <cellStyle name="Normal 4 6 2 3 8" xfId="22586" xr:uid="{00000000-0005-0000-0000-00003E580000}"/>
    <cellStyle name="Normal 4 6 2 3 8 2" xfId="22587" xr:uid="{00000000-0005-0000-0000-00003F580000}"/>
    <cellStyle name="Normal 4 6 2 3 8 3" xfId="22588" xr:uid="{00000000-0005-0000-0000-000040580000}"/>
    <cellStyle name="Normal 4 6 2 3 8 4" xfId="22589" xr:uid="{00000000-0005-0000-0000-000041580000}"/>
    <cellStyle name="Normal 4 6 2 3 8 5" xfId="22590" xr:uid="{00000000-0005-0000-0000-000042580000}"/>
    <cellStyle name="Normal 4 6 2 3 8 6" xfId="22591" xr:uid="{00000000-0005-0000-0000-000043580000}"/>
    <cellStyle name="Normal 4 6 2 3 9" xfId="22592" xr:uid="{00000000-0005-0000-0000-000044580000}"/>
    <cellStyle name="Normal 4 6 2 3 9 2" xfId="22593" xr:uid="{00000000-0005-0000-0000-000045580000}"/>
    <cellStyle name="Normal 4 6 2 3 9 3" xfId="22594" xr:uid="{00000000-0005-0000-0000-000046580000}"/>
    <cellStyle name="Normal 4 6 2 3 9 4" xfId="22595" xr:uid="{00000000-0005-0000-0000-000047580000}"/>
    <cellStyle name="Normal 4 6 2 3 9 5" xfId="22596" xr:uid="{00000000-0005-0000-0000-000048580000}"/>
    <cellStyle name="Normal 4 6 2 3 9 6" xfId="22597" xr:uid="{00000000-0005-0000-0000-000049580000}"/>
    <cellStyle name="Normal 4 6 2 30" xfId="22598" xr:uid="{00000000-0005-0000-0000-00004A580000}"/>
    <cellStyle name="Normal 4 6 2 31" xfId="22599" xr:uid="{00000000-0005-0000-0000-00004B580000}"/>
    <cellStyle name="Normal 4 6 2 4" xfId="22600" xr:uid="{00000000-0005-0000-0000-00004C580000}"/>
    <cellStyle name="Normal 4 6 2 4 2" xfId="22601" xr:uid="{00000000-0005-0000-0000-00004D580000}"/>
    <cellStyle name="Normal 4 6 2 4 3" xfId="22602" xr:uid="{00000000-0005-0000-0000-00004E580000}"/>
    <cellStyle name="Normal 4 6 2 4 4" xfId="22603" xr:uid="{00000000-0005-0000-0000-00004F580000}"/>
    <cellStyle name="Normal 4 6 2 4 5" xfId="22604" xr:uid="{00000000-0005-0000-0000-000050580000}"/>
    <cellStyle name="Normal 4 6 2 4 6" xfId="22605" xr:uid="{00000000-0005-0000-0000-000051580000}"/>
    <cellStyle name="Normal 4 6 2 5" xfId="22606" xr:uid="{00000000-0005-0000-0000-000052580000}"/>
    <cellStyle name="Normal 4 6 2 5 2" xfId="22607" xr:uid="{00000000-0005-0000-0000-000053580000}"/>
    <cellStyle name="Normal 4 6 2 5 3" xfId="22608" xr:uid="{00000000-0005-0000-0000-000054580000}"/>
    <cellStyle name="Normal 4 6 2 5 4" xfId="22609" xr:uid="{00000000-0005-0000-0000-000055580000}"/>
    <cellStyle name="Normal 4 6 2 5 5" xfId="22610" xr:uid="{00000000-0005-0000-0000-000056580000}"/>
    <cellStyle name="Normal 4 6 2 5 6" xfId="22611" xr:uid="{00000000-0005-0000-0000-000057580000}"/>
    <cellStyle name="Normal 4 6 2 6" xfId="22612" xr:uid="{00000000-0005-0000-0000-000058580000}"/>
    <cellStyle name="Normal 4 6 2 6 2" xfId="22613" xr:uid="{00000000-0005-0000-0000-000059580000}"/>
    <cellStyle name="Normal 4 6 2 6 3" xfId="22614" xr:uid="{00000000-0005-0000-0000-00005A580000}"/>
    <cellStyle name="Normal 4 6 2 6 4" xfId="22615" xr:uid="{00000000-0005-0000-0000-00005B580000}"/>
    <cellStyle name="Normal 4 6 2 6 5" xfId="22616" xr:uid="{00000000-0005-0000-0000-00005C580000}"/>
    <cellStyle name="Normal 4 6 2 6 6" xfId="22617" xr:uid="{00000000-0005-0000-0000-00005D580000}"/>
    <cellStyle name="Normal 4 6 2 7" xfId="22618" xr:uid="{00000000-0005-0000-0000-00005E580000}"/>
    <cellStyle name="Normal 4 6 2 7 2" xfId="22619" xr:uid="{00000000-0005-0000-0000-00005F580000}"/>
    <cellStyle name="Normal 4 6 2 7 3" xfId="22620" xr:uid="{00000000-0005-0000-0000-000060580000}"/>
    <cellStyle name="Normal 4 6 2 7 4" xfId="22621" xr:uid="{00000000-0005-0000-0000-000061580000}"/>
    <cellStyle name="Normal 4 6 2 7 5" xfId="22622" xr:uid="{00000000-0005-0000-0000-000062580000}"/>
    <cellStyle name="Normal 4 6 2 7 6" xfId="22623" xr:uid="{00000000-0005-0000-0000-000063580000}"/>
    <cellStyle name="Normal 4 6 2 8" xfId="22624" xr:uid="{00000000-0005-0000-0000-000064580000}"/>
    <cellStyle name="Normal 4 6 2 8 2" xfId="22625" xr:uid="{00000000-0005-0000-0000-000065580000}"/>
    <cellStyle name="Normal 4 6 2 8 3" xfId="22626" xr:uid="{00000000-0005-0000-0000-000066580000}"/>
    <cellStyle name="Normal 4 6 2 8 4" xfId="22627" xr:uid="{00000000-0005-0000-0000-000067580000}"/>
    <cellStyle name="Normal 4 6 2 8 5" xfId="22628" xr:uid="{00000000-0005-0000-0000-000068580000}"/>
    <cellStyle name="Normal 4 6 2 8 6" xfId="22629" xr:uid="{00000000-0005-0000-0000-000069580000}"/>
    <cellStyle name="Normal 4 6 2 9" xfId="22630" xr:uid="{00000000-0005-0000-0000-00006A580000}"/>
    <cellStyle name="Normal 4 6 2 9 2" xfId="22631" xr:uid="{00000000-0005-0000-0000-00006B580000}"/>
    <cellStyle name="Normal 4 6 2 9 3" xfId="22632" xr:uid="{00000000-0005-0000-0000-00006C580000}"/>
    <cellStyle name="Normal 4 6 2 9 4" xfId="22633" xr:uid="{00000000-0005-0000-0000-00006D580000}"/>
    <cellStyle name="Normal 4 6 2 9 5" xfId="22634" xr:uid="{00000000-0005-0000-0000-00006E580000}"/>
    <cellStyle name="Normal 4 6 2 9 6" xfId="22635" xr:uid="{00000000-0005-0000-0000-00006F580000}"/>
    <cellStyle name="Normal 4 6 20" xfId="22636" xr:uid="{00000000-0005-0000-0000-000070580000}"/>
    <cellStyle name="Normal 4 6 21" xfId="22637" xr:uid="{00000000-0005-0000-0000-000071580000}"/>
    <cellStyle name="Normal 4 6 22" xfId="22638" xr:uid="{00000000-0005-0000-0000-000072580000}"/>
    <cellStyle name="Normal 4 6 23" xfId="22639" xr:uid="{00000000-0005-0000-0000-000073580000}"/>
    <cellStyle name="Normal 4 6 24" xfId="22640" xr:uid="{00000000-0005-0000-0000-000074580000}"/>
    <cellStyle name="Normal 4 6 25" xfId="22641" xr:uid="{00000000-0005-0000-0000-000075580000}"/>
    <cellStyle name="Normal 4 6 26" xfId="22642" xr:uid="{00000000-0005-0000-0000-000076580000}"/>
    <cellStyle name="Normal 4 6 27" xfId="22643" xr:uid="{00000000-0005-0000-0000-000077580000}"/>
    <cellStyle name="Normal 4 6 28" xfId="22644" xr:uid="{00000000-0005-0000-0000-000078580000}"/>
    <cellStyle name="Normal 4 6 29" xfId="22645" xr:uid="{00000000-0005-0000-0000-000079580000}"/>
    <cellStyle name="Normal 4 6 3" xfId="22646" xr:uid="{00000000-0005-0000-0000-00007A580000}"/>
    <cellStyle name="Normal 4 6 3 10" xfId="22647" xr:uid="{00000000-0005-0000-0000-00007B580000}"/>
    <cellStyle name="Normal 4 6 3 10 2" xfId="22648" xr:uid="{00000000-0005-0000-0000-00007C580000}"/>
    <cellStyle name="Normal 4 6 3 10 3" xfId="22649" xr:uid="{00000000-0005-0000-0000-00007D580000}"/>
    <cellStyle name="Normal 4 6 3 10 4" xfId="22650" xr:uid="{00000000-0005-0000-0000-00007E580000}"/>
    <cellStyle name="Normal 4 6 3 10 5" xfId="22651" xr:uid="{00000000-0005-0000-0000-00007F580000}"/>
    <cellStyle name="Normal 4 6 3 10 6" xfId="22652" xr:uid="{00000000-0005-0000-0000-000080580000}"/>
    <cellStyle name="Normal 4 6 3 11" xfId="22653" xr:uid="{00000000-0005-0000-0000-000081580000}"/>
    <cellStyle name="Normal 4 6 3 11 2" xfId="22654" xr:uid="{00000000-0005-0000-0000-000082580000}"/>
    <cellStyle name="Normal 4 6 3 11 3" xfId="22655" xr:uid="{00000000-0005-0000-0000-000083580000}"/>
    <cellStyle name="Normal 4 6 3 11 4" xfId="22656" xr:uid="{00000000-0005-0000-0000-000084580000}"/>
    <cellStyle name="Normal 4 6 3 11 5" xfId="22657" xr:uid="{00000000-0005-0000-0000-000085580000}"/>
    <cellStyle name="Normal 4 6 3 11 6" xfId="22658" xr:uid="{00000000-0005-0000-0000-000086580000}"/>
    <cellStyle name="Normal 4 6 3 12" xfId="22659" xr:uid="{00000000-0005-0000-0000-000087580000}"/>
    <cellStyle name="Normal 4 6 3 13" xfId="22660" xr:uid="{00000000-0005-0000-0000-000088580000}"/>
    <cellStyle name="Normal 4 6 3 14" xfId="22661" xr:uid="{00000000-0005-0000-0000-000089580000}"/>
    <cellStyle name="Normal 4 6 3 15" xfId="22662" xr:uid="{00000000-0005-0000-0000-00008A580000}"/>
    <cellStyle name="Normal 4 6 3 16" xfId="22663" xr:uid="{00000000-0005-0000-0000-00008B580000}"/>
    <cellStyle name="Normal 4 6 3 17" xfId="22664" xr:uid="{00000000-0005-0000-0000-00008C580000}"/>
    <cellStyle name="Normal 4 6 3 18" xfId="22665" xr:uid="{00000000-0005-0000-0000-00008D580000}"/>
    <cellStyle name="Normal 4 6 3 19" xfId="22666" xr:uid="{00000000-0005-0000-0000-00008E580000}"/>
    <cellStyle name="Normal 4 6 3 2" xfId="22667" xr:uid="{00000000-0005-0000-0000-00008F580000}"/>
    <cellStyle name="Normal 4 6 3 2 10" xfId="22668" xr:uid="{00000000-0005-0000-0000-000090580000}"/>
    <cellStyle name="Normal 4 6 3 2 10 2" xfId="22669" xr:uid="{00000000-0005-0000-0000-000091580000}"/>
    <cellStyle name="Normal 4 6 3 2 10 3" xfId="22670" xr:uid="{00000000-0005-0000-0000-000092580000}"/>
    <cellStyle name="Normal 4 6 3 2 10 4" xfId="22671" xr:uid="{00000000-0005-0000-0000-000093580000}"/>
    <cellStyle name="Normal 4 6 3 2 10 5" xfId="22672" xr:uid="{00000000-0005-0000-0000-000094580000}"/>
    <cellStyle name="Normal 4 6 3 2 10 6" xfId="22673" xr:uid="{00000000-0005-0000-0000-000095580000}"/>
    <cellStyle name="Normal 4 6 3 2 11" xfId="22674" xr:uid="{00000000-0005-0000-0000-000096580000}"/>
    <cellStyle name="Normal 4 6 3 2 12" xfId="22675" xr:uid="{00000000-0005-0000-0000-000097580000}"/>
    <cellStyle name="Normal 4 6 3 2 13" xfId="22676" xr:uid="{00000000-0005-0000-0000-000098580000}"/>
    <cellStyle name="Normal 4 6 3 2 14" xfId="22677" xr:uid="{00000000-0005-0000-0000-000099580000}"/>
    <cellStyle name="Normal 4 6 3 2 15" xfId="22678" xr:uid="{00000000-0005-0000-0000-00009A580000}"/>
    <cellStyle name="Normal 4 6 3 2 2" xfId="22679" xr:uid="{00000000-0005-0000-0000-00009B580000}"/>
    <cellStyle name="Normal 4 6 3 2 2 10" xfId="22680" xr:uid="{00000000-0005-0000-0000-00009C580000}"/>
    <cellStyle name="Normal 4 6 3 2 2 11" xfId="22681" xr:uid="{00000000-0005-0000-0000-00009D580000}"/>
    <cellStyle name="Normal 4 6 3 2 2 12" xfId="22682" xr:uid="{00000000-0005-0000-0000-00009E580000}"/>
    <cellStyle name="Normal 4 6 3 2 2 13" xfId="22683" xr:uid="{00000000-0005-0000-0000-00009F580000}"/>
    <cellStyle name="Normal 4 6 3 2 2 14" xfId="22684" xr:uid="{00000000-0005-0000-0000-0000A0580000}"/>
    <cellStyle name="Normal 4 6 3 2 2 2" xfId="22685" xr:uid="{00000000-0005-0000-0000-0000A1580000}"/>
    <cellStyle name="Normal 4 6 3 2 2 2 2" xfId="22686" xr:uid="{00000000-0005-0000-0000-0000A2580000}"/>
    <cellStyle name="Normal 4 6 3 2 2 2 3" xfId="22687" xr:uid="{00000000-0005-0000-0000-0000A3580000}"/>
    <cellStyle name="Normal 4 6 3 2 2 2 4" xfId="22688" xr:uid="{00000000-0005-0000-0000-0000A4580000}"/>
    <cellStyle name="Normal 4 6 3 2 2 2 5" xfId="22689" xr:uid="{00000000-0005-0000-0000-0000A5580000}"/>
    <cellStyle name="Normal 4 6 3 2 2 2 6" xfId="22690" xr:uid="{00000000-0005-0000-0000-0000A6580000}"/>
    <cellStyle name="Normal 4 6 3 2 2 3" xfId="22691" xr:uid="{00000000-0005-0000-0000-0000A7580000}"/>
    <cellStyle name="Normal 4 6 3 2 2 3 2" xfId="22692" xr:uid="{00000000-0005-0000-0000-0000A8580000}"/>
    <cellStyle name="Normal 4 6 3 2 2 3 3" xfId="22693" xr:uid="{00000000-0005-0000-0000-0000A9580000}"/>
    <cellStyle name="Normal 4 6 3 2 2 3 4" xfId="22694" xr:uid="{00000000-0005-0000-0000-0000AA580000}"/>
    <cellStyle name="Normal 4 6 3 2 2 3 5" xfId="22695" xr:uid="{00000000-0005-0000-0000-0000AB580000}"/>
    <cellStyle name="Normal 4 6 3 2 2 3 6" xfId="22696" xr:uid="{00000000-0005-0000-0000-0000AC580000}"/>
    <cellStyle name="Normal 4 6 3 2 2 4" xfId="22697" xr:uid="{00000000-0005-0000-0000-0000AD580000}"/>
    <cellStyle name="Normal 4 6 3 2 2 4 2" xfId="22698" xr:uid="{00000000-0005-0000-0000-0000AE580000}"/>
    <cellStyle name="Normal 4 6 3 2 2 4 3" xfId="22699" xr:uid="{00000000-0005-0000-0000-0000AF580000}"/>
    <cellStyle name="Normal 4 6 3 2 2 4 4" xfId="22700" xr:uid="{00000000-0005-0000-0000-0000B0580000}"/>
    <cellStyle name="Normal 4 6 3 2 2 4 5" xfId="22701" xr:uid="{00000000-0005-0000-0000-0000B1580000}"/>
    <cellStyle name="Normal 4 6 3 2 2 4 6" xfId="22702" xr:uid="{00000000-0005-0000-0000-0000B2580000}"/>
    <cellStyle name="Normal 4 6 3 2 2 5" xfId="22703" xr:uid="{00000000-0005-0000-0000-0000B3580000}"/>
    <cellStyle name="Normal 4 6 3 2 2 5 2" xfId="22704" xr:uid="{00000000-0005-0000-0000-0000B4580000}"/>
    <cellStyle name="Normal 4 6 3 2 2 5 3" xfId="22705" xr:uid="{00000000-0005-0000-0000-0000B5580000}"/>
    <cellStyle name="Normal 4 6 3 2 2 5 4" xfId="22706" xr:uid="{00000000-0005-0000-0000-0000B6580000}"/>
    <cellStyle name="Normal 4 6 3 2 2 5 5" xfId="22707" xr:uid="{00000000-0005-0000-0000-0000B7580000}"/>
    <cellStyle name="Normal 4 6 3 2 2 5 6" xfId="22708" xr:uid="{00000000-0005-0000-0000-0000B8580000}"/>
    <cellStyle name="Normal 4 6 3 2 2 6" xfId="22709" xr:uid="{00000000-0005-0000-0000-0000B9580000}"/>
    <cellStyle name="Normal 4 6 3 2 2 6 2" xfId="22710" xr:uid="{00000000-0005-0000-0000-0000BA580000}"/>
    <cellStyle name="Normal 4 6 3 2 2 6 3" xfId="22711" xr:uid="{00000000-0005-0000-0000-0000BB580000}"/>
    <cellStyle name="Normal 4 6 3 2 2 6 4" xfId="22712" xr:uid="{00000000-0005-0000-0000-0000BC580000}"/>
    <cellStyle name="Normal 4 6 3 2 2 6 5" xfId="22713" xr:uid="{00000000-0005-0000-0000-0000BD580000}"/>
    <cellStyle name="Normal 4 6 3 2 2 6 6" xfId="22714" xr:uid="{00000000-0005-0000-0000-0000BE580000}"/>
    <cellStyle name="Normal 4 6 3 2 2 7" xfId="22715" xr:uid="{00000000-0005-0000-0000-0000BF580000}"/>
    <cellStyle name="Normal 4 6 3 2 2 7 2" xfId="22716" xr:uid="{00000000-0005-0000-0000-0000C0580000}"/>
    <cellStyle name="Normal 4 6 3 2 2 7 3" xfId="22717" xr:uid="{00000000-0005-0000-0000-0000C1580000}"/>
    <cellStyle name="Normal 4 6 3 2 2 7 4" xfId="22718" xr:uid="{00000000-0005-0000-0000-0000C2580000}"/>
    <cellStyle name="Normal 4 6 3 2 2 7 5" xfId="22719" xr:uid="{00000000-0005-0000-0000-0000C3580000}"/>
    <cellStyle name="Normal 4 6 3 2 2 7 6" xfId="22720" xr:uid="{00000000-0005-0000-0000-0000C4580000}"/>
    <cellStyle name="Normal 4 6 3 2 2 8" xfId="22721" xr:uid="{00000000-0005-0000-0000-0000C5580000}"/>
    <cellStyle name="Normal 4 6 3 2 2 8 2" xfId="22722" xr:uid="{00000000-0005-0000-0000-0000C6580000}"/>
    <cellStyle name="Normal 4 6 3 2 2 8 3" xfId="22723" xr:uid="{00000000-0005-0000-0000-0000C7580000}"/>
    <cellStyle name="Normal 4 6 3 2 2 8 4" xfId="22724" xr:uid="{00000000-0005-0000-0000-0000C8580000}"/>
    <cellStyle name="Normal 4 6 3 2 2 8 5" xfId="22725" xr:uid="{00000000-0005-0000-0000-0000C9580000}"/>
    <cellStyle name="Normal 4 6 3 2 2 8 6" xfId="22726" xr:uid="{00000000-0005-0000-0000-0000CA580000}"/>
    <cellStyle name="Normal 4 6 3 2 2 9" xfId="22727" xr:uid="{00000000-0005-0000-0000-0000CB580000}"/>
    <cellStyle name="Normal 4 6 3 2 2 9 2" xfId="22728" xr:uid="{00000000-0005-0000-0000-0000CC580000}"/>
    <cellStyle name="Normal 4 6 3 2 2 9 3" xfId="22729" xr:uid="{00000000-0005-0000-0000-0000CD580000}"/>
    <cellStyle name="Normal 4 6 3 2 2 9 4" xfId="22730" xr:uid="{00000000-0005-0000-0000-0000CE580000}"/>
    <cellStyle name="Normal 4 6 3 2 2 9 5" xfId="22731" xr:uid="{00000000-0005-0000-0000-0000CF580000}"/>
    <cellStyle name="Normal 4 6 3 2 2 9 6" xfId="22732" xr:uid="{00000000-0005-0000-0000-0000D0580000}"/>
    <cellStyle name="Normal 4 6 3 2 3" xfId="22733" xr:uid="{00000000-0005-0000-0000-0000D1580000}"/>
    <cellStyle name="Normal 4 6 3 2 3 2" xfId="22734" xr:uid="{00000000-0005-0000-0000-0000D2580000}"/>
    <cellStyle name="Normal 4 6 3 2 3 3" xfId="22735" xr:uid="{00000000-0005-0000-0000-0000D3580000}"/>
    <cellStyle name="Normal 4 6 3 2 3 4" xfId="22736" xr:uid="{00000000-0005-0000-0000-0000D4580000}"/>
    <cellStyle name="Normal 4 6 3 2 3 5" xfId="22737" xr:uid="{00000000-0005-0000-0000-0000D5580000}"/>
    <cellStyle name="Normal 4 6 3 2 3 6" xfId="22738" xr:uid="{00000000-0005-0000-0000-0000D6580000}"/>
    <cellStyle name="Normal 4 6 3 2 4" xfId="22739" xr:uid="{00000000-0005-0000-0000-0000D7580000}"/>
    <cellStyle name="Normal 4 6 3 2 4 2" xfId="22740" xr:uid="{00000000-0005-0000-0000-0000D8580000}"/>
    <cellStyle name="Normal 4 6 3 2 4 3" xfId="22741" xr:uid="{00000000-0005-0000-0000-0000D9580000}"/>
    <cellStyle name="Normal 4 6 3 2 4 4" xfId="22742" xr:uid="{00000000-0005-0000-0000-0000DA580000}"/>
    <cellStyle name="Normal 4 6 3 2 4 5" xfId="22743" xr:uid="{00000000-0005-0000-0000-0000DB580000}"/>
    <cellStyle name="Normal 4 6 3 2 4 6" xfId="22744" xr:uid="{00000000-0005-0000-0000-0000DC580000}"/>
    <cellStyle name="Normal 4 6 3 2 5" xfId="22745" xr:uid="{00000000-0005-0000-0000-0000DD580000}"/>
    <cellStyle name="Normal 4 6 3 2 5 2" xfId="22746" xr:uid="{00000000-0005-0000-0000-0000DE580000}"/>
    <cellStyle name="Normal 4 6 3 2 5 3" xfId="22747" xr:uid="{00000000-0005-0000-0000-0000DF580000}"/>
    <cellStyle name="Normal 4 6 3 2 5 4" xfId="22748" xr:uid="{00000000-0005-0000-0000-0000E0580000}"/>
    <cellStyle name="Normal 4 6 3 2 5 5" xfId="22749" xr:uid="{00000000-0005-0000-0000-0000E1580000}"/>
    <cellStyle name="Normal 4 6 3 2 5 6" xfId="22750" xr:uid="{00000000-0005-0000-0000-0000E2580000}"/>
    <cellStyle name="Normal 4 6 3 2 6" xfId="22751" xr:uid="{00000000-0005-0000-0000-0000E3580000}"/>
    <cellStyle name="Normal 4 6 3 2 6 2" xfId="22752" xr:uid="{00000000-0005-0000-0000-0000E4580000}"/>
    <cellStyle name="Normal 4 6 3 2 6 3" xfId="22753" xr:uid="{00000000-0005-0000-0000-0000E5580000}"/>
    <cellStyle name="Normal 4 6 3 2 6 4" xfId="22754" xr:uid="{00000000-0005-0000-0000-0000E6580000}"/>
    <cellStyle name="Normal 4 6 3 2 6 5" xfId="22755" xr:uid="{00000000-0005-0000-0000-0000E7580000}"/>
    <cellStyle name="Normal 4 6 3 2 6 6" xfId="22756" xr:uid="{00000000-0005-0000-0000-0000E8580000}"/>
    <cellStyle name="Normal 4 6 3 2 7" xfId="22757" xr:uid="{00000000-0005-0000-0000-0000E9580000}"/>
    <cellStyle name="Normal 4 6 3 2 7 2" xfId="22758" xr:uid="{00000000-0005-0000-0000-0000EA580000}"/>
    <cellStyle name="Normal 4 6 3 2 7 3" xfId="22759" xr:uid="{00000000-0005-0000-0000-0000EB580000}"/>
    <cellStyle name="Normal 4 6 3 2 7 4" xfId="22760" xr:uid="{00000000-0005-0000-0000-0000EC580000}"/>
    <cellStyle name="Normal 4 6 3 2 7 5" xfId="22761" xr:uid="{00000000-0005-0000-0000-0000ED580000}"/>
    <cellStyle name="Normal 4 6 3 2 7 6" xfId="22762" xr:uid="{00000000-0005-0000-0000-0000EE580000}"/>
    <cellStyle name="Normal 4 6 3 2 8" xfId="22763" xr:uid="{00000000-0005-0000-0000-0000EF580000}"/>
    <cellStyle name="Normal 4 6 3 2 8 2" xfId="22764" xr:uid="{00000000-0005-0000-0000-0000F0580000}"/>
    <cellStyle name="Normal 4 6 3 2 8 3" xfId="22765" xr:uid="{00000000-0005-0000-0000-0000F1580000}"/>
    <cellStyle name="Normal 4 6 3 2 8 4" xfId="22766" xr:uid="{00000000-0005-0000-0000-0000F2580000}"/>
    <cellStyle name="Normal 4 6 3 2 8 5" xfId="22767" xr:uid="{00000000-0005-0000-0000-0000F3580000}"/>
    <cellStyle name="Normal 4 6 3 2 8 6" xfId="22768" xr:uid="{00000000-0005-0000-0000-0000F4580000}"/>
    <cellStyle name="Normal 4 6 3 2 9" xfId="22769" xr:uid="{00000000-0005-0000-0000-0000F5580000}"/>
    <cellStyle name="Normal 4 6 3 2 9 2" xfId="22770" xr:uid="{00000000-0005-0000-0000-0000F6580000}"/>
    <cellStyle name="Normal 4 6 3 2 9 3" xfId="22771" xr:uid="{00000000-0005-0000-0000-0000F7580000}"/>
    <cellStyle name="Normal 4 6 3 2 9 4" xfId="22772" xr:uid="{00000000-0005-0000-0000-0000F8580000}"/>
    <cellStyle name="Normal 4 6 3 2 9 5" xfId="22773" xr:uid="{00000000-0005-0000-0000-0000F9580000}"/>
    <cellStyle name="Normal 4 6 3 2 9 6" xfId="22774" xr:uid="{00000000-0005-0000-0000-0000FA580000}"/>
    <cellStyle name="Normal 4 6 3 20" xfId="22775" xr:uid="{00000000-0005-0000-0000-0000FB580000}"/>
    <cellStyle name="Normal 4 6 3 21" xfId="22776" xr:uid="{00000000-0005-0000-0000-0000FC580000}"/>
    <cellStyle name="Normal 4 6 3 22" xfId="22777" xr:uid="{00000000-0005-0000-0000-0000FD580000}"/>
    <cellStyle name="Normal 4 6 3 23" xfId="22778" xr:uid="{00000000-0005-0000-0000-0000FE580000}"/>
    <cellStyle name="Normal 4 6 3 24" xfId="22779" xr:uid="{00000000-0005-0000-0000-0000FF580000}"/>
    <cellStyle name="Normal 4 6 3 25" xfId="22780" xr:uid="{00000000-0005-0000-0000-000000590000}"/>
    <cellStyle name="Normal 4 6 3 26" xfId="22781" xr:uid="{00000000-0005-0000-0000-000001590000}"/>
    <cellStyle name="Normal 4 6 3 27" xfId="22782" xr:uid="{00000000-0005-0000-0000-000002590000}"/>
    <cellStyle name="Normal 4 6 3 28" xfId="22783" xr:uid="{00000000-0005-0000-0000-000003590000}"/>
    <cellStyle name="Normal 4 6 3 29" xfId="22784" xr:uid="{00000000-0005-0000-0000-000004590000}"/>
    <cellStyle name="Normal 4 6 3 3" xfId="22785" xr:uid="{00000000-0005-0000-0000-000005590000}"/>
    <cellStyle name="Normal 4 6 3 3 10" xfId="22786" xr:uid="{00000000-0005-0000-0000-000006590000}"/>
    <cellStyle name="Normal 4 6 3 3 11" xfId="22787" xr:uid="{00000000-0005-0000-0000-000007590000}"/>
    <cellStyle name="Normal 4 6 3 3 12" xfId="22788" xr:uid="{00000000-0005-0000-0000-000008590000}"/>
    <cellStyle name="Normal 4 6 3 3 13" xfId="22789" xr:uid="{00000000-0005-0000-0000-000009590000}"/>
    <cellStyle name="Normal 4 6 3 3 14" xfId="22790" xr:uid="{00000000-0005-0000-0000-00000A590000}"/>
    <cellStyle name="Normal 4 6 3 3 2" xfId="22791" xr:uid="{00000000-0005-0000-0000-00000B590000}"/>
    <cellStyle name="Normal 4 6 3 3 2 2" xfId="22792" xr:uid="{00000000-0005-0000-0000-00000C590000}"/>
    <cellStyle name="Normal 4 6 3 3 2 3" xfId="22793" xr:uid="{00000000-0005-0000-0000-00000D590000}"/>
    <cellStyle name="Normal 4 6 3 3 2 4" xfId="22794" xr:uid="{00000000-0005-0000-0000-00000E590000}"/>
    <cellStyle name="Normal 4 6 3 3 2 5" xfId="22795" xr:uid="{00000000-0005-0000-0000-00000F590000}"/>
    <cellStyle name="Normal 4 6 3 3 2 6" xfId="22796" xr:uid="{00000000-0005-0000-0000-000010590000}"/>
    <cellStyle name="Normal 4 6 3 3 3" xfId="22797" xr:uid="{00000000-0005-0000-0000-000011590000}"/>
    <cellStyle name="Normal 4 6 3 3 3 2" xfId="22798" xr:uid="{00000000-0005-0000-0000-000012590000}"/>
    <cellStyle name="Normal 4 6 3 3 3 3" xfId="22799" xr:uid="{00000000-0005-0000-0000-000013590000}"/>
    <cellStyle name="Normal 4 6 3 3 3 4" xfId="22800" xr:uid="{00000000-0005-0000-0000-000014590000}"/>
    <cellStyle name="Normal 4 6 3 3 3 5" xfId="22801" xr:uid="{00000000-0005-0000-0000-000015590000}"/>
    <cellStyle name="Normal 4 6 3 3 3 6" xfId="22802" xr:uid="{00000000-0005-0000-0000-000016590000}"/>
    <cellStyle name="Normal 4 6 3 3 4" xfId="22803" xr:uid="{00000000-0005-0000-0000-000017590000}"/>
    <cellStyle name="Normal 4 6 3 3 4 2" xfId="22804" xr:uid="{00000000-0005-0000-0000-000018590000}"/>
    <cellStyle name="Normal 4 6 3 3 4 3" xfId="22805" xr:uid="{00000000-0005-0000-0000-000019590000}"/>
    <cellStyle name="Normal 4 6 3 3 4 4" xfId="22806" xr:uid="{00000000-0005-0000-0000-00001A590000}"/>
    <cellStyle name="Normal 4 6 3 3 4 5" xfId="22807" xr:uid="{00000000-0005-0000-0000-00001B590000}"/>
    <cellStyle name="Normal 4 6 3 3 4 6" xfId="22808" xr:uid="{00000000-0005-0000-0000-00001C590000}"/>
    <cellStyle name="Normal 4 6 3 3 5" xfId="22809" xr:uid="{00000000-0005-0000-0000-00001D590000}"/>
    <cellStyle name="Normal 4 6 3 3 5 2" xfId="22810" xr:uid="{00000000-0005-0000-0000-00001E590000}"/>
    <cellStyle name="Normal 4 6 3 3 5 3" xfId="22811" xr:uid="{00000000-0005-0000-0000-00001F590000}"/>
    <cellStyle name="Normal 4 6 3 3 5 4" xfId="22812" xr:uid="{00000000-0005-0000-0000-000020590000}"/>
    <cellStyle name="Normal 4 6 3 3 5 5" xfId="22813" xr:uid="{00000000-0005-0000-0000-000021590000}"/>
    <cellStyle name="Normal 4 6 3 3 5 6" xfId="22814" xr:uid="{00000000-0005-0000-0000-000022590000}"/>
    <cellStyle name="Normal 4 6 3 3 6" xfId="22815" xr:uid="{00000000-0005-0000-0000-000023590000}"/>
    <cellStyle name="Normal 4 6 3 3 6 2" xfId="22816" xr:uid="{00000000-0005-0000-0000-000024590000}"/>
    <cellStyle name="Normal 4 6 3 3 6 3" xfId="22817" xr:uid="{00000000-0005-0000-0000-000025590000}"/>
    <cellStyle name="Normal 4 6 3 3 6 4" xfId="22818" xr:uid="{00000000-0005-0000-0000-000026590000}"/>
    <cellStyle name="Normal 4 6 3 3 6 5" xfId="22819" xr:uid="{00000000-0005-0000-0000-000027590000}"/>
    <cellStyle name="Normal 4 6 3 3 6 6" xfId="22820" xr:uid="{00000000-0005-0000-0000-000028590000}"/>
    <cellStyle name="Normal 4 6 3 3 7" xfId="22821" xr:uid="{00000000-0005-0000-0000-000029590000}"/>
    <cellStyle name="Normal 4 6 3 3 7 2" xfId="22822" xr:uid="{00000000-0005-0000-0000-00002A590000}"/>
    <cellStyle name="Normal 4 6 3 3 7 3" xfId="22823" xr:uid="{00000000-0005-0000-0000-00002B590000}"/>
    <cellStyle name="Normal 4 6 3 3 7 4" xfId="22824" xr:uid="{00000000-0005-0000-0000-00002C590000}"/>
    <cellStyle name="Normal 4 6 3 3 7 5" xfId="22825" xr:uid="{00000000-0005-0000-0000-00002D590000}"/>
    <cellStyle name="Normal 4 6 3 3 7 6" xfId="22826" xr:uid="{00000000-0005-0000-0000-00002E590000}"/>
    <cellStyle name="Normal 4 6 3 3 8" xfId="22827" xr:uid="{00000000-0005-0000-0000-00002F590000}"/>
    <cellStyle name="Normal 4 6 3 3 8 2" xfId="22828" xr:uid="{00000000-0005-0000-0000-000030590000}"/>
    <cellStyle name="Normal 4 6 3 3 8 3" xfId="22829" xr:uid="{00000000-0005-0000-0000-000031590000}"/>
    <cellStyle name="Normal 4 6 3 3 8 4" xfId="22830" xr:uid="{00000000-0005-0000-0000-000032590000}"/>
    <cellStyle name="Normal 4 6 3 3 8 5" xfId="22831" xr:uid="{00000000-0005-0000-0000-000033590000}"/>
    <cellStyle name="Normal 4 6 3 3 8 6" xfId="22832" xr:uid="{00000000-0005-0000-0000-000034590000}"/>
    <cellStyle name="Normal 4 6 3 3 9" xfId="22833" xr:uid="{00000000-0005-0000-0000-000035590000}"/>
    <cellStyle name="Normal 4 6 3 3 9 2" xfId="22834" xr:uid="{00000000-0005-0000-0000-000036590000}"/>
    <cellStyle name="Normal 4 6 3 3 9 3" xfId="22835" xr:uid="{00000000-0005-0000-0000-000037590000}"/>
    <cellStyle name="Normal 4 6 3 3 9 4" xfId="22836" xr:uid="{00000000-0005-0000-0000-000038590000}"/>
    <cellStyle name="Normal 4 6 3 3 9 5" xfId="22837" xr:uid="{00000000-0005-0000-0000-000039590000}"/>
    <cellStyle name="Normal 4 6 3 3 9 6" xfId="22838" xr:uid="{00000000-0005-0000-0000-00003A590000}"/>
    <cellStyle name="Normal 4 6 3 30" xfId="22839" xr:uid="{00000000-0005-0000-0000-00003B590000}"/>
    <cellStyle name="Normal 4 6 3 31" xfId="22840" xr:uid="{00000000-0005-0000-0000-00003C590000}"/>
    <cellStyle name="Normal 4 6 3 4" xfId="22841" xr:uid="{00000000-0005-0000-0000-00003D590000}"/>
    <cellStyle name="Normal 4 6 3 4 2" xfId="22842" xr:uid="{00000000-0005-0000-0000-00003E590000}"/>
    <cellStyle name="Normal 4 6 3 4 3" xfId="22843" xr:uid="{00000000-0005-0000-0000-00003F590000}"/>
    <cellStyle name="Normal 4 6 3 4 4" xfId="22844" xr:uid="{00000000-0005-0000-0000-000040590000}"/>
    <cellStyle name="Normal 4 6 3 4 5" xfId="22845" xr:uid="{00000000-0005-0000-0000-000041590000}"/>
    <cellStyle name="Normal 4 6 3 4 6" xfId="22846" xr:uid="{00000000-0005-0000-0000-000042590000}"/>
    <cellStyle name="Normal 4 6 3 5" xfId="22847" xr:uid="{00000000-0005-0000-0000-000043590000}"/>
    <cellStyle name="Normal 4 6 3 5 2" xfId="22848" xr:uid="{00000000-0005-0000-0000-000044590000}"/>
    <cellStyle name="Normal 4 6 3 5 3" xfId="22849" xr:uid="{00000000-0005-0000-0000-000045590000}"/>
    <cellStyle name="Normal 4 6 3 5 4" xfId="22850" xr:uid="{00000000-0005-0000-0000-000046590000}"/>
    <cellStyle name="Normal 4 6 3 5 5" xfId="22851" xr:uid="{00000000-0005-0000-0000-000047590000}"/>
    <cellStyle name="Normal 4 6 3 5 6" xfId="22852" xr:uid="{00000000-0005-0000-0000-000048590000}"/>
    <cellStyle name="Normal 4 6 3 6" xfId="22853" xr:uid="{00000000-0005-0000-0000-000049590000}"/>
    <cellStyle name="Normal 4 6 3 6 2" xfId="22854" xr:uid="{00000000-0005-0000-0000-00004A590000}"/>
    <cellStyle name="Normal 4 6 3 6 3" xfId="22855" xr:uid="{00000000-0005-0000-0000-00004B590000}"/>
    <cellStyle name="Normal 4 6 3 6 4" xfId="22856" xr:uid="{00000000-0005-0000-0000-00004C590000}"/>
    <cellStyle name="Normal 4 6 3 6 5" xfId="22857" xr:uid="{00000000-0005-0000-0000-00004D590000}"/>
    <cellStyle name="Normal 4 6 3 6 6" xfId="22858" xr:uid="{00000000-0005-0000-0000-00004E590000}"/>
    <cellStyle name="Normal 4 6 3 7" xfId="22859" xr:uid="{00000000-0005-0000-0000-00004F590000}"/>
    <cellStyle name="Normal 4 6 3 7 2" xfId="22860" xr:uid="{00000000-0005-0000-0000-000050590000}"/>
    <cellStyle name="Normal 4 6 3 7 3" xfId="22861" xr:uid="{00000000-0005-0000-0000-000051590000}"/>
    <cellStyle name="Normal 4 6 3 7 4" xfId="22862" xr:uid="{00000000-0005-0000-0000-000052590000}"/>
    <cellStyle name="Normal 4 6 3 7 5" xfId="22863" xr:uid="{00000000-0005-0000-0000-000053590000}"/>
    <cellStyle name="Normal 4 6 3 7 6" xfId="22864" xr:uid="{00000000-0005-0000-0000-000054590000}"/>
    <cellStyle name="Normal 4 6 3 8" xfId="22865" xr:uid="{00000000-0005-0000-0000-000055590000}"/>
    <cellStyle name="Normal 4 6 3 8 2" xfId="22866" xr:uid="{00000000-0005-0000-0000-000056590000}"/>
    <cellStyle name="Normal 4 6 3 8 3" xfId="22867" xr:uid="{00000000-0005-0000-0000-000057590000}"/>
    <cellStyle name="Normal 4 6 3 8 4" xfId="22868" xr:uid="{00000000-0005-0000-0000-000058590000}"/>
    <cellStyle name="Normal 4 6 3 8 5" xfId="22869" xr:uid="{00000000-0005-0000-0000-000059590000}"/>
    <cellStyle name="Normal 4 6 3 8 6" xfId="22870" xr:uid="{00000000-0005-0000-0000-00005A590000}"/>
    <cellStyle name="Normal 4 6 3 9" xfId="22871" xr:uid="{00000000-0005-0000-0000-00005B590000}"/>
    <cellStyle name="Normal 4 6 3 9 2" xfId="22872" xr:uid="{00000000-0005-0000-0000-00005C590000}"/>
    <cellStyle name="Normal 4 6 3 9 3" xfId="22873" xr:uid="{00000000-0005-0000-0000-00005D590000}"/>
    <cellStyle name="Normal 4 6 3 9 4" xfId="22874" xr:uid="{00000000-0005-0000-0000-00005E590000}"/>
    <cellStyle name="Normal 4 6 3 9 5" xfId="22875" xr:uid="{00000000-0005-0000-0000-00005F590000}"/>
    <cellStyle name="Normal 4 6 3 9 6" xfId="22876" xr:uid="{00000000-0005-0000-0000-000060590000}"/>
    <cellStyle name="Normal 4 6 30" xfId="22877" xr:uid="{00000000-0005-0000-0000-000061590000}"/>
    <cellStyle name="Normal 4 6 31" xfId="22878" xr:uid="{00000000-0005-0000-0000-000062590000}"/>
    <cellStyle name="Normal 4 6 32" xfId="22879" xr:uid="{00000000-0005-0000-0000-000063590000}"/>
    <cellStyle name="Normal 4 6 33" xfId="22880" xr:uid="{00000000-0005-0000-0000-000064590000}"/>
    <cellStyle name="Normal 4 6 4" xfId="22881" xr:uid="{00000000-0005-0000-0000-000065590000}"/>
    <cellStyle name="Normal 4 6 4 10" xfId="22882" xr:uid="{00000000-0005-0000-0000-000066590000}"/>
    <cellStyle name="Normal 4 6 4 10 2" xfId="22883" xr:uid="{00000000-0005-0000-0000-000067590000}"/>
    <cellStyle name="Normal 4 6 4 10 3" xfId="22884" xr:uid="{00000000-0005-0000-0000-000068590000}"/>
    <cellStyle name="Normal 4 6 4 10 4" xfId="22885" xr:uid="{00000000-0005-0000-0000-000069590000}"/>
    <cellStyle name="Normal 4 6 4 10 5" xfId="22886" xr:uid="{00000000-0005-0000-0000-00006A590000}"/>
    <cellStyle name="Normal 4 6 4 10 6" xfId="22887" xr:uid="{00000000-0005-0000-0000-00006B590000}"/>
    <cellStyle name="Normal 4 6 4 11" xfId="22888" xr:uid="{00000000-0005-0000-0000-00006C590000}"/>
    <cellStyle name="Normal 4 6 4 12" xfId="22889" xr:uid="{00000000-0005-0000-0000-00006D590000}"/>
    <cellStyle name="Normal 4 6 4 13" xfId="22890" xr:uid="{00000000-0005-0000-0000-00006E590000}"/>
    <cellStyle name="Normal 4 6 4 14" xfId="22891" xr:uid="{00000000-0005-0000-0000-00006F590000}"/>
    <cellStyle name="Normal 4 6 4 15" xfId="22892" xr:uid="{00000000-0005-0000-0000-000070590000}"/>
    <cellStyle name="Normal 4 6 4 2" xfId="22893" xr:uid="{00000000-0005-0000-0000-000071590000}"/>
    <cellStyle name="Normal 4 6 4 2 10" xfId="22894" xr:uid="{00000000-0005-0000-0000-000072590000}"/>
    <cellStyle name="Normal 4 6 4 2 11" xfId="22895" xr:uid="{00000000-0005-0000-0000-000073590000}"/>
    <cellStyle name="Normal 4 6 4 2 12" xfId="22896" xr:uid="{00000000-0005-0000-0000-000074590000}"/>
    <cellStyle name="Normal 4 6 4 2 13" xfId="22897" xr:uid="{00000000-0005-0000-0000-000075590000}"/>
    <cellStyle name="Normal 4 6 4 2 14" xfId="22898" xr:uid="{00000000-0005-0000-0000-000076590000}"/>
    <cellStyle name="Normal 4 6 4 2 2" xfId="22899" xr:uid="{00000000-0005-0000-0000-000077590000}"/>
    <cellStyle name="Normal 4 6 4 2 2 2" xfId="22900" xr:uid="{00000000-0005-0000-0000-000078590000}"/>
    <cellStyle name="Normal 4 6 4 2 2 3" xfId="22901" xr:uid="{00000000-0005-0000-0000-000079590000}"/>
    <cellStyle name="Normal 4 6 4 2 2 4" xfId="22902" xr:uid="{00000000-0005-0000-0000-00007A590000}"/>
    <cellStyle name="Normal 4 6 4 2 2 5" xfId="22903" xr:uid="{00000000-0005-0000-0000-00007B590000}"/>
    <cellStyle name="Normal 4 6 4 2 2 6" xfId="22904" xr:uid="{00000000-0005-0000-0000-00007C590000}"/>
    <cellStyle name="Normal 4 6 4 2 3" xfId="22905" xr:uid="{00000000-0005-0000-0000-00007D590000}"/>
    <cellStyle name="Normal 4 6 4 2 3 2" xfId="22906" xr:uid="{00000000-0005-0000-0000-00007E590000}"/>
    <cellStyle name="Normal 4 6 4 2 3 3" xfId="22907" xr:uid="{00000000-0005-0000-0000-00007F590000}"/>
    <cellStyle name="Normal 4 6 4 2 3 4" xfId="22908" xr:uid="{00000000-0005-0000-0000-000080590000}"/>
    <cellStyle name="Normal 4 6 4 2 3 5" xfId="22909" xr:uid="{00000000-0005-0000-0000-000081590000}"/>
    <cellStyle name="Normal 4 6 4 2 3 6" xfId="22910" xr:uid="{00000000-0005-0000-0000-000082590000}"/>
    <cellStyle name="Normal 4 6 4 2 4" xfId="22911" xr:uid="{00000000-0005-0000-0000-000083590000}"/>
    <cellStyle name="Normal 4 6 4 2 4 2" xfId="22912" xr:uid="{00000000-0005-0000-0000-000084590000}"/>
    <cellStyle name="Normal 4 6 4 2 4 3" xfId="22913" xr:uid="{00000000-0005-0000-0000-000085590000}"/>
    <cellStyle name="Normal 4 6 4 2 4 4" xfId="22914" xr:uid="{00000000-0005-0000-0000-000086590000}"/>
    <cellStyle name="Normal 4 6 4 2 4 5" xfId="22915" xr:uid="{00000000-0005-0000-0000-000087590000}"/>
    <cellStyle name="Normal 4 6 4 2 4 6" xfId="22916" xr:uid="{00000000-0005-0000-0000-000088590000}"/>
    <cellStyle name="Normal 4 6 4 2 5" xfId="22917" xr:uid="{00000000-0005-0000-0000-000089590000}"/>
    <cellStyle name="Normal 4 6 4 2 5 2" xfId="22918" xr:uid="{00000000-0005-0000-0000-00008A590000}"/>
    <cellStyle name="Normal 4 6 4 2 5 3" xfId="22919" xr:uid="{00000000-0005-0000-0000-00008B590000}"/>
    <cellStyle name="Normal 4 6 4 2 5 4" xfId="22920" xr:uid="{00000000-0005-0000-0000-00008C590000}"/>
    <cellStyle name="Normal 4 6 4 2 5 5" xfId="22921" xr:uid="{00000000-0005-0000-0000-00008D590000}"/>
    <cellStyle name="Normal 4 6 4 2 5 6" xfId="22922" xr:uid="{00000000-0005-0000-0000-00008E590000}"/>
    <cellStyle name="Normal 4 6 4 2 6" xfId="22923" xr:uid="{00000000-0005-0000-0000-00008F590000}"/>
    <cellStyle name="Normal 4 6 4 2 6 2" xfId="22924" xr:uid="{00000000-0005-0000-0000-000090590000}"/>
    <cellStyle name="Normal 4 6 4 2 6 3" xfId="22925" xr:uid="{00000000-0005-0000-0000-000091590000}"/>
    <cellStyle name="Normal 4 6 4 2 6 4" xfId="22926" xr:uid="{00000000-0005-0000-0000-000092590000}"/>
    <cellStyle name="Normal 4 6 4 2 6 5" xfId="22927" xr:uid="{00000000-0005-0000-0000-000093590000}"/>
    <cellStyle name="Normal 4 6 4 2 6 6" xfId="22928" xr:uid="{00000000-0005-0000-0000-000094590000}"/>
    <cellStyle name="Normal 4 6 4 2 7" xfId="22929" xr:uid="{00000000-0005-0000-0000-000095590000}"/>
    <cellStyle name="Normal 4 6 4 2 7 2" xfId="22930" xr:uid="{00000000-0005-0000-0000-000096590000}"/>
    <cellStyle name="Normal 4 6 4 2 7 3" xfId="22931" xr:uid="{00000000-0005-0000-0000-000097590000}"/>
    <cellStyle name="Normal 4 6 4 2 7 4" xfId="22932" xr:uid="{00000000-0005-0000-0000-000098590000}"/>
    <cellStyle name="Normal 4 6 4 2 7 5" xfId="22933" xr:uid="{00000000-0005-0000-0000-000099590000}"/>
    <cellStyle name="Normal 4 6 4 2 7 6" xfId="22934" xr:uid="{00000000-0005-0000-0000-00009A590000}"/>
    <cellStyle name="Normal 4 6 4 2 8" xfId="22935" xr:uid="{00000000-0005-0000-0000-00009B590000}"/>
    <cellStyle name="Normal 4 6 4 2 8 2" xfId="22936" xr:uid="{00000000-0005-0000-0000-00009C590000}"/>
    <cellStyle name="Normal 4 6 4 2 8 3" xfId="22937" xr:uid="{00000000-0005-0000-0000-00009D590000}"/>
    <cellStyle name="Normal 4 6 4 2 8 4" xfId="22938" xr:uid="{00000000-0005-0000-0000-00009E590000}"/>
    <cellStyle name="Normal 4 6 4 2 8 5" xfId="22939" xr:uid="{00000000-0005-0000-0000-00009F590000}"/>
    <cellStyle name="Normal 4 6 4 2 8 6" xfId="22940" xr:uid="{00000000-0005-0000-0000-0000A0590000}"/>
    <cellStyle name="Normal 4 6 4 2 9" xfId="22941" xr:uid="{00000000-0005-0000-0000-0000A1590000}"/>
    <cellStyle name="Normal 4 6 4 2 9 2" xfId="22942" xr:uid="{00000000-0005-0000-0000-0000A2590000}"/>
    <cellStyle name="Normal 4 6 4 2 9 3" xfId="22943" xr:uid="{00000000-0005-0000-0000-0000A3590000}"/>
    <cellStyle name="Normal 4 6 4 2 9 4" xfId="22944" xr:uid="{00000000-0005-0000-0000-0000A4590000}"/>
    <cellStyle name="Normal 4 6 4 2 9 5" xfId="22945" xr:uid="{00000000-0005-0000-0000-0000A5590000}"/>
    <cellStyle name="Normal 4 6 4 2 9 6" xfId="22946" xr:uid="{00000000-0005-0000-0000-0000A6590000}"/>
    <cellStyle name="Normal 4 6 4 3" xfId="22947" xr:uid="{00000000-0005-0000-0000-0000A7590000}"/>
    <cellStyle name="Normal 4 6 4 3 2" xfId="22948" xr:uid="{00000000-0005-0000-0000-0000A8590000}"/>
    <cellStyle name="Normal 4 6 4 3 3" xfId="22949" xr:uid="{00000000-0005-0000-0000-0000A9590000}"/>
    <cellStyle name="Normal 4 6 4 3 4" xfId="22950" xr:uid="{00000000-0005-0000-0000-0000AA590000}"/>
    <cellStyle name="Normal 4 6 4 3 5" xfId="22951" xr:uid="{00000000-0005-0000-0000-0000AB590000}"/>
    <cellStyle name="Normal 4 6 4 3 6" xfId="22952" xr:uid="{00000000-0005-0000-0000-0000AC590000}"/>
    <cellStyle name="Normal 4 6 4 4" xfId="22953" xr:uid="{00000000-0005-0000-0000-0000AD590000}"/>
    <cellStyle name="Normal 4 6 4 4 2" xfId="22954" xr:uid="{00000000-0005-0000-0000-0000AE590000}"/>
    <cellStyle name="Normal 4 6 4 4 3" xfId="22955" xr:uid="{00000000-0005-0000-0000-0000AF590000}"/>
    <cellStyle name="Normal 4 6 4 4 4" xfId="22956" xr:uid="{00000000-0005-0000-0000-0000B0590000}"/>
    <cellStyle name="Normal 4 6 4 4 5" xfId="22957" xr:uid="{00000000-0005-0000-0000-0000B1590000}"/>
    <cellStyle name="Normal 4 6 4 4 6" xfId="22958" xr:uid="{00000000-0005-0000-0000-0000B2590000}"/>
    <cellStyle name="Normal 4 6 4 5" xfId="22959" xr:uid="{00000000-0005-0000-0000-0000B3590000}"/>
    <cellStyle name="Normal 4 6 4 5 2" xfId="22960" xr:uid="{00000000-0005-0000-0000-0000B4590000}"/>
    <cellStyle name="Normal 4 6 4 5 3" xfId="22961" xr:uid="{00000000-0005-0000-0000-0000B5590000}"/>
    <cellStyle name="Normal 4 6 4 5 4" xfId="22962" xr:uid="{00000000-0005-0000-0000-0000B6590000}"/>
    <cellStyle name="Normal 4 6 4 5 5" xfId="22963" xr:uid="{00000000-0005-0000-0000-0000B7590000}"/>
    <cellStyle name="Normal 4 6 4 5 6" xfId="22964" xr:uid="{00000000-0005-0000-0000-0000B8590000}"/>
    <cellStyle name="Normal 4 6 4 6" xfId="22965" xr:uid="{00000000-0005-0000-0000-0000B9590000}"/>
    <cellStyle name="Normal 4 6 4 6 2" xfId="22966" xr:uid="{00000000-0005-0000-0000-0000BA590000}"/>
    <cellStyle name="Normal 4 6 4 6 3" xfId="22967" xr:uid="{00000000-0005-0000-0000-0000BB590000}"/>
    <cellStyle name="Normal 4 6 4 6 4" xfId="22968" xr:uid="{00000000-0005-0000-0000-0000BC590000}"/>
    <cellStyle name="Normal 4 6 4 6 5" xfId="22969" xr:uid="{00000000-0005-0000-0000-0000BD590000}"/>
    <cellStyle name="Normal 4 6 4 6 6" xfId="22970" xr:uid="{00000000-0005-0000-0000-0000BE590000}"/>
    <cellStyle name="Normal 4 6 4 7" xfId="22971" xr:uid="{00000000-0005-0000-0000-0000BF590000}"/>
    <cellStyle name="Normal 4 6 4 7 2" xfId="22972" xr:uid="{00000000-0005-0000-0000-0000C0590000}"/>
    <cellStyle name="Normal 4 6 4 7 3" xfId="22973" xr:uid="{00000000-0005-0000-0000-0000C1590000}"/>
    <cellStyle name="Normal 4 6 4 7 4" xfId="22974" xr:uid="{00000000-0005-0000-0000-0000C2590000}"/>
    <cellStyle name="Normal 4 6 4 7 5" xfId="22975" xr:uid="{00000000-0005-0000-0000-0000C3590000}"/>
    <cellStyle name="Normal 4 6 4 7 6" xfId="22976" xr:uid="{00000000-0005-0000-0000-0000C4590000}"/>
    <cellStyle name="Normal 4 6 4 8" xfId="22977" xr:uid="{00000000-0005-0000-0000-0000C5590000}"/>
    <cellStyle name="Normal 4 6 4 8 2" xfId="22978" xr:uid="{00000000-0005-0000-0000-0000C6590000}"/>
    <cellStyle name="Normal 4 6 4 8 3" xfId="22979" xr:uid="{00000000-0005-0000-0000-0000C7590000}"/>
    <cellStyle name="Normal 4 6 4 8 4" xfId="22980" xr:uid="{00000000-0005-0000-0000-0000C8590000}"/>
    <cellStyle name="Normal 4 6 4 8 5" xfId="22981" xr:uid="{00000000-0005-0000-0000-0000C9590000}"/>
    <cellStyle name="Normal 4 6 4 8 6" xfId="22982" xr:uid="{00000000-0005-0000-0000-0000CA590000}"/>
    <cellStyle name="Normal 4 6 4 9" xfId="22983" xr:uid="{00000000-0005-0000-0000-0000CB590000}"/>
    <cellStyle name="Normal 4 6 4 9 2" xfId="22984" xr:uid="{00000000-0005-0000-0000-0000CC590000}"/>
    <cellStyle name="Normal 4 6 4 9 3" xfId="22985" xr:uid="{00000000-0005-0000-0000-0000CD590000}"/>
    <cellStyle name="Normal 4 6 4 9 4" xfId="22986" xr:uid="{00000000-0005-0000-0000-0000CE590000}"/>
    <cellStyle name="Normal 4 6 4 9 5" xfId="22987" xr:uid="{00000000-0005-0000-0000-0000CF590000}"/>
    <cellStyle name="Normal 4 6 4 9 6" xfId="22988" xr:uid="{00000000-0005-0000-0000-0000D0590000}"/>
    <cellStyle name="Normal 4 6 5" xfId="22989" xr:uid="{00000000-0005-0000-0000-0000D1590000}"/>
    <cellStyle name="Normal 4 6 5 10" xfId="22990" xr:uid="{00000000-0005-0000-0000-0000D2590000}"/>
    <cellStyle name="Normal 4 6 5 11" xfId="22991" xr:uid="{00000000-0005-0000-0000-0000D3590000}"/>
    <cellStyle name="Normal 4 6 5 12" xfId="22992" xr:uid="{00000000-0005-0000-0000-0000D4590000}"/>
    <cellStyle name="Normal 4 6 5 13" xfId="22993" xr:uid="{00000000-0005-0000-0000-0000D5590000}"/>
    <cellStyle name="Normal 4 6 5 14" xfId="22994" xr:uid="{00000000-0005-0000-0000-0000D6590000}"/>
    <cellStyle name="Normal 4 6 5 2" xfId="22995" xr:uid="{00000000-0005-0000-0000-0000D7590000}"/>
    <cellStyle name="Normal 4 6 5 2 2" xfId="22996" xr:uid="{00000000-0005-0000-0000-0000D8590000}"/>
    <cellStyle name="Normal 4 6 5 2 3" xfId="22997" xr:uid="{00000000-0005-0000-0000-0000D9590000}"/>
    <cellStyle name="Normal 4 6 5 2 4" xfId="22998" xr:uid="{00000000-0005-0000-0000-0000DA590000}"/>
    <cellStyle name="Normal 4 6 5 2 5" xfId="22999" xr:uid="{00000000-0005-0000-0000-0000DB590000}"/>
    <cellStyle name="Normal 4 6 5 2 6" xfId="23000" xr:uid="{00000000-0005-0000-0000-0000DC590000}"/>
    <cellStyle name="Normal 4 6 5 3" xfId="23001" xr:uid="{00000000-0005-0000-0000-0000DD590000}"/>
    <cellStyle name="Normal 4 6 5 3 2" xfId="23002" xr:uid="{00000000-0005-0000-0000-0000DE590000}"/>
    <cellStyle name="Normal 4 6 5 3 3" xfId="23003" xr:uid="{00000000-0005-0000-0000-0000DF590000}"/>
    <cellStyle name="Normal 4 6 5 3 4" xfId="23004" xr:uid="{00000000-0005-0000-0000-0000E0590000}"/>
    <cellStyle name="Normal 4 6 5 3 5" xfId="23005" xr:uid="{00000000-0005-0000-0000-0000E1590000}"/>
    <cellStyle name="Normal 4 6 5 3 6" xfId="23006" xr:uid="{00000000-0005-0000-0000-0000E2590000}"/>
    <cellStyle name="Normal 4 6 5 4" xfId="23007" xr:uid="{00000000-0005-0000-0000-0000E3590000}"/>
    <cellStyle name="Normal 4 6 5 4 2" xfId="23008" xr:uid="{00000000-0005-0000-0000-0000E4590000}"/>
    <cellStyle name="Normal 4 6 5 4 3" xfId="23009" xr:uid="{00000000-0005-0000-0000-0000E5590000}"/>
    <cellStyle name="Normal 4 6 5 4 4" xfId="23010" xr:uid="{00000000-0005-0000-0000-0000E6590000}"/>
    <cellStyle name="Normal 4 6 5 4 5" xfId="23011" xr:uid="{00000000-0005-0000-0000-0000E7590000}"/>
    <cellStyle name="Normal 4 6 5 4 6" xfId="23012" xr:uid="{00000000-0005-0000-0000-0000E8590000}"/>
    <cellStyle name="Normal 4 6 5 5" xfId="23013" xr:uid="{00000000-0005-0000-0000-0000E9590000}"/>
    <cellStyle name="Normal 4 6 5 5 2" xfId="23014" xr:uid="{00000000-0005-0000-0000-0000EA590000}"/>
    <cellStyle name="Normal 4 6 5 5 3" xfId="23015" xr:uid="{00000000-0005-0000-0000-0000EB590000}"/>
    <cellStyle name="Normal 4 6 5 5 4" xfId="23016" xr:uid="{00000000-0005-0000-0000-0000EC590000}"/>
    <cellStyle name="Normal 4 6 5 5 5" xfId="23017" xr:uid="{00000000-0005-0000-0000-0000ED590000}"/>
    <cellStyle name="Normal 4 6 5 5 6" xfId="23018" xr:uid="{00000000-0005-0000-0000-0000EE590000}"/>
    <cellStyle name="Normal 4 6 5 6" xfId="23019" xr:uid="{00000000-0005-0000-0000-0000EF590000}"/>
    <cellStyle name="Normal 4 6 5 6 2" xfId="23020" xr:uid="{00000000-0005-0000-0000-0000F0590000}"/>
    <cellStyle name="Normal 4 6 5 6 3" xfId="23021" xr:uid="{00000000-0005-0000-0000-0000F1590000}"/>
    <cellStyle name="Normal 4 6 5 6 4" xfId="23022" xr:uid="{00000000-0005-0000-0000-0000F2590000}"/>
    <cellStyle name="Normal 4 6 5 6 5" xfId="23023" xr:uid="{00000000-0005-0000-0000-0000F3590000}"/>
    <cellStyle name="Normal 4 6 5 6 6" xfId="23024" xr:uid="{00000000-0005-0000-0000-0000F4590000}"/>
    <cellStyle name="Normal 4 6 5 7" xfId="23025" xr:uid="{00000000-0005-0000-0000-0000F5590000}"/>
    <cellStyle name="Normal 4 6 5 7 2" xfId="23026" xr:uid="{00000000-0005-0000-0000-0000F6590000}"/>
    <cellStyle name="Normal 4 6 5 7 3" xfId="23027" xr:uid="{00000000-0005-0000-0000-0000F7590000}"/>
    <cellStyle name="Normal 4 6 5 7 4" xfId="23028" xr:uid="{00000000-0005-0000-0000-0000F8590000}"/>
    <cellStyle name="Normal 4 6 5 7 5" xfId="23029" xr:uid="{00000000-0005-0000-0000-0000F9590000}"/>
    <cellStyle name="Normal 4 6 5 7 6" xfId="23030" xr:uid="{00000000-0005-0000-0000-0000FA590000}"/>
    <cellStyle name="Normal 4 6 5 8" xfId="23031" xr:uid="{00000000-0005-0000-0000-0000FB590000}"/>
    <cellStyle name="Normal 4 6 5 8 2" xfId="23032" xr:uid="{00000000-0005-0000-0000-0000FC590000}"/>
    <cellStyle name="Normal 4 6 5 8 3" xfId="23033" xr:uid="{00000000-0005-0000-0000-0000FD590000}"/>
    <cellStyle name="Normal 4 6 5 8 4" xfId="23034" xr:uid="{00000000-0005-0000-0000-0000FE590000}"/>
    <cellStyle name="Normal 4 6 5 8 5" xfId="23035" xr:uid="{00000000-0005-0000-0000-0000FF590000}"/>
    <cellStyle name="Normal 4 6 5 8 6" xfId="23036" xr:uid="{00000000-0005-0000-0000-0000005A0000}"/>
    <cellStyle name="Normal 4 6 5 9" xfId="23037" xr:uid="{00000000-0005-0000-0000-0000015A0000}"/>
    <cellStyle name="Normal 4 6 5 9 2" xfId="23038" xr:uid="{00000000-0005-0000-0000-0000025A0000}"/>
    <cellStyle name="Normal 4 6 5 9 3" xfId="23039" xr:uid="{00000000-0005-0000-0000-0000035A0000}"/>
    <cellStyle name="Normal 4 6 5 9 4" xfId="23040" xr:uid="{00000000-0005-0000-0000-0000045A0000}"/>
    <cellStyle name="Normal 4 6 5 9 5" xfId="23041" xr:uid="{00000000-0005-0000-0000-0000055A0000}"/>
    <cellStyle name="Normal 4 6 5 9 6" xfId="23042" xr:uid="{00000000-0005-0000-0000-0000065A0000}"/>
    <cellStyle name="Normal 4 6 6" xfId="23043" xr:uid="{00000000-0005-0000-0000-0000075A0000}"/>
    <cellStyle name="Normal 4 6 6 2" xfId="23044" xr:uid="{00000000-0005-0000-0000-0000085A0000}"/>
    <cellStyle name="Normal 4 6 6 3" xfId="23045" xr:uid="{00000000-0005-0000-0000-0000095A0000}"/>
    <cellStyle name="Normal 4 6 6 4" xfId="23046" xr:uid="{00000000-0005-0000-0000-00000A5A0000}"/>
    <cellStyle name="Normal 4 6 6 5" xfId="23047" xr:uid="{00000000-0005-0000-0000-00000B5A0000}"/>
    <cellStyle name="Normal 4 6 6 6" xfId="23048" xr:uid="{00000000-0005-0000-0000-00000C5A0000}"/>
    <cellStyle name="Normal 4 6 7" xfId="23049" xr:uid="{00000000-0005-0000-0000-00000D5A0000}"/>
    <cellStyle name="Normal 4 6 7 2" xfId="23050" xr:uid="{00000000-0005-0000-0000-00000E5A0000}"/>
    <cellStyle name="Normal 4 6 7 3" xfId="23051" xr:uid="{00000000-0005-0000-0000-00000F5A0000}"/>
    <cellStyle name="Normal 4 6 7 4" xfId="23052" xr:uid="{00000000-0005-0000-0000-0000105A0000}"/>
    <cellStyle name="Normal 4 6 7 5" xfId="23053" xr:uid="{00000000-0005-0000-0000-0000115A0000}"/>
    <cellStyle name="Normal 4 6 7 6" xfId="23054" xr:uid="{00000000-0005-0000-0000-0000125A0000}"/>
    <cellStyle name="Normal 4 6 8" xfId="23055" xr:uid="{00000000-0005-0000-0000-0000135A0000}"/>
    <cellStyle name="Normal 4 6 8 2" xfId="23056" xr:uid="{00000000-0005-0000-0000-0000145A0000}"/>
    <cellStyle name="Normal 4 6 8 3" xfId="23057" xr:uid="{00000000-0005-0000-0000-0000155A0000}"/>
    <cellStyle name="Normal 4 6 8 4" xfId="23058" xr:uid="{00000000-0005-0000-0000-0000165A0000}"/>
    <cellStyle name="Normal 4 6 8 5" xfId="23059" xr:uid="{00000000-0005-0000-0000-0000175A0000}"/>
    <cellStyle name="Normal 4 6 8 6" xfId="23060" xr:uid="{00000000-0005-0000-0000-0000185A0000}"/>
    <cellStyle name="Normal 4 6 9" xfId="23061" xr:uid="{00000000-0005-0000-0000-0000195A0000}"/>
    <cellStyle name="Normal 4 6 9 2" xfId="23062" xr:uid="{00000000-0005-0000-0000-00001A5A0000}"/>
    <cellStyle name="Normal 4 6 9 3" xfId="23063" xr:uid="{00000000-0005-0000-0000-00001B5A0000}"/>
    <cellStyle name="Normal 4 6 9 4" xfId="23064" xr:uid="{00000000-0005-0000-0000-00001C5A0000}"/>
    <cellStyle name="Normal 4 6 9 5" xfId="23065" xr:uid="{00000000-0005-0000-0000-00001D5A0000}"/>
    <cellStyle name="Normal 4 6 9 6" xfId="23066" xr:uid="{00000000-0005-0000-0000-00001E5A0000}"/>
    <cellStyle name="Normal 4 7" xfId="23067" xr:uid="{00000000-0005-0000-0000-00001F5A0000}"/>
    <cellStyle name="Normal 4 7 10" xfId="23068" xr:uid="{00000000-0005-0000-0000-0000205A0000}"/>
    <cellStyle name="Normal 4 7 10 2" xfId="23069" xr:uid="{00000000-0005-0000-0000-0000215A0000}"/>
    <cellStyle name="Normal 4 7 10 3" xfId="23070" xr:uid="{00000000-0005-0000-0000-0000225A0000}"/>
    <cellStyle name="Normal 4 7 10 4" xfId="23071" xr:uid="{00000000-0005-0000-0000-0000235A0000}"/>
    <cellStyle name="Normal 4 7 10 5" xfId="23072" xr:uid="{00000000-0005-0000-0000-0000245A0000}"/>
    <cellStyle name="Normal 4 7 10 6" xfId="23073" xr:uid="{00000000-0005-0000-0000-0000255A0000}"/>
    <cellStyle name="Normal 4 7 11" xfId="23074" xr:uid="{00000000-0005-0000-0000-0000265A0000}"/>
    <cellStyle name="Normal 4 7 11 2" xfId="23075" xr:uid="{00000000-0005-0000-0000-0000275A0000}"/>
    <cellStyle name="Normal 4 7 11 3" xfId="23076" xr:uid="{00000000-0005-0000-0000-0000285A0000}"/>
    <cellStyle name="Normal 4 7 11 4" xfId="23077" xr:uid="{00000000-0005-0000-0000-0000295A0000}"/>
    <cellStyle name="Normal 4 7 11 5" xfId="23078" xr:uid="{00000000-0005-0000-0000-00002A5A0000}"/>
    <cellStyle name="Normal 4 7 11 6" xfId="23079" xr:uid="{00000000-0005-0000-0000-00002B5A0000}"/>
    <cellStyle name="Normal 4 7 12" xfId="23080" xr:uid="{00000000-0005-0000-0000-00002C5A0000}"/>
    <cellStyle name="Normal 4 7 12 2" xfId="23081" xr:uid="{00000000-0005-0000-0000-00002D5A0000}"/>
    <cellStyle name="Normal 4 7 12 3" xfId="23082" xr:uid="{00000000-0005-0000-0000-00002E5A0000}"/>
    <cellStyle name="Normal 4 7 12 4" xfId="23083" xr:uid="{00000000-0005-0000-0000-00002F5A0000}"/>
    <cellStyle name="Normal 4 7 12 5" xfId="23084" xr:uid="{00000000-0005-0000-0000-0000305A0000}"/>
    <cellStyle name="Normal 4 7 12 6" xfId="23085" xr:uid="{00000000-0005-0000-0000-0000315A0000}"/>
    <cellStyle name="Normal 4 7 13" xfId="23086" xr:uid="{00000000-0005-0000-0000-0000325A0000}"/>
    <cellStyle name="Normal 4 7 13 2" xfId="23087" xr:uid="{00000000-0005-0000-0000-0000335A0000}"/>
    <cellStyle name="Normal 4 7 13 3" xfId="23088" xr:uid="{00000000-0005-0000-0000-0000345A0000}"/>
    <cellStyle name="Normal 4 7 13 4" xfId="23089" xr:uid="{00000000-0005-0000-0000-0000355A0000}"/>
    <cellStyle name="Normal 4 7 13 5" xfId="23090" xr:uid="{00000000-0005-0000-0000-0000365A0000}"/>
    <cellStyle name="Normal 4 7 13 6" xfId="23091" xr:uid="{00000000-0005-0000-0000-0000375A0000}"/>
    <cellStyle name="Normal 4 7 14" xfId="23092" xr:uid="{00000000-0005-0000-0000-0000385A0000}"/>
    <cellStyle name="Normal 4 7 15" xfId="23093" xr:uid="{00000000-0005-0000-0000-0000395A0000}"/>
    <cellStyle name="Normal 4 7 16" xfId="23094" xr:uid="{00000000-0005-0000-0000-00003A5A0000}"/>
    <cellStyle name="Normal 4 7 17" xfId="23095" xr:uid="{00000000-0005-0000-0000-00003B5A0000}"/>
    <cellStyle name="Normal 4 7 18" xfId="23096" xr:uid="{00000000-0005-0000-0000-00003C5A0000}"/>
    <cellStyle name="Normal 4 7 19" xfId="23097" xr:uid="{00000000-0005-0000-0000-00003D5A0000}"/>
    <cellStyle name="Normal 4 7 2" xfId="23098" xr:uid="{00000000-0005-0000-0000-00003E5A0000}"/>
    <cellStyle name="Normal 4 7 2 10" xfId="23099" xr:uid="{00000000-0005-0000-0000-00003F5A0000}"/>
    <cellStyle name="Normal 4 7 2 10 2" xfId="23100" xr:uid="{00000000-0005-0000-0000-0000405A0000}"/>
    <cellStyle name="Normal 4 7 2 10 3" xfId="23101" xr:uid="{00000000-0005-0000-0000-0000415A0000}"/>
    <cellStyle name="Normal 4 7 2 10 4" xfId="23102" xr:uid="{00000000-0005-0000-0000-0000425A0000}"/>
    <cellStyle name="Normal 4 7 2 10 5" xfId="23103" xr:uid="{00000000-0005-0000-0000-0000435A0000}"/>
    <cellStyle name="Normal 4 7 2 10 6" xfId="23104" xr:uid="{00000000-0005-0000-0000-0000445A0000}"/>
    <cellStyle name="Normal 4 7 2 11" xfId="23105" xr:uid="{00000000-0005-0000-0000-0000455A0000}"/>
    <cellStyle name="Normal 4 7 2 11 2" xfId="23106" xr:uid="{00000000-0005-0000-0000-0000465A0000}"/>
    <cellStyle name="Normal 4 7 2 11 3" xfId="23107" xr:uid="{00000000-0005-0000-0000-0000475A0000}"/>
    <cellStyle name="Normal 4 7 2 11 4" xfId="23108" xr:uid="{00000000-0005-0000-0000-0000485A0000}"/>
    <cellStyle name="Normal 4 7 2 11 5" xfId="23109" xr:uid="{00000000-0005-0000-0000-0000495A0000}"/>
    <cellStyle name="Normal 4 7 2 11 6" xfId="23110" xr:uid="{00000000-0005-0000-0000-00004A5A0000}"/>
    <cellStyle name="Normal 4 7 2 12" xfId="23111" xr:uid="{00000000-0005-0000-0000-00004B5A0000}"/>
    <cellStyle name="Normal 4 7 2 13" xfId="23112" xr:uid="{00000000-0005-0000-0000-00004C5A0000}"/>
    <cellStyle name="Normal 4 7 2 14" xfId="23113" xr:uid="{00000000-0005-0000-0000-00004D5A0000}"/>
    <cellStyle name="Normal 4 7 2 15" xfId="23114" xr:uid="{00000000-0005-0000-0000-00004E5A0000}"/>
    <cellStyle name="Normal 4 7 2 16" xfId="23115" xr:uid="{00000000-0005-0000-0000-00004F5A0000}"/>
    <cellStyle name="Normal 4 7 2 17" xfId="23116" xr:uid="{00000000-0005-0000-0000-0000505A0000}"/>
    <cellStyle name="Normal 4 7 2 18" xfId="23117" xr:uid="{00000000-0005-0000-0000-0000515A0000}"/>
    <cellStyle name="Normal 4 7 2 19" xfId="23118" xr:uid="{00000000-0005-0000-0000-0000525A0000}"/>
    <cellStyle name="Normal 4 7 2 2" xfId="23119" xr:uid="{00000000-0005-0000-0000-0000535A0000}"/>
    <cellStyle name="Normal 4 7 2 2 10" xfId="23120" xr:uid="{00000000-0005-0000-0000-0000545A0000}"/>
    <cellStyle name="Normal 4 7 2 2 10 2" xfId="23121" xr:uid="{00000000-0005-0000-0000-0000555A0000}"/>
    <cellStyle name="Normal 4 7 2 2 10 3" xfId="23122" xr:uid="{00000000-0005-0000-0000-0000565A0000}"/>
    <cellStyle name="Normal 4 7 2 2 10 4" xfId="23123" xr:uid="{00000000-0005-0000-0000-0000575A0000}"/>
    <cellStyle name="Normal 4 7 2 2 10 5" xfId="23124" xr:uid="{00000000-0005-0000-0000-0000585A0000}"/>
    <cellStyle name="Normal 4 7 2 2 10 6" xfId="23125" xr:uid="{00000000-0005-0000-0000-0000595A0000}"/>
    <cellStyle name="Normal 4 7 2 2 11" xfId="23126" xr:uid="{00000000-0005-0000-0000-00005A5A0000}"/>
    <cellStyle name="Normal 4 7 2 2 12" xfId="23127" xr:uid="{00000000-0005-0000-0000-00005B5A0000}"/>
    <cellStyle name="Normal 4 7 2 2 13" xfId="23128" xr:uid="{00000000-0005-0000-0000-00005C5A0000}"/>
    <cellStyle name="Normal 4 7 2 2 14" xfId="23129" xr:uid="{00000000-0005-0000-0000-00005D5A0000}"/>
    <cellStyle name="Normal 4 7 2 2 15" xfId="23130" xr:uid="{00000000-0005-0000-0000-00005E5A0000}"/>
    <cellStyle name="Normal 4 7 2 2 2" xfId="23131" xr:uid="{00000000-0005-0000-0000-00005F5A0000}"/>
    <cellStyle name="Normal 4 7 2 2 2 10" xfId="23132" xr:uid="{00000000-0005-0000-0000-0000605A0000}"/>
    <cellStyle name="Normal 4 7 2 2 2 11" xfId="23133" xr:uid="{00000000-0005-0000-0000-0000615A0000}"/>
    <cellStyle name="Normal 4 7 2 2 2 12" xfId="23134" xr:uid="{00000000-0005-0000-0000-0000625A0000}"/>
    <cellStyle name="Normal 4 7 2 2 2 13" xfId="23135" xr:uid="{00000000-0005-0000-0000-0000635A0000}"/>
    <cellStyle name="Normal 4 7 2 2 2 14" xfId="23136" xr:uid="{00000000-0005-0000-0000-0000645A0000}"/>
    <cellStyle name="Normal 4 7 2 2 2 2" xfId="23137" xr:uid="{00000000-0005-0000-0000-0000655A0000}"/>
    <cellStyle name="Normal 4 7 2 2 2 2 2" xfId="23138" xr:uid="{00000000-0005-0000-0000-0000665A0000}"/>
    <cellStyle name="Normal 4 7 2 2 2 2 3" xfId="23139" xr:uid="{00000000-0005-0000-0000-0000675A0000}"/>
    <cellStyle name="Normal 4 7 2 2 2 2 4" xfId="23140" xr:uid="{00000000-0005-0000-0000-0000685A0000}"/>
    <cellStyle name="Normal 4 7 2 2 2 2 5" xfId="23141" xr:uid="{00000000-0005-0000-0000-0000695A0000}"/>
    <cellStyle name="Normal 4 7 2 2 2 2 6" xfId="23142" xr:uid="{00000000-0005-0000-0000-00006A5A0000}"/>
    <cellStyle name="Normal 4 7 2 2 2 3" xfId="23143" xr:uid="{00000000-0005-0000-0000-00006B5A0000}"/>
    <cellStyle name="Normal 4 7 2 2 2 3 2" xfId="23144" xr:uid="{00000000-0005-0000-0000-00006C5A0000}"/>
    <cellStyle name="Normal 4 7 2 2 2 3 3" xfId="23145" xr:uid="{00000000-0005-0000-0000-00006D5A0000}"/>
    <cellStyle name="Normal 4 7 2 2 2 3 4" xfId="23146" xr:uid="{00000000-0005-0000-0000-00006E5A0000}"/>
    <cellStyle name="Normal 4 7 2 2 2 3 5" xfId="23147" xr:uid="{00000000-0005-0000-0000-00006F5A0000}"/>
    <cellStyle name="Normal 4 7 2 2 2 3 6" xfId="23148" xr:uid="{00000000-0005-0000-0000-0000705A0000}"/>
    <cellStyle name="Normal 4 7 2 2 2 4" xfId="23149" xr:uid="{00000000-0005-0000-0000-0000715A0000}"/>
    <cellStyle name="Normal 4 7 2 2 2 4 2" xfId="23150" xr:uid="{00000000-0005-0000-0000-0000725A0000}"/>
    <cellStyle name="Normal 4 7 2 2 2 4 3" xfId="23151" xr:uid="{00000000-0005-0000-0000-0000735A0000}"/>
    <cellStyle name="Normal 4 7 2 2 2 4 4" xfId="23152" xr:uid="{00000000-0005-0000-0000-0000745A0000}"/>
    <cellStyle name="Normal 4 7 2 2 2 4 5" xfId="23153" xr:uid="{00000000-0005-0000-0000-0000755A0000}"/>
    <cellStyle name="Normal 4 7 2 2 2 4 6" xfId="23154" xr:uid="{00000000-0005-0000-0000-0000765A0000}"/>
    <cellStyle name="Normal 4 7 2 2 2 5" xfId="23155" xr:uid="{00000000-0005-0000-0000-0000775A0000}"/>
    <cellStyle name="Normal 4 7 2 2 2 5 2" xfId="23156" xr:uid="{00000000-0005-0000-0000-0000785A0000}"/>
    <cellStyle name="Normal 4 7 2 2 2 5 3" xfId="23157" xr:uid="{00000000-0005-0000-0000-0000795A0000}"/>
    <cellStyle name="Normal 4 7 2 2 2 5 4" xfId="23158" xr:uid="{00000000-0005-0000-0000-00007A5A0000}"/>
    <cellStyle name="Normal 4 7 2 2 2 5 5" xfId="23159" xr:uid="{00000000-0005-0000-0000-00007B5A0000}"/>
    <cellStyle name="Normal 4 7 2 2 2 5 6" xfId="23160" xr:uid="{00000000-0005-0000-0000-00007C5A0000}"/>
    <cellStyle name="Normal 4 7 2 2 2 6" xfId="23161" xr:uid="{00000000-0005-0000-0000-00007D5A0000}"/>
    <cellStyle name="Normal 4 7 2 2 2 6 2" xfId="23162" xr:uid="{00000000-0005-0000-0000-00007E5A0000}"/>
    <cellStyle name="Normal 4 7 2 2 2 6 3" xfId="23163" xr:uid="{00000000-0005-0000-0000-00007F5A0000}"/>
    <cellStyle name="Normal 4 7 2 2 2 6 4" xfId="23164" xr:uid="{00000000-0005-0000-0000-0000805A0000}"/>
    <cellStyle name="Normal 4 7 2 2 2 6 5" xfId="23165" xr:uid="{00000000-0005-0000-0000-0000815A0000}"/>
    <cellStyle name="Normal 4 7 2 2 2 6 6" xfId="23166" xr:uid="{00000000-0005-0000-0000-0000825A0000}"/>
    <cellStyle name="Normal 4 7 2 2 2 7" xfId="23167" xr:uid="{00000000-0005-0000-0000-0000835A0000}"/>
    <cellStyle name="Normal 4 7 2 2 2 7 2" xfId="23168" xr:uid="{00000000-0005-0000-0000-0000845A0000}"/>
    <cellStyle name="Normal 4 7 2 2 2 7 3" xfId="23169" xr:uid="{00000000-0005-0000-0000-0000855A0000}"/>
    <cellStyle name="Normal 4 7 2 2 2 7 4" xfId="23170" xr:uid="{00000000-0005-0000-0000-0000865A0000}"/>
    <cellStyle name="Normal 4 7 2 2 2 7 5" xfId="23171" xr:uid="{00000000-0005-0000-0000-0000875A0000}"/>
    <cellStyle name="Normal 4 7 2 2 2 7 6" xfId="23172" xr:uid="{00000000-0005-0000-0000-0000885A0000}"/>
    <cellStyle name="Normal 4 7 2 2 2 8" xfId="23173" xr:uid="{00000000-0005-0000-0000-0000895A0000}"/>
    <cellStyle name="Normal 4 7 2 2 2 8 2" xfId="23174" xr:uid="{00000000-0005-0000-0000-00008A5A0000}"/>
    <cellStyle name="Normal 4 7 2 2 2 8 3" xfId="23175" xr:uid="{00000000-0005-0000-0000-00008B5A0000}"/>
    <cellStyle name="Normal 4 7 2 2 2 8 4" xfId="23176" xr:uid="{00000000-0005-0000-0000-00008C5A0000}"/>
    <cellStyle name="Normal 4 7 2 2 2 8 5" xfId="23177" xr:uid="{00000000-0005-0000-0000-00008D5A0000}"/>
    <cellStyle name="Normal 4 7 2 2 2 8 6" xfId="23178" xr:uid="{00000000-0005-0000-0000-00008E5A0000}"/>
    <cellStyle name="Normal 4 7 2 2 2 9" xfId="23179" xr:uid="{00000000-0005-0000-0000-00008F5A0000}"/>
    <cellStyle name="Normal 4 7 2 2 2 9 2" xfId="23180" xr:uid="{00000000-0005-0000-0000-0000905A0000}"/>
    <cellStyle name="Normal 4 7 2 2 2 9 3" xfId="23181" xr:uid="{00000000-0005-0000-0000-0000915A0000}"/>
    <cellStyle name="Normal 4 7 2 2 2 9 4" xfId="23182" xr:uid="{00000000-0005-0000-0000-0000925A0000}"/>
    <cellStyle name="Normal 4 7 2 2 2 9 5" xfId="23183" xr:uid="{00000000-0005-0000-0000-0000935A0000}"/>
    <cellStyle name="Normal 4 7 2 2 2 9 6" xfId="23184" xr:uid="{00000000-0005-0000-0000-0000945A0000}"/>
    <cellStyle name="Normal 4 7 2 2 3" xfId="23185" xr:uid="{00000000-0005-0000-0000-0000955A0000}"/>
    <cellStyle name="Normal 4 7 2 2 3 2" xfId="23186" xr:uid="{00000000-0005-0000-0000-0000965A0000}"/>
    <cellStyle name="Normal 4 7 2 2 3 3" xfId="23187" xr:uid="{00000000-0005-0000-0000-0000975A0000}"/>
    <cellStyle name="Normal 4 7 2 2 3 4" xfId="23188" xr:uid="{00000000-0005-0000-0000-0000985A0000}"/>
    <cellStyle name="Normal 4 7 2 2 3 5" xfId="23189" xr:uid="{00000000-0005-0000-0000-0000995A0000}"/>
    <cellStyle name="Normal 4 7 2 2 3 6" xfId="23190" xr:uid="{00000000-0005-0000-0000-00009A5A0000}"/>
    <cellStyle name="Normal 4 7 2 2 4" xfId="23191" xr:uid="{00000000-0005-0000-0000-00009B5A0000}"/>
    <cellStyle name="Normal 4 7 2 2 4 2" xfId="23192" xr:uid="{00000000-0005-0000-0000-00009C5A0000}"/>
    <cellStyle name="Normal 4 7 2 2 4 3" xfId="23193" xr:uid="{00000000-0005-0000-0000-00009D5A0000}"/>
    <cellStyle name="Normal 4 7 2 2 4 4" xfId="23194" xr:uid="{00000000-0005-0000-0000-00009E5A0000}"/>
    <cellStyle name="Normal 4 7 2 2 4 5" xfId="23195" xr:uid="{00000000-0005-0000-0000-00009F5A0000}"/>
    <cellStyle name="Normal 4 7 2 2 4 6" xfId="23196" xr:uid="{00000000-0005-0000-0000-0000A05A0000}"/>
    <cellStyle name="Normal 4 7 2 2 5" xfId="23197" xr:uid="{00000000-0005-0000-0000-0000A15A0000}"/>
    <cellStyle name="Normal 4 7 2 2 5 2" xfId="23198" xr:uid="{00000000-0005-0000-0000-0000A25A0000}"/>
    <cellStyle name="Normal 4 7 2 2 5 3" xfId="23199" xr:uid="{00000000-0005-0000-0000-0000A35A0000}"/>
    <cellStyle name="Normal 4 7 2 2 5 4" xfId="23200" xr:uid="{00000000-0005-0000-0000-0000A45A0000}"/>
    <cellStyle name="Normal 4 7 2 2 5 5" xfId="23201" xr:uid="{00000000-0005-0000-0000-0000A55A0000}"/>
    <cellStyle name="Normal 4 7 2 2 5 6" xfId="23202" xr:uid="{00000000-0005-0000-0000-0000A65A0000}"/>
    <cellStyle name="Normal 4 7 2 2 6" xfId="23203" xr:uid="{00000000-0005-0000-0000-0000A75A0000}"/>
    <cellStyle name="Normal 4 7 2 2 6 2" xfId="23204" xr:uid="{00000000-0005-0000-0000-0000A85A0000}"/>
    <cellStyle name="Normal 4 7 2 2 6 3" xfId="23205" xr:uid="{00000000-0005-0000-0000-0000A95A0000}"/>
    <cellStyle name="Normal 4 7 2 2 6 4" xfId="23206" xr:uid="{00000000-0005-0000-0000-0000AA5A0000}"/>
    <cellStyle name="Normal 4 7 2 2 6 5" xfId="23207" xr:uid="{00000000-0005-0000-0000-0000AB5A0000}"/>
    <cellStyle name="Normal 4 7 2 2 6 6" xfId="23208" xr:uid="{00000000-0005-0000-0000-0000AC5A0000}"/>
    <cellStyle name="Normal 4 7 2 2 7" xfId="23209" xr:uid="{00000000-0005-0000-0000-0000AD5A0000}"/>
    <cellStyle name="Normal 4 7 2 2 7 2" xfId="23210" xr:uid="{00000000-0005-0000-0000-0000AE5A0000}"/>
    <cellStyle name="Normal 4 7 2 2 7 3" xfId="23211" xr:uid="{00000000-0005-0000-0000-0000AF5A0000}"/>
    <cellStyle name="Normal 4 7 2 2 7 4" xfId="23212" xr:uid="{00000000-0005-0000-0000-0000B05A0000}"/>
    <cellStyle name="Normal 4 7 2 2 7 5" xfId="23213" xr:uid="{00000000-0005-0000-0000-0000B15A0000}"/>
    <cellStyle name="Normal 4 7 2 2 7 6" xfId="23214" xr:uid="{00000000-0005-0000-0000-0000B25A0000}"/>
    <cellStyle name="Normal 4 7 2 2 8" xfId="23215" xr:uid="{00000000-0005-0000-0000-0000B35A0000}"/>
    <cellStyle name="Normal 4 7 2 2 8 2" xfId="23216" xr:uid="{00000000-0005-0000-0000-0000B45A0000}"/>
    <cellStyle name="Normal 4 7 2 2 8 3" xfId="23217" xr:uid="{00000000-0005-0000-0000-0000B55A0000}"/>
    <cellStyle name="Normal 4 7 2 2 8 4" xfId="23218" xr:uid="{00000000-0005-0000-0000-0000B65A0000}"/>
    <cellStyle name="Normal 4 7 2 2 8 5" xfId="23219" xr:uid="{00000000-0005-0000-0000-0000B75A0000}"/>
    <cellStyle name="Normal 4 7 2 2 8 6" xfId="23220" xr:uid="{00000000-0005-0000-0000-0000B85A0000}"/>
    <cellStyle name="Normal 4 7 2 2 9" xfId="23221" xr:uid="{00000000-0005-0000-0000-0000B95A0000}"/>
    <cellStyle name="Normal 4 7 2 2 9 2" xfId="23222" xr:uid="{00000000-0005-0000-0000-0000BA5A0000}"/>
    <cellStyle name="Normal 4 7 2 2 9 3" xfId="23223" xr:uid="{00000000-0005-0000-0000-0000BB5A0000}"/>
    <cellStyle name="Normal 4 7 2 2 9 4" xfId="23224" xr:uid="{00000000-0005-0000-0000-0000BC5A0000}"/>
    <cellStyle name="Normal 4 7 2 2 9 5" xfId="23225" xr:uid="{00000000-0005-0000-0000-0000BD5A0000}"/>
    <cellStyle name="Normal 4 7 2 2 9 6" xfId="23226" xr:uid="{00000000-0005-0000-0000-0000BE5A0000}"/>
    <cellStyle name="Normal 4 7 2 20" xfId="23227" xr:uid="{00000000-0005-0000-0000-0000BF5A0000}"/>
    <cellStyle name="Normal 4 7 2 21" xfId="23228" xr:uid="{00000000-0005-0000-0000-0000C05A0000}"/>
    <cellStyle name="Normal 4 7 2 22" xfId="23229" xr:uid="{00000000-0005-0000-0000-0000C15A0000}"/>
    <cellStyle name="Normal 4 7 2 23" xfId="23230" xr:uid="{00000000-0005-0000-0000-0000C25A0000}"/>
    <cellStyle name="Normal 4 7 2 24" xfId="23231" xr:uid="{00000000-0005-0000-0000-0000C35A0000}"/>
    <cellStyle name="Normal 4 7 2 25" xfId="23232" xr:uid="{00000000-0005-0000-0000-0000C45A0000}"/>
    <cellStyle name="Normal 4 7 2 26" xfId="23233" xr:uid="{00000000-0005-0000-0000-0000C55A0000}"/>
    <cellStyle name="Normal 4 7 2 27" xfId="23234" xr:uid="{00000000-0005-0000-0000-0000C65A0000}"/>
    <cellStyle name="Normal 4 7 2 28" xfId="23235" xr:uid="{00000000-0005-0000-0000-0000C75A0000}"/>
    <cellStyle name="Normal 4 7 2 29" xfId="23236" xr:uid="{00000000-0005-0000-0000-0000C85A0000}"/>
    <cellStyle name="Normal 4 7 2 3" xfId="23237" xr:uid="{00000000-0005-0000-0000-0000C95A0000}"/>
    <cellStyle name="Normal 4 7 2 3 10" xfId="23238" xr:uid="{00000000-0005-0000-0000-0000CA5A0000}"/>
    <cellStyle name="Normal 4 7 2 3 11" xfId="23239" xr:uid="{00000000-0005-0000-0000-0000CB5A0000}"/>
    <cellStyle name="Normal 4 7 2 3 12" xfId="23240" xr:uid="{00000000-0005-0000-0000-0000CC5A0000}"/>
    <cellStyle name="Normal 4 7 2 3 13" xfId="23241" xr:uid="{00000000-0005-0000-0000-0000CD5A0000}"/>
    <cellStyle name="Normal 4 7 2 3 14" xfId="23242" xr:uid="{00000000-0005-0000-0000-0000CE5A0000}"/>
    <cellStyle name="Normal 4 7 2 3 2" xfId="23243" xr:uid="{00000000-0005-0000-0000-0000CF5A0000}"/>
    <cellStyle name="Normal 4 7 2 3 2 2" xfId="23244" xr:uid="{00000000-0005-0000-0000-0000D05A0000}"/>
    <cellStyle name="Normal 4 7 2 3 2 3" xfId="23245" xr:uid="{00000000-0005-0000-0000-0000D15A0000}"/>
    <cellStyle name="Normal 4 7 2 3 2 4" xfId="23246" xr:uid="{00000000-0005-0000-0000-0000D25A0000}"/>
    <cellStyle name="Normal 4 7 2 3 2 5" xfId="23247" xr:uid="{00000000-0005-0000-0000-0000D35A0000}"/>
    <cellStyle name="Normal 4 7 2 3 2 6" xfId="23248" xr:uid="{00000000-0005-0000-0000-0000D45A0000}"/>
    <cellStyle name="Normal 4 7 2 3 3" xfId="23249" xr:uid="{00000000-0005-0000-0000-0000D55A0000}"/>
    <cellStyle name="Normal 4 7 2 3 3 2" xfId="23250" xr:uid="{00000000-0005-0000-0000-0000D65A0000}"/>
    <cellStyle name="Normal 4 7 2 3 3 3" xfId="23251" xr:uid="{00000000-0005-0000-0000-0000D75A0000}"/>
    <cellStyle name="Normal 4 7 2 3 3 4" xfId="23252" xr:uid="{00000000-0005-0000-0000-0000D85A0000}"/>
    <cellStyle name="Normal 4 7 2 3 3 5" xfId="23253" xr:uid="{00000000-0005-0000-0000-0000D95A0000}"/>
    <cellStyle name="Normal 4 7 2 3 3 6" xfId="23254" xr:uid="{00000000-0005-0000-0000-0000DA5A0000}"/>
    <cellStyle name="Normal 4 7 2 3 4" xfId="23255" xr:uid="{00000000-0005-0000-0000-0000DB5A0000}"/>
    <cellStyle name="Normal 4 7 2 3 4 2" xfId="23256" xr:uid="{00000000-0005-0000-0000-0000DC5A0000}"/>
    <cellStyle name="Normal 4 7 2 3 4 3" xfId="23257" xr:uid="{00000000-0005-0000-0000-0000DD5A0000}"/>
    <cellStyle name="Normal 4 7 2 3 4 4" xfId="23258" xr:uid="{00000000-0005-0000-0000-0000DE5A0000}"/>
    <cellStyle name="Normal 4 7 2 3 4 5" xfId="23259" xr:uid="{00000000-0005-0000-0000-0000DF5A0000}"/>
    <cellStyle name="Normal 4 7 2 3 4 6" xfId="23260" xr:uid="{00000000-0005-0000-0000-0000E05A0000}"/>
    <cellStyle name="Normal 4 7 2 3 5" xfId="23261" xr:uid="{00000000-0005-0000-0000-0000E15A0000}"/>
    <cellStyle name="Normal 4 7 2 3 5 2" xfId="23262" xr:uid="{00000000-0005-0000-0000-0000E25A0000}"/>
    <cellStyle name="Normal 4 7 2 3 5 3" xfId="23263" xr:uid="{00000000-0005-0000-0000-0000E35A0000}"/>
    <cellStyle name="Normal 4 7 2 3 5 4" xfId="23264" xr:uid="{00000000-0005-0000-0000-0000E45A0000}"/>
    <cellStyle name="Normal 4 7 2 3 5 5" xfId="23265" xr:uid="{00000000-0005-0000-0000-0000E55A0000}"/>
    <cellStyle name="Normal 4 7 2 3 5 6" xfId="23266" xr:uid="{00000000-0005-0000-0000-0000E65A0000}"/>
    <cellStyle name="Normal 4 7 2 3 6" xfId="23267" xr:uid="{00000000-0005-0000-0000-0000E75A0000}"/>
    <cellStyle name="Normal 4 7 2 3 6 2" xfId="23268" xr:uid="{00000000-0005-0000-0000-0000E85A0000}"/>
    <cellStyle name="Normal 4 7 2 3 6 3" xfId="23269" xr:uid="{00000000-0005-0000-0000-0000E95A0000}"/>
    <cellStyle name="Normal 4 7 2 3 6 4" xfId="23270" xr:uid="{00000000-0005-0000-0000-0000EA5A0000}"/>
    <cellStyle name="Normal 4 7 2 3 6 5" xfId="23271" xr:uid="{00000000-0005-0000-0000-0000EB5A0000}"/>
    <cellStyle name="Normal 4 7 2 3 6 6" xfId="23272" xr:uid="{00000000-0005-0000-0000-0000EC5A0000}"/>
    <cellStyle name="Normal 4 7 2 3 7" xfId="23273" xr:uid="{00000000-0005-0000-0000-0000ED5A0000}"/>
    <cellStyle name="Normal 4 7 2 3 7 2" xfId="23274" xr:uid="{00000000-0005-0000-0000-0000EE5A0000}"/>
    <cellStyle name="Normal 4 7 2 3 7 3" xfId="23275" xr:uid="{00000000-0005-0000-0000-0000EF5A0000}"/>
    <cellStyle name="Normal 4 7 2 3 7 4" xfId="23276" xr:uid="{00000000-0005-0000-0000-0000F05A0000}"/>
    <cellStyle name="Normal 4 7 2 3 7 5" xfId="23277" xr:uid="{00000000-0005-0000-0000-0000F15A0000}"/>
    <cellStyle name="Normal 4 7 2 3 7 6" xfId="23278" xr:uid="{00000000-0005-0000-0000-0000F25A0000}"/>
    <cellStyle name="Normal 4 7 2 3 8" xfId="23279" xr:uid="{00000000-0005-0000-0000-0000F35A0000}"/>
    <cellStyle name="Normal 4 7 2 3 8 2" xfId="23280" xr:uid="{00000000-0005-0000-0000-0000F45A0000}"/>
    <cellStyle name="Normal 4 7 2 3 8 3" xfId="23281" xr:uid="{00000000-0005-0000-0000-0000F55A0000}"/>
    <cellStyle name="Normal 4 7 2 3 8 4" xfId="23282" xr:uid="{00000000-0005-0000-0000-0000F65A0000}"/>
    <cellStyle name="Normal 4 7 2 3 8 5" xfId="23283" xr:uid="{00000000-0005-0000-0000-0000F75A0000}"/>
    <cellStyle name="Normal 4 7 2 3 8 6" xfId="23284" xr:uid="{00000000-0005-0000-0000-0000F85A0000}"/>
    <cellStyle name="Normal 4 7 2 3 9" xfId="23285" xr:uid="{00000000-0005-0000-0000-0000F95A0000}"/>
    <cellStyle name="Normal 4 7 2 3 9 2" xfId="23286" xr:uid="{00000000-0005-0000-0000-0000FA5A0000}"/>
    <cellStyle name="Normal 4 7 2 3 9 3" xfId="23287" xr:uid="{00000000-0005-0000-0000-0000FB5A0000}"/>
    <cellStyle name="Normal 4 7 2 3 9 4" xfId="23288" xr:uid="{00000000-0005-0000-0000-0000FC5A0000}"/>
    <cellStyle name="Normal 4 7 2 3 9 5" xfId="23289" xr:uid="{00000000-0005-0000-0000-0000FD5A0000}"/>
    <cellStyle name="Normal 4 7 2 3 9 6" xfId="23290" xr:uid="{00000000-0005-0000-0000-0000FE5A0000}"/>
    <cellStyle name="Normal 4 7 2 30" xfId="23291" xr:uid="{00000000-0005-0000-0000-0000FF5A0000}"/>
    <cellStyle name="Normal 4 7 2 31" xfId="23292" xr:uid="{00000000-0005-0000-0000-0000005B0000}"/>
    <cellStyle name="Normal 4 7 2 4" xfId="23293" xr:uid="{00000000-0005-0000-0000-0000015B0000}"/>
    <cellStyle name="Normal 4 7 2 4 2" xfId="23294" xr:uid="{00000000-0005-0000-0000-0000025B0000}"/>
    <cellStyle name="Normal 4 7 2 4 3" xfId="23295" xr:uid="{00000000-0005-0000-0000-0000035B0000}"/>
    <cellStyle name="Normal 4 7 2 4 4" xfId="23296" xr:uid="{00000000-0005-0000-0000-0000045B0000}"/>
    <cellStyle name="Normal 4 7 2 4 5" xfId="23297" xr:uid="{00000000-0005-0000-0000-0000055B0000}"/>
    <cellStyle name="Normal 4 7 2 4 6" xfId="23298" xr:uid="{00000000-0005-0000-0000-0000065B0000}"/>
    <cellStyle name="Normal 4 7 2 5" xfId="23299" xr:uid="{00000000-0005-0000-0000-0000075B0000}"/>
    <cellStyle name="Normal 4 7 2 5 2" xfId="23300" xr:uid="{00000000-0005-0000-0000-0000085B0000}"/>
    <cellStyle name="Normal 4 7 2 5 3" xfId="23301" xr:uid="{00000000-0005-0000-0000-0000095B0000}"/>
    <cellStyle name="Normal 4 7 2 5 4" xfId="23302" xr:uid="{00000000-0005-0000-0000-00000A5B0000}"/>
    <cellStyle name="Normal 4 7 2 5 5" xfId="23303" xr:uid="{00000000-0005-0000-0000-00000B5B0000}"/>
    <cellStyle name="Normal 4 7 2 5 6" xfId="23304" xr:uid="{00000000-0005-0000-0000-00000C5B0000}"/>
    <cellStyle name="Normal 4 7 2 6" xfId="23305" xr:uid="{00000000-0005-0000-0000-00000D5B0000}"/>
    <cellStyle name="Normal 4 7 2 6 2" xfId="23306" xr:uid="{00000000-0005-0000-0000-00000E5B0000}"/>
    <cellStyle name="Normal 4 7 2 6 3" xfId="23307" xr:uid="{00000000-0005-0000-0000-00000F5B0000}"/>
    <cellStyle name="Normal 4 7 2 6 4" xfId="23308" xr:uid="{00000000-0005-0000-0000-0000105B0000}"/>
    <cellStyle name="Normal 4 7 2 6 5" xfId="23309" xr:uid="{00000000-0005-0000-0000-0000115B0000}"/>
    <cellStyle name="Normal 4 7 2 6 6" xfId="23310" xr:uid="{00000000-0005-0000-0000-0000125B0000}"/>
    <cellStyle name="Normal 4 7 2 7" xfId="23311" xr:uid="{00000000-0005-0000-0000-0000135B0000}"/>
    <cellStyle name="Normal 4 7 2 7 2" xfId="23312" xr:uid="{00000000-0005-0000-0000-0000145B0000}"/>
    <cellStyle name="Normal 4 7 2 7 3" xfId="23313" xr:uid="{00000000-0005-0000-0000-0000155B0000}"/>
    <cellStyle name="Normal 4 7 2 7 4" xfId="23314" xr:uid="{00000000-0005-0000-0000-0000165B0000}"/>
    <cellStyle name="Normal 4 7 2 7 5" xfId="23315" xr:uid="{00000000-0005-0000-0000-0000175B0000}"/>
    <cellStyle name="Normal 4 7 2 7 6" xfId="23316" xr:uid="{00000000-0005-0000-0000-0000185B0000}"/>
    <cellStyle name="Normal 4 7 2 8" xfId="23317" xr:uid="{00000000-0005-0000-0000-0000195B0000}"/>
    <cellStyle name="Normal 4 7 2 8 2" xfId="23318" xr:uid="{00000000-0005-0000-0000-00001A5B0000}"/>
    <cellStyle name="Normal 4 7 2 8 3" xfId="23319" xr:uid="{00000000-0005-0000-0000-00001B5B0000}"/>
    <cellStyle name="Normal 4 7 2 8 4" xfId="23320" xr:uid="{00000000-0005-0000-0000-00001C5B0000}"/>
    <cellStyle name="Normal 4 7 2 8 5" xfId="23321" xr:uid="{00000000-0005-0000-0000-00001D5B0000}"/>
    <cellStyle name="Normal 4 7 2 8 6" xfId="23322" xr:uid="{00000000-0005-0000-0000-00001E5B0000}"/>
    <cellStyle name="Normal 4 7 2 9" xfId="23323" xr:uid="{00000000-0005-0000-0000-00001F5B0000}"/>
    <cellStyle name="Normal 4 7 2 9 2" xfId="23324" xr:uid="{00000000-0005-0000-0000-0000205B0000}"/>
    <cellStyle name="Normal 4 7 2 9 3" xfId="23325" xr:uid="{00000000-0005-0000-0000-0000215B0000}"/>
    <cellStyle name="Normal 4 7 2 9 4" xfId="23326" xr:uid="{00000000-0005-0000-0000-0000225B0000}"/>
    <cellStyle name="Normal 4 7 2 9 5" xfId="23327" xr:uid="{00000000-0005-0000-0000-0000235B0000}"/>
    <cellStyle name="Normal 4 7 2 9 6" xfId="23328" xr:uid="{00000000-0005-0000-0000-0000245B0000}"/>
    <cellStyle name="Normal 4 7 20" xfId="23329" xr:uid="{00000000-0005-0000-0000-0000255B0000}"/>
    <cellStyle name="Normal 4 7 21" xfId="23330" xr:uid="{00000000-0005-0000-0000-0000265B0000}"/>
    <cellStyle name="Normal 4 7 22" xfId="23331" xr:uid="{00000000-0005-0000-0000-0000275B0000}"/>
    <cellStyle name="Normal 4 7 23" xfId="23332" xr:uid="{00000000-0005-0000-0000-0000285B0000}"/>
    <cellStyle name="Normal 4 7 24" xfId="23333" xr:uid="{00000000-0005-0000-0000-0000295B0000}"/>
    <cellStyle name="Normal 4 7 25" xfId="23334" xr:uid="{00000000-0005-0000-0000-00002A5B0000}"/>
    <cellStyle name="Normal 4 7 26" xfId="23335" xr:uid="{00000000-0005-0000-0000-00002B5B0000}"/>
    <cellStyle name="Normal 4 7 27" xfId="23336" xr:uid="{00000000-0005-0000-0000-00002C5B0000}"/>
    <cellStyle name="Normal 4 7 28" xfId="23337" xr:uid="{00000000-0005-0000-0000-00002D5B0000}"/>
    <cellStyle name="Normal 4 7 29" xfId="23338" xr:uid="{00000000-0005-0000-0000-00002E5B0000}"/>
    <cellStyle name="Normal 4 7 3" xfId="23339" xr:uid="{00000000-0005-0000-0000-00002F5B0000}"/>
    <cellStyle name="Normal 4 7 3 10" xfId="23340" xr:uid="{00000000-0005-0000-0000-0000305B0000}"/>
    <cellStyle name="Normal 4 7 3 10 2" xfId="23341" xr:uid="{00000000-0005-0000-0000-0000315B0000}"/>
    <cellStyle name="Normal 4 7 3 10 3" xfId="23342" xr:uid="{00000000-0005-0000-0000-0000325B0000}"/>
    <cellStyle name="Normal 4 7 3 10 4" xfId="23343" xr:uid="{00000000-0005-0000-0000-0000335B0000}"/>
    <cellStyle name="Normal 4 7 3 10 5" xfId="23344" xr:uid="{00000000-0005-0000-0000-0000345B0000}"/>
    <cellStyle name="Normal 4 7 3 10 6" xfId="23345" xr:uid="{00000000-0005-0000-0000-0000355B0000}"/>
    <cellStyle name="Normal 4 7 3 11" xfId="23346" xr:uid="{00000000-0005-0000-0000-0000365B0000}"/>
    <cellStyle name="Normal 4 7 3 11 2" xfId="23347" xr:uid="{00000000-0005-0000-0000-0000375B0000}"/>
    <cellStyle name="Normal 4 7 3 11 3" xfId="23348" xr:uid="{00000000-0005-0000-0000-0000385B0000}"/>
    <cellStyle name="Normal 4 7 3 11 4" xfId="23349" xr:uid="{00000000-0005-0000-0000-0000395B0000}"/>
    <cellStyle name="Normal 4 7 3 11 5" xfId="23350" xr:uid="{00000000-0005-0000-0000-00003A5B0000}"/>
    <cellStyle name="Normal 4 7 3 11 6" xfId="23351" xr:uid="{00000000-0005-0000-0000-00003B5B0000}"/>
    <cellStyle name="Normal 4 7 3 12" xfId="23352" xr:uid="{00000000-0005-0000-0000-00003C5B0000}"/>
    <cellStyle name="Normal 4 7 3 13" xfId="23353" xr:uid="{00000000-0005-0000-0000-00003D5B0000}"/>
    <cellStyle name="Normal 4 7 3 14" xfId="23354" xr:uid="{00000000-0005-0000-0000-00003E5B0000}"/>
    <cellStyle name="Normal 4 7 3 15" xfId="23355" xr:uid="{00000000-0005-0000-0000-00003F5B0000}"/>
    <cellStyle name="Normal 4 7 3 16" xfId="23356" xr:uid="{00000000-0005-0000-0000-0000405B0000}"/>
    <cellStyle name="Normal 4 7 3 17" xfId="23357" xr:uid="{00000000-0005-0000-0000-0000415B0000}"/>
    <cellStyle name="Normal 4 7 3 18" xfId="23358" xr:uid="{00000000-0005-0000-0000-0000425B0000}"/>
    <cellStyle name="Normal 4 7 3 19" xfId="23359" xr:uid="{00000000-0005-0000-0000-0000435B0000}"/>
    <cellStyle name="Normal 4 7 3 2" xfId="23360" xr:uid="{00000000-0005-0000-0000-0000445B0000}"/>
    <cellStyle name="Normal 4 7 3 2 10" xfId="23361" xr:uid="{00000000-0005-0000-0000-0000455B0000}"/>
    <cellStyle name="Normal 4 7 3 2 10 2" xfId="23362" xr:uid="{00000000-0005-0000-0000-0000465B0000}"/>
    <cellStyle name="Normal 4 7 3 2 10 3" xfId="23363" xr:uid="{00000000-0005-0000-0000-0000475B0000}"/>
    <cellStyle name="Normal 4 7 3 2 10 4" xfId="23364" xr:uid="{00000000-0005-0000-0000-0000485B0000}"/>
    <cellStyle name="Normal 4 7 3 2 10 5" xfId="23365" xr:uid="{00000000-0005-0000-0000-0000495B0000}"/>
    <cellStyle name="Normal 4 7 3 2 10 6" xfId="23366" xr:uid="{00000000-0005-0000-0000-00004A5B0000}"/>
    <cellStyle name="Normal 4 7 3 2 11" xfId="23367" xr:uid="{00000000-0005-0000-0000-00004B5B0000}"/>
    <cellStyle name="Normal 4 7 3 2 12" xfId="23368" xr:uid="{00000000-0005-0000-0000-00004C5B0000}"/>
    <cellStyle name="Normal 4 7 3 2 13" xfId="23369" xr:uid="{00000000-0005-0000-0000-00004D5B0000}"/>
    <cellStyle name="Normal 4 7 3 2 14" xfId="23370" xr:uid="{00000000-0005-0000-0000-00004E5B0000}"/>
    <cellStyle name="Normal 4 7 3 2 15" xfId="23371" xr:uid="{00000000-0005-0000-0000-00004F5B0000}"/>
    <cellStyle name="Normal 4 7 3 2 2" xfId="23372" xr:uid="{00000000-0005-0000-0000-0000505B0000}"/>
    <cellStyle name="Normal 4 7 3 2 2 10" xfId="23373" xr:uid="{00000000-0005-0000-0000-0000515B0000}"/>
    <cellStyle name="Normal 4 7 3 2 2 11" xfId="23374" xr:uid="{00000000-0005-0000-0000-0000525B0000}"/>
    <cellStyle name="Normal 4 7 3 2 2 12" xfId="23375" xr:uid="{00000000-0005-0000-0000-0000535B0000}"/>
    <cellStyle name="Normal 4 7 3 2 2 13" xfId="23376" xr:uid="{00000000-0005-0000-0000-0000545B0000}"/>
    <cellStyle name="Normal 4 7 3 2 2 14" xfId="23377" xr:uid="{00000000-0005-0000-0000-0000555B0000}"/>
    <cellStyle name="Normal 4 7 3 2 2 2" xfId="23378" xr:uid="{00000000-0005-0000-0000-0000565B0000}"/>
    <cellStyle name="Normal 4 7 3 2 2 2 2" xfId="23379" xr:uid="{00000000-0005-0000-0000-0000575B0000}"/>
    <cellStyle name="Normal 4 7 3 2 2 2 3" xfId="23380" xr:uid="{00000000-0005-0000-0000-0000585B0000}"/>
    <cellStyle name="Normal 4 7 3 2 2 2 4" xfId="23381" xr:uid="{00000000-0005-0000-0000-0000595B0000}"/>
    <cellStyle name="Normal 4 7 3 2 2 2 5" xfId="23382" xr:uid="{00000000-0005-0000-0000-00005A5B0000}"/>
    <cellStyle name="Normal 4 7 3 2 2 2 6" xfId="23383" xr:uid="{00000000-0005-0000-0000-00005B5B0000}"/>
    <cellStyle name="Normal 4 7 3 2 2 3" xfId="23384" xr:uid="{00000000-0005-0000-0000-00005C5B0000}"/>
    <cellStyle name="Normal 4 7 3 2 2 3 2" xfId="23385" xr:uid="{00000000-0005-0000-0000-00005D5B0000}"/>
    <cellStyle name="Normal 4 7 3 2 2 3 3" xfId="23386" xr:uid="{00000000-0005-0000-0000-00005E5B0000}"/>
    <cellStyle name="Normal 4 7 3 2 2 3 4" xfId="23387" xr:uid="{00000000-0005-0000-0000-00005F5B0000}"/>
    <cellStyle name="Normal 4 7 3 2 2 3 5" xfId="23388" xr:uid="{00000000-0005-0000-0000-0000605B0000}"/>
    <cellStyle name="Normal 4 7 3 2 2 3 6" xfId="23389" xr:uid="{00000000-0005-0000-0000-0000615B0000}"/>
    <cellStyle name="Normal 4 7 3 2 2 4" xfId="23390" xr:uid="{00000000-0005-0000-0000-0000625B0000}"/>
    <cellStyle name="Normal 4 7 3 2 2 4 2" xfId="23391" xr:uid="{00000000-0005-0000-0000-0000635B0000}"/>
    <cellStyle name="Normal 4 7 3 2 2 4 3" xfId="23392" xr:uid="{00000000-0005-0000-0000-0000645B0000}"/>
    <cellStyle name="Normal 4 7 3 2 2 4 4" xfId="23393" xr:uid="{00000000-0005-0000-0000-0000655B0000}"/>
    <cellStyle name="Normal 4 7 3 2 2 4 5" xfId="23394" xr:uid="{00000000-0005-0000-0000-0000665B0000}"/>
    <cellStyle name="Normal 4 7 3 2 2 4 6" xfId="23395" xr:uid="{00000000-0005-0000-0000-0000675B0000}"/>
    <cellStyle name="Normal 4 7 3 2 2 5" xfId="23396" xr:uid="{00000000-0005-0000-0000-0000685B0000}"/>
    <cellStyle name="Normal 4 7 3 2 2 5 2" xfId="23397" xr:uid="{00000000-0005-0000-0000-0000695B0000}"/>
    <cellStyle name="Normal 4 7 3 2 2 5 3" xfId="23398" xr:uid="{00000000-0005-0000-0000-00006A5B0000}"/>
    <cellStyle name="Normal 4 7 3 2 2 5 4" xfId="23399" xr:uid="{00000000-0005-0000-0000-00006B5B0000}"/>
    <cellStyle name="Normal 4 7 3 2 2 5 5" xfId="23400" xr:uid="{00000000-0005-0000-0000-00006C5B0000}"/>
    <cellStyle name="Normal 4 7 3 2 2 5 6" xfId="23401" xr:uid="{00000000-0005-0000-0000-00006D5B0000}"/>
    <cellStyle name="Normal 4 7 3 2 2 6" xfId="23402" xr:uid="{00000000-0005-0000-0000-00006E5B0000}"/>
    <cellStyle name="Normal 4 7 3 2 2 6 2" xfId="23403" xr:uid="{00000000-0005-0000-0000-00006F5B0000}"/>
    <cellStyle name="Normal 4 7 3 2 2 6 3" xfId="23404" xr:uid="{00000000-0005-0000-0000-0000705B0000}"/>
    <cellStyle name="Normal 4 7 3 2 2 6 4" xfId="23405" xr:uid="{00000000-0005-0000-0000-0000715B0000}"/>
    <cellStyle name="Normal 4 7 3 2 2 6 5" xfId="23406" xr:uid="{00000000-0005-0000-0000-0000725B0000}"/>
    <cellStyle name="Normal 4 7 3 2 2 6 6" xfId="23407" xr:uid="{00000000-0005-0000-0000-0000735B0000}"/>
    <cellStyle name="Normal 4 7 3 2 2 7" xfId="23408" xr:uid="{00000000-0005-0000-0000-0000745B0000}"/>
    <cellStyle name="Normal 4 7 3 2 2 7 2" xfId="23409" xr:uid="{00000000-0005-0000-0000-0000755B0000}"/>
    <cellStyle name="Normal 4 7 3 2 2 7 3" xfId="23410" xr:uid="{00000000-0005-0000-0000-0000765B0000}"/>
    <cellStyle name="Normal 4 7 3 2 2 7 4" xfId="23411" xr:uid="{00000000-0005-0000-0000-0000775B0000}"/>
    <cellStyle name="Normal 4 7 3 2 2 7 5" xfId="23412" xr:uid="{00000000-0005-0000-0000-0000785B0000}"/>
    <cellStyle name="Normal 4 7 3 2 2 7 6" xfId="23413" xr:uid="{00000000-0005-0000-0000-0000795B0000}"/>
    <cellStyle name="Normal 4 7 3 2 2 8" xfId="23414" xr:uid="{00000000-0005-0000-0000-00007A5B0000}"/>
    <cellStyle name="Normal 4 7 3 2 2 8 2" xfId="23415" xr:uid="{00000000-0005-0000-0000-00007B5B0000}"/>
    <cellStyle name="Normal 4 7 3 2 2 8 3" xfId="23416" xr:uid="{00000000-0005-0000-0000-00007C5B0000}"/>
    <cellStyle name="Normal 4 7 3 2 2 8 4" xfId="23417" xr:uid="{00000000-0005-0000-0000-00007D5B0000}"/>
    <cellStyle name="Normal 4 7 3 2 2 8 5" xfId="23418" xr:uid="{00000000-0005-0000-0000-00007E5B0000}"/>
    <cellStyle name="Normal 4 7 3 2 2 8 6" xfId="23419" xr:uid="{00000000-0005-0000-0000-00007F5B0000}"/>
    <cellStyle name="Normal 4 7 3 2 2 9" xfId="23420" xr:uid="{00000000-0005-0000-0000-0000805B0000}"/>
    <cellStyle name="Normal 4 7 3 2 2 9 2" xfId="23421" xr:uid="{00000000-0005-0000-0000-0000815B0000}"/>
    <cellStyle name="Normal 4 7 3 2 2 9 3" xfId="23422" xr:uid="{00000000-0005-0000-0000-0000825B0000}"/>
    <cellStyle name="Normal 4 7 3 2 2 9 4" xfId="23423" xr:uid="{00000000-0005-0000-0000-0000835B0000}"/>
    <cellStyle name="Normal 4 7 3 2 2 9 5" xfId="23424" xr:uid="{00000000-0005-0000-0000-0000845B0000}"/>
    <cellStyle name="Normal 4 7 3 2 2 9 6" xfId="23425" xr:uid="{00000000-0005-0000-0000-0000855B0000}"/>
    <cellStyle name="Normal 4 7 3 2 3" xfId="23426" xr:uid="{00000000-0005-0000-0000-0000865B0000}"/>
    <cellStyle name="Normal 4 7 3 2 3 2" xfId="23427" xr:uid="{00000000-0005-0000-0000-0000875B0000}"/>
    <cellStyle name="Normal 4 7 3 2 3 3" xfId="23428" xr:uid="{00000000-0005-0000-0000-0000885B0000}"/>
    <cellStyle name="Normal 4 7 3 2 3 4" xfId="23429" xr:uid="{00000000-0005-0000-0000-0000895B0000}"/>
    <cellStyle name="Normal 4 7 3 2 3 5" xfId="23430" xr:uid="{00000000-0005-0000-0000-00008A5B0000}"/>
    <cellStyle name="Normal 4 7 3 2 3 6" xfId="23431" xr:uid="{00000000-0005-0000-0000-00008B5B0000}"/>
    <cellStyle name="Normal 4 7 3 2 4" xfId="23432" xr:uid="{00000000-0005-0000-0000-00008C5B0000}"/>
    <cellStyle name="Normal 4 7 3 2 4 2" xfId="23433" xr:uid="{00000000-0005-0000-0000-00008D5B0000}"/>
    <cellStyle name="Normal 4 7 3 2 4 3" xfId="23434" xr:uid="{00000000-0005-0000-0000-00008E5B0000}"/>
    <cellStyle name="Normal 4 7 3 2 4 4" xfId="23435" xr:uid="{00000000-0005-0000-0000-00008F5B0000}"/>
    <cellStyle name="Normal 4 7 3 2 4 5" xfId="23436" xr:uid="{00000000-0005-0000-0000-0000905B0000}"/>
    <cellStyle name="Normal 4 7 3 2 4 6" xfId="23437" xr:uid="{00000000-0005-0000-0000-0000915B0000}"/>
    <cellStyle name="Normal 4 7 3 2 5" xfId="23438" xr:uid="{00000000-0005-0000-0000-0000925B0000}"/>
    <cellStyle name="Normal 4 7 3 2 5 2" xfId="23439" xr:uid="{00000000-0005-0000-0000-0000935B0000}"/>
    <cellStyle name="Normal 4 7 3 2 5 3" xfId="23440" xr:uid="{00000000-0005-0000-0000-0000945B0000}"/>
    <cellStyle name="Normal 4 7 3 2 5 4" xfId="23441" xr:uid="{00000000-0005-0000-0000-0000955B0000}"/>
    <cellStyle name="Normal 4 7 3 2 5 5" xfId="23442" xr:uid="{00000000-0005-0000-0000-0000965B0000}"/>
    <cellStyle name="Normal 4 7 3 2 5 6" xfId="23443" xr:uid="{00000000-0005-0000-0000-0000975B0000}"/>
    <cellStyle name="Normal 4 7 3 2 6" xfId="23444" xr:uid="{00000000-0005-0000-0000-0000985B0000}"/>
    <cellStyle name="Normal 4 7 3 2 6 2" xfId="23445" xr:uid="{00000000-0005-0000-0000-0000995B0000}"/>
    <cellStyle name="Normal 4 7 3 2 6 3" xfId="23446" xr:uid="{00000000-0005-0000-0000-00009A5B0000}"/>
    <cellStyle name="Normal 4 7 3 2 6 4" xfId="23447" xr:uid="{00000000-0005-0000-0000-00009B5B0000}"/>
    <cellStyle name="Normal 4 7 3 2 6 5" xfId="23448" xr:uid="{00000000-0005-0000-0000-00009C5B0000}"/>
    <cellStyle name="Normal 4 7 3 2 6 6" xfId="23449" xr:uid="{00000000-0005-0000-0000-00009D5B0000}"/>
    <cellStyle name="Normal 4 7 3 2 7" xfId="23450" xr:uid="{00000000-0005-0000-0000-00009E5B0000}"/>
    <cellStyle name="Normal 4 7 3 2 7 2" xfId="23451" xr:uid="{00000000-0005-0000-0000-00009F5B0000}"/>
    <cellStyle name="Normal 4 7 3 2 7 3" xfId="23452" xr:uid="{00000000-0005-0000-0000-0000A05B0000}"/>
    <cellStyle name="Normal 4 7 3 2 7 4" xfId="23453" xr:uid="{00000000-0005-0000-0000-0000A15B0000}"/>
    <cellStyle name="Normal 4 7 3 2 7 5" xfId="23454" xr:uid="{00000000-0005-0000-0000-0000A25B0000}"/>
    <cellStyle name="Normal 4 7 3 2 7 6" xfId="23455" xr:uid="{00000000-0005-0000-0000-0000A35B0000}"/>
    <cellStyle name="Normal 4 7 3 2 8" xfId="23456" xr:uid="{00000000-0005-0000-0000-0000A45B0000}"/>
    <cellStyle name="Normal 4 7 3 2 8 2" xfId="23457" xr:uid="{00000000-0005-0000-0000-0000A55B0000}"/>
    <cellStyle name="Normal 4 7 3 2 8 3" xfId="23458" xr:uid="{00000000-0005-0000-0000-0000A65B0000}"/>
    <cellStyle name="Normal 4 7 3 2 8 4" xfId="23459" xr:uid="{00000000-0005-0000-0000-0000A75B0000}"/>
    <cellStyle name="Normal 4 7 3 2 8 5" xfId="23460" xr:uid="{00000000-0005-0000-0000-0000A85B0000}"/>
    <cellStyle name="Normal 4 7 3 2 8 6" xfId="23461" xr:uid="{00000000-0005-0000-0000-0000A95B0000}"/>
    <cellStyle name="Normal 4 7 3 2 9" xfId="23462" xr:uid="{00000000-0005-0000-0000-0000AA5B0000}"/>
    <cellStyle name="Normal 4 7 3 2 9 2" xfId="23463" xr:uid="{00000000-0005-0000-0000-0000AB5B0000}"/>
    <cellStyle name="Normal 4 7 3 2 9 3" xfId="23464" xr:uid="{00000000-0005-0000-0000-0000AC5B0000}"/>
    <cellStyle name="Normal 4 7 3 2 9 4" xfId="23465" xr:uid="{00000000-0005-0000-0000-0000AD5B0000}"/>
    <cellStyle name="Normal 4 7 3 2 9 5" xfId="23466" xr:uid="{00000000-0005-0000-0000-0000AE5B0000}"/>
    <cellStyle name="Normal 4 7 3 2 9 6" xfId="23467" xr:uid="{00000000-0005-0000-0000-0000AF5B0000}"/>
    <cellStyle name="Normal 4 7 3 20" xfId="23468" xr:uid="{00000000-0005-0000-0000-0000B05B0000}"/>
    <cellStyle name="Normal 4 7 3 21" xfId="23469" xr:uid="{00000000-0005-0000-0000-0000B15B0000}"/>
    <cellStyle name="Normal 4 7 3 22" xfId="23470" xr:uid="{00000000-0005-0000-0000-0000B25B0000}"/>
    <cellStyle name="Normal 4 7 3 23" xfId="23471" xr:uid="{00000000-0005-0000-0000-0000B35B0000}"/>
    <cellStyle name="Normal 4 7 3 24" xfId="23472" xr:uid="{00000000-0005-0000-0000-0000B45B0000}"/>
    <cellStyle name="Normal 4 7 3 25" xfId="23473" xr:uid="{00000000-0005-0000-0000-0000B55B0000}"/>
    <cellStyle name="Normal 4 7 3 26" xfId="23474" xr:uid="{00000000-0005-0000-0000-0000B65B0000}"/>
    <cellStyle name="Normal 4 7 3 27" xfId="23475" xr:uid="{00000000-0005-0000-0000-0000B75B0000}"/>
    <cellStyle name="Normal 4 7 3 28" xfId="23476" xr:uid="{00000000-0005-0000-0000-0000B85B0000}"/>
    <cellStyle name="Normal 4 7 3 29" xfId="23477" xr:uid="{00000000-0005-0000-0000-0000B95B0000}"/>
    <cellStyle name="Normal 4 7 3 3" xfId="23478" xr:uid="{00000000-0005-0000-0000-0000BA5B0000}"/>
    <cellStyle name="Normal 4 7 3 3 10" xfId="23479" xr:uid="{00000000-0005-0000-0000-0000BB5B0000}"/>
    <cellStyle name="Normal 4 7 3 3 11" xfId="23480" xr:uid="{00000000-0005-0000-0000-0000BC5B0000}"/>
    <cellStyle name="Normal 4 7 3 3 12" xfId="23481" xr:uid="{00000000-0005-0000-0000-0000BD5B0000}"/>
    <cellStyle name="Normal 4 7 3 3 13" xfId="23482" xr:uid="{00000000-0005-0000-0000-0000BE5B0000}"/>
    <cellStyle name="Normal 4 7 3 3 14" xfId="23483" xr:uid="{00000000-0005-0000-0000-0000BF5B0000}"/>
    <cellStyle name="Normal 4 7 3 3 2" xfId="23484" xr:uid="{00000000-0005-0000-0000-0000C05B0000}"/>
    <cellStyle name="Normal 4 7 3 3 2 2" xfId="23485" xr:uid="{00000000-0005-0000-0000-0000C15B0000}"/>
    <cellStyle name="Normal 4 7 3 3 2 3" xfId="23486" xr:uid="{00000000-0005-0000-0000-0000C25B0000}"/>
    <cellStyle name="Normal 4 7 3 3 2 4" xfId="23487" xr:uid="{00000000-0005-0000-0000-0000C35B0000}"/>
    <cellStyle name="Normal 4 7 3 3 2 5" xfId="23488" xr:uid="{00000000-0005-0000-0000-0000C45B0000}"/>
    <cellStyle name="Normal 4 7 3 3 2 6" xfId="23489" xr:uid="{00000000-0005-0000-0000-0000C55B0000}"/>
    <cellStyle name="Normal 4 7 3 3 3" xfId="23490" xr:uid="{00000000-0005-0000-0000-0000C65B0000}"/>
    <cellStyle name="Normal 4 7 3 3 3 2" xfId="23491" xr:uid="{00000000-0005-0000-0000-0000C75B0000}"/>
    <cellStyle name="Normal 4 7 3 3 3 3" xfId="23492" xr:uid="{00000000-0005-0000-0000-0000C85B0000}"/>
    <cellStyle name="Normal 4 7 3 3 3 4" xfId="23493" xr:uid="{00000000-0005-0000-0000-0000C95B0000}"/>
    <cellStyle name="Normal 4 7 3 3 3 5" xfId="23494" xr:uid="{00000000-0005-0000-0000-0000CA5B0000}"/>
    <cellStyle name="Normal 4 7 3 3 3 6" xfId="23495" xr:uid="{00000000-0005-0000-0000-0000CB5B0000}"/>
    <cellStyle name="Normal 4 7 3 3 4" xfId="23496" xr:uid="{00000000-0005-0000-0000-0000CC5B0000}"/>
    <cellStyle name="Normal 4 7 3 3 4 2" xfId="23497" xr:uid="{00000000-0005-0000-0000-0000CD5B0000}"/>
    <cellStyle name="Normal 4 7 3 3 4 3" xfId="23498" xr:uid="{00000000-0005-0000-0000-0000CE5B0000}"/>
    <cellStyle name="Normal 4 7 3 3 4 4" xfId="23499" xr:uid="{00000000-0005-0000-0000-0000CF5B0000}"/>
    <cellStyle name="Normal 4 7 3 3 4 5" xfId="23500" xr:uid="{00000000-0005-0000-0000-0000D05B0000}"/>
    <cellStyle name="Normal 4 7 3 3 4 6" xfId="23501" xr:uid="{00000000-0005-0000-0000-0000D15B0000}"/>
    <cellStyle name="Normal 4 7 3 3 5" xfId="23502" xr:uid="{00000000-0005-0000-0000-0000D25B0000}"/>
    <cellStyle name="Normal 4 7 3 3 5 2" xfId="23503" xr:uid="{00000000-0005-0000-0000-0000D35B0000}"/>
    <cellStyle name="Normal 4 7 3 3 5 3" xfId="23504" xr:uid="{00000000-0005-0000-0000-0000D45B0000}"/>
    <cellStyle name="Normal 4 7 3 3 5 4" xfId="23505" xr:uid="{00000000-0005-0000-0000-0000D55B0000}"/>
    <cellStyle name="Normal 4 7 3 3 5 5" xfId="23506" xr:uid="{00000000-0005-0000-0000-0000D65B0000}"/>
    <cellStyle name="Normal 4 7 3 3 5 6" xfId="23507" xr:uid="{00000000-0005-0000-0000-0000D75B0000}"/>
    <cellStyle name="Normal 4 7 3 3 6" xfId="23508" xr:uid="{00000000-0005-0000-0000-0000D85B0000}"/>
    <cellStyle name="Normal 4 7 3 3 6 2" xfId="23509" xr:uid="{00000000-0005-0000-0000-0000D95B0000}"/>
    <cellStyle name="Normal 4 7 3 3 6 3" xfId="23510" xr:uid="{00000000-0005-0000-0000-0000DA5B0000}"/>
    <cellStyle name="Normal 4 7 3 3 6 4" xfId="23511" xr:uid="{00000000-0005-0000-0000-0000DB5B0000}"/>
    <cellStyle name="Normal 4 7 3 3 6 5" xfId="23512" xr:uid="{00000000-0005-0000-0000-0000DC5B0000}"/>
    <cellStyle name="Normal 4 7 3 3 6 6" xfId="23513" xr:uid="{00000000-0005-0000-0000-0000DD5B0000}"/>
    <cellStyle name="Normal 4 7 3 3 7" xfId="23514" xr:uid="{00000000-0005-0000-0000-0000DE5B0000}"/>
    <cellStyle name="Normal 4 7 3 3 7 2" xfId="23515" xr:uid="{00000000-0005-0000-0000-0000DF5B0000}"/>
    <cellStyle name="Normal 4 7 3 3 7 3" xfId="23516" xr:uid="{00000000-0005-0000-0000-0000E05B0000}"/>
    <cellStyle name="Normal 4 7 3 3 7 4" xfId="23517" xr:uid="{00000000-0005-0000-0000-0000E15B0000}"/>
    <cellStyle name="Normal 4 7 3 3 7 5" xfId="23518" xr:uid="{00000000-0005-0000-0000-0000E25B0000}"/>
    <cellStyle name="Normal 4 7 3 3 7 6" xfId="23519" xr:uid="{00000000-0005-0000-0000-0000E35B0000}"/>
    <cellStyle name="Normal 4 7 3 3 8" xfId="23520" xr:uid="{00000000-0005-0000-0000-0000E45B0000}"/>
    <cellStyle name="Normal 4 7 3 3 8 2" xfId="23521" xr:uid="{00000000-0005-0000-0000-0000E55B0000}"/>
    <cellStyle name="Normal 4 7 3 3 8 3" xfId="23522" xr:uid="{00000000-0005-0000-0000-0000E65B0000}"/>
    <cellStyle name="Normal 4 7 3 3 8 4" xfId="23523" xr:uid="{00000000-0005-0000-0000-0000E75B0000}"/>
    <cellStyle name="Normal 4 7 3 3 8 5" xfId="23524" xr:uid="{00000000-0005-0000-0000-0000E85B0000}"/>
    <cellStyle name="Normal 4 7 3 3 8 6" xfId="23525" xr:uid="{00000000-0005-0000-0000-0000E95B0000}"/>
    <cellStyle name="Normal 4 7 3 3 9" xfId="23526" xr:uid="{00000000-0005-0000-0000-0000EA5B0000}"/>
    <cellStyle name="Normal 4 7 3 3 9 2" xfId="23527" xr:uid="{00000000-0005-0000-0000-0000EB5B0000}"/>
    <cellStyle name="Normal 4 7 3 3 9 3" xfId="23528" xr:uid="{00000000-0005-0000-0000-0000EC5B0000}"/>
    <cellStyle name="Normal 4 7 3 3 9 4" xfId="23529" xr:uid="{00000000-0005-0000-0000-0000ED5B0000}"/>
    <cellStyle name="Normal 4 7 3 3 9 5" xfId="23530" xr:uid="{00000000-0005-0000-0000-0000EE5B0000}"/>
    <cellStyle name="Normal 4 7 3 3 9 6" xfId="23531" xr:uid="{00000000-0005-0000-0000-0000EF5B0000}"/>
    <cellStyle name="Normal 4 7 3 30" xfId="23532" xr:uid="{00000000-0005-0000-0000-0000F05B0000}"/>
    <cellStyle name="Normal 4 7 3 31" xfId="23533" xr:uid="{00000000-0005-0000-0000-0000F15B0000}"/>
    <cellStyle name="Normal 4 7 3 4" xfId="23534" xr:uid="{00000000-0005-0000-0000-0000F25B0000}"/>
    <cellStyle name="Normal 4 7 3 4 2" xfId="23535" xr:uid="{00000000-0005-0000-0000-0000F35B0000}"/>
    <cellStyle name="Normal 4 7 3 4 3" xfId="23536" xr:uid="{00000000-0005-0000-0000-0000F45B0000}"/>
    <cellStyle name="Normal 4 7 3 4 4" xfId="23537" xr:uid="{00000000-0005-0000-0000-0000F55B0000}"/>
    <cellStyle name="Normal 4 7 3 4 5" xfId="23538" xr:uid="{00000000-0005-0000-0000-0000F65B0000}"/>
    <cellStyle name="Normal 4 7 3 4 6" xfId="23539" xr:uid="{00000000-0005-0000-0000-0000F75B0000}"/>
    <cellStyle name="Normal 4 7 3 5" xfId="23540" xr:uid="{00000000-0005-0000-0000-0000F85B0000}"/>
    <cellStyle name="Normal 4 7 3 5 2" xfId="23541" xr:uid="{00000000-0005-0000-0000-0000F95B0000}"/>
    <cellStyle name="Normal 4 7 3 5 3" xfId="23542" xr:uid="{00000000-0005-0000-0000-0000FA5B0000}"/>
    <cellStyle name="Normal 4 7 3 5 4" xfId="23543" xr:uid="{00000000-0005-0000-0000-0000FB5B0000}"/>
    <cellStyle name="Normal 4 7 3 5 5" xfId="23544" xr:uid="{00000000-0005-0000-0000-0000FC5B0000}"/>
    <cellStyle name="Normal 4 7 3 5 6" xfId="23545" xr:uid="{00000000-0005-0000-0000-0000FD5B0000}"/>
    <cellStyle name="Normal 4 7 3 6" xfId="23546" xr:uid="{00000000-0005-0000-0000-0000FE5B0000}"/>
    <cellStyle name="Normal 4 7 3 6 2" xfId="23547" xr:uid="{00000000-0005-0000-0000-0000FF5B0000}"/>
    <cellStyle name="Normal 4 7 3 6 3" xfId="23548" xr:uid="{00000000-0005-0000-0000-0000005C0000}"/>
    <cellStyle name="Normal 4 7 3 6 4" xfId="23549" xr:uid="{00000000-0005-0000-0000-0000015C0000}"/>
    <cellStyle name="Normal 4 7 3 6 5" xfId="23550" xr:uid="{00000000-0005-0000-0000-0000025C0000}"/>
    <cellStyle name="Normal 4 7 3 6 6" xfId="23551" xr:uid="{00000000-0005-0000-0000-0000035C0000}"/>
    <cellStyle name="Normal 4 7 3 7" xfId="23552" xr:uid="{00000000-0005-0000-0000-0000045C0000}"/>
    <cellStyle name="Normal 4 7 3 7 2" xfId="23553" xr:uid="{00000000-0005-0000-0000-0000055C0000}"/>
    <cellStyle name="Normal 4 7 3 7 3" xfId="23554" xr:uid="{00000000-0005-0000-0000-0000065C0000}"/>
    <cellStyle name="Normal 4 7 3 7 4" xfId="23555" xr:uid="{00000000-0005-0000-0000-0000075C0000}"/>
    <cellStyle name="Normal 4 7 3 7 5" xfId="23556" xr:uid="{00000000-0005-0000-0000-0000085C0000}"/>
    <cellStyle name="Normal 4 7 3 7 6" xfId="23557" xr:uid="{00000000-0005-0000-0000-0000095C0000}"/>
    <cellStyle name="Normal 4 7 3 8" xfId="23558" xr:uid="{00000000-0005-0000-0000-00000A5C0000}"/>
    <cellStyle name="Normal 4 7 3 8 2" xfId="23559" xr:uid="{00000000-0005-0000-0000-00000B5C0000}"/>
    <cellStyle name="Normal 4 7 3 8 3" xfId="23560" xr:uid="{00000000-0005-0000-0000-00000C5C0000}"/>
    <cellStyle name="Normal 4 7 3 8 4" xfId="23561" xr:uid="{00000000-0005-0000-0000-00000D5C0000}"/>
    <cellStyle name="Normal 4 7 3 8 5" xfId="23562" xr:uid="{00000000-0005-0000-0000-00000E5C0000}"/>
    <cellStyle name="Normal 4 7 3 8 6" xfId="23563" xr:uid="{00000000-0005-0000-0000-00000F5C0000}"/>
    <cellStyle name="Normal 4 7 3 9" xfId="23564" xr:uid="{00000000-0005-0000-0000-0000105C0000}"/>
    <cellStyle name="Normal 4 7 3 9 2" xfId="23565" xr:uid="{00000000-0005-0000-0000-0000115C0000}"/>
    <cellStyle name="Normal 4 7 3 9 3" xfId="23566" xr:uid="{00000000-0005-0000-0000-0000125C0000}"/>
    <cellStyle name="Normal 4 7 3 9 4" xfId="23567" xr:uid="{00000000-0005-0000-0000-0000135C0000}"/>
    <cellStyle name="Normal 4 7 3 9 5" xfId="23568" xr:uid="{00000000-0005-0000-0000-0000145C0000}"/>
    <cellStyle name="Normal 4 7 3 9 6" xfId="23569" xr:uid="{00000000-0005-0000-0000-0000155C0000}"/>
    <cellStyle name="Normal 4 7 30" xfId="23570" xr:uid="{00000000-0005-0000-0000-0000165C0000}"/>
    <cellStyle name="Normal 4 7 31" xfId="23571" xr:uid="{00000000-0005-0000-0000-0000175C0000}"/>
    <cellStyle name="Normal 4 7 32" xfId="23572" xr:uid="{00000000-0005-0000-0000-0000185C0000}"/>
    <cellStyle name="Normal 4 7 33" xfId="23573" xr:uid="{00000000-0005-0000-0000-0000195C0000}"/>
    <cellStyle name="Normal 4 7 4" xfId="23574" xr:uid="{00000000-0005-0000-0000-00001A5C0000}"/>
    <cellStyle name="Normal 4 7 4 10" xfId="23575" xr:uid="{00000000-0005-0000-0000-00001B5C0000}"/>
    <cellStyle name="Normal 4 7 4 10 2" xfId="23576" xr:uid="{00000000-0005-0000-0000-00001C5C0000}"/>
    <cellStyle name="Normal 4 7 4 10 3" xfId="23577" xr:uid="{00000000-0005-0000-0000-00001D5C0000}"/>
    <cellStyle name="Normal 4 7 4 10 4" xfId="23578" xr:uid="{00000000-0005-0000-0000-00001E5C0000}"/>
    <cellStyle name="Normal 4 7 4 10 5" xfId="23579" xr:uid="{00000000-0005-0000-0000-00001F5C0000}"/>
    <cellStyle name="Normal 4 7 4 10 6" xfId="23580" xr:uid="{00000000-0005-0000-0000-0000205C0000}"/>
    <cellStyle name="Normal 4 7 4 11" xfId="23581" xr:uid="{00000000-0005-0000-0000-0000215C0000}"/>
    <cellStyle name="Normal 4 7 4 12" xfId="23582" xr:uid="{00000000-0005-0000-0000-0000225C0000}"/>
    <cellStyle name="Normal 4 7 4 13" xfId="23583" xr:uid="{00000000-0005-0000-0000-0000235C0000}"/>
    <cellStyle name="Normal 4 7 4 14" xfId="23584" xr:uid="{00000000-0005-0000-0000-0000245C0000}"/>
    <cellStyle name="Normal 4 7 4 15" xfId="23585" xr:uid="{00000000-0005-0000-0000-0000255C0000}"/>
    <cellStyle name="Normal 4 7 4 2" xfId="23586" xr:uid="{00000000-0005-0000-0000-0000265C0000}"/>
    <cellStyle name="Normal 4 7 4 2 10" xfId="23587" xr:uid="{00000000-0005-0000-0000-0000275C0000}"/>
    <cellStyle name="Normal 4 7 4 2 11" xfId="23588" xr:uid="{00000000-0005-0000-0000-0000285C0000}"/>
    <cellStyle name="Normal 4 7 4 2 12" xfId="23589" xr:uid="{00000000-0005-0000-0000-0000295C0000}"/>
    <cellStyle name="Normal 4 7 4 2 13" xfId="23590" xr:uid="{00000000-0005-0000-0000-00002A5C0000}"/>
    <cellStyle name="Normal 4 7 4 2 14" xfId="23591" xr:uid="{00000000-0005-0000-0000-00002B5C0000}"/>
    <cellStyle name="Normal 4 7 4 2 2" xfId="23592" xr:uid="{00000000-0005-0000-0000-00002C5C0000}"/>
    <cellStyle name="Normal 4 7 4 2 2 2" xfId="23593" xr:uid="{00000000-0005-0000-0000-00002D5C0000}"/>
    <cellStyle name="Normal 4 7 4 2 2 3" xfId="23594" xr:uid="{00000000-0005-0000-0000-00002E5C0000}"/>
    <cellStyle name="Normal 4 7 4 2 2 4" xfId="23595" xr:uid="{00000000-0005-0000-0000-00002F5C0000}"/>
    <cellStyle name="Normal 4 7 4 2 2 5" xfId="23596" xr:uid="{00000000-0005-0000-0000-0000305C0000}"/>
    <cellStyle name="Normal 4 7 4 2 2 6" xfId="23597" xr:uid="{00000000-0005-0000-0000-0000315C0000}"/>
    <cellStyle name="Normal 4 7 4 2 3" xfId="23598" xr:uid="{00000000-0005-0000-0000-0000325C0000}"/>
    <cellStyle name="Normal 4 7 4 2 3 2" xfId="23599" xr:uid="{00000000-0005-0000-0000-0000335C0000}"/>
    <cellStyle name="Normal 4 7 4 2 3 3" xfId="23600" xr:uid="{00000000-0005-0000-0000-0000345C0000}"/>
    <cellStyle name="Normal 4 7 4 2 3 4" xfId="23601" xr:uid="{00000000-0005-0000-0000-0000355C0000}"/>
    <cellStyle name="Normal 4 7 4 2 3 5" xfId="23602" xr:uid="{00000000-0005-0000-0000-0000365C0000}"/>
    <cellStyle name="Normal 4 7 4 2 3 6" xfId="23603" xr:uid="{00000000-0005-0000-0000-0000375C0000}"/>
    <cellStyle name="Normal 4 7 4 2 4" xfId="23604" xr:uid="{00000000-0005-0000-0000-0000385C0000}"/>
    <cellStyle name="Normal 4 7 4 2 4 2" xfId="23605" xr:uid="{00000000-0005-0000-0000-0000395C0000}"/>
    <cellStyle name="Normal 4 7 4 2 4 3" xfId="23606" xr:uid="{00000000-0005-0000-0000-00003A5C0000}"/>
    <cellStyle name="Normal 4 7 4 2 4 4" xfId="23607" xr:uid="{00000000-0005-0000-0000-00003B5C0000}"/>
    <cellStyle name="Normal 4 7 4 2 4 5" xfId="23608" xr:uid="{00000000-0005-0000-0000-00003C5C0000}"/>
    <cellStyle name="Normal 4 7 4 2 4 6" xfId="23609" xr:uid="{00000000-0005-0000-0000-00003D5C0000}"/>
    <cellStyle name="Normal 4 7 4 2 5" xfId="23610" xr:uid="{00000000-0005-0000-0000-00003E5C0000}"/>
    <cellStyle name="Normal 4 7 4 2 5 2" xfId="23611" xr:uid="{00000000-0005-0000-0000-00003F5C0000}"/>
    <cellStyle name="Normal 4 7 4 2 5 3" xfId="23612" xr:uid="{00000000-0005-0000-0000-0000405C0000}"/>
    <cellStyle name="Normal 4 7 4 2 5 4" xfId="23613" xr:uid="{00000000-0005-0000-0000-0000415C0000}"/>
    <cellStyle name="Normal 4 7 4 2 5 5" xfId="23614" xr:uid="{00000000-0005-0000-0000-0000425C0000}"/>
    <cellStyle name="Normal 4 7 4 2 5 6" xfId="23615" xr:uid="{00000000-0005-0000-0000-0000435C0000}"/>
    <cellStyle name="Normal 4 7 4 2 6" xfId="23616" xr:uid="{00000000-0005-0000-0000-0000445C0000}"/>
    <cellStyle name="Normal 4 7 4 2 6 2" xfId="23617" xr:uid="{00000000-0005-0000-0000-0000455C0000}"/>
    <cellStyle name="Normal 4 7 4 2 6 3" xfId="23618" xr:uid="{00000000-0005-0000-0000-0000465C0000}"/>
    <cellStyle name="Normal 4 7 4 2 6 4" xfId="23619" xr:uid="{00000000-0005-0000-0000-0000475C0000}"/>
    <cellStyle name="Normal 4 7 4 2 6 5" xfId="23620" xr:uid="{00000000-0005-0000-0000-0000485C0000}"/>
    <cellStyle name="Normal 4 7 4 2 6 6" xfId="23621" xr:uid="{00000000-0005-0000-0000-0000495C0000}"/>
    <cellStyle name="Normal 4 7 4 2 7" xfId="23622" xr:uid="{00000000-0005-0000-0000-00004A5C0000}"/>
    <cellStyle name="Normal 4 7 4 2 7 2" xfId="23623" xr:uid="{00000000-0005-0000-0000-00004B5C0000}"/>
    <cellStyle name="Normal 4 7 4 2 7 3" xfId="23624" xr:uid="{00000000-0005-0000-0000-00004C5C0000}"/>
    <cellStyle name="Normal 4 7 4 2 7 4" xfId="23625" xr:uid="{00000000-0005-0000-0000-00004D5C0000}"/>
    <cellStyle name="Normal 4 7 4 2 7 5" xfId="23626" xr:uid="{00000000-0005-0000-0000-00004E5C0000}"/>
    <cellStyle name="Normal 4 7 4 2 7 6" xfId="23627" xr:uid="{00000000-0005-0000-0000-00004F5C0000}"/>
    <cellStyle name="Normal 4 7 4 2 8" xfId="23628" xr:uid="{00000000-0005-0000-0000-0000505C0000}"/>
    <cellStyle name="Normal 4 7 4 2 8 2" xfId="23629" xr:uid="{00000000-0005-0000-0000-0000515C0000}"/>
    <cellStyle name="Normal 4 7 4 2 8 3" xfId="23630" xr:uid="{00000000-0005-0000-0000-0000525C0000}"/>
    <cellStyle name="Normal 4 7 4 2 8 4" xfId="23631" xr:uid="{00000000-0005-0000-0000-0000535C0000}"/>
    <cellStyle name="Normal 4 7 4 2 8 5" xfId="23632" xr:uid="{00000000-0005-0000-0000-0000545C0000}"/>
    <cellStyle name="Normal 4 7 4 2 8 6" xfId="23633" xr:uid="{00000000-0005-0000-0000-0000555C0000}"/>
    <cellStyle name="Normal 4 7 4 2 9" xfId="23634" xr:uid="{00000000-0005-0000-0000-0000565C0000}"/>
    <cellStyle name="Normal 4 7 4 2 9 2" xfId="23635" xr:uid="{00000000-0005-0000-0000-0000575C0000}"/>
    <cellStyle name="Normal 4 7 4 2 9 3" xfId="23636" xr:uid="{00000000-0005-0000-0000-0000585C0000}"/>
    <cellStyle name="Normal 4 7 4 2 9 4" xfId="23637" xr:uid="{00000000-0005-0000-0000-0000595C0000}"/>
    <cellStyle name="Normal 4 7 4 2 9 5" xfId="23638" xr:uid="{00000000-0005-0000-0000-00005A5C0000}"/>
    <cellStyle name="Normal 4 7 4 2 9 6" xfId="23639" xr:uid="{00000000-0005-0000-0000-00005B5C0000}"/>
    <cellStyle name="Normal 4 7 4 3" xfId="23640" xr:uid="{00000000-0005-0000-0000-00005C5C0000}"/>
    <cellStyle name="Normal 4 7 4 3 2" xfId="23641" xr:uid="{00000000-0005-0000-0000-00005D5C0000}"/>
    <cellStyle name="Normal 4 7 4 3 3" xfId="23642" xr:uid="{00000000-0005-0000-0000-00005E5C0000}"/>
    <cellStyle name="Normal 4 7 4 3 4" xfId="23643" xr:uid="{00000000-0005-0000-0000-00005F5C0000}"/>
    <cellStyle name="Normal 4 7 4 3 5" xfId="23644" xr:uid="{00000000-0005-0000-0000-0000605C0000}"/>
    <cellStyle name="Normal 4 7 4 3 6" xfId="23645" xr:uid="{00000000-0005-0000-0000-0000615C0000}"/>
    <cellStyle name="Normal 4 7 4 4" xfId="23646" xr:uid="{00000000-0005-0000-0000-0000625C0000}"/>
    <cellStyle name="Normal 4 7 4 4 2" xfId="23647" xr:uid="{00000000-0005-0000-0000-0000635C0000}"/>
    <cellStyle name="Normal 4 7 4 4 3" xfId="23648" xr:uid="{00000000-0005-0000-0000-0000645C0000}"/>
    <cellStyle name="Normal 4 7 4 4 4" xfId="23649" xr:uid="{00000000-0005-0000-0000-0000655C0000}"/>
    <cellStyle name="Normal 4 7 4 4 5" xfId="23650" xr:uid="{00000000-0005-0000-0000-0000665C0000}"/>
    <cellStyle name="Normal 4 7 4 4 6" xfId="23651" xr:uid="{00000000-0005-0000-0000-0000675C0000}"/>
    <cellStyle name="Normal 4 7 4 5" xfId="23652" xr:uid="{00000000-0005-0000-0000-0000685C0000}"/>
    <cellStyle name="Normal 4 7 4 5 2" xfId="23653" xr:uid="{00000000-0005-0000-0000-0000695C0000}"/>
    <cellStyle name="Normal 4 7 4 5 3" xfId="23654" xr:uid="{00000000-0005-0000-0000-00006A5C0000}"/>
    <cellStyle name="Normal 4 7 4 5 4" xfId="23655" xr:uid="{00000000-0005-0000-0000-00006B5C0000}"/>
    <cellStyle name="Normal 4 7 4 5 5" xfId="23656" xr:uid="{00000000-0005-0000-0000-00006C5C0000}"/>
    <cellStyle name="Normal 4 7 4 5 6" xfId="23657" xr:uid="{00000000-0005-0000-0000-00006D5C0000}"/>
    <cellStyle name="Normal 4 7 4 6" xfId="23658" xr:uid="{00000000-0005-0000-0000-00006E5C0000}"/>
    <cellStyle name="Normal 4 7 4 6 2" xfId="23659" xr:uid="{00000000-0005-0000-0000-00006F5C0000}"/>
    <cellStyle name="Normal 4 7 4 6 3" xfId="23660" xr:uid="{00000000-0005-0000-0000-0000705C0000}"/>
    <cellStyle name="Normal 4 7 4 6 4" xfId="23661" xr:uid="{00000000-0005-0000-0000-0000715C0000}"/>
    <cellStyle name="Normal 4 7 4 6 5" xfId="23662" xr:uid="{00000000-0005-0000-0000-0000725C0000}"/>
    <cellStyle name="Normal 4 7 4 6 6" xfId="23663" xr:uid="{00000000-0005-0000-0000-0000735C0000}"/>
    <cellStyle name="Normal 4 7 4 7" xfId="23664" xr:uid="{00000000-0005-0000-0000-0000745C0000}"/>
    <cellStyle name="Normal 4 7 4 7 2" xfId="23665" xr:uid="{00000000-0005-0000-0000-0000755C0000}"/>
    <cellStyle name="Normal 4 7 4 7 3" xfId="23666" xr:uid="{00000000-0005-0000-0000-0000765C0000}"/>
    <cellStyle name="Normal 4 7 4 7 4" xfId="23667" xr:uid="{00000000-0005-0000-0000-0000775C0000}"/>
    <cellStyle name="Normal 4 7 4 7 5" xfId="23668" xr:uid="{00000000-0005-0000-0000-0000785C0000}"/>
    <cellStyle name="Normal 4 7 4 7 6" xfId="23669" xr:uid="{00000000-0005-0000-0000-0000795C0000}"/>
    <cellStyle name="Normal 4 7 4 8" xfId="23670" xr:uid="{00000000-0005-0000-0000-00007A5C0000}"/>
    <cellStyle name="Normal 4 7 4 8 2" xfId="23671" xr:uid="{00000000-0005-0000-0000-00007B5C0000}"/>
    <cellStyle name="Normal 4 7 4 8 3" xfId="23672" xr:uid="{00000000-0005-0000-0000-00007C5C0000}"/>
    <cellStyle name="Normal 4 7 4 8 4" xfId="23673" xr:uid="{00000000-0005-0000-0000-00007D5C0000}"/>
    <cellStyle name="Normal 4 7 4 8 5" xfId="23674" xr:uid="{00000000-0005-0000-0000-00007E5C0000}"/>
    <cellStyle name="Normal 4 7 4 8 6" xfId="23675" xr:uid="{00000000-0005-0000-0000-00007F5C0000}"/>
    <cellStyle name="Normal 4 7 4 9" xfId="23676" xr:uid="{00000000-0005-0000-0000-0000805C0000}"/>
    <cellStyle name="Normal 4 7 4 9 2" xfId="23677" xr:uid="{00000000-0005-0000-0000-0000815C0000}"/>
    <cellStyle name="Normal 4 7 4 9 3" xfId="23678" xr:uid="{00000000-0005-0000-0000-0000825C0000}"/>
    <cellStyle name="Normal 4 7 4 9 4" xfId="23679" xr:uid="{00000000-0005-0000-0000-0000835C0000}"/>
    <cellStyle name="Normal 4 7 4 9 5" xfId="23680" xr:uid="{00000000-0005-0000-0000-0000845C0000}"/>
    <cellStyle name="Normal 4 7 4 9 6" xfId="23681" xr:uid="{00000000-0005-0000-0000-0000855C0000}"/>
    <cellStyle name="Normal 4 7 5" xfId="23682" xr:uid="{00000000-0005-0000-0000-0000865C0000}"/>
    <cellStyle name="Normal 4 7 5 10" xfId="23683" xr:uid="{00000000-0005-0000-0000-0000875C0000}"/>
    <cellStyle name="Normal 4 7 5 11" xfId="23684" xr:uid="{00000000-0005-0000-0000-0000885C0000}"/>
    <cellStyle name="Normal 4 7 5 12" xfId="23685" xr:uid="{00000000-0005-0000-0000-0000895C0000}"/>
    <cellStyle name="Normal 4 7 5 13" xfId="23686" xr:uid="{00000000-0005-0000-0000-00008A5C0000}"/>
    <cellStyle name="Normal 4 7 5 14" xfId="23687" xr:uid="{00000000-0005-0000-0000-00008B5C0000}"/>
    <cellStyle name="Normal 4 7 5 2" xfId="23688" xr:uid="{00000000-0005-0000-0000-00008C5C0000}"/>
    <cellStyle name="Normal 4 7 5 2 2" xfId="23689" xr:uid="{00000000-0005-0000-0000-00008D5C0000}"/>
    <cellStyle name="Normal 4 7 5 2 3" xfId="23690" xr:uid="{00000000-0005-0000-0000-00008E5C0000}"/>
    <cellStyle name="Normal 4 7 5 2 4" xfId="23691" xr:uid="{00000000-0005-0000-0000-00008F5C0000}"/>
    <cellStyle name="Normal 4 7 5 2 5" xfId="23692" xr:uid="{00000000-0005-0000-0000-0000905C0000}"/>
    <cellStyle name="Normal 4 7 5 2 6" xfId="23693" xr:uid="{00000000-0005-0000-0000-0000915C0000}"/>
    <cellStyle name="Normal 4 7 5 3" xfId="23694" xr:uid="{00000000-0005-0000-0000-0000925C0000}"/>
    <cellStyle name="Normal 4 7 5 3 2" xfId="23695" xr:uid="{00000000-0005-0000-0000-0000935C0000}"/>
    <cellStyle name="Normal 4 7 5 3 3" xfId="23696" xr:uid="{00000000-0005-0000-0000-0000945C0000}"/>
    <cellStyle name="Normal 4 7 5 3 4" xfId="23697" xr:uid="{00000000-0005-0000-0000-0000955C0000}"/>
    <cellStyle name="Normal 4 7 5 3 5" xfId="23698" xr:uid="{00000000-0005-0000-0000-0000965C0000}"/>
    <cellStyle name="Normal 4 7 5 3 6" xfId="23699" xr:uid="{00000000-0005-0000-0000-0000975C0000}"/>
    <cellStyle name="Normal 4 7 5 4" xfId="23700" xr:uid="{00000000-0005-0000-0000-0000985C0000}"/>
    <cellStyle name="Normal 4 7 5 4 2" xfId="23701" xr:uid="{00000000-0005-0000-0000-0000995C0000}"/>
    <cellStyle name="Normal 4 7 5 4 3" xfId="23702" xr:uid="{00000000-0005-0000-0000-00009A5C0000}"/>
    <cellStyle name="Normal 4 7 5 4 4" xfId="23703" xr:uid="{00000000-0005-0000-0000-00009B5C0000}"/>
    <cellStyle name="Normal 4 7 5 4 5" xfId="23704" xr:uid="{00000000-0005-0000-0000-00009C5C0000}"/>
    <cellStyle name="Normal 4 7 5 4 6" xfId="23705" xr:uid="{00000000-0005-0000-0000-00009D5C0000}"/>
    <cellStyle name="Normal 4 7 5 5" xfId="23706" xr:uid="{00000000-0005-0000-0000-00009E5C0000}"/>
    <cellStyle name="Normal 4 7 5 5 2" xfId="23707" xr:uid="{00000000-0005-0000-0000-00009F5C0000}"/>
    <cellStyle name="Normal 4 7 5 5 3" xfId="23708" xr:uid="{00000000-0005-0000-0000-0000A05C0000}"/>
    <cellStyle name="Normal 4 7 5 5 4" xfId="23709" xr:uid="{00000000-0005-0000-0000-0000A15C0000}"/>
    <cellStyle name="Normal 4 7 5 5 5" xfId="23710" xr:uid="{00000000-0005-0000-0000-0000A25C0000}"/>
    <cellStyle name="Normal 4 7 5 5 6" xfId="23711" xr:uid="{00000000-0005-0000-0000-0000A35C0000}"/>
    <cellStyle name="Normal 4 7 5 6" xfId="23712" xr:uid="{00000000-0005-0000-0000-0000A45C0000}"/>
    <cellStyle name="Normal 4 7 5 6 2" xfId="23713" xr:uid="{00000000-0005-0000-0000-0000A55C0000}"/>
    <cellStyle name="Normal 4 7 5 6 3" xfId="23714" xr:uid="{00000000-0005-0000-0000-0000A65C0000}"/>
    <cellStyle name="Normal 4 7 5 6 4" xfId="23715" xr:uid="{00000000-0005-0000-0000-0000A75C0000}"/>
    <cellStyle name="Normal 4 7 5 6 5" xfId="23716" xr:uid="{00000000-0005-0000-0000-0000A85C0000}"/>
    <cellStyle name="Normal 4 7 5 6 6" xfId="23717" xr:uid="{00000000-0005-0000-0000-0000A95C0000}"/>
    <cellStyle name="Normal 4 7 5 7" xfId="23718" xr:uid="{00000000-0005-0000-0000-0000AA5C0000}"/>
    <cellStyle name="Normal 4 7 5 7 2" xfId="23719" xr:uid="{00000000-0005-0000-0000-0000AB5C0000}"/>
    <cellStyle name="Normal 4 7 5 7 3" xfId="23720" xr:uid="{00000000-0005-0000-0000-0000AC5C0000}"/>
    <cellStyle name="Normal 4 7 5 7 4" xfId="23721" xr:uid="{00000000-0005-0000-0000-0000AD5C0000}"/>
    <cellStyle name="Normal 4 7 5 7 5" xfId="23722" xr:uid="{00000000-0005-0000-0000-0000AE5C0000}"/>
    <cellStyle name="Normal 4 7 5 7 6" xfId="23723" xr:uid="{00000000-0005-0000-0000-0000AF5C0000}"/>
    <cellStyle name="Normal 4 7 5 8" xfId="23724" xr:uid="{00000000-0005-0000-0000-0000B05C0000}"/>
    <cellStyle name="Normal 4 7 5 8 2" xfId="23725" xr:uid="{00000000-0005-0000-0000-0000B15C0000}"/>
    <cellStyle name="Normal 4 7 5 8 3" xfId="23726" xr:uid="{00000000-0005-0000-0000-0000B25C0000}"/>
    <cellStyle name="Normal 4 7 5 8 4" xfId="23727" xr:uid="{00000000-0005-0000-0000-0000B35C0000}"/>
    <cellStyle name="Normal 4 7 5 8 5" xfId="23728" xr:uid="{00000000-0005-0000-0000-0000B45C0000}"/>
    <cellStyle name="Normal 4 7 5 8 6" xfId="23729" xr:uid="{00000000-0005-0000-0000-0000B55C0000}"/>
    <cellStyle name="Normal 4 7 5 9" xfId="23730" xr:uid="{00000000-0005-0000-0000-0000B65C0000}"/>
    <cellStyle name="Normal 4 7 5 9 2" xfId="23731" xr:uid="{00000000-0005-0000-0000-0000B75C0000}"/>
    <cellStyle name="Normal 4 7 5 9 3" xfId="23732" xr:uid="{00000000-0005-0000-0000-0000B85C0000}"/>
    <cellStyle name="Normal 4 7 5 9 4" xfId="23733" xr:uid="{00000000-0005-0000-0000-0000B95C0000}"/>
    <cellStyle name="Normal 4 7 5 9 5" xfId="23734" xr:uid="{00000000-0005-0000-0000-0000BA5C0000}"/>
    <cellStyle name="Normal 4 7 5 9 6" xfId="23735" xr:uid="{00000000-0005-0000-0000-0000BB5C0000}"/>
    <cellStyle name="Normal 4 7 6" xfId="23736" xr:uid="{00000000-0005-0000-0000-0000BC5C0000}"/>
    <cellStyle name="Normal 4 7 6 2" xfId="23737" xr:uid="{00000000-0005-0000-0000-0000BD5C0000}"/>
    <cellStyle name="Normal 4 7 6 3" xfId="23738" xr:uid="{00000000-0005-0000-0000-0000BE5C0000}"/>
    <cellStyle name="Normal 4 7 6 4" xfId="23739" xr:uid="{00000000-0005-0000-0000-0000BF5C0000}"/>
    <cellStyle name="Normal 4 7 6 5" xfId="23740" xr:uid="{00000000-0005-0000-0000-0000C05C0000}"/>
    <cellStyle name="Normal 4 7 6 6" xfId="23741" xr:uid="{00000000-0005-0000-0000-0000C15C0000}"/>
    <cellStyle name="Normal 4 7 7" xfId="23742" xr:uid="{00000000-0005-0000-0000-0000C25C0000}"/>
    <cellStyle name="Normal 4 7 7 2" xfId="23743" xr:uid="{00000000-0005-0000-0000-0000C35C0000}"/>
    <cellStyle name="Normal 4 7 7 3" xfId="23744" xr:uid="{00000000-0005-0000-0000-0000C45C0000}"/>
    <cellStyle name="Normal 4 7 7 4" xfId="23745" xr:uid="{00000000-0005-0000-0000-0000C55C0000}"/>
    <cellStyle name="Normal 4 7 7 5" xfId="23746" xr:uid="{00000000-0005-0000-0000-0000C65C0000}"/>
    <cellStyle name="Normal 4 7 7 6" xfId="23747" xr:uid="{00000000-0005-0000-0000-0000C75C0000}"/>
    <cellStyle name="Normal 4 7 8" xfId="23748" xr:uid="{00000000-0005-0000-0000-0000C85C0000}"/>
    <cellStyle name="Normal 4 7 8 2" xfId="23749" xr:uid="{00000000-0005-0000-0000-0000C95C0000}"/>
    <cellStyle name="Normal 4 7 8 3" xfId="23750" xr:uid="{00000000-0005-0000-0000-0000CA5C0000}"/>
    <cellStyle name="Normal 4 7 8 4" xfId="23751" xr:uid="{00000000-0005-0000-0000-0000CB5C0000}"/>
    <cellStyle name="Normal 4 7 8 5" xfId="23752" xr:uid="{00000000-0005-0000-0000-0000CC5C0000}"/>
    <cellStyle name="Normal 4 7 8 6" xfId="23753" xr:uid="{00000000-0005-0000-0000-0000CD5C0000}"/>
    <cellStyle name="Normal 4 7 9" xfId="23754" xr:uid="{00000000-0005-0000-0000-0000CE5C0000}"/>
    <cellStyle name="Normal 4 7 9 2" xfId="23755" xr:uid="{00000000-0005-0000-0000-0000CF5C0000}"/>
    <cellStyle name="Normal 4 7 9 3" xfId="23756" xr:uid="{00000000-0005-0000-0000-0000D05C0000}"/>
    <cellStyle name="Normal 4 7 9 4" xfId="23757" xr:uid="{00000000-0005-0000-0000-0000D15C0000}"/>
    <cellStyle name="Normal 4 7 9 5" xfId="23758" xr:uid="{00000000-0005-0000-0000-0000D25C0000}"/>
    <cellStyle name="Normal 4 7 9 6" xfId="23759" xr:uid="{00000000-0005-0000-0000-0000D35C0000}"/>
    <cellStyle name="Normal 4 8" xfId="23760" xr:uid="{00000000-0005-0000-0000-0000D45C0000}"/>
    <cellStyle name="Normal 4 8 10" xfId="23761" xr:uid="{00000000-0005-0000-0000-0000D55C0000}"/>
    <cellStyle name="Normal 4 8 10 2" xfId="23762" xr:uid="{00000000-0005-0000-0000-0000D65C0000}"/>
    <cellStyle name="Normal 4 8 10 3" xfId="23763" xr:uid="{00000000-0005-0000-0000-0000D75C0000}"/>
    <cellStyle name="Normal 4 8 10 4" xfId="23764" xr:uid="{00000000-0005-0000-0000-0000D85C0000}"/>
    <cellStyle name="Normal 4 8 10 5" xfId="23765" xr:uid="{00000000-0005-0000-0000-0000D95C0000}"/>
    <cellStyle name="Normal 4 8 10 6" xfId="23766" xr:uid="{00000000-0005-0000-0000-0000DA5C0000}"/>
    <cellStyle name="Normal 4 8 11" xfId="23767" xr:uid="{00000000-0005-0000-0000-0000DB5C0000}"/>
    <cellStyle name="Normal 4 8 11 2" xfId="23768" xr:uid="{00000000-0005-0000-0000-0000DC5C0000}"/>
    <cellStyle name="Normal 4 8 11 3" xfId="23769" xr:uid="{00000000-0005-0000-0000-0000DD5C0000}"/>
    <cellStyle name="Normal 4 8 11 4" xfId="23770" xr:uid="{00000000-0005-0000-0000-0000DE5C0000}"/>
    <cellStyle name="Normal 4 8 11 5" xfId="23771" xr:uid="{00000000-0005-0000-0000-0000DF5C0000}"/>
    <cellStyle name="Normal 4 8 11 6" xfId="23772" xr:uid="{00000000-0005-0000-0000-0000E05C0000}"/>
    <cellStyle name="Normal 4 8 12" xfId="23773" xr:uid="{00000000-0005-0000-0000-0000E15C0000}"/>
    <cellStyle name="Normal 4 8 12 2" xfId="23774" xr:uid="{00000000-0005-0000-0000-0000E25C0000}"/>
    <cellStyle name="Normal 4 8 12 3" xfId="23775" xr:uid="{00000000-0005-0000-0000-0000E35C0000}"/>
    <cellStyle name="Normal 4 8 12 4" xfId="23776" xr:uid="{00000000-0005-0000-0000-0000E45C0000}"/>
    <cellStyle name="Normal 4 8 12 5" xfId="23777" xr:uid="{00000000-0005-0000-0000-0000E55C0000}"/>
    <cellStyle name="Normal 4 8 12 6" xfId="23778" xr:uid="{00000000-0005-0000-0000-0000E65C0000}"/>
    <cellStyle name="Normal 4 8 13" xfId="23779" xr:uid="{00000000-0005-0000-0000-0000E75C0000}"/>
    <cellStyle name="Normal 4 8 13 2" xfId="23780" xr:uid="{00000000-0005-0000-0000-0000E85C0000}"/>
    <cellStyle name="Normal 4 8 13 3" xfId="23781" xr:uid="{00000000-0005-0000-0000-0000E95C0000}"/>
    <cellStyle name="Normal 4 8 13 4" xfId="23782" xr:uid="{00000000-0005-0000-0000-0000EA5C0000}"/>
    <cellStyle name="Normal 4 8 13 5" xfId="23783" xr:uid="{00000000-0005-0000-0000-0000EB5C0000}"/>
    <cellStyle name="Normal 4 8 13 6" xfId="23784" xr:uid="{00000000-0005-0000-0000-0000EC5C0000}"/>
    <cellStyle name="Normal 4 8 14" xfId="23785" xr:uid="{00000000-0005-0000-0000-0000ED5C0000}"/>
    <cellStyle name="Normal 4 8 15" xfId="23786" xr:uid="{00000000-0005-0000-0000-0000EE5C0000}"/>
    <cellStyle name="Normal 4 8 16" xfId="23787" xr:uid="{00000000-0005-0000-0000-0000EF5C0000}"/>
    <cellStyle name="Normal 4 8 17" xfId="23788" xr:uid="{00000000-0005-0000-0000-0000F05C0000}"/>
    <cellStyle name="Normal 4 8 18" xfId="23789" xr:uid="{00000000-0005-0000-0000-0000F15C0000}"/>
    <cellStyle name="Normal 4 8 19" xfId="23790" xr:uid="{00000000-0005-0000-0000-0000F25C0000}"/>
    <cellStyle name="Normal 4 8 2" xfId="23791" xr:uid="{00000000-0005-0000-0000-0000F35C0000}"/>
    <cellStyle name="Normal 4 8 2 10" xfId="23792" xr:uid="{00000000-0005-0000-0000-0000F45C0000}"/>
    <cellStyle name="Normal 4 8 2 10 2" xfId="23793" xr:uid="{00000000-0005-0000-0000-0000F55C0000}"/>
    <cellStyle name="Normal 4 8 2 10 3" xfId="23794" xr:uid="{00000000-0005-0000-0000-0000F65C0000}"/>
    <cellStyle name="Normal 4 8 2 10 4" xfId="23795" xr:uid="{00000000-0005-0000-0000-0000F75C0000}"/>
    <cellStyle name="Normal 4 8 2 10 5" xfId="23796" xr:uid="{00000000-0005-0000-0000-0000F85C0000}"/>
    <cellStyle name="Normal 4 8 2 10 6" xfId="23797" xr:uid="{00000000-0005-0000-0000-0000F95C0000}"/>
    <cellStyle name="Normal 4 8 2 11" xfId="23798" xr:uid="{00000000-0005-0000-0000-0000FA5C0000}"/>
    <cellStyle name="Normal 4 8 2 11 2" xfId="23799" xr:uid="{00000000-0005-0000-0000-0000FB5C0000}"/>
    <cellStyle name="Normal 4 8 2 11 3" xfId="23800" xr:uid="{00000000-0005-0000-0000-0000FC5C0000}"/>
    <cellStyle name="Normal 4 8 2 11 4" xfId="23801" xr:uid="{00000000-0005-0000-0000-0000FD5C0000}"/>
    <cellStyle name="Normal 4 8 2 11 5" xfId="23802" xr:uid="{00000000-0005-0000-0000-0000FE5C0000}"/>
    <cellStyle name="Normal 4 8 2 11 6" xfId="23803" xr:uid="{00000000-0005-0000-0000-0000FF5C0000}"/>
    <cellStyle name="Normal 4 8 2 12" xfId="23804" xr:uid="{00000000-0005-0000-0000-0000005D0000}"/>
    <cellStyle name="Normal 4 8 2 13" xfId="23805" xr:uid="{00000000-0005-0000-0000-0000015D0000}"/>
    <cellStyle name="Normal 4 8 2 14" xfId="23806" xr:uid="{00000000-0005-0000-0000-0000025D0000}"/>
    <cellStyle name="Normal 4 8 2 15" xfId="23807" xr:uid="{00000000-0005-0000-0000-0000035D0000}"/>
    <cellStyle name="Normal 4 8 2 16" xfId="23808" xr:uid="{00000000-0005-0000-0000-0000045D0000}"/>
    <cellStyle name="Normal 4 8 2 17" xfId="23809" xr:uid="{00000000-0005-0000-0000-0000055D0000}"/>
    <cellStyle name="Normal 4 8 2 18" xfId="23810" xr:uid="{00000000-0005-0000-0000-0000065D0000}"/>
    <cellStyle name="Normal 4 8 2 19" xfId="23811" xr:uid="{00000000-0005-0000-0000-0000075D0000}"/>
    <cellStyle name="Normal 4 8 2 2" xfId="23812" xr:uid="{00000000-0005-0000-0000-0000085D0000}"/>
    <cellStyle name="Normal 4 8 2 2 10" xfId="23813" xr:uid="{00000000-0005-0000-0000-0000095D0000}"/>
    <cellStyle name="Normal 4 8 2 2 10 2" xfId="23814" xr:uid="{00000000-0005-0000-0000-00000A5D0000}"/>
    <cellStyle name="Normal 4 8 2 2 10 3" xfId="23815" xr:uid="{00000000-0005-0000-0000-00000B5D0000}"/>
    <cellStyle name="Normal 4 8 2 2 10 4" xfId="23816" xr:uid="{00000000-0005-0000-0000-00000C5D0000}"/>
    <cellStyle name="Normal 4 8 2 2 10 5" xfId="23817" xr:uid="{00000000-0005-0000-0000-00000D5D0000}"/>
    <cellStyle name="Normal 4 8 2 2 10 6" xfId="23818" xr:uid="{00000000-0005-0000-0000-00000E5D0000}"/>
    <cellStyle name="Normal 4 8 2 2 11" xfId="23819" xr:uid="{00000000-0005-0000-0000-00000F5D0000}"/>
    <cellStyle name="Normal 4 8 2 2 12" xfId="23820" xr:uid="{00000000-0005-0000-0000-0000105D0000}"/>
    <cellStyle name="Normal 4 8 2 2 13" xfId="23821" xr:uid="{00000000-0005-0000-0000-0000115D0000}"/>
    <cellStyle name="Normal 4 8 2 2 14" xfId="23822" xr:uid="{00000000-0005-0000-0000-0000125D0000}"/>
    <cellStyle name="Normal 4 8 2 2 15" xfId="23823" xr:uid="{00000000-0005-0000-0000-0000135D0000}"/>
    <cellStyle name="Normal 4 8 2 2 2" xfId="23824" xr:uid="{00000000-0005-0000-0000-0000145D0000}"/>
    <cellStyle name="Normal 4 8 2 2 2 10" xfId="23825" xr:uid="{00000000-0005-0000-0000-0000155D0000}"/>
    <cellStyle name="Normal 4 8 2 2 2 11" xfId="23826" xr:uid="{00000000-0005-0000-0000-0000165D0000}"/>
    <cellStyle name="Normal 4 8 2 2 2 12" xfId="23827" xr:uid="{00000000-0005-0000-0000-0000175D0000}"/>
    <cellStyle name="Normal 4 8 2 2 2 13" xfId="23828" xr:uid="{00000000-0005-0000-0000-0000185D0000}"/>
    <cellStyle name="Normal 4 8 2 2 2 14" xfId="23829" xr:uid="{00000000-0005-0000-0000-0000195D0000}"/>
    <cellStyle name="Normal 4 8 2 2 2 2" xfId="23830" xr:uid="{00000000-0005-0000-0000-00001A5D0000}"/>
    <cellStyle name="Normal 4 8 2 2 2 2 2" xfId="23831" xr:uid="{00000000-0005-0000-0000-00001B5D0000}"/>
    <cellStyle name="Normal 4 8 2 2 2 2 3" xfId="23832" xr:uid="{00000000-0005-0000-0000-00001C5D0000}"/>
    <cellStyle name="Normal 4 8 2 2 2 2 4" xfId="23833" xr:uid="{00000000-0005-0000-0000-00001D5D0000}"/>
    <cellStyle name="Normal 4 8 2 2 2 2 5" xfId="23834" xr:uid="{00000000-0005-0000-0000-00001E5D0000}"/>
    <cellStyle name="Normal 4 8 2 2 2 2 6" xfId="23835" xr:uid="{00000000-0005-0000-0000-00001F5D0000}"/>
    <cellStyle name="Normal 4 8 2 2 2 3" xfId="23836" xr:uid="{00000000-0005-0000-0000-0000205D0000}"/>
    <cellStyle name="Normal 4 8 2 2 2 3 2" xfId="23837" xr:uid="{00000000-0005-0000-0000-0000215D0000}"/>
    <cellStyle name="Normal 4 8 2 2 2 3 3" xfId="23838" xr:uid="{00000000-0005-0000-0000-0000225D0000}"/>
    <cellStyle name="Normal 4 8 2 2 2 3 4" xfId="23839" xr:uid="{00000000-0005-0000-0000-0000235D0000}"/>
    <cellStyle name="Normal 4 8 2 2 2 3 5" xfId="23840" xr:uid="{00000000-0005-0000-0000-0000245D0000}"/>
    <cellStyle name="Normal 4 8 2 2 2 3 6" xfId="23841" xr:uid="{00000000-0005-0000-0000-0000255D0000}"/>
    <cellStyle name="Normal 4 8 2 2 2 4" xfId="23842" xr:uid="{00000000-0005-0000-0000-0000265D0000}"/>
    <cellStyle name="Normal 4 8 2 2 2 4 2" xfId="23843" xr:uid="{00000000-0005-0000-0000-0000275D0000}"/>
    <cellStyle name="Normal 4 8 2 2 2 4 3" xfId="23844" xr:uid="{00000000-0005-0000-0000-0000285D0000}"/>
    <cellStyle name="Normal 4 8 2 2 2 4 4" xfId="23845" xr:uid="{00000000-0005-0000-0000-0000295D0000}"/>
    <cellStyle name="Normal 4 8 2 2 2 4 5" xfId="23846" xr:uid="{00000000-0005-0000-0000-00002A5D0000}"/>
    <cellStyle name="Normal 4 8 2 2 2 4 6" xfId="23847" xr:uid="{00000000-0005-0000-0000-00002B5D0000}"/>
    <cellStyle name="Normal 4 8 2 2 2 5" xfId="23848" xr:uid="{00000000-0005-0000-0000-00002C5D0000}"/>
    <cellStyle name="Normal 4 8 2 2 2 5 2" xfId="23849" xr:uid="{00000000-0005-0000-0000-00002D5D0000}"/>
    <cellStyle name="Normal 4 8 2 2 2 5 3" xfId="23850" xr:uid="{00000000-0005-0000-0000-00002E5D0000}"/>
    <cellStyle name="Normal 4 8 2 2 2 5 4" xfId="23851" xr:uid="{00000000-0005-0000-0000-00002F5D0000}"/>
    <cellStyle name="Normal 4 8 2 2 2 5 5" xfId="23852" xr:uid="{00000000-0005-0000-0000-0000305D0000}"/>
    <cellStyle name="Normal 4 8 2 2 2 5 6" xfId="23853" xr:uid="{00000000-0005-0000-0000-0000315D0000}"/>
    <cellStyle name="Normal 4 8 2 2 2 6" xfId="23854" xr:uid="{00000000-0005-0000-0000-0000325D0000}"/>
    <cellStyle name="Normal 4 8 2 2 2 6 2" xfId="23855" xr:uid="{00000000-0005-0000-0000-0000335D0000}"/>
    <cellStyle name="Normal 4 8 2 2 2 6 3" xfId="23856" xr:uid="{00000000-0005-0000-0000-0000345D0000}"/>
    <cellStyle name="Normal 4 8 2 2 2 6 4" xfId="23857" xr:uid="{00000000-0005-0000-0000-0000355D0000}"/>
    <cellStyle name="Normal 4 8 2 2 2 6 5" xfId="23858" xr:uid="{00000000-0005-0000-0000-0000365D0000}"/>
    <cellStyle name="Normal 4 8 2 2 2 6 6" xfId="23859" xr:uid="{00000000-0005-0000-0000-0000375D0000}"/>
    <cellStyle name="Normal 4 8 2 2 2 7" xfId="23860" xr:uid="{00000000-0005-0000-0000-0000385D0000}"/>
    <cellStyle name="Normal 4 8 2 2 2 7 2" xfId="23861" xr:uid="{00000000-0005-0000-0000-0000395D0000}"/>
    <cellStyle name="Normal 4 8 2 2 2 7 3" xfId="23862" xr:uid="{00000000-0005-0000-0000-00003A5D0000}"/>
    <cellStyle name="Normal 4 8 2 2 2 7 4" xfId="23863" xr:uid="{00000000-0005-0000-0000-00003B5D0000}"/>
    <cellStyle name="Normal 4 8 2 2 2 7 5" xfId="23864" xr:uid="{00000000-0005-0000-0000-00003C5D0000}"/>
    <cellStyle name="Normal 4 8 2 2 2 7 6" xfId="23865" xr:uid="{00000000-0005-0000-0000-00003D5D0000}"/>
    <cellStyle name="Normal 4 8 2 2 2 8" xfId="23866" xr:uid="{00000000-0005-0000-0000-00003E5D0000}"/>
    <cellStyle name="Normal 4 8 2 2 2 8 2" xfId="23867" xr:uid="{00000000-0005-0000-0000-00003F5D0000}"/>
    <cellStyle name="Normal 4 8 2 2 2 8 3" xfId="23868" xr:uid="{00000000-0005-0000-0000-0000405D0000}"/>
    <cellStyle name="Normal 4 8 2 2 2 8 4" xfId="23869" xr:uid="{00000000-0005-0000-0000-0000415D0000}"/>
    <cellStyle name="Normal 4 8 2 2 2 8 5" xfId="23870" xr:uid="{00000000-0005-0000-0000-0000425D0000}"/>
    <cellStyle name="Normal 4 8 2 2 2 8 6" xfId="23871" xr:uid="{00000000-0005-0000-0000-0000435D0000}"/>
    <cellStyle name="Normal 4 8 2 2 2 9" xfId="23872" xr:uid="{00000000-0005-0000-0000-0000445D0000}"/>
    <cellStyle name="Normal 4 8 2 2 2 9 2" xfId="23873" xr:uid="{00000000-0005-0000-0000-0000455D0000}"/>
    <cellStyle name="Normal 4 8 2 2 2 9 3" xfId="23874" xr:uid="{00000000-0005-0000-0000-0000465D0000}"/>
    <cellStyle name="Normal 4 8 2 2 2 9 4" xfId="23875" xr:uid="{00000000-0005-0000-0000-0000475D0000}"/>
    <cellStyle name="Normal 4 8 2 2 2 9 5" xfId="23876" xr:uid="{00000000-0005-0000-0000-0000485D0000}"/>
    <cellStyle name="Normal 4 8 2 2 2 9 6" xfId="23877" xr:uid="{00000000-0005-0000-0000-0000495D0000}"/>
    <cellStyle name="Normal 4 8 2 2 3" xfId="23878" xr:uid="{00000000-0005-0000-0000-00004A5D0000}"/>
    <cellStyle name="Normal 4 8 2 2 3 2" xfId="23879" xr:uid="{00000000-0005-0000-0000-00004B5D0000}"/>
    <cellStyle name="Normal 4 8 2 2 3 3" xfId="23880" xr:uid="{00000000-0005-0000-0000-00004C5D0000}"/>
    <cellStyle name="Normal 4 8 2 2 3 4" xfId="23881" xr:uid="{00000000-0005-0000-0000-00004D5D0000}"/>
    <cellStyle name="Normal 4 8 2 2 3 5" xfId="23882" xr:uid="{00000000-0005-0000-0000-00004E5D0000}"/>
    <cellStyle name="Normal 4 8 2 2 3 6" xfId="23883" xr:uid="{00000000-0005-0000-0000-00004F5D0000}"/>
    <cellStyle name="Normal 4 8 2 2 4" xfId="23884" xr:uid="{00000000-0005-0000-0000-0000505D0000}"/>
    <cellStyle name="Normal 4 8 2 2 4 2" xfId="23885" xr:uid="{00000000-0005-0000-0000-0000515D0000}"/>
    <cellStyle name="Normal 4 8 2 2 4 3" xfId="23886" xr:uid="{00000000-0005-0000-0000-0000525D0000}"/>
    <cellStyle name="Normal 4 8 2 2 4 4" xfId="23887" xr:uid="{00000000-0005-0000-0000-0000535D0000}"/>
    <cellStyle name="Normal 4 8 2 2 4 5" xfId="23888" xr:uid="{00000000-0005-0000-0000-0000545D0000}"/>
    <cellStyle name="Normal 4 8 2 2 4 6" xfId="23889" xr:uid="{00000000-0005-0000-0000-0000555D0000}"/>
    <cellStyle name="Normal 4 8 2 2 5" xfId="23890" xr:uid="{00000000-0005-0000-0000-0000565D0000}"/>
    <cellStyle name="Normal 4 8 2 2 5 2" xfId="23891" xr:uid="{00000000-0005-0000-0000-0000575D0000}"/>
    <cellStyle name="Normal 4 8 2 2 5 3" xfId="23892" xr:uid="{00000000-0005-0000-0000-0000585D0000}"/>
    <cellStyle name="Normal 4 8 2 2 5 4" xfId="23893" xr:uid="{00000000-0005-0000-0000-0000595D0000}"/>
    <cellStyle name="Normal 4 8 2 2 5 5" xfId="23894" xr:uid="{00000000-0005-0000-0000-00005A5D0000}"/>
    <cellStyle name="Normal 4 8 2 2 5 6" xfId="23895" xr:uid="{00000000-0005-0000-0000-00005B5D0000}"/>
    <cellStyle name="Normal 4 8 2 2 6" xfId="23896" xr:uid="{00000000-0005-0000-0000-00005C5D0000}"/>
    <cellStyle name="Normal 4 8 2 2 6 2" xfId="23897" xr:uid="{00000000-0005-0000-0000-00005D5D0000}"/>
    <cellStyle name="Normal 4 8 2 2 6 3" xfId="23898" xr:uid="{00000000-0005-0000-0000-00005E5D0000}"/>
    <cellStyle name="Normal 4 8 2 2 6 4" xfId="23899" xr:uid="{00000000-0005-0000-0000-00005F5D0000}"/>
    <cellStyle name="Normal 4 8 2 2 6 5" xfId="23900" xr:uid="{00000000-0005-0000-0000-0000605D0000}"/>
    <cellStyle name="Normal 4 8 2 2 6 6" xfId="23901" xr:uid="{00000000-0005-0000-0000-0000615D0000}"/>
    <cellStyle name="Normal 4 8 2 2 7" xfId="23902" xr:uid="{00000000-0005-0000-0000-0000625D0000}"/>
    <cellStyle name="Normal 4 8 2 2 7 2" xfId="23903" xr:uid="{00000000-0005-0000-0000-0000635D0000}"/>
    <cellStyle name="Normal 4 8 2 2 7 3" xfId="23904" xr:uid="{00000000-0005-0000-0000-0000645D0000}"/>
    <cellStyle name="Normal 4 8 2 2 7 4" xfId="23905" xr:uid="{00000000-0005-0000-0000-0000655D0000}"/>
    <cellStyle name="Normal 4 8 2 2 7 5" xfId="23906" xr:uid="{00000000-0005-0000-0000-0000665D0000}"/>
    <cellStyle name="Normal 4 8 2 2 7 6" xfId="23907" xr:uid="{00000000-0005-0000-0000-0000675D0000}"/>
    <cellStyle name="Normal 4 8 2 2 8" xfId="23908" xr:uid="{00000000-0005-0000-0000-0000685D0000}"/>
    <cellStyle name="Normal 4 8 2 2 8 2" xfId="23909" xr:uid="{00000000-0005-0000-0000-0000695D0000}"/>
    <cellStyle name="Normal 4 8 2 2 8 3" xfId="23910" xr:uid="{00000000-0005-0000-0000-00006A5D0000}"/>
    <cellStyle name="Normal 4 8 2 2 8 4" xfId="23911" xr:uid="{00000000-0005-0000-0000-00006B5D0000}"/>
    <cellStyle name="Normal 4 8 2 2 8 5" xfId="23912" xr:uid="{00000000-0005-0000-0000-00006C5D0000}"/>
    <cellStyle name="Normal 4 8 2 2 8 6" xfId="23913" xr:uid="{00000000-0005-0000-0000-00006D5D0000}"/>
    <cellStyle name="Normal 4 8 2 2 9" xfId="23914" xr:uid="{00000000-0005-0000-0000-00006E5D0000}"/>
    <cellStyle name="Normal 4 8 2 2 9 2" xfId="23915" xr:uid="{00000000-0005-0000-0000-00006F5D0000}"/>
    <cellStyle name="Normal 4 8 2 2 9 3" xfId="23916" xr:uid="{00000000-0005-0000-0000-0000705D0000}"/>
    <cellStyle name="Normal 4 8 2 2 9 4" xfId="23917" xr:uid="{00000000-0005-0000-0000-0000715D0000}"/>
    <cellStyle name="Normal 4 8 2 2 9 5" xfId="23918" xr:uid="{00000000-0005-0000-0000-0000725D0000}"/>
    <cellStyle name="Normal 4 8 2 2 9 6" xfId="23919" xr:uid="{00000000-0005-0000-0000-0000735D0000}"/>
    <cellStyle name="Normal 4 8 2 20" xfId="23920" xr:uid="{00000000-0005-0000-0000-0000745D0000}"/>
    <cellStyle name="Normal 4 8 2 21" xfId="23921" xr:uid="{00000000-0005-0000-0000-0000755D0000}"/>
    <cellStyle name="Normal 4 8 2 22" xfId="23922" xr:uid="{00000000-0005-0000-0000-0000765D0000}"/>
    <cellStyle name="Normal 4 8 2 23" xfId="23923" xr:uid="{00000000-0005-0000-0000-0000775D0000}"/>
    <cellStyle name="Normal 4 8 2 24" xfId="23924" xr:uid="{00000000-0005-0000-0000-0000785D0000}"/>
    <cellStyle name="Normal 4 8 2 25" xfId="23925" xr:uid="{00000000-0005-0000-0000-0000795D0000}"/>
    <cellStyle name="Normal 4 8 2 26" xfId="23926" xr:uid="{00000000-0005-0000-0000-00007A5D0000}"/>
    <cellStyle name="Normal 4 8 2 27" xfId="23927" xr:uid="{00000000-0005-0000-0000-00007B5D0000}"/>
    <cellStyle name="Normal 4 8 2 28" xfId="23928" xr:uid="{00000000-0005-0000-0000-00007C5D0000}"/>
    <cellStyle name="Normal 4 8 2 29" xfId="23929" xr:uid="{00000000-0005-0000-0000-00007D5D0000}"/>
    <cellStyle name="Normal 4 8 2 3" xfId="23930" xr:uid="{00000000-0005-0000-0000-00007E5D0000}"/>
    <cellStyle name="Normal 4 8 2 3 10" xfId="23931" xr:uid="{00000000-0005-0000-0000-00007F5D0000}"/>
    <cellStyle name="Normal 4 8 2 3 11" xfId="23932" xr:uid="{00000000-0005-0000-0000-0000805D0000}"/>
    <cellStyle name="Normal 4 8 2 3 12" xfId="23933" xr:uid="{00000000-0005-0000-0000-0000815D0000}"/>
    <cellStyle name="Normal 4 8 2 3 13" xfId="23934" xr:uid="{00000000-0005-0000-0000-0000825D0000}"/>
    <cellStyle name="Normal 4 8 2 3 14" xfId="23935" xr:uid="{00000000-0005-0000-0000-0000835D0000}"/>
    <cellStyle name="Normal 4 8 2 3 2" xfId="23936" xr:uid="{00000000-0005-0000-0000-0000845D0000}"/>
    <cellStyle name="Normal 4 8 2 3 2 2" xfId="23937" xr:uid="{00000000-0005-0000-0000-0000855D0000}"/>
    <cellStyle name="Normal 4 8 2 3 2 3" xfId="23938" xr:uid="{00000000-0005-0000-0000-0000865D0000}"/>
    <cellStyle name="Normal 4 8 2 3 2 4" xfId="23939" xr:uid="{00000000-0005-0000-0000-0000875D0000}"/>
    <cellStyle name="Normal 4 8 2 3 2 5" xfId="23940" xr:uid="{00000000-0005-0000-0000-0000885D0000}"/>
    <cellStyle name="Normal 4 8 2 3 2 6" xfId="23941" xr:uid="{00000000-0005-0000-0000-0000895D0000}"/>
    <cellStyle name="Normal 4 8 2 3 3" xfId="23942" xr:uid="{00000000-0005-0000-0000-00008A5D0000}"/>
    <cellStyle name="Normal 4 8 2 3 3 2" xfId="23943" xr:uid="{00000000-0005-0000-0000-00008B5D0000}"/>
    <cellStyle name="Normal 4 8 2 3 3 3" xfId="23944" xr:uid="{00000000-0005-0000-0000-00008C5D0000}"/>
    <cellStyle name="Normal 4 8 2 3 3 4" xfId="23945" xr:uid="{00000000-0005-0000-0000-00008D5D0000}"/>
    <cellStyle name="Normal 4 8 2 3 3 5" xfId="23946" xr:uid="{00000000-0005-0000-0000-00008E5D0000}"/>
    <cellStyle name="Normal 4 8 2 3 3 6" xfId="23947" xr:uid="{00000000-0005-0000-0000-00008F5D0000}"/>
    <cellStyle name="Normal 4 8 2 3 4" xfId="23948" xr:uid="{00000000-0005-0000-0000-0000905D0000}"/>
    <cellStyle name="Normal 4 8 2 3 4 2" xfId="23949" xr:uid="{00000000-0005-0000-0000-0000915D0000}"/>
    <cellStyle name="Normal 4 8 2 3 4 3" xfId="23950" xr:uid="{00000000-0005-0000-0000-0000925D0000}"/>
    <cellStyle name="Normal 4 8 2 3 4 4" xfId="23951" xr:uid="{00000000-0005-0000-0000-0000935D0000}"/>
    <cellStyle name="Normal 4 8 2 3 4 5" xfId="23952" xr:uid="{00000000-0005-0000-0000-0000945D0000}"/>
    <cellStyle name="Normal 4 8 2 3 4 6" xfId="23953" xr:uid="{00000000-0005-0000-0000-0000955D0000}"/>
    <cellStyle name="Normal 4 8 2 3 5" xfId="23954" xr:uid="{00000000-0005-0000-0000-0000965D0000}"/>
    <cellStyle name="Normal 4 8 2 3 5 2" xfId="23955" xr:uid="{00000000-0005-0000-0000-0000975D0000}"/>
    <cellStyle name="Normal 4 8 2 3 5 3" xfId="23956" xr:uid="{00000000-0005-0000-0000-0000985D0000}"/>
    <cellStyle name="Normal 4 8 2 3 5 4" xfId="23957" xr:uid="{00000000-0005-0000-0000-0000995D0000}"/>
    <cellStyle name="Normal 4 8 2 3 5 5" xfId="23958" xr:uid="{00000000-0005-0000-0000-00009A5D0000}"/>
    <cellStyle name="Normal 4 8 2 3 5 6" xfId="23959" xr:uid="{00000000-0005-0000-0000-00009B5D0000}"/>
    <cellStyle name="Normal 4 8 2 3 6" xfId="23960" xr:uid="{00000000-0005-0000-0000-00009C5D0000}"/>
    <cellStyle name="Normal 4 8 2 3 6 2" xfId="23961" xr:uid="{00000000-0005-0000-0000-00009D5D0000}"/>
    <cellStyle name="Normal 4 8 2 3 6 3" xfId="23962" xr:uid="{00000000-0005-0000-0000-00009E5D0000}"/>
    <cellStyle name="Normal 4 8 2 3 6 4" xfId="23963" xr:uid="{00000000-0005-0000-0000-00009F5D0000}"/>
    <cellStyle name="Normal 4 8 2 3 6 5" xfId="23964" xr:uid="{00000000-0005-0000-0000-0000A05D0000}"/>
    <cellStyle name="Normal 4 8 2 3 6 6" xfId="23965" xr:uid="{00000000-0005-0000-0000-0000A15D0000}"/>
    <cellStyle name="Normal 4 8 2 3 7" xfId="23966" xr:uid="{00000000-0005-0000-0000-0000A25D0000}"/>
    <cellStyle name="Normal 4 8 2 3 7 2" xfId="23967" xr:uid="{00000000-0005-0000-0000-0000A35D0000}"/>
    <cellStyle name="Normal 4 8 2 3 7 3" xfId="23968" xr:uid="{00000000-0005-0000-0000-0000A45D0000}"/>
    <cellStyle name="Normal 4 8 2 3 7 4" xfId="23969" xr:uid="{00000000-0005-0000-0000-0000A55D0000}"/>
    <cellStyle name="Normal 4 8 2 3 7 5" xfId="23970" xr:uid="{00000000-0005-0000-0000-0000A65D0000}"/>
    <cellStyle name="Normal 4 8 2 3 7 6" xfId="23971" xr:uid="{00000000-0005-0000-0000-0000A75D0000}"/>
    <cellStyle name="Normal 4 8 2 3 8" xfId="23972" xr:uid="{00000000-0005-0000-0000-0000A85D0000}"/>
    <cellStyle name="Normal 4 8 2 3 8 2" xfId="23973" xr:uid="{00000000-0005-0000-0000-0000A95D0000}"/>
    <cellStyle name="Normal 4 8 2 3 8 3" xfId="23974" xr:uid="{00000000-0005-0000-0000-0000AA5D0000}"/>
    <cellStyle name="Normal 4 8 2 3 8 4" xfId="23975" xr:uid="{00000000-0005-0000-0000-0000AB5D0000}"/>
    <cellStyle name="Normal 4 8 2 3 8 5" xfId="23976" xr:uid="{00000000-0005-0000-0000-0000AC5D0000}"/>
    <cellStyle name="Normal 4 8 2 3 8 6" xfId="23977" xr:uid="{00000000-0005-0000-0000-0000AD5D0000}"/>
    <cellStyle name="Normal 4 8 2 3 9" xfId="23978" xr:uid="{00000000-0005-0000-0000-0000AE5D0000}"/>
    <cellStyle name="Normal 4 8 2 3 9 2" xfId="23979" xr:uid="{00000000-0005-0000-0000-0000AF5D0000}"/>
    <cellStyle name="Normal 4 8 2 3 9 3" xfId="23980" xr:uid="{00000000-0005-0000-0000-0000B05D0000}"/>
    <cellStyle name="Normal 4 8 2 3 9 4" xfId="23981" xr:uid="{00000000-0005-0000-0000-0000B15D0000}"/>
    <cellStyle name="Normal 4 8 2 3 9 5" xfId="23982" xr:uid="{00000000-0005-0000-0000-0000B25D0000}"/>
    <cellStyle name="Normal 4 8 2 3 9 6" xfId="23983" xr:uid="{00000000-0005-0000-0000-0000B35D0000}"/>
    <cellStyle name="Normal 4 8 2 30" xfId="23984" xr:uid="{00000000-0005-0000-0000-0000B45D0000}"/>
    <cellStyle name="Normal 4 8 2 31" xfId="23985" xr:uid="{00000000-0005-0000-0000-0000B55D0000}"/>
    <cellStyle name="Normal 4 8 2 4" xfId="23986" xr:uid="{00000000-0005-0000-0000-0000B65D0000}"/>
    <cellStyle name="Normal 4 8 2 4 2" xfId="23987" xr:uid="{00000000-0005-0000-0000-0000B75D0000}"/>
    <cellStyle name="Normal 4 8 2 4 3" xfId="23988" xr:uid="{00000000-0005-0000-0000-0000B85D0000}"/>
    <cellStyle name="Normal 4 8 2 4 4" xfId="23989" xr:uid="{00000000-0005-0000-0000-0000B95D0000}"/>
    <cellStyle name="Normal 4 8 2 4 5" xfId="23990" xr:uid="{00000000-0005-0000-0000-0000BA5D0000}"/>
    <cellStyle name="Normal 4 8 2 4 6" xfId="23991" xr:uid="{00000000-0005-0000-0000-0000BB5D0000}"/>
    <cellStyle name="Normal 4 8 2 5" xfId="23992" xr:uid="{00000000-0005-0000-0000-0000BC5D0000}"/>
    <cellStyle name="Normal 4 8 2 5 2" xfId="23993" xr:uid="{00000000-0005-0000-0000-0000BD5D0000}"/>
    <cellStyle name="Normal 4 8 2 5 3" xfId="23994" xr:uid="{00000000-0005-0000-0000-0000BE5D0000}"/>
    <cellStyle name="Normal 4 8 2 5 4" xfId="23995" xr:uid="{00000000-0005-0000-0000-0000BF5D0000}"/>
    <cellStyle name="Normal 4 8 2 5 5" xfId="23996" xr:uid="{00000000-0005-0000-0000-0000C05D0000}"/>
    <cellStyle name="Normal 4 8 2 5 6" xfId="23997" xr:uid="{00000000-0005-0000-0000-0000C15D0000}"/>
    <cellStyle name="Normal 4 8 2 6" xfId="23998" xr:uid="{00000000-0005-0000-0000-0000C25D0000}"/>
    <cellStyle name="Normal 4 8 2 6 2" xfId="23999" xr:uid="{00000000-0005-0000-0000-0000C35D0000}"/>
    <cellStyle name="Normal 4 8 2 6 3" xfId="24000" xr:uid="{00000000-0005-0000-0000-0000C45D0000}"/>
    <cellStyle name="Normal 4 8 2 6 4" xfId="24001" xr:uid="{00000000-0005-0000-0000-0000C55D0000}"/>
    <cellStyle name="Normal 4 8 2 6 5" xfId="24002" xr:uid="{00000000-0005-0000-0000-0000C65D0000}"/>
    <cellStyle name="Normal 4 8 2 6 6" xfId="24003" xr:uid="{00000000-0005-0000-0000-0000C75D0000}"/>
    <cellStyle name="Normal 4 8 2 7" xfId="24004" xr:uid="{00000000-0005-0000-0000-0000C85D0000}"/>
    <cellStyle name="Normal 4 8 2 7 2" xfId="24005" xr:uid="{00000000-0005-0000-0000-0000C95D0000}"/>
    <cellStyle name="Normal 4 8 2 7 3" xfId="24006" xr:uid="{00000000-0005-0000-0000-0000CA5D0000}"/>
    <cellStyle name="Normal 4 8 2 7 4" xfId="24007" xr:uid="{00000000-0005-0000-0000-0000CB5D0000}"/>
    <cellStyle name="Normal 4 8 2 7 5" xfId="24008" xr:uid="{00000000-0005-0000-0000-0000CC5D0000}"/>
    <cellStyle name="Normal 4 8 2 7 6" xfId="24009" xr:uid="{00000000-0005-0000-0000-0000CD5D0000}"/>
    <cellStyle name="Normal 4 8 2 8" xfId="24010" xr:uid="{00000000-0005-0000-0000-0000CE5D0000}"/>
    <cellStyle name="Normal 4 8 2 8 2" xfId="24011" xr:uid="{00000000-0005-0000-0000-0000CF5D0000}"/>
    <cellStyle name="Normal 4 8 2 8 3" xfId="24012" xr:uid="{00000000-0005-0000-0000-0000D05D0000}"/>
    <cellStyle name="Normal 4 8 2 8 4" xfId="24013" xr:uid="{00000000-0005-0000-0000-0000D15D0000}"/>
    <cellStyle name="Normal 4 8 2 8 5" xfId="24014" xr:uid="{00000000-0005-0000-0000-0000D25D0000}"/>
    <cellStyle name="Normal 4 8 2 8 6" xfId="24015" xr:uid="{00000000-0005-0000-0000-0000D35D0000}"/>
    <cellStyle name="Normal 4 8 2 9" xfId="24016" xr:uid="{00000000-0005-0000-0000-0000D45D0000}"/>
    <cellStyle name="Normal 4 8 2 9 2" xfId="24017" xr:uid="{00000000-0005-0000-0000-0000D55D0000}"/>
    <cellStyle name="Normal 4 8 2 9 3" xfId="24018" xr:uid="{00000000-0005-0000-0000-0000D65D0000}"/>
    <cellStyle name="Normal 4 8 2 9 4" xfId="24019" xr:uid="{00000000-0005-0000-0000-0000D75D0000}"/>
    <cellStyle name="Normal 4 8 2 9 5" xfId="24020" xr:uid="{00000000-0005-0000-0000-0000D85D0000}"/>
    <cellStyle name="Normal 4 8 2 9 6" xfId="24021" xr:uid="{00000000-0005-0000-0000-0000D95D0000}"/>
    <cellStyle name="Normal 4 8 20" xfId="24022" xr:uid="{00000000-0005-0000-0000-0000DA5D0000}"/>
    <cellStyle name="Normal 4 8 21" xfId="24023" xr:uid="{00000000-0005-0000-0000-0000DB5D0000}"/>
    <cellStyle name="Normal 4 8 22" xfId="24024" xr:uid="{00000000-0005-0000-0000-0000DC5D0000}"/>
    <cellStyle name="Normal 4 8 23" xfId="24025" xr:uid="{00000000-0005-0000-0000-0000DD5D0000}"/>
    <cellStyle name="Normal 4 8 24" xfId="24026" xr:uid="{00000000-0005-0000-0000-0000DE5D0000}"/>
    <cellStyle name="Normal 4 8 25" xfId="24027" xr:uid="{00000000-0005-0000-0000-0000DF5D0000}"/>
    <cellStyle name="Normal 4 8 26" xfId="24028" xr:uid="{00000000-0005-0000-0000-0000E05D0000}"/>
    <cellStyle name="Normal 4 8 27" xfId="24029" xr:uid="{00000000-0005-0000-0000-0000E15D0000}"/>
    <cellStyle name="Normal 4 8 28" xfId="24030" xr:uid="{00000000-0005-0000-0000-0000E25D0000}"/>
    <cellStyle name="Normal 4 8 29" xfId="24031" xr:uid="{00000000-0005-0000-0000-0000E35D0000}"/>
    <cellStyle name="Normal 4 8 3" xfId="24032" xr:uid="{00000000-0005-0000-0000-0000E45D0000}"/>
    <cellStyle name="Normal 4 8 3 10" xfId="24033" xr:uid="{00000000-0005-0000-0000-0000E55D0000}"/>
    <cellStyle name="Normal 4 8 3 10 2" xfId="24034" xr:uid="{00000000-0005-0000-0000-0000E65D0000}"/>
    <cellStyle name="Normal 4 8 3 10 3" xfId="24035" xr:uid="{00000000-0005-0000-0000-0000E75D0000}"/>
    <cellStyle name="Normal 4 8 3 10 4" xfId="24036" xr:uid="{00000000-0005-0000-0000-0000E85D0000}"/>
    <cellStyle name="Normal 4 8 3 10 5" xfId="24037" xr:uid="{00000000-0005-0000-0000-0000E95D0000}"/>
    <cellStyle name="Normal 4 8 3 10 6" xfId="24038" xr:uid="{00000000-0005-0000-0000-0000EA5D0000}"/>
    <cellStyle name="Normal 4 8 3 11" xfId="24039" xr:uid="{00000000-0005-0000-0000-0000EB5D0000}"/>
    <cellStyle name="Normal 4 8 3 11 2" xfId="24040" xr:uid="{00000000-0005-0000-0000-0000EC5D0000}"/>
    <cellStyle name="Normal 4 8 3 11 3" xfId="24041" xr:uid="{00000000-0005-0000-0000-0000ED5D0000}"/>
    <cellStyle name="Normal 4 8 3 11 4" xfId="24042" xr:uid="{00000000-0005-0000-0000-0000EE5D0000}"/>
    <cellStyle name="Normal 4 8 3 11 5" xfId="24043" xr:uid="{00000000-0005-0000-0000-0000EF5D0000}"/>
    <cellStyle name="Normal 4 8 3 11 6" xfId="24044" xr:uid="{00000000-0005-0000-0000-0000F05D0000}"/>
    <cellStyle name="Normal 4 8 3 12" xfId="24045" xr:uid="{00000000-0005-0000-0000-0000F15D0000}"/>
    <cellStyle name="Normal 4 8 3 13" xfId="24046" xr:uid="{00000000-0005-0000-0000-0000F25D0000}"/>
    <cellStyle name="Normal 4 8 3 14" xfId="24047" xr:uid="{00000000-0005-0000-0000-0000F35D0000}"/>
    <cellStyle name="Normal 4 8 3 15" xfId="24048" xr:uid="{00000000-0005-0000-0000-0000F45D0000}"/>
    <cellStyle name="Normal 4 8 3 16" xfId="24049" xr:uid="{00000000-0005-0000-0000-0000F55D0000}"/>
    <cellStyle name="Normal 4 8 3 17" xfId="24050" xr:uid="{00000000-0005-0000-0000-0000F65D0000}"/>
    <cellStyle name="Normal 4 8 3 18" xfId="24051" xr:uid="{00000000-0005-0000-0000-0000F75D0000}"/>
    <cellStyle name="Normal 4 8 3 19" xfId="24052" xr:uid="{00000000-0005-0000-0000-0000F85D0000}"/>
    <cellStyle name="Normal 4 8 3 2" xfId="24053" xr:uid="{00000000-0005-0000-0000-0000F95D0000}"/>
    <cellStyle name="Normal 4 8 3 2 10" xfId="24054" xr:uid="{00000000-0005-0000-0000-0000FA5D0000}"/>
    <cellStyle name="Normal 4 8 3 2 10 2" xfId="24055" xr:uid="{00000000-0005-0000-0000-0000FB5D0000}"/>
    <cellStyle name="Normal 4 8 3 2 10 3" xfId="24056" xr:uid="{00000000-0005-0000-0000-0000FC5D0000}"/>
    <cellStyle name="Normal 4 8 3 2 10 4" xfId="24057" xr:uid="{00000000-0005-0000-0000-0000FD5D0000}"/>
    <cellStyle name="Normal 4 8 3 2 10 5" xfId="24058" xr:uid="{00000000-0005-0000-0000-0000FE5D0000}"/>
    <cellStyle name="Normal 4 8 3 2 10 6" xfId="24059" xr:uid="{00000000-0005-0000-0000-0000FF5D0000}"/>
    <cellStyle name="Normal 4 8 3 2 11" xfId="24060" xr:uid="{00000000-0005-0000-0000-0000005E0000}"/>
    <cellStyle name="Normal 4 8 3 2 12" xfId="24061" xr:uid="{00000000-0005-0000-0000-0000015E0000}"/>
    <cellStyle name="Normal 4 8 3 2 13" xfId="24062" xr:uid="{00000000-0005-0000-0000-0000025E0000}"/>
    <cellStyle name="Normal 4 8 3 2 14" xfId="24063" xr:uid="{00000000-0005-0000-0000-0000035E0000}"/>
    <cellStyle name="Normal 4 8 3 2 15" xfId="24064" xr:uid="{00000000-0005-0000-0000-0000045E0000}"/>
    <cellStyle name="Normal 4 8 3 2 2" xfId="24065" xr:uid="{00000000-0005-0000-0000-0000055E0000}"/>
    <cellStyle name="Normal 4 8 3 2 2 10" xfId="24066" xr:uid="{00000000-0005-0000-0000-0000065E0000}"/>
    <cellStyle name="Normal 4 8 3 2 2 11" xfId="24067" xr:uid="{00000000-0005-0000-0000-0000075E0000}"/>
    <cellStyle name="Normal 4 8 3 2 2 12" xfId="24068" xr:uid="{00000000-0005-0000-0000-0000085E0000}"/>
    <cellStyle name="Normal 4 8 3 2 2 13" xfId="24069" xr:uid="{00000000-0005-0000-0000-0000095E0000}"/>
    <cellStyle name="Normal 4 8 3 2 2 14" xfId="24070" xr:uid="{00000000-0005-0000-0000-00000A5E0000}"/>
    <cellStyle name="Normal 4 8 3 2 2 2" xfId="24071" xr:uid="{00000000-0005-0000-0000-00000B5E0000}"/>
    <cellStyle name="Normal 4 8 3 2 2 2 2" xfId="24072" xr:uid="{00000000-0005-0000-0000-00000C5E0000}"/>
    <cellStyle name="Normal 4 8 3 2 2 2 3" xfId="24073" xr:uid="{00000000-0005-0000-0000-00000D5E0000}"/>
    <cellStyle name="Normal 4 8 3 2 2 2 4" xfId="24074" xr:uid="{00000000-0005-0000-0000-00000E5E0000}"/>
    <cellStyle name="Normal 4 8 3 2 2 2 5" xfId="24075" xr:uid="{00000000-0005-0000-0000-00000F5E0000}"/>
    <cellStyle name="Normal 4 8 3 2 2 2 6" xfId="24076" xr:uid="{00000000-0005-0000-0000-0000105E0000}"/>
    <cellStyle name="Normal 4 8 3 2 2 3" xfId="24077" xr:uid="{00000000-0005-0000-0000-0000115E0000}"/>
    <cellStyle name="Normal 4 8 3 2 2 3 2" xfId="24078" xr:uid="{00000000-0005-0000-0000-0000125E0000}"/>
    <cellStyle name="Normal 4 8 3 2 2 3 3" xfId="24079" xr:uid="{00000000-0005-0000-0000-0000135E0000}"/>
    <cellStyle name="Normal 4 8 3 2 2 3 4" xfId="24080" xr:uid="{00000000-0005-0000-0000-0000145E0000}"/>
    <cellStyle name="Normal 4 8 3 2 2 3 5" xfId="24081" xr:uid="{00000000-0005-0000-0000-0000155E0000}"/>
    <cellStyle name="Normal 4 8 3 2 2 3 6" xfId="24082" xr:uid="{00000000-0005-0000-0000-0000165E0000}"/>
    <cellStyle name="Normal 4 8 3 2 2 4" xfId="24083" xr:uid="{00000000-0005-0000-0000-0000175E0000}"/>
    <cellStyle name="Normal 4 8 3 2 2 4 2" xfId="24084" xr:uid="{00000000-0005-0000-0000-0000185E0000}"/>
    <cellStyle name="Normal 4 8 3 2 2 4 3" xfId="24085" xr:uid="{00000000-0005-0000-0000-0000195E0000}"/>
    <cellStyle name="Normal 4 8 3 2 2 4 4" xfId="24086" xr:uid="{00000000-0005-0000-0000-00001A5E0000}"/>
    <cellStyle name="Normal 4 8 3 2 2 4 5" xfId="24087" xr:uid="{00000000-0005-0000-0000-00001B5E0000}"/>
    <cellStyle name="Normal 4 8 3 2 2 4 6" xfId="24088" xr:uid="{00000000-0005-0000-0000-00001C5E0000}"/>
    <cellStyle name="Normal 4 8 3 2 2 5" xfId="24089" xr:uid="{00000000-0005-0000-0000-00001D5E0000}"/>
    <cellStyle name="Normal 4 8 3 2 2 5 2" xfId="24090" xr:uid="{00000000-0005-0000-0000-00001E5E0000}"/>
    <cellStyle name="Normal 4 8 3 2 2 5 3" xfId="24091" xr:uid="{00000000-0005-0000-0000-00001F5E0000}"/>
    <cellStyle name="Normal 4 8 3 2 2 5 4" xfId="24092" xr:uid="{00000000-0005-0000-0000-0000205E0000}"/>
    <cellStyle name="Normal 4 8 3 2 2 5 5" xfId="24093" xr:uid="{00000000-0005-0000-0000-0000215E0000}"/>
    <cellStyle name="Normal 4 8 3 2 2 5 6" xfId="24094" xr:uid="{00000000-0005-0000-0000-0000225E0000}"/>
    <cellStyle name="Normal 4 8 3 2 2 6" xfId="24095" xr:uid="{00000000-0005-0000-0000-0000235E0000}"/>
    <cellStyle name="Normal 4 8 3 2 2 6 2" xfId="24096" xr:uid="{00000000-0005-0000-0000-0000245E0000}"/>
    <cellStyle name="Normal 4 8 3 2 2 6 3" xfId="24097" xr:uid="{00000000-0005-0000-0000-0000255E0000}"/>
    <cellStyle name="Normal 4 8 3 2 2 6 4" xfId="24098" xr:uid="{00000000-0005-0000-0000-0000265E0000}"/>
    <cellStyle name="Normal 4 8 3 2 2 6 5" xfId="24099" xr:uid="{00000000-0005-0000-0000-0000275E0000}"/>
    <cellStyle name="Normal 4 8 3 2 2 6 6" xfId="24100" xr:uid="{00000000-0005-0000-0000-0000285E0000}"/>
    <cellStyle name="Normal 4 8 3 2 2 7" xfId="24101" xr:uid="{00000000-0005-0000-0000-0000295E0000}"/>
    <cellStyle name="Normal 4 8 3 2 2 7 2" xfId="24102" xr:uid="{00000000-0005-0000-0000-00002A5E0000}"/>
    <cellStyle name="Normal 4 8 3 2 2 7 3" xfId="24103" xr:uid="{00000000-0005-0000-0000-00002B5E0000}"/>
    <cellStyle name="Normal 4 8 3 2 2 7 4" xfId="24104" xr:uid="{00000000-0005-0000-0000-00002C5E0000}"/>
    <cellStyle name="Normal 4 8 3 2 2 7 5" xfId="24105" xr:uid="{00000000-0005-0000-0000-00002D5E0000}"/>
    <cellStyle name="Normal 4 8 3 2 2 7 6" xfId="24106" xr:uid="{00000000-0005-0000-0000-00002E5E0000}"/>
    <cellStyle name="Normal 4 8 3 2 2 8" xfId="24107" xr:uid="{00000000-0005-0000-0000-00002F5E0000}"/>
    <cellStyle name="Normal 4 8 3 2 2 8 2" xfId="24108" xr:uid="{00000000-0005-0000-0000-0000305E0000}"/>
    <cellStyle name="Normal 4 8 3 2 2 8 3" xfId="24109" xr:uid="{00000000-0005-0000-0000-0000315E0000}"/>
    <cellStyle name="Normal 4 8 3 2 2 8 4" xfId="24110" xr:uid="{00000000-0005-0000-0000-0000325E0000}"/>
    <cellStyle name="Normal 4 8 3 2 2 8 5" xfId="24111" xr:uid="{00000000-0005-0000-0000-0000335E0000}"/>
    <cellStyle name="Normal 4 8 3 2 2 8 6" xfId="24112" xr:uid="{00000000-0005-0000-0000-0000345E0000}"/>
    <cellStyle name="Normal 4 8 3 2 2 9" xfId="24113" xr:uid="{00000000-0005-0000-0000-0000355E0000}"/>
    <cellStyle name="Normal 4 8 3 2 2 9 2" xfId="24114" xr:uid="{00000000-0005-0000-0000-0000365E0000}"/>
    <cellStyle name="Normal 4 8 3 2 2 9 3" xfId="24115" xr:uid="{00000000-0005-0000-0000-0000375E0000}"/>
    <cellStyle name="Normal 4 8 3 2 2 9 4" xfId="24116" xr:uid="{00000000-0005-0000-0000-0000385E0000}"/>
    <cellStyle name="Normal 4 8 3 2 2 9 5" xfId="24117" xr:uid="{00000000-0005-0000-0000-0000395E0000}"/>
    <cellStyle name="Normal 4 8 3 2 2 9 6" xfId="24118" xr:uid="{00000000-0005-0000-0000-00003A5E0000}"/>
    <cellStyle name="Normal 4 8 3 2 3" xfId="24119" xr:uid="{00000000-0005-0000-0000-00003B5E0000}"/>
    <cellStyle name="Normal 4 8 3 2 3 2" xfId="24120" xr:uid="{00000000-0005-0000-0000-00003C5E0000}"/>
    <cellStyle name="Normal 4 8 3 2 3 3" xfId="24121" xr:uid="{00000000-0005-0000-0000-00003D5E0000}"/>
    <cellStyle name="Normal 4 8 3 2 3 4" xfId="24122" xr:uid="{00000000-0005-0000-0000-00003E5E0000}"/>
    <cellStyle name="Normal 4 8 3 2 3 5" xfId="24123" xr:uid="{00000000-0005-0000-0000-00003F5E0000}"/>
    <cellStyle name="Normal 4 8 3 2 3 6" xfId="24124" xr:uid="{00000000-0005-0000-0000-0000405E0000}"/>
    <cellStyle name="Normal 4 8 3 2 4" xfId="24125" xr:uid="{00000000-0005-0000-0000-0000415E0000}"/>
    <cellStyle name="Normal 4 8 3 2 4 2" xfId="24126" xr:uid="{00000000-0005-0000-0000-0000425E0000}"/>
    <cellStyle name="Normal 4 8 3 2 4 3" xfId="24127" xr:uid="{00000000-0005-0000-0000-0000435E0000}"/>
    <cellStyle name="Normal 4 8 3 2 4 4" xfId="24128" xr:uid="{00000000-0005-0000-0000-0000445E0000}"/>
    <cellStyle name="Normal 4 8 3 2 4 5" xfId="24129" xr:uid="{00000000-0005-0000-0000-0000455E0000}"/>
    <cellStyle name="Normal 4 8 3 2 4 6" xfId="24130" xr:uid="{00000000-0005-0000-0000-0000465E0000}"/>
    <cellStyle name="Normal 4 8 3 2 5" xfId="24131" xr:uid="{00000000-0005-0000-0000-0000475E0000}"/>
    <cellStyle name="Normal 4 8 3 2 5 2" xfId="24132" xr:uid="{00000000-0005-0000-0000-0000485E0000}"/>
    <cellStyle name="Normal 4 8 3 2 5 3" xfId="24133" xr:uid="{00000000-0005-0000-0000-0000495E0000}"/>
    <cellStyle name="Normal 4 8 3 2 5 4" xfId="24134" xr:uid="{00000000-0005-0000-0000-00004A5E0000}"/>
    <cellStyle name="Normal 4 8 3 2 5 5" xfId="24135" xr:uid="{00000000-0005-0000-0000-00004B5E0000}"/>
    <cellStyle name="Normal 4 8 3 2 5 6" xfId="24136" xr:uid="{00000000-0005-0000-0000-00004C5E0000}"/>
    <cellStyle name="Normal 4 8 3 2 6" xfId="24137" xr:uid="{00000000-0005-0000-0000-00004D5E0000}"/>
    <cellStyle name="Normal 4 8 3 2 6 2" xfId="24138" xr:uid="{00000000-0005-0000-0000-00004E5E0000}"/>
    <cellStyle name="Normal 4 8 3 2 6 3" xfId="24139" xr:uid="{00000000-0005-0000-0000-00004F5E0000}"/>
    <cellStyle name="Normal 4 8 3 2 6 4" xfId="24140" xr:uid="{00000000-0005-0000-0000-0000505E0000}"/>
    <cellStyle name="Normal 4 8 3 2 6 5" xfId="24141" xr:uid="{00000000-0005-0000-0000-0000515E0000}"/>
    <cellStyle name="Normal 4 8 3 2 6 6" xfId="24142" xr:uid="{00000000-0005-0000-0000-0000525E0000}"/>
    <cellStyle name="Normal 4 8 3 2 7" xfId="24143" xr:uid="{00000000-0005-0000-0000-0000535E0000}"/>
    <cellStyle name="Normal 4 8 3 2 7 2" xfId="24144" xr:uid="{00000000-0005-0000-0000-0000545E0000}"/>
    <cellStyle name="Normal 4 8 3 2 7 3" xfId="24145" xr:uid="{00000000-0005-0000-0000-0000555E0000}"/>
    <cellStyle name="Normal 4 8 3 2 7 4" xfId="24146" xr:uid="{00000000-0005-0000-0000-0000565E0000}"/>
    <cellStyle name="Normal 4 8 3 2 7 5" xfId="24147" xr:uid="{00000000-0005-0000-0000-0000575E0000}"/>
    <cellStyle name="Normal 4 8 3 2 7 6" xfId="24148" xr:uid="{00000000-0005-0000-0000-0000585E0000}"/>
    <cellStyle name="Normal 4 8 3 2 8" xfId="24149" xr:uid="{00000000-0005-0000-0000-0000595E0000}"/>
    <cellStyle name="Normal 4 8 3 2 8 2" xfId="24150" xr:uid="{00000000-0005-0000-0000-00005A5E0000}"/>
    <cellStyle name="Normal 4 8 3 2 8 3" xfId="24151" xr:uid="{00000000-0005-0000-0000-00005B5E0000}"/>
    <cellStyle name="Normal 4 8 3 2 8 4" xfId="24152" xr:uid="{00000000-0005-0000-0000-00005C5E0000}"/>
    <cellStyle name="Normal 4 8 3 2 8 5" xfId="24153" xr:uid="{00000000-0005-0000-0000-00005D5E0000}"/>
    <cellStyle name="Normal 4 8 3 2 8 6" xfId="24154" xr:uid="{00000000-0005-0000-0000-00005E5E0000}"/>
    <cellStyle name="Normal 4 8 3 2 9" xfId="24155" xr:uid="{00000000-0005-0000-0000-00005F5E0000}"/>
    <cellStyle name="Normal 4 8 3 2 9 2" xfId="24156" xr:uid="{00000000-0005-0000-0000-0000605E0000}"/>
    <cellStyle name="Normal 4 8 3 2 9 3" xfId="24157" xr:uid="{00000000-0005-0000-0000-0000615E0000}"/>
    <cellStyle name="Normal 4 8 3 2 9 4" xfId="24158" xr:uid="{00000000-0005-0000-0000-0000625E0000}"/>
    <cellStyle name="Normal 4 8 3 2 9 5" xfId="24159" xr:uid="{00000000-0005-0000-0000-0000635E0000}"/>
    <cellStyle name="Normal 4 8 3 2 9 6" xfId="24160" xr:uid="{00000000-0005-0000-0000-0000645E0000}"/>
    <cellStyle name="Normal 4 8 3 20" xfId="24161" xr:uid="{00000000-0005-0000-0000-0000655E0000}"/>
    <cellStyle name="Normal 4 8 3 21" xfId="24162" xr:uid="{00000000-0005-0000-0000-0000665E0000}"/>
    <cellStyle name="Normal 4 8 3 22" xfId="24163" xr:uid="{00000000-0005-0000-0000-0000675E0000}"/>
    <cellStyle name="Normal 4 8 3 23" xfId="24164" xr:uid="{00000000-0005-0000-0000-0000685E0000}"/>
    <cellStyle name="Normal 4 8 3 24" xfId="24165" xr:uid="{00000000-0005-0000-0000-0000695E0000}"/>
    <cellStyle name="Normal 4 8 3 25" xfId="24166" xr:uid="{00000000-0005-0000-0000-00006A5E0000}"/>
    <cellStyle name="Normal 4 8 3 26" xfId="24167" xr:uid="{00000000-0005-0000-0000-00006B5E0000}"/>
    <cellStyle name="Normal 4 8 3 27" xfId="24168" xr:uid="{00000000-0005-0000-0000-00006C5E0000}"/>
    <cellStyle name="Normal 4 8 3 28" xfId="24169" xr:uid="{00000000-0005-0000-0000-00006D5E0000}"/>
    <cellStyle name="Normal 4 8 3 29" xfId="24170" xr:uid="{00000000-0005-0000-0000-00006E5E0000}"/>
    <cellStyle name="Normal 4 8 3 3" xfId="24171" xr:uid="{00000000-0005-0000-0000-00006F5E0000}"/>
    <cellStyle name="Normal 4 8 3 3 10" xfId="24172" xr:uid="{00000000-0005-0000-0000-0000705E0000}"/>
    <cellStyle name="Normal 4 8 3 3 11" xfId="24173" xr:uid="{00000000-0005-0000-0000-0000715E0000}"/>
    <cellStyle name="Normal 4 8 3 3 12" xfId="24174" xr:uid="{00000000-0005-0000-0000-0000725E0000}"/>
    <cellStyle name="Normal 4 8 3 3 13" xfId="24175" xr:uid="{00000000-0005-0000-0000-0000735E0000}"/>
    <cellStyle name="Normal 4 8 3 3 14" xfId="24176" xr:uid="{00000000-0005-0000-0000-0000745E0000}"/>
    <cellStyle name="Normal 4 8 3 3 2" xfId="24177" xr:uid="{00000000-0005-0000-0000-0000755E0000}"/>
    <cellStyle name="Normal 4 8 3 3 2 2" xfId="24178" xr:uid="{00000000-0005-0000-0000-0000765E0000}"/>
    <cellStyle name="Normal 4 8 3 3 2 3" xfId="24179" xr:uid="{00000000-0005-0000-0000-0000775E0000}"/>
    <cellStyle name="Normal 4 8 3 3 2 4" xfId="24180" xr:uid="{00000000-0005-0000-0000-0000785E0000}"/>
    <cellStyle name="Normal 4 8 3 3 2 5" xfId="24181" xr:uid="{00000000-0005-0000-0000-0000795E0000}"/>
    <cellStyle name="Normal 4 8 3 3 2 6" xfId="24182" xr:uid="{00000000-0005-0000-0000-00007A5E0000}"/>
    <cellStyle name="Normal 4 8 3 3 3" xfId="24183" xr:uid="{00000000-0005-0000-0000-00007B5E0000}"/>
    <cellStyle name="Normal 4 8 3 3 3 2" xfId="24184" xr:uid="{00000000-0005-0000-0000-00007C5E0000}"/>
    <cellStyle name="Normal 4 8 3 3 3 3" xfId="24185" xr:uid="{00000000-0005-0000-0000-00007D5E0000}"/>
    <cellStyle name="Normal 4 8 3 3 3 4" xfId="24186" xr:uid="{00000000-0005-0000-0000-00007E5E0000}"/>
    <cellStyle name="Normal 4 8 3 3 3 5" xfId="24187" xr:uid="{00000000-0005-0000-0000-00007F5E0000}"/>
    <cellStyle name="Normal 4 8 3 3 3 6" xfId="24188" xr:uid="{00000000-0005-0000-0000-0000805E0000}"/>
    <cellStyle name="Normal 4 8 3 3 4" xfId="24189" xr:uid="{00000000-0005-0000-0000-0000815E0000}"/>
    <cellStyle name="Normal 4 8 3 3 4 2" xfId="24190" xr:uid="{00000000-0005-0000-0000-0000825E0000}"/>
    <cellStyle name="Normal 4 8 3 3 4 3" xfId="24191" xr:uid="{00000000-0005-0000-0000-0000835E0000}"/>
    <cellStyle name="Normal 4 8 3 3 4 4" xfId="24192" xr:uid="{00000000-0005-0000-0000-0000845E0000}"/>
    <cellStyle name="Normal 4 8 3 3 4 5" xfId="24193" xr:uid="{00000000-0005-0000-0000-0000855E0000}"/>
    <cellStyle name="Normal 4 8 3 3 4 6" xfId="24194" xr:uid="{00000000-0005-0000-0000-0000865E0000}"/>
    <cellStyle name="Normal 4 8 3 3 5" xfId="24195" xr:uid="{00000000-0005-0000-0000-0000875E0000}"/>
    <cellStyle name="Normal 4 8 3 3 5 2" xfId="24196" xr:uid="{00000000-0005-0000-0000-0000885E0000}"/>
    <cellStyle name="Normal 4 8 3 3 5 3" xfId="24197" xr:uid="{00000000-0005-0000-0000-0000895E0000}"/>
    <cellStyle name="Normal 4 8 3 3 5 4" xfId="24198" xr:uid="{00000000-0005-0000-0000-00008A5E0000}"/>
    <cellStyle name="Normal 4 8 3 3 5 5" xfId="24199" xr:uid="{00000000-0005-0000-0000-00008B5E0000}"/>
    <cellStyle name="Normal 4 8 3 3 5 6" xfId="24200" xr:uid="{00000000-0005-0000-0000-00008C5E0000}"/>
    <cellStyle name="Normal 4 8 3 3 6" xfId="24201" xr:uid="{00000000-0005-0000-0000-00008D5E0000}"/>
    <cellStyle name="Normal 4 8 3 3 6 2" xfId="24202" xr:uid="{00000000-0005-0000-0000-00008E5E0000}"/>
    <cellStyle name="Normal 4 8 3 3 6 3" xfId="24203" xr:uid="{00000000-0005-0000-0000-00008F5E0000}"/>
    <cellStyle name="Normal 4 8 3 3 6 4" xfId="24204" xr:uid="{00000000-0005-0000-0000-0000905E0000}"/>
    <cellStyle name="Normal 4 8 3 3 6 5" xfId="24205" xr:uid="{00000000-0005-0000-0000-0000915E0000}"/>
    <cellStyle name="Normal 4 8 3 3 6 6" xfId="24206" xr:uid="{00000000-0005-0000-0000-0000925E0000}"/>
    <cellStyle name="Normal 4 8 3 3 7" xfId="24207" xr:uid="{00000000-0005-0000-0000-0000935E0000}"/>
    <cellStyle name="Normal 4 8 3 3 7 2" xfId="24208" xr:uid="{00000000-0005-0000-0000-0000945E0000}"/>
    <cellStyle name="Normal 4 8 3 3 7 3" xfId="24209" xr:uid="{00000000-0005-0000-0000-0000955E0000}"/>
    <cellStyle name="Normal 4 8 3 3 7 4" xfId="24210" xr:uid="{00000000-0005-0000-0000-0000965E0000}"/>
    <cellStyle name="Normal 4 8 3 3 7 5" xfId="24211" xr:uid="{00000000-0005-0000-0000-0000975E0000}"/>
    <cellStyle name="Normal 4 8 3 3 7 6" xfId="24212" xr:uid="{00000000-0005-0000-0000-0000985E0000}"/>
    <cellStyle name="Normal 4 8 3 3 8" xfId="24213" xr:uid="{00000000-0005-0000-0000-0000995E0000}"/>
    <cellStyle name="Normal 4 8 3 3 8 2" xfId="24214" xr:uid="{00000000-0005-0000-0000-00009A5E0000}"/>
    <cellStyle name="Normal 4 8 3 3 8 3" xfId="24215" xr:uid="{00000000-0005-0000-0000-00009B5E0000}"/>
    <cellStyle name="Normal 4 8 3 3 8 4" xfId="24216" xr:uid="{00000000-0005-0000-0000-00009C5E0000}"/>
    <cellStyle name="Normal 4 8 3 3 8 5" xfId="24217" xr:uid="{00000000-0005-0000-0000-00009D5E0000}"/>
    <cellStyle name="Normal 4 8 3 3 8 6" xfId="24218" xr:uid="{00000000-0005-0000-0000-00009E5E0000}"/>
    <cellStyle name="Normal 4 8 3 3 9" xfId="24219" xr:uid="{00000000-0005-0000-0000-00009F5E0000}"/>
    <cellStyle name="Normal 4 8 3 3 9 2" xfId="24220" xr:uid="{00000000-0005-0000-0000-0000A05E0000}"/>
    <cellStyle name="Normal 4 8 3 3 9 3" xfId="24221" xr:uid="{00000000-0005-0000-0000-0000A15E0000}"/>
    <cellStyle name="Normal 4 8 3 3 9 4" xfId="24222" xr:uid="{00000000-0005-0000-0000-0000A25E0000}"/>
    <cellStyle name="Normal 4 8 3 3 9 5" xfId="24223" xr:uid="{00000000-0005-0000-0000-0000A35E0000}"/>
    <cellStyle name="Normal 4 8 3 3 9 6" xfId="24224" xr:uid="{00000000-0005-0000-0000-0000A45E0000}"/>
    <cellStyle name="Normal 4 8 3 30" xfId="24225" xr:uid="{00000000-0005-0000-0000-0000A55E0000}"/>
    <cellStyle name="Normal 4 8 3 31" xfId="24226" xr:uid="{00000000-0005-0000-0000-0000A65E0000}"/>
    <cellStyle name="Normal 4 8 3 4" xfId="24227" xr:uid="{00000000-0005-0000-0000-0000A75E0000}"/>
    <cellStyle name="Normal 4 8 3 4 2" xfId="24228" xr:uid="{00000000-0005-0000-0000-0000A85E0000}"/>
    <cellStyle name="Normal 4 8 3 4 3" xfId="24229" xr:uid="{00000000-0005-0000-0000-0000A95E0000}"/>
    <cellStyle name="Normal 4 8 3 4 4" xfId="24230" xr:uid="{00000000-0005-0000-0000-0000AA5E0000}"/>
    <cellStyle name="Normal 4 8 3 4 5" xfId="24231" xr:uid="{00000000-0005-0000-0000-0000AB5E0000}"/>
    <cellStyle name="Normal 4 8 3 4 6" xfId="24232" xr:uid="{00000000-0005-0000-0000-0000AC5E0000}"/>
    <cellStyle name="Normal 4 8 3 5" xfId="24233" xr:uid="{00000000-0005-0000-0000-0000AD5E0000}"/>
    <cellStyle name="Normal 4 8 3 5 2" xfId="24234" xr:uid="{00000000-0005-0000-0000-0000AE5E0000}"/>
    <cellStyle name="Normal 4 8 3 5 3" xfId="24235" xr:uid="{00000000-0005-0000-0000-0000AF5E0000}"/>
    <cellStyle name="Normal 4 8 3 5 4" xfId="24236" xr:uid="{00000000-0005-0000-0000-0000B05E0000}"/>
    <cellStyle name="Normal 4 8 3 5 5" xfId="24237" xr:uid="{00000000-0005-0000-0000-0000B15E0000}"/>
    <cellStyle name="Normal 4 8 3 5 6" xfId="24238" xr:uid="{00000000-0005-0000-0000-0000B25E0000}"/>
    <cellStyle name="Normal 4 8 3 6" xfId="24239" xr:uid="{00000000-0005-0000-0000-0000B35E0000}"/>
    <cellStyle name="Normal 4 8 3 6 2" xfId="24240" xr:uid="{00000000-0005-0000-0000-0000B45E0000}"/>
    <cellStyle name="Normal 4 8 3 6 3" xfId="24241" xr:uid="{00000000-0005-0000-0000-0000B55E0000}"/>
    <cellStyle name="Normal 4 8 3 6 4" xfId="24242" xr:uid="{00000000-0005-0000-0000-0000B65E0000}"/>
    <cellStyle name="Normal 4 8 3 6 5" xfId="24243" xr:uid="{00000000-0005-0000-0000-0000B75E0000}"/>
    <cellStyle name="Normal 4 8 3 6 6" xfId="24244" xr:uid="{00000000-0005-0000-0000-0000B85E0000}"/>
    <cellStyle name="Normal 4 8 3 7" xfId="24245" xr:uid="{00000000-0005-0000-0000-0000B95E0000}"/>
    <cellStyle name="Normal 4 8 3 7 2" xfId="24246" xr:uid="{00000000-0005-0000-0000-0000BA5E0000}"/>
    <cellStyle name="Normal 4 8 3 7 3" xfId="24247" xr:uid="{00000000-0005-0000-0000-0000BB5E0000}"/>
    <cellStyle name="Normal 4 8 3 7 4" xfId="24248" xr:uid="{00000000-0005-0000-0000-0000BC5E0000}"/>
    <cellStyle name="Normal 4 8 3 7 5" xfId="24249" xr:uid="{00000000-0005-0000-0000-0000BD5E0000}"/>
    <cellStyle name="Normal 4 8 3 7 6" xfId="24250" xr:uid="{00000000-0005-0000-0000-0000BE5E0000}"/>
    <cellStyle name="Normal 4 8 3 8" xfId="24251" xr:uid="{00000000-0005-0000-0000-0000BF5E0000}"/>
    <cellStyle name="Normal 4 8 3 8 2" xfId="24252" xr:uid="{00000000-0005-0000-0000-0000C05E0000}"/>
    <cellStyle name="Normal 4 8 3 8 3" xfId="24253" xr:uid="{00000000-0005-0000-0000-0000C15E0000}"/>
    <cellStyle name="Normal 4 8 3 8 4" xfId="24254" xr:uid="{00000000-0005-0000-0000-0000C25E0000}"/>
    <cellStyle name="Normal 4 8 3 8 5" xfId="24255" xr:uid="{00000000-0005-0000-0000-0000C35E0000}"/>
    <cellStyle name="Normal 4 8 3 8 6" xfId="24256" xr:uid="{00000000-0005-0000-0000-0000C45E0000}"/>
    <cellStyle name="Normal 4 8 3 9" xfId="24257" xr:uid="{00000000-0005-0000-0000-0000C55E0000}"/>
    <cellStyle name="Normal 4 8 3 9 2" xfId="24258" xr:uid="{00000000-0005-0000-0000-0000C65E0000}"/>
    <cellStyle name="Normal 4 8 3 9 3" xfId="24259" xr:uid="{00000000-0005-0000-0000-0000C75E0000}"/>
    <cellStyle name="Normal 4 8 3 9 4" xfId="24260" xr:uid="{00000000-0005-0000-0000-0000C85E0000}"/>
    <cellStyle name="Normal 4 8 3 9 5" xfId="24261" xr:uid="{00000000-0005-0000-0000-0000C95E0000}"/>
    <cellStyle name="Normal 4 8 3 9 6" xfId="24262" xr:uid="{00000000-0005-0000-0000-0000CA5E0000}"/>
    <cellStyle name="Normal 4 8 30" xfId="24263" xr:uid="{00000000-0005-0000-0000-0000CB5E0000}"/>
    <cellStyle name="Normal 4 8 31" xfId="24264" xr:uid="{00000000-0005-0000-0000-0000CC5E0000}"/>
    <cellStyle name="Normal 4 8 32" xfId="24265" xr:uid="{00000000-0005-0000-0000-0000CD5E0000}"/>
    <cellStyle name="Normal 4 8 33" xfId="24266" xr:uid="{00000000-0005-0000-0000-0000CE5E0000}"/>
    <cellStyle name="Normal 4 8 4" xfId="24267" xr:uid="{00000000-0005-0000-0000-0000CF5E0000}"/>
    <cellStyle name="Normal 4 8 4 10" xfId="24268" xr:uid="{00000000-0005-0000-0000-0000D05E0000}"/>
    <cellStyle name="Normal 4 8 4 10 2" xfId="24269" xr:uid="{00000000-0005-0000-0000-0000D15E0000}"/>
    <cellStyle name="Normal 4 8 4 10 3" xfId="24270" xr:uid="{00000000-0005-0000-0000-0000D25E0000}"/>
    <cellStyle name="Normal 4 8 4 10 4" xfId="24271" xr:uid="{00000000-0005-0000-0000-0000D35E0000}"/>
    <cellStyle name="Normal 4 8 4 10 5" xfId="24272" xr:uid="{00000000-0005-0000-0000-0000D45E0000}"/>
    <cellStyle name="Normal 4 8 4 10 6" xfId="24273" xr:uid="{00000000-0005-0000-0000-0000D55E0000}"/>
    <cellStyle name="Normal 4 8 4 11" xfId="24274" xr:uid="{00000000-0005-0000-0000-0000D65E0000}"/>
    <cellStyle name="Normal 4 8 4 12" xfId="24275" xr:uid="{00000000-0005-0000-0000-0000D75E0000}"/>
    <cellStyle name="Normal 4 8 4 13" xfId="24276" xr:uid="{00000000-0005-0000-0000-0000D85E0000}"/>
    <cellStyle name="Normal 4 8 4 14" xfId="24277" xr:uid="{00000000-0005-0000-0000-0000D95E0000}"/>
    <cellStyle name="Normal 4 8 4 15" xfId="24278" xr:uid="{00000000-0005-0000-0000-0000DA5E0000}"/>
    <cellStyle name="Normal 4 8 4 2" xfId="24279" xr:uid="{00000000-0005-0000-0000-0000DB5E0000}"/>
    <cellStyle name="Normal 4 8 4 2 10" xfId="24280" xr:uid="{00000000-0005-0000-0000-0000DC5E0000}"/>
    <cellStyle name="Normal 4 8 4 2 11" xfId="24281" xr:uid="{00000000-0005-0000-0000-0000DD5E0000}"/>
    <cellStyle name="Normal 4 8 4 2 12" xfId="24282" xr:uid="{00000000-0005-0000-0000-0000DE5E0000}"/>
    <cellStyle name="Normal 4 8 4 2 13" xfId="24283" xr:uid="{00000000-0005-0000-0000-0000DF5E0000}"/>
    <cellStyle name="Normal 4 8 4 2 14" xfId="24284" xr:uid="{00000000-0005-0000-0000-0000E05E0000}"/>
    <cellStyle name="Normal 4 8 4 2 2" xfId="24285" xr:uid="{00000000-0005-0000-0000-0000E15E0000}"/>
    <cellStyle name="Normal 4 8 4 2 2 2" xfId="24286" xr:uid="{00000000-0005-0000-0000-0000E25E0000}"/>
    <cellStyle name="Normal 4 8 4 2 2 3" xfId="24287" xr:uid="{00000000-0005-0000-0000-0000E35E0000}"/>
    <cellStyle name="Normal 4 8 4 2 2 4" xfId="24288" xr:uid="{00000000-0005-0000-0000-0000E45E0000}"/>
    <cellStyle name="Normal 4 8 4 2 2 5" xfId="24289" xr:uid="{00000000-0005-0000-0000-0000E55E0000}"/>
    <cellStyle name="Normal 4 8 4 2 2 6" xfId="24290" xr:uid="{00000000-0005-0000-0000-0000E65E0000}"/>
    <cellStyle name="Normal 4 8 4 2 3" xfId="24291" xr:uid="{00000000-0005-0000-0000-0000E75E0000}"/>
    <cellStyle name="Normal 4 8 4 2 3 2" xfId="24292" xr:uid="{00000000-0005-0000-0000-0000E85E0000}"/>
    <cellStyle name="Normal 4 8 4 2 3 3" xfId="24293" xr:uid="{00000000-0005-0000-0000-0000E95E0000}"/>
    <cellStyle name="Normal 4 8 4 2 3 4" xfId="24294" xr:uid="{00000000-0005-0000-0000-0000EA5E0000}"/>
    <cellStyle name="Normal 4 8 4 2 3 5" xfId="24295" xr:uid="{00000000-0005-0000-0000-0000EB5E0000}"/>
    <cellStyle name="Normal 4 8 4 2 3 6" xfId="24296" xr:uid="{00000000-0005-0000-0000-0000EC5E0000}"/>
    <cellStyle name="Normal 4 8 4 2 4" xfId="24297" xr:uid="{00000000-0005-0000-0000-0000ED5E0000}"/>
    <cellStyle name="Normal 4 8 4 2 4 2" xfId="24298" xr:uid="{00000000-0005-0000-0000-0000EE5E0000}"/>
    <cellStyle name="Normal 4 8 4 2 4 3" xfId="24299" xr:uid="{00000000-0005-0000-0000-0000EF5E0000}"/>
    <cellStyle name="Normal 4 8 4 2 4 4" xfId="24300" xr:uid="{00000000-0005-0000-0000-0000F05E0000}"/>
    <cellStyle name="Normal 4 8 4 2 4 5" xfId="24301" xr:uid="{00000000-0005-0000-0000-0000F15E0000}"/>
    <cellStyle name="Normal 4 8 4 2 4 6" xfId="24302" xr:uid="{00000000-0005-0000-0000-0000F25E0000}"/>
    <cellStyle name="Normal 4 8 4 2 5" xfId="24303" xr:uid="{00000000-0005-0000-0000-0000F35E0000}"/>
    <cellStyle name="Normal 4 8 4 2 5 2" xfId="24304" xr:uid="{00000000-0005-0000-0000-0000F45E0000}"/>
    <cellStyle name="Normal 4 8 4 2 5 3" xfId="24305" xr:uid="{00000000-0005-0000-0000-0000F55E0000}"/>
    <cellStyle name="Normal 4 8 4 2 5 4" xfId="24306" xr:uid="{00000000-0005-0000-0000-0000F65E0000}"/>
    <cellStyle name="Normal 4 8 4 2 5 5" xfId="24307" xr:uid="{00000000-0005-0000-0000-0000F75E0000}"/>
    <cellStyle name="Normal 4 8 4 2 5 6" xfId="24308" xr:uid="{00000000-0005-0000-0000-0000F85E0000}"/>
    <cellStyle name="Normal 4 8 4 2 6" xfId="24309" xr:uid="{00000000-0005-0000-0000-0000F95E0000}"/>
    <cellStyle name="Normal 4 8 4 2 6 2" xfId="24310" xr:uid="{00000000-0005-0000-0000-0000FA5E0000}"/>
    <cellStyle name="Normal 4 8 4 2 6 3" xfId="24311" xr:uid="{00000000-0005-0000-0000-0000FB5E0000}"/>
    <cellStyle name="Normal 4 8 4 2 6 4" xfId="24312" xr:uid="{00000000-0005-0000-0000-0000FC5E0000}"/>
    <cellStyle name="Normal 4 8 4 2 6 5" xfId="24313" xr:uid="{00000000-0005-0000-0000-0000FD5E0000}"/>
    <cellStyle name="Normal 4 8 4 2 6 6" xfId="24314" xr:uid="{00000000-0005-0000-0000-0000FE5E0000}"/>
    <cellStyle name="Normal 4 8 4 2 7" xfId="24315" xr:uid="{00000000-0005-0000-0000-0000FF5E0000}"/>
    <cellStyle name="Normal 4 8 4 2 7 2" xfId="24316" xr:uid="{00000000-0005-0000-0000-0000005F0000}"/>
    <cellStyle name="Normal 4 8 4 2 7 3" xfId="24317" xr:uid="{00000000-0005-0000-0000-0000015F0000}"/>
    <cellStyle name="Normal 4 8 4 2 7 4" xfId="24318" xr:uid="{00000000-0005-0000-0000-0000025F0000}"/>
    <cellStyle name="Normal 4 8 4 2 7 5" xfId="24319" xr:uid="{00000000-0005-0000-0000-0000035F0000}"/>
    <cellStyle name="Normal 4 8 4 2 7 6" xfId="24320" xr:uid="{00000000-0005-0000-0000-0000045F0000}"/>
    <cellStyle name="Normal 4 8 4 2 8" xfId="24321" xr:uid="{00000000-0005-0000-0000-0000055F0000}"/>
    <cellStyle name="Normal 4 8 4 2 8 2" xfId="24322" xr:uid="{00000000-0005-0000-0000-0000065F0000}"/>
    <cellStyle name="Normal 4 8 4 2 8 3" xfId="24323" xr:uid="{00000000-0005-0000-0000-0000075F0000}"/>
    <cellStyle name="Normal 4 8 4 2 8 4" xfId="24324" xr:uid="{00000000-0005-0000-0000-0000085F0000}"/>
    <cellStyle name="Normal 4 8 4 2 8 5" xfId="24325" xr:uid="{00000000-0005-0000-0000-0000095F0000}"/>
    <cellStyle name="Normal 4 8 4 2 8 6" xfId="24326" xr:uid="{00000000-0005-0000-0000-00000A5F0000}"/>
    <cellStyle name="Normal 4 8 4 2 9" xfId="24327" xr:uid="{00000000-0005-0000-0000-00000B5F0000}"/>
    <cellStyle name="Normal 4 8 4 2 9 2" xfId="24328" xr:uid="{00000000-0005-0000-0000-00000C5F0000}"/>
    <cellStyle name="Normal 4 8 4 2 9 3" xfId="24329" xr:uid="{00000000-0005-0000-0000-00000D5F0000}"/>
    <cellStyle name="Normal 4 8 4 2 9 4" xfId="24330" xr:uid="{00000000-0005-0000-0000-00000E5F0000}"/>
    <cellStyle name="Normal 4 8 4 2 9 5" xfId="24331" xr:uid="{00000000-0005-0000-0000-00000F5F0000}"/>
    <cellStyle name="Normal 4 8 4 2 9 6" xfId="24332" xr:uid="{00000000-0005-0000-0000-0000105F0000}"/>
    <cellStyle name="Normal 4 8 4 3" xfId="24333" xr:uid="{00000000-0005-0000-0000-0000115F0000}"/>
    <cellStyle name="Normal 4 8 4 3 2" xfId="24334" xr:uid="{00000000-0005-0000-0000-0000125F0000}"/>
    <cellStyle name="Normal 4 8 4 3 3" xfId="24335" xr:uid="{00000000-0005-0000-0000-0000135F0000}"/>
    <cellStyle name="Normal 4 8 4 3 4" xfId="24336" xr:uid="{00000000-0005-0000-0000-0000145F0000}"/>
    <cellStyle name="Normal 4 8 4 3 5" xfId="24337" xr:uid="{00000000-0005-0000-0000-0000155F0000}"/>
    <cellStyle name="Normal 4 8 4 3 6" xfId="24338" xr:uid="{00000000-0005-0000-0000-0000165F0000}"/>
    <cellStyle name="Normal 4 8 4 4" xfId="24339" xr:uid="{00000000-0005-0000-0000-0000175F0000}"/>
    <cellStyle name="Normal 4 8 4 4 2" xfId="24340" xr:uid="{00000000-0005-0000-0000-0000185F0000}"/>
    <cellStyle name="Normal 4 8 4 4 3" xfId="24341" xr:uid="{00000000-0005-0000-0000-0000195F0000}"/>
    <cellStyle name="Normal 4 8 4 4 4" xfId="24342" xr:uid="{00000000-0005-0000-0000-00001A5F0000}"/>
    <cellStyle name="Normal 4 8 4 4 5" xfId="24343" xr:uid="{00000000-0005-0000-0000-00001B5F0000}"/>
    <cellStyle name="Normal 4 8 4 4 6" xfId="24344" xr:uid="{00000000-0005-0000-0000-00001C5F0000}"/>
    <cellStyle name="Normal 4 8 4 5" xfId="24345" xr:uid="{00000000-0005-0000-0000-00001D5F0000}"/>
    <cellStyle name="Normal 4 8 4 5 2" xfId="24346" xr:uid="{00000000-0005-0000-0000-00001E5F0000}"/>
    <cellStyle name="Normal 4 8 4 5 3" xfId="24347" xr:uid="{00000000-0005-0000-0000-00001F5F0000}"/>
    <cellStyle name="Normal 4 8 4 5 4" xfId="24348" xr:uid="{00000000-0005-0000-0000-0000205F0000}"/>
    <cellStyle name="Normal 4 8 4 5 5" xfId="24349" xr:uid="{00000000-0005-0000-0000-0000215F0000}"/>
    <cellStyle name="Normal 4 8 4 5 6" xfId="24350" xr:uid="{00000000-0005-0000-0000-0000225F0000}"/>
    <cellStyle name="Normal 4 8 4 6" xfId="24351" xr:uid="{00000000-0005-0000-0000-0000235F0000}"/>
    <cellStyle name="Normal 4 8 4 6 2" xfId="24352" xr:uid="{00000000-0005-0000-0000-0000245F0000}"/>
    <cellStyle name="Normal 4 8 4 6 3" xfId="24353" xr:uid="{00000000-0005-0000-0000-0000255F0000}"/>
    <cellStyle name="Normal 4 8 4 6 4" xfId="24354" xr:uid="{00000000-0005-0000-0000-0000265F0000}"/>
    <cellStyle name="Normal 4 8 4 6 5" xfId="24355" xr:uid="{00000000-0005-0000-0000-0000275F0000}"/>
    <cellStyle name="Normal 4 8 4 6 6" xfId="24356" xr:uid="{00000000-0005-0000-0000-0000285F0000}"/>
    <cellStyle name="Normal 4 8 4 7" xfId="24357" xr:uid="{00000000-0005-0000-0000-0000295F0000}"/>
    <cellStyle name="Normal 4 8 4 7 2" xfId="24358" xr:uid="{00000000-0005-0000-0000-00002A5F0000}"/>
    <cellStyle name="Normal 4 8 4 7 3" xfId="24359" xr:uid="{00000000-0005-0000-0000-00002B5F0000}"/>
    <cellStyle name="Normal 4 8 4 7 4" xfId="24360" xr:uid="{00000000-0005-0000-0000-00002C5F0000}"/>
    <cellStyle name="Normal 4 8 4 7 5" xfId="24361" xr:uid="{00000000-0005-0000-0000-00002D5F0000}"/>
    <cellStyle name="Normal 4 8 4 7 6" xfId="24362" xr:uid="{00000000-0005-0000-0000-00002E5F0000}"/>
    <cellStyle name="Normal 4 8 4 8" xfId="24363" xr:uid="{00000000-0005-0000-0000-00002F5F0000}"/>
    <cellStyle name="Normal 4 8 4 8 2" xfId="24364" xr:uid="{00000000-0005-0000-0000-0000305F0000}"/>
    <cellStyle name="Normal 4 8 4 8 3" xfId="24365" xr:uid="{00000000-0005-0000-0000-0000315F0000}"/>
    <cellStyle name="Normal 4 8 4 8 4" xfId="24366" xr:uid="{00000000-0005-0000-0000-0000325F0000}"/>
    <cellStyle name="Normal 4 8 4 8 5" xfId="24367" xr:uid="{00000000-0005-0000-0000-0000335F0000}"/>
    <cellStyle name="Normal 4 8 4 8 6" xfId="24368" xr:uid="{00000000-0005-0000-0000-0000345F0000}"/>
    <cellStyle name="Normal 4 8 4 9" xfId="24369" xr:uid="{00000000-0005-0000-0000-0000355F0000}"/>
    <cellStyle name="Normal 4 8 4 9 2" xfId="24370" xr:uid="{00000000-0005-0000-0000-0000365F0000}"/>
    <cellStyle name="Normal 4 8 4 9 3" xfId="24371" xr:uid="{00000000-0005-0000-0000-0000375F0000}"/>
    <cellStyle name="Normal 4 8 4 9 4" xfId="24372" xr:uid="{00000000-0005-0000-0000-0000385F0000}"/>
    <cellStyle name="Normal 4 8 4 9 5" xfId="24373" xr:uid="{00000000-0005-0000-0000-0000395F0000}"/>
    <cellStyle name="Normal 4 8 4 9 6" xfId="24374" xr:uid="{00000000-0005-0000-0000-00003A5F0000}"/>
    <cellStyle name="Normal 4 8 5" xfId="24375" xr:uid="{00000000-0005-0000-0000-00003B5F0000}"/>
    <cellStyle name="Normal 4 8 5 10" xfId="24376" xr:uid="{00000000-0005-0000-0000-00003C5F0000}"/>
    <cellStyle name="Normal 4 8 5 11" xfId="24377" xr:uid="{00000000-0005-0000-0000-00003D5F0000}"/>
    <cellStyle name="Normal 4 8 5 12" xfId="24378" xr:uid="{00000000-0005-0000-0000-00003E5F0000}"/>
    <cellStyle name="Normal 4 8 5 13" xfId="24379" xr:uid="{00000000-0005-0000-0000-00003F5F0000}"/>
    <cellStyle name="Normal 4 8 5 14" xfId="24380" xr:uid="{00000000-0005-0000-0000-0000405F0000}"/>
    <cellStyle name="Normal 4 8 5 2" xfId="24381" xr:uid="{00000000-0005-0000-0000-0000415F0000}"/>
    <cellStyle name="Normal 4 8 5 2 2" xfId="24382" xr:uid="{00000000-0005-0000-0000-0000425F0000}"/>
    <cellStyle name="Normal 4 8 5 2 3" xfId="24383" xr:uid="{00000000-0005-0000-0000-0000435F0000}"/>
    <cellStyle name="Normal 4 8 5 2 4" xfId="24384" xr:uid="{00000000-0005-0000-0000-0000445F0000}"/>
    <cellStyle name="Normal 4 8 5 2 5" xfId="24385" xr:uid="{00000000-0005-0000-0000-0000455F0000}"/>
    <cellStyle name="Normal 4 8 5 2 6" xfId="24386" xr:uid="{00000000-0005-0000-0000-0000465F0000}"/>
    <cellStyle name="Normal 4 8 5 3" xfId="24387" xr:uid="{00000000-0005-0000-0000-0000475F0000}"/>
    <cellStyle name="Normal 4 8 5 3 2" xfId="24388" xr:uid="{00000000-0005-0000-0000-0000485F0000}"/>
    <cellStyle name="Normal 4 8 5 3 3" xfId="24389" xr:uid="{00000000-0005-0000-0000-0000495F0000}"/>
    <cellStyle name="Normal 4 8 5 3 4" xfId="24390" xr:uid="{00000000-0005-0000-0000-00004A5F0000}"/>
    <cellStyle name="Normal 4 8 5 3 5" xfId="24391" xr:uid="{00000000-0005-0000-0000-00004B5F0000}"/>
    <cellStyle name="Normal 4 8 5 3 6" xfId="24392" xr:uid="{00000000-0005-0000-0000-00004C5F0000}"/>
    <cellStyle name="Normal 4 8 5 4" xfId="24393" xr:uid="{00000000-0005-0000-0000-00004D5F0000}"/>
    <cellStyle name="Normal 4 8 5 4 2" xfId="24394" xr:uid="{00000000-0005-0000-0000-00004E5F0000}"/>
    <cellStyle name="Normal 4 8 5 4 3" xfId="24395" xr:uid="{00000000-0005-0000-0000-00004F5F0000}"/>
    <cellStyle name="Normal 4 8 5 4 4" xfId="24396" xr:uid="{00000000-0005-0000-0000-0000505F0000}"/>
    <cellStyle name="Normal 4 8 5 4 5" xfId="24397" xr:uid="{00000000-0005-0000-0000-0000515F0000}"/>
    <cellStyle name="Normal 4 8 5 4 6" xfId="24398" xr:uid="{00000000-0005-0000-0000-0000525F0000}"/>
    <cellStyle name="Normal 4 8 5 5" xfId="24399" xr:uid="{00000000-0005-0000-0000-0000535F0000}"/>
    <cellStyle name="Normal 4 8 5 5 2" xfId="24400" xr:uid="{00000000-0005-0000-0000-0000545F0000}"/>
    <cellStyle name="Normal 4 8 5 5 3" xfId="24401" xr:uid="{00000000-0005-0000-0000-0000555F0000}"/>
    <cellStyle name="Normal 4 8 5 5 4" xfId="24402" xr:uid="{00000000-0005-0000-0000-0000565F0000}"/>
    <cellStyle name="Normal 4 8 5 5 5" xfId="24403" xr:uid="{00000000-0005-0000-0000-0000575F0000}"/>
    <cellStyle name="Normal 4 8 5 5 6" xfId="24404" xr:uid="{00000000-0005-0000-0000-0000585F0000}"/>
    <cellStyle name="Normal 4 8 5 6" xfId="24405" xr:uid="{00000000-0005-0000-0000-0000595F0000}"/>
    <cellStyle name="Normal 4 8 5 6 2" xfId="24406" xr:uid="{00000000-0005-0000-0000-00005A5F0000}"/>
    <cellStyle name="Normal 4 8 5 6 3" xfId="24407" xr:uid="{00000000-0005-0000-0000-00005B5F0000}"/>
    <cellStyle name="Normal 4 8 5 6 4" xfId="24408" xr:uid="{00000000-0005-0000-0000-00005C5F0000}"/>
    <cellStyle name="Normal 4 8 5 6 5" xfId="24409" xr:uid="{00000000-0005-0000-0000-00005D5F0000}"/>
    <cellStyle name="Normal 4 8 5 6 6" xfId="24410" xr:uid="{00000000-0005-0000-0000-00005E5F0000}"/>
    <cellStyle name="Normal 4 8 5 7" xfId="24411" xr:uid="{00000000-0005-0000-0000-00005F5F0000}"/>
    <cellStyle name="Normal 4 8 5 7 2" xfId="24412" xr:uid="{00000000-0005-0000-0000-0000605F0000}"/>
    <cellStyle name="Normal 4 8 5 7 3" xfId="24413" xr:uid="{00000000-0005-0000-0000-0000615F0000}"/>
    <cellStyle name="Normal 4 8 5 7 4" xfId="24414" xr:uid="{00000000-0005-0000-0000-0000625F0000}"/>
    <cellStyle name="Normal 4 8 5 7 5" xfId="24415" xr:uid="{00000000-0005-0000-0000-0000635F0000}"/>
    <cellStyle name="Normal 4 8 5 7 6" xfId="24416" xr:uid="{00000000-0005-0000-0000-0000645F0000}"/>
    <cellStyle name="Normal 4 8 5 8" xfId="24417" xr:uid="{00000000-0005-0000-0000-0000655F0000}"/>
    <cellStyle name="Normal 4 8 5 8 2" xfId="24418" xr:uid="{00000000-0005-0000-0000-0000665F0000}"/>
    <cellStyle name="Normal 4 8 5 8 3" xfId="24419" xr:uid="{00000000-0005-0000-0000-0000675F0000}"/>
    <cellStyle name="Normal 4 8 5 8 4" xfId="24420" xr:uid="{00000000-0005-0000-0000-0000685F0000}"/>
    <cellStyle name="Normal 4 8 5 8 5" xfId="24421" xr:uid="{00000000-0005-0000-0000-0000695F0000}"/>
    <cellStyle name="Normal 4 8 5 8 6" xfId="24422" xr:uid="{00000000-0005-0000-0000-00006A5F0000}"/>
    <cellStyle name="Normal 4 8 5 9" xfId="24423" xr:uid="{00000000-0005-0000-0000-00006B5F0000}"/>
    <cellStyle name="Normal 4 8 5 9 2" xfId="24424" xr:uid="{00000000-0005-0000-0000-00006C5F0000}"/>
    <cellStyle name="Normal 4 8 5 9 3" xfId="24425" xr:uid="{00000000-0005-0000-0000-00006D5F0000}"/>
    <cellStyle name="Normal 4 8 5 9 4" xfId="24426" xr:uid="{00000000-0005-0000-0000-00006E5F0000}"/>
    <cellStyle name="Normal 4 8 5 9 5" xfId="24427" xr:uid="{00000000-0005-0000-0000-00006F5F0000}"/>
    <cellStyle name="Normal 4 8 5 9 6" xfId="24428" xr:uid="{00000000-0005-0000-0000-0000705F0000}"/>
    <cellStyle name="Normal 4 8 6" xfId="24429" xr:uid="{00000000-0005-0000-0000-0000715F0000}"/>
    <cellStyle name="Normal 4 8 6 2" xfId="24430" xr:uid="{00000000-0005-0000-0000-0000725F0000}"/>
    <cellStyle name="Normal 4 8 6 3" xfId="24431" xr:uid="{00000000-0005-0000-0000-0000735F0000}"/>
    <cellStyle name="Normal 4 8 6 4" xfId="24432" xr:uid="{00000000-0005-0000-0000-0000745F0000}"/>
    <cellStyle name="Normal 4 8 6 5" xfId="24433" xr:uid="{00000000-0005-0000-0000-0000755F0000}"/>
    <cellStyle name="Normal 4 8 6 6" xfId="24434" xr:uid="{00000000-0005-0000-0000-0000765F0000}"/>
    <cellStyle name="Normal 4 8 7" xfId="24435" xr:uid="{00000000-0005-0000-0000-0000775F0000}"/>
    <cellStyle name="Normal 4 8 7 2" xfId="24436" xr:uid="{00000000-0005-0000-0000-0000785F0000}"/>
    <cellStyle name="Normal 4 8 7 3" xfId="24437" xr:uid="{00000000-0005-0000-0000-0000795F0000}"/>
    <cellStyle name="Normal 4 8 7 4" xfId="24438" xr:uid="{00000000-0005-0000-0000-00007A5F0000}"/>
    <cellStyle name="Normal 4 8 7 5" xfId="24439" xr:uid="{00000000-0005-0000-0000-00007B5F0000}"/>
    <cellStyle name="Normal 4 8 7 6" xfId="24440" xr:uid="{00000000-0005-0000-0000-00007C5F0000}"/>
    <cellStyle name="Normal 4 8 8" xfId="24441" xr:uid="{00000000-0005-0000-0000-00007D5F0000}"/>
    <cellStyle name="Normal 4 8 8 2" xfId="24442" xr:uid="{00000000-0005-0000-0000-00007E5F0000}"/>
    <cellStyle name="Normal 4 8 8 3" xfId="24443" xr:uid="{00000000-0005-0000-0000-00007F5F0000}"/>
    <cellStyle name="Normal 4 8 8 4" xfId="24444" xr:uid="{00000000-0005-0000-0000-0000805F0000}"/>
    <cellStyle name="Normal 4 8 8 5" xfId="24445" xr:uid="{00000000-0005-0000-0000-0000815F0000}"/>
    <cellStyle name="Normal 4 8 8 6" xfId="24446" xr:uid="{00000000-0005-0000-0000-0000825F0000}"/>
    <cellStyle name="Normal 4 8 9" xfId="24447" xr:uid="{00000000-0005-0000-0000-0000835F0000}"/>
    <cellStyle name="Normal 4 8 9 2" xfId="24448" xr:uid="{00000000-0005-0000-0000-0000845F0000}"/>
    <cellStyle name="Normal 4 8 9 3" xfId="24449" xr:uid="{00000000-0005-0000-0000-0000855F0000}"/>
    <cellStyle name="Normal 4 8 9 4" xfId="24450" xr:uid="{00000000-0005-0000-0000-0000865F0000}"/>
    <cellStyle name="Normal 4 8 9 5" xfId="24451" xr:uid="{00000000-0005-0000-0000-0000875F0000}"/>
    <cellStyle name="Normal 4 8 9 6" xfId="24452" xr:uid="{00000000-0005-0000-0000-0000885F0000}"/>
    <cellStyle name="Normal 4 9" xfId="24453" xr:uid="{00000000-0005-0000-0000-0000895F0000}"/>
    <cellStyle name="Normal 40" xfId="24454" xr:uid="{00000000-0005-0000-0000-00008A5F0000}"/>
    <cellStyle name="Normal 40 10" xfId="24455" xr:uid="{00000000-0005-0000-0000-00008B5F0000}"/>
    <cellStyle name="Normal 40 10 2" xfId="24456" xr:uid="{00000000-0005-0000-0000-00008C5F0000}"/>
    <cellStyle name="Normal 40 10 3" xfId="24457" xr:uid="{00000000-0005-0000-0000-00008D5F0000}"/>
    <cellStyle name="Normal 40 10 4" xfId="24458" xr:uid="{00000000-0005-0000-0000-00008E5F0000}"/>
    <cellStyle name="Normal 40 10 5" xfId="24459" xr:uid="{00000000-0005-0000-0000-00008F5F0000}"/>
    <cellStyle name="Normal 40 10 6" xfId="24460" xr:uid="{00000000-0005-0000-0000-0000905F0000}"/>
    <cellStyle name="Normal 40 11" xfId="24461" xr:uid="{00000000-0005-0000-0000-0000915F0000}"/>
    <cellStyle name="Normal 40 12" xfId="24462" xr:uid="{00000000-0005-0000-0000-0000925F0000}"/>
    <cellStyle name="Normal 40 13" xfId="24463" xr:uid="{00000000-0005-0000-0000-0000935F0000}"/>
    <cellStyle name="Normal 40 14" xfId="24464" xr:uid="{00000000-0005-0000-0000-0000945F0000}"/>
    <cellStyle name="Normal 40 15" xfId="24465" xr:uid="{00000000-0005-0000-0000-0000955F0000}"/>
    <cellStyle name="Normal 40 2" xfId="24466" xr:uid="{00000000-0005-0000-0000-0000965F0000}"/>
    <cellStyle name="Normal 40 2 10" xfId="24467" xr:uid="{00000000-0005-0000-0000-0000975F0000}"/>
    <cellStyle name="Normal 40 2 11" xfId="24468" xr:uid="{00000000-0005-0000-0000-0000985F0000}"/>
    <cellStyle name="Normal 40 2 12" xfId="24469" xr:uid="{00000000-0005-0000-0000-0000995F0000}"/>
    <cellStyle name="Normal 40 2 13" xfId="24470" xr:uid="{00000000-0005-0000-0000-00009A5F0000}"/>
    <cellStyle name="Normal 40 2 14" xfId="24471" xr:uid="{00000000-0005-0000-0000-00009B5F0000}"/>
    <cellStyle name="Normal 40 2 2" xfId="24472" xr:uid="{00000000-0005-0000-0000-00009C5F0000}"/>
    <cellStyle name="Normal 40 2 2 2" xfId="24473" xr:uid="{00000000-0005-0000-0000-00009D5F0000}"/>
    <cellStyle name="Normal 40 2 2 3" xfId="24474" xr:uid="{00000000-0005-0000-0000-00009E5F0000}"/>
    <cellStyle name="Normal 40 2 2 4" xfId="24475" xr:uid="{00000000-0005-0000-0000-00009F5F0000}"/>
    <cellStyle name="Normal 40 2 2 5" xfId="24476" xr:uid="{00000000-0005-0000-0000-0000A05F0000}"/>
    <cellStyle name="Normal 40 2 2 6" xfId="24477" xr:uid="{00000000-0005-0000-0000-0000A15F0000}"/>
    <cellStyle name="Normal 40 2 3" xfId="24478" xr:uid="{00000000-0005-0000-0000-0000A25F0000}"/>
    <cellStyle name="Normal 40 2 3 2" xfId="24479" xr:uid="{00000000-0005-0000-0000-0000A35F0000}"/>
    <cellStyle name="Normal 40 2 3 3" xfId="24480" xr:uid="{00000000-0005-0000-0000-0000A45F0000}"/>
    <cellStyle name="Normal 40 2 3 4" xfId="24481" xr:uid="{00000000-0005-0000-0000-0000A55F0000}"/>
    <cellStyle name="Normal 40 2 3 5" xfId="24482" xr:uid="{00000000-0005-0000-0000-0000A65F0000}"/>
    <cellStyle name="Normal 40 2 3 6" xfId="24483" xr:uid="{00000000-0005-0000-0000-0000A75F0000}"/>
    <cellStyle name="Normal 40 2 4" xfId="24484" xr:uid="{00000000-0005-0000-0000-0000A85F0000}"/>
    <cellStyle name="Normal 40 2 4 2" xfId="24485" xr:uid="{00000000-0005-0000-0000-0000A95F0000}"/>
    <cellStyle name="Normal 40 2 4 3" xfId="24486" xr:uid="{00000000-0005-0000-0000-0000AA5F0000}"/>
    <cellStyle name="Normal 40 2 4 4" xfId="24487" xr:uid="{00000000-0005-0000-0000-0000AB5F0000}"/>
    <cellStyle name="Normal 40 2 4 5" xfId="24488" xr:uid="{00000000-0005-0000-0000-0000AC5F0000}"/>
    <cellStyle name="Normal 40 2 4 6" xfId="24489" xr:uid="{00000000-0005-0000-0000-0000AD5F0000}"/>
    <cellStyle name="Normal 40 2 5" xfId="24490" xr:uid="{00000000-0005-0000-0000-0000AE5F0000}"/>
    <cellStyle name="Normal 40 2 5 2" xfId="24491" xr:uid="{00000000-0005-0000-0000-0000AF5F0000}"/>
    <cellStyle name="Normal 40 2 5 3" xfId="24492" xr:uid="{00000000-0005-0000-0000-0000B05F0000}"/>
    <cellStyle name="Normal 40 2 5 4" xfId="24493" xr:uid="{00000000-0005-0000-0000-0000B15F0000}"/>
    <cellStyle name="Normal 40 2 5 5" xfId="24494" xr:uid="{00000000-0005-0000-0000-0000B25F0000}"/>
    <cellStyle name="Normal 40 2 5 6" xfId="24495" xr:uid="{00000000-0005-0000-0000-0000B35F0000}"/>
    <cellStyle name="Normal 40 2 6" xfId="24496" xr:uid="{00000000-0005-0000-0000-0000B45F0000}"/>
    <cellStyle name="Normal 40 2 6 2" xfId="24497" xr:uid="{00000000-0005-0000-0000-0000B55F0000}"/>
    <cellStyle name="Normal 40 2 6 3" xfId="24498" xr:uid="{00000000-0005-0000-0000-0000B65F0000}"/>
    <cellStyle name="Normal 40 2 6 4" xfId="24499" xr:uid="{00000000-0005-0000-0000-0000B75F0000}"/>
    <cellStyle name="Normal 40 2 6 5" xfId="24500" xr:uid="{00000000-0005-0000-0000-0000B85F0000}"/>
    <cellStyle name="Normal 40 2 6 6" xfId="24501" xr:uid="{00000000-0005-0000-0000-0000B95F0000}"/>
    <cellStyle name="Normal 40 2 7" xfId="24502" xr:uid="{00000000-0005-0000-0000-0000BA5F0000}"/>
    <cellStyle name="Normal 40 2 7 2" xfId="24503" xr:uid="{00000000-0005-0000-0000-0000BB5F0000}"/>
    <cellStyle name="Normal 40 2 7 3" xfId="24504" xr:uid="{00000000-0005-0000-0000-0000BC5F0000}"/>
    <cellStyle name="Normal 40 2 7 4" xfId="24505" xr:uid="{00000000-0005-0000-0000-0000BD5F0000}"/>
    <cellStyle name="Normal 40 2 7 5" xfId="24506" xr:uid="{00000000-0005-0000-0000-0000BE5F0000}"/>
    <cellStyle name="Normal 40 2 7 6" xfId="24507" xr:uid="{00000000-0005-0000-0000-0000BF5F0000}"/>
    <cellStyle name="Normal 40 2 8" xfId="24508" xr:uid="{00000000-0005-0000-0000-0000C05F0000}"/>
    <cellStyle name="Normal 40 2 8 2" xfId="24509" xr:uid="{00000000-0005-0000-0000-0000C15F0000}"/>
    <cellStyle name="Normal 40 2 8 3" xfId="24510" xr:uid="{00000000-0005-0000-0000-0000C25F0000}"/>
    <cellStyle name="Normal 40 2 8 4" xfId="24511" xr:uid="{00000000-0005-0000-0000-0000C35F0000}"/>
    <cellStyle name="Normal 40 2 8 5" xfId="24512" xr:uid="{00000000-0005-0000-0000-0000C45F0000}"/>
    <cellStyle name="Normal 40 2 8 6" xfId="24513" xr:uid="{00000000-0005-0000-0000-0000C55F0000}"/>
    <cellStyle name="Normal 40 2 9" xfId="24514" xr:uid="{00000000-0005-0000-0000-0000C65F0000}"/>
    <cellStyle name="Normal 40 2 9 2" xfId="24515" xr:uid="{00000000-0005-0000-0000-0000C75F0000}"/>
    <cellStyle name="Normal 40 2 9 3" xfId="24516" xr:uid="{00000000-0005-0000-0000-0000C85F0000}"/>
    <cellStyle name="Normal 40 2 9 4" xfId="24517" xr:uid="{00000000-0005-0000-0000-0000C95F0000}"/>
    <cellStyle name="Normal 40 2 9 5" xfId="24518" xr:uid="{00000000-0005-0000-0000-0000CA5F0000}"/>
    <cellStyle name="Normal 40 2 9 6" xfId="24519" xr:uid="{00000000-0005-0000-0000-0000CB5F0000}"/>
    <cellStyle name="Normal 40 3" xfId="24520" xr:uid="{00000000-0005-0000-0000-0000CC5F0000}"/>
    <cellStyle name="Normal 40 3 2" xfId="24521" xr:uid="{00000000-0005-0000-0000-0000CD5F0000}"/>
    <cellStyle name="Normal 40 3 3" xfId="24522" xr:uid="{00000000-0005-0000-0000-0000CE5F0000}"/>
    <cellStyle name="Normal 40 3 4" xfId="24523" xr:uid="{00000000-0005-0000-0000-0000CF5F0000}"/>
    <cellStyle name="Normal 40 3 5" xfId="24524" xr:uid="{00000000-0005-0000-0000-0000D05F0000}"/>
    <cellStyle name="Normal 40 3 6" xfId="24525" xr:uid="{00000000-0005-0000-0000-0000D15F0000}"/>
    <cellStyle name="Normal 40 4" xfId="24526" xr:uid="{00000000-0005-0000-0000-0000D25F0000}"/>
    <cellStyle name="Normal 40 4 2" xfId="24527" xr:uid="{00000000-0005-0000-0000-0000D35F0000}"/>
    <cellStyle name="Normal 40 4 3" xfId="24528" xr:uid="{00000000-0005-0000-0000-0000D45F0000}"/>
    <cellStyle name="Normal 40 4 4" xfId="24529" xr:uid="{00000000-0005-0000-0000-0000D55F0000}"/>
    <cellStyle name="Normal 40 4 5" xfId="24530" xr:uid="{00000000-0005-0000-0000-0000D65F0000}"/>
    <cellStyle name="Normal 40 4 6" xfId="24531" xr:uid="{00000000-0005-0000-0000-0000D75F0000}"/>
    <cellStyle name="Normal 40 5" xfId="24532" xr:uid="{00000000-0005-0000-0000-0000D85F0000}"/>
    <cellStyle name="Normal 40 5 2" xfId="24533" xr:uid="{00000000-0005-0000-0000-0000D95F0000}"/>
    <cellStyle name="Normal 40 5 3" xfId="24534" xr:uid="{00000000-0005-0000-0000-0000DA5F0000}"/>
    <cellStyle name="Normal 40 5 4" xfId="24535" xr:uid="{00000000-0005-0000-0000-0000DB5F0000}"/>
    <cellStyle name="Normal 40 5 5" xfId="24536" xr:uid="{00000000-0005-0000-0000-0000DC5F0000}"/>
    <cellStyle name="Normal 40 5 6" xfId="24537" xr:uid="{00000000-0005-0000-0000-0000DD5F0000}"/>
    <cellStyle name="Normal 40 6" xfId="24538" xr:uid="{00000000-0005-0000-0000-0000DE5F0000}"/>
    <cellStyle name="Normal 40 6 2" xfId="24539" xr:uid="{00000000-0005-0000-0000-0000DF5F0000}"/>
    <cellStyle name="Normal 40 6 3" xfId="24540" xr:uid="{00000000-0005-0000-0000-0000E05F0000}"/>
    <cellStyle name="Normal 40 6 4" xfId="24541" xr:uid="{00000000-0005-0000-0000-0000E15F0000}"/>
    <cellStyle name="Normal 40 6 5" xfId="24542" xr:uid="{00000000-0005-0000-0000-0000E25F0000}"/>
    <cellStyle name="Normal 40 6 6" xfId="24543" xr:uid="{00000000-0005-0000-0000-0000E35F0000}"/>
    <cellStyle name="Normal 40 7" xfId="24544" xr:uid="{00000000-0005-0000-0000-0000E45F0000}"/>
    <cellStyle name="Normal 40 7 2" xfId="24545" xr:uid="{00000000-0005-0000-0000-0000E55F0000}"/>
    <cellStyle name="Normal 40 7 3" xfId="24546" xr:uid="{00000000-0005-0000-0000-0000E65F0000}"/>
    <cellStyle name="Normal 40 7 4" xfId="24547" xr:uid="{00000000-0005-0000-0000-0000E75F0000}"/>
    <cellStyle name="Normal 40 7 5" xfId="24548" xr:uid="{00000000-0005-0000-0000-0000E85F0000}"/>
    <cellStyle name="Normal 40 7 6" xfId="24549" xr:uid="{00000000-0005-0000-0000-0000E95F0000}"/>
    <cellStyle name="Normal 40 8" xfId="24550" xr:uid="{00000000-0005-0000-0000-0000EA5F0000}"/>
    <cellStyle name="Normal 40 8 2" xfId="24551" xr:uid="{00000000-0005-0000-0000-0000EB5F0000}"/>
    <cellStyle name="Normal 40 8 3" xfId="24552" xr:uid="{00000000-0005-0000-0000-0000EC5F0000}"/>
    <cellStyle name="Normal 40 8 4" xfId="24553" xr:uid="{00000000-0005-0000-0000-0000ED5F0000}"/>
    <cellStyle name="Normal 40 8 5" xfId="24554" xr:uid="{00000000-0005-0000-0000-0000EE5F0000}"/>
    <cellStyle name="Normal 40 8 6" xfId="24555" xr:uid="{00000000-0005-0000-0000-0000EF5F0000}"/>
    <cellStyle name="Normal 40 9" xfId="24556" xr:uid="{00000000-0005-0000-0000-0000F05F0000}"/>
    <cellStyle name="Normal 40 9 2" xfId="24557" xr:uid="{00000000-0005-0000-0000-0000F15F0000}"/>
    <cellStyle name="Normal 40 9 3" xfId="24558" xr:uid="{00000000-0005-0000-0000-0000F25F0000}"/>
    <cellStyle name="Normal 40 9 4" xfId="24559" xr:uid="{00000000-0005-0000-0000-0000F35F0000}"/>
    <cellStyle name="Normal 40 9 5" xfId="24560" xr:uid="{00000000-0005-0000-0000-0000F45F0000}"/>
    <cellStyle name="Normal 40 9 6" xfId="24561" xr:uid="{00000000-0005-0000-0000-0000F55F0000}"/>
    <cellStyle name="Normal 41" xfId="24562" xr:uid="{00000000-0005-0000-0000-0000F65F0000}"/>
    <cellStyle name="Normal 41 10" xfId="24563" xr:uid="{00000000-0005-0000-0000-0000F75F0000}"/>
    <cellStyle name="Normal 41 10 2" xfId="24564" xr:uid="{00000000-0005-0000-0000-0000F85F0000}"/>
    <cellStyle name="Normal 41 10 3" xfId="24565" xr:uid="{00000000-0005-0000-0000-0000F95F0000}"/>
    <cellStyle name="Normal 41 10 4" xfId="24566" xr:uid="{00000000-0005-0000-0000-0000FA5F0000}"/>
    <cellStyle name="Normal 41 10 5" xfId="24567" xr:uid="{00000000-0005-0000-0000-0000FB5F0000}"/>
    <cellStyle name="Normal 41 10 6" xfId="24568" xr:uid="{00000000-0005-0000-0000-0000FC5F0000}"/>
    <cellStyle name="Normal 41 11" xfId="24569" xr:uid="{00000000-0005-0000-0000-0000FD5F0000}"/>
    <cellStyle name="Normal 41 12" xfId="24570" xr:uid="{00000000-0005-0000-0000-0000FE5F0000}"/>
    <cellStyle name="Normal 41 13" xfId="24571" xr:uid="{00000000-0005-0000-0000-0000FF5F0000}"/>
    <cellStyle name="Normal 41 14" xfId="24572" xr:uid="{00000000-0005-0000-0000-000000600000}"/>
    <cellStyle name="Normal 41 15" xfId="24573" xr:uid="{00000000-0005-0000-0000-000001600000}"/>
    <cellStyle name="Normal 41 2" xfId="24574" xr:uid="{00000000-0005-0000-0000-000002600000}"/>
    <cellStyle name="Normal 41 2 10" xfId="24575" xr:uid="{00000000-0005-0000-0000-000003600000}"/>
    <cellStyle name="Normal 41 2 11" xfId="24576" xr:uid="{00000000-0005-0000-0000-000004600000}"/>
    <cellStyle name="Normal 41 2 12" xfId="24577" xr:uid="{00000000-0005-0000-0000-000005600000}"/>
    <cellStyle name="Normal 41 2 13" xfId="24578" xr:uid="{00000000-0005-0000-0000-000006600000}"/>
    <cellStyle name="Normal 41 2 14" xfId="24579" xr:uid="{00000000-0005-0000-0000-000007600000}"/>
    <cellStyle name="Normal 41 2 2" xfId="24580" xr:uid="{00000000-0005-0000-0000-000008600000}"/>
    <cellStyle name="Normal 41 2 2 2" xfId="24581" xr:uid="{00000000-0005-0000-0000-000009600000}"/>
    <cellStyle name="Normal 41 2 2 3" xfId="24582" xr:uid="{00000000-0005-0000-0000-00000A600000}"/>
    <cellStyle name="Normal 41 2 2 4" xfId="24583" xr:uid="{00000000-0005-0000-0000-00000B600000}"/>
    <cellStyle name="Normal 41 2 2 5" xfId="24584" xr:uid="{00000000-0005-0000-0000-00000C600000}"/>
    <cellStyle name="Normal 41 2 2 6" xfId="24585" xr:uid="{00000000-0005-0000-0000-00000D600000}"/>
    <cellStyle name="Normal 41 2 3" xfId="24586" xr:uid="{00000000-0005-0000-0000-00000E600000}"/>
    <cellStyle name="Normal 41 2 3 2" xfId="24587" xr:uid="{00000000-0005-0000-0000-00000F600000}"/>
    <cellStyle name="Normal 41 2 3 3" xfId="24588" xr:uid="{00000000-0005-0000-0000-000010600000}"/>
    <cellStyle name="Normal 41 2 3 4" xfId="24589" xr:uid="{00000000-0005-0000-0000-000011600000}"/>
    <cellStyle name="Normal 41 2 3 5" xfId="24590" xr:uid="{00000000-0005-0000-0000-000012600000}"/>
    <cellStyle name="Normal 41 2 3 6" xfId="24591" xr:uid="{00000000-0005-0000-0000-000013600000}"/>
    <cellStyle name="Normal 41 2 4" xfId="24592" xr:uid="{00000000-0005-0000-0000-000014600000}"/>
    <cellStyle name="Normal 41 2 4 2" xfId="24593" xr:uid="{00000000-0005-0000-0000-000015600000}"/>
    <cellStyle name="Normal 41 2 4 3" xfId="24594" xr:uid="{00000000-0005-0000-0000-000016600000}"/>
    <cellStyle name="Normal 41 2 4 4" xfId="24595" xr:uid="{00000000-0005-0000-0000-000017600000}"/>
    <cellStyle name="Normal 41 2 4 5" xfId="24596" xr:uid="{00000000-0005-0000-0000-000018600000}"/>
    <cellStyle name="Normal 41 2 4 6" xfId="24597" xr:uid="{00000000-0005-0000-0000-000019600000}"/>
    <cellStyle name="Normal 41 2 5" xfId="24598" xr:uid="{00000000-0005-0000-0000-00001A600000}"/>
    <cellStyle name="Normal 41 2 5 2" xfId="24599" xr:uid="{00000000-0005-0000-0000-00001B600000}"/>
    <cellStyle name="Normal 41 2 5 3" xfId="24600" xr:uid="{00000000-0005-0000-0000-00001C600000}"/>
    <cellStyle name="Normal 41 2 5 4" xfId="24601" xr:uid="{00000000-0005-0000-0000-00001D600000}"/>
    <cellStyle name="Normal 41 2 5 5" xfId="24602" xr:uid="{00000000-0005-0000-0000-00001E600000}"/>
    <cellStyle name="Normal 41 2 5 6" xfId="24603" xr:uid="{00000000-0005-0000-0000-00001F600000}"/>
    <cellStyle name="Normal 41 2 6" xfId="24604" xr:uid="{00000000-0005-0000-0000-000020600000}"/>
    <cellStyle name="Normal 41 2 6 2" xfId="24605" xr:uid="{00000000-0005-0000-0000-000021600000}"/>
    <cellStyle name="Normal 41 2 6 3" xfId="24606" xr:uid="{00000000-0005-0000-0000-000022600000}"/>
    <cellStyle name="Normal 41 2 6 4" xfId="24607" xr:uid="{00000000-0005-0000-0000-000023600000}"/>
    <cellStyle name="Normal 41 2 6 5" xfId="24608" xr:uid="{00000000-0005-0000-0000-000024600000}"/>
    <cellStyle name="Normal 41 2 6 6" xfId="24609" xr:uid="{00000000-0005-0000-0000-000025600000}"/>
    <cellStyle name="Normal 41 2 7" xfId="24610" xr:uid="{00000000-0005-0000-0000-000026600000}"/>
    <cellStyle name="Normal 41 2 7 2" xfId="24611" xr:uid="{00000000-0005-0000-0000-000027600000}"/>
    <cellStyle name="Normal 41 2 7 3" xfId="24612" xr:uid="{00000000-0005-0000-0000-000028600000}"/>
    <cellStyle name="Normal 41 2 7 4" xfId="24613" xr:uid="{00000000-0005-0000-0000-000029600000}"/>
    <cellStyle name="Normal 41 2 7 5" xfId="24614" xr:uid="{00000000-0005-0000-0000-00002A600000}"/>
    <cellStyle name="Normal 41 2 7 6" xfId="24615" xr:uid="{00000000-0005-0000-0000-00002B600000}"/>
    <cellStyle name="Normal 41 2 8" xfId="24616" xr:uid="{00000000-0005-0000-0000-00002C600000}"/>
    <cellStyle name="Normal 41 2 8 2" xfId="24617" xr:uid="{00000000-0005-0000-0000-00002D600000}"/>
    <cellStyle name="Normal 41 2 8 3" xfId="24618" xr:uid="{00000000-0005-0000-0000-00002E600000}"/>
    <cellStyle name="Normal 41 2 8 4" xfId="24619" xr:uid="{00000000-0005-0000-0000-00002F600000}"/>
    <cellStyle name="Normal 41 2 8 5" xfId="24620" xr:uid="{00000000-0005-0000-0000-000030600000}"/>
    <cellStyle name="Normal 41 2 8 6" xfId="24621" xr:uid="{00000000-0005-0000-0000-000031600000}"/>
    <cellStyle name="Normal 41 2 9" xfId="24622" xr:uid="{00000000-0005-0000-0000-000032600000}"/>
    <cellStyle name="Normal 41 2 9 2" xfId="24623" xr:uid="{00000000-0005-0000-0000-000033600000}"/>
    <cellStyle name="Normal 41 2 9 3" xfId="24624" xr:uid="{00000000-0005-0000-0000-000034600000}"/>
    <cellStyle name="Normal 41 2 9 4" xfId="24625" xr:uid="{00000000-0005-0000-0000-000035600000}"/>
    <cellStyle name="Normal 41 2 9 5" xfId="24626" xr:uid="{00000000-0005-0000-0000-000036600000}"/>
    <cellStyle name="Normal 41 2 9 6" xfId="24627" xr:uid="{00000000-0005-0000-0000-000037600000}"/>
    <cellStyle name="Normal 41 3" xfId="24628" xr:uid="{00000000-0005-0000-0000-000038600000}"/>
    <cellStyle name="Normal 41 3 2" xfId="24629" xr:uid="{00000000-0005-0000-0000-000039600000}"/>
    <cellStyle name="Normal 41 3 3" xfId="24630" xr:uid="{00000000-0005-0000-0000-00003A600000}"/>
    <cellStyle name="Normal 41 3 4" xfId="24631" xr:uid="{00000000-0005-0000-0000-00003B600000}"/>
    <cellStyle name="Normal 41 3 5" xfId="24632" xr:uid="{00000000-0005-0000-0000-00003C600000}"/>
    <cellStyle name="Normal 41 3 6" xfId="24633" xr:uid="{00000000-0005-0000-0000-00003D600000}"/>
    <cellStyle name="Normal 41 4" xfId="24634" xr:uid="{00000000-0005-0000-0000-00003E600000}"/>
    <cellStyle name="Normal 41 4 2" xfId="24635" xr:uid="{00000000-0005-0000-0000-00003F600000}"/>
    <cellStyle name="Normal 41 4 3" xfId="24636" xr:uid="{00000000-0005-0000-0000-000040600000}"/>
    <cellStyle name="Normal 41 4 4" xfId="24637" xr:uid="{00000000-0005-0000-0000-000041600000}"/>
    <cellStyle name="Normal 41 4 5" xfId="24638" xr:uid="{00000000-0005-0000-0000-000042600000}"/>
    <cellStyle name="Normal 41 4 6" xfId="24639" xr:uid="{00000000-0005-0000-0000-000043600000}"/>
    <cellStyle name="Normal 41 5" xfId="24640" xr:uid="{00000000-0005-0000-0000-000044600000}"/>
    <cellStyle name="Normal 41 5 2" xfId="24641" xr:uid="{00000000-0005-0000-0000-000045600000}"/>
    <cellStyle name="Normal 41 5 3" xfId="24642" xr:uid="{00000000-0005-0000-0000-000046600000}"/>
    <cellStyle name="Normal 41 5 4" xfId="24643" xr:uid="{00000000-0005-0000-0000-000047600000}"/>
    <cellStyle name="Normal 41 5 5" xfId="24644" xr:uid="{00000000-0005-0000-0000-000048600000}"/>
    <cellStyle name="Normal 41 5 6" xfId="24645" xr:uid="{00000000-0005-0000-0000-000049600000}"/>
    <cellStyle name="Normal 41 6" xfId="24646" xr:uid="{00000000-0005-0000-0000-00004A600000}"/>
    <cellStyle name="Normal 41 6 2" xfId="24647" xr:uid="{00000000-0005-0000-0000-00004B600000}"/>
    <cellStyle name="Normal 41 6 3" xfId="24648" xr:uid="{00000000-0005-0000-0000-00004C600000}"/>
    <cellStyle name="Normal 41 6 4" xfId="24649" xr:uid="{00000000-0005-0000-0000-00004D600000}"/>
    <cellStyle name="Normal 41 6 5" xfId="24650" xr:uid="{00000000-0005-0000-0000-00004E600000}"/>
    <cellStyle name="Normal 41 6 6" xfId="24651" xr:uid="{00000000-0005-0000-0000-00004F600000}"/>
    <cellStyle name="Normal 41 7" xfId="24652" xr:uid="{00000000-0005-0000-0000-000050600000}"/>
    <cellStyle name="Normal 41 7 2" xfId="24653" xr:uid="{00000000-0005-0000-0000-000051600000}"/>
    <cellStyle name="Normal 41 7 3" xfId="24654" xr:uid="{00000000-0005-0000-0000-000052600000}"/>
    <cellStyle name="Normal 41 7 4" xfId="24655" xr:uid="{00000000-0005-0000-0000-000053600000}"/>
    <cellStyle name="Normal 41 7 5" xfId="24656" xr:uid="{00000000-0005-0000-0000-000054600000}"/>
    <cellStyle name="Normal 41 7 6" xfId="24657" xr:uid="{00000000-0005-0000-0000-000055600000}"/>
    <cellStyle name="Normal 41 8" xfId="24658" xr:uid="{00000000-0005-0000-0000-000056600000}"/>
    <cellStyle name="Normal 41 8 2" xfId="24659" xr:uid="{00000000-0005-0000-0000-000057600000}"/>
    <cellStyle name="Normal 41 8 3" xfId="24660" xr:uid="{00000000-0005-0000-0000-000058600000}"/>
    <cellStyle name="Normal 41 8 4" xfId="24661" xr:uid="{00000000-0005-0000-0000-000059600000}"/>
    <cellStyle name="Normal 41 8 5" xfId="24662" xr:uid="{00000000-0005-0000-0000-00005A600000}"/>
    <cellStyle name="Normal 41 8 6" xfId="24663" xr:uid="{00000000-0005-0000-0000-00005B600000}"/>
    <cellStyle name="Normal 41 9" xfId="24664" xr:uid="{00000000-0005-0000-0000-00005C600000}"/>
    <cellStyle name="Normal 41 9 2" xfId="24665" xr:uid="{00000000-0005-0000-0000-00005D600000}"/>
    <cellStyle name="Normal 41 9 3" xfId="24666" xr:uid="{00000000-0005-0000-0000-00005E600000}"/>
    <cellStyle name="Normal 41 9 4" xfId="24667" xr:uid="{00000000-0005-0000-0000-00005F600000}"/>
    <cellStyle name="Normal 41 9 5" xfId="24668" xr:uid="{00000000-0005-0000-0000-000060600000}"/>
    <cellStyle name="Normal 41 9 6" xfId="24669" xr:uid="{00000000-0005-0000-0000-000061600000}"/>
    <cellStyle name="Normal 42" xfId="24670" xr:uid="{00000000-0005-0000-0000-000062600000}"/>
    <cellStyle name="Normal 42 10" xfId="24671" xr:uid="{00000000-0005-0000-0000-000063600000}"/>
    <cellStyle name="Normal 42 10 2" xfId="24672" xr:uid="{00000000-0005-0000-0000-000064600000}"/>
    <cellStyle name="Normal 42 10 3" xfId="24673" xr:uid="{00000000-0005-0000-0000-000065600000}"/>
    <cellStyle name="Normal 42 10 4" xfId="24674" xr:uid="{00000000-0005-0000-0000-000066600000}"/>
    <cellStyle name="Normal 42 10 5" xfId="24675" xr:uid="{00000000-0005-0000-0000-000067600000}"/>
    <cellStyle name="Normal 42 10 6" xfId="24676" xr:uid="{00000000-0005-0000-0000-000068600000}"/>
    <cellStyle name="Normal 42 11" xfId="24677" xr:uid="{00000000-0005-0000-0000-000069600000}"/>
    <cellStyle name="Normal 42 12" xfId="24678" xr:uid="{00000000-0005-0000-0000-00006A600000}"/>
    <cellStyle name="Normal 42 13" xfId="24679" xr:uid="{00000000-0005-0000-0000-00006B600000}"/>
    <cellStyle name="Normal 42 14" xfId="24680" xr:uid="{00000000-0005-0000-0000-00006C600000}"/>
    <cellStyle name="Normal 42 15" xfId="24681" xr:uid="{00000000-0005-0000-0000-00006D600000}"/>
    <cellStyle name="Normal 42 2" xfId="24682" xr:uid="{00000000-0005-0000-0000-00006E600000}"/>
    <cellStyle name="Normal 42 2 10" xfId="24683" xr:uid="{00000000-0005-0000-0000-00006F600000}"/>
    <cellStyle name="Normal 42 2 11" xfId="24684" xr:uid="{00000000-0005-0000-0000-000070600000}"/>
    <cellStyle name="Normal 42 2 12" xfId="24685" xr:uid="{00000000-0005-0000-0000-000071600000}"/>
    <cellStyle name="Normal 42 2 13" xfId="24686" xr:uid="{00000000-0005-0000-0000-000072600000}"/>
    <cellStyle name="Normal 42 2 14" xfId="24687" xr:uid="{00000000-0005-0000-0000-000073600000}"/>
    <cellStyle name="Normal 42 2 2" xfId="24688" xr:uid="{00000000-0005-0000-0000-000074600000}"/>
    <cellStyle name="Normal 42 2 2 2" xfId="24689" xr:uid="{00000000-0005-0000-0000-000075600000}"/>
    <cellStyle name="Normal 42 2 2 3" xfId="24690" xr:uid="{00000000-0005-0000-0000-000076600000}"/>
    <cellStyle name="Normal 42 2 2 4" xfId="24691" xr:uid="{00000000-0005-0000-0000-000077600000}"/>
    <cellStyle name="Normal 42 2 2 5" xfId="24692" xr:uid="{00000000-0005-0000-0000-000078600000}"/>
    <cellStyle name="Normal 42 2 2 6" xfId="24693" xr:uid="{00000000-0005-0000-0000-000079600000}"/>
    <cellStyle name="Normal 42 2 3" xfId="24694" xr:uid="{00000000-0005-0000-0000-00007A600000}"/>
    <cellStyle name="Normal 42 2 3 2" xfId="24695" xr:uid="{00000000-0005-0000-0000-00007B600000}"/>
    <cellStyle name="Normal 42 2 3 3" xfId="24696" xr:uid="{00000000-0005-0000-0000-00007C600000}"/>
    <cellStyle name="Normal 42 2 3 4" xfId="24697" xr:uid="{00000000-0005-0000-0000-00007D600000}"/>
    <cellStyle name="Normal 42 2 3 5" xfId="24698" xr:uid="{00000000-0005-0000-0000-00007E600000}"/>
    <cellStyle name="Normal 42 2 3 6" xfId="24699" xr:uid="{00000000-0005-0000-0000-00007F600000}"/>
    <cellStyle name="Normal 42 2 4" xfId="24700" xr:uid="{00000000-0005-0000-0000-000080600000}"/>
    <cellStyle name="Normal 42 2 4 2" xfId="24701" xr:uid="{00000000-0005-0000-0000-000081600000}"/>
    <cellStyle name="Normal 42 2 4 3" xfId="24702" xr:uid="{00000000-0005-0000-0000-000082600000}"/>
    <cellStyle name="Normal 42 2 4 4" xfId="24703" xr:uid="{00000000-0005-0000-0000-000083600000}"/>
    <cellStyle name="Normal 42 2 4 5" xfId="24704" xr:uid="{00000000-0005-0000-0000-000084600000}"/>
    <cellStyle name="Normal 42 2 4 6" xfId="24705" xr:uid="{00000000-0005-0000-0000-000085600000}"/>
    <cellStyle name="Normal 42 2 5" xfId="24706" xr:uid="{00000000-0005-0000-0000-000086600000}"/>
    <cellStyle name="Normal 42 2 5 2" xfId="24707" xr:uid="{00000000-0005-0000-0000-000087600000}"/>
    <cellStyle name="Normal 42 2 5 3" xfId="24708" xr:uid="{00000000-0005-0000-0000-000088600000}"/>
    <cellStyle name="Normal 42 2 5 4" xfId="24709" xr:uid="{00000000-0005-0000-0000-000089600000}"/>
    <cellStyle name="Normal 42 2 5 5" xfId="24710" xr:uid="{00000000-0005-0000-0000-00008A600000}"/>
    <cellStyle name="Normal 42 2 5 6" xfId="24711" xr:uid="{00000000-0005-0000-0000-00008B600000}"/>
    <cellStyle name="Normal 42 2 6" xfId="24712" xr:uid="{00000000-0005-0000-0000-00008C600000}"/>
    <cellStyle name="Normal 42 2 6 2" xfId="24713" xr:uid="{00000000-0005-0000-0000-00008D600000}"/>
    <cellStyle name="Normal 42 2 6 3" xfId="24714" xr:uid="{00000000-0005-0000-0000-00008E600000}"/>
    <cellStyle name="Normal 42 2 6 4" xfId="24715" xr:uid="{00000000-0005-0000-0000-00008F600000}"/>
    <cellStyle name="Normal 42 2 6 5" xfId="24716" xr:uid="{00000000-0005-0000-0000-000090600000}"/>
    <cellStyle name="Normal 42 2 6 6" xfId="24717" xr:uid="{00000000-0005-0000-0000-000091600000}"/>
    <cellStyle name="Normal 42 2 7" xfId="24718" xr:uid="{00000000-0005-0000-0000-000092600000}"/>
    <cellStyle name="Normal 42 2 7 2" xfId="24719" xr:uid="{00000000-0005-0000-0000-000093600000}"/>
    <cellStyle name="Normal 42 2 7 3" xfId="24720" xr:uid="{00000000-0005-0000-0000-000094600000}"/>
    <cellStyle name="Normal 42 2 7 4" xfId="24721" xr:uid="{00000000-0005-0000-0000-000095600000}"/>
    <cellStyle name="Normal 42 2 7 5" xfId="24722" xr:uid="{00000000-0005-0000-0000-000096600000}"/>
    <cellStyle name="Normal 42 2 7 6" xfId="24723" xr:uid="{00000000-0005-0000-0000-000097600000}"/>
    <cellStyle name="Normal 42 2 8" xfId="24724" xr:uid="{00000000-0005-0000-0000-000098600000}"/>
    <cellStyle name="Normal 42 2 8 2" xfId="24725" xr:uid="{00000000-0005-0000-0000-000099600000}"/>
    <cellStyle name="Normal 42 2 8 3" xfId="24726" xr:uid="{00000000-0005-0000-0000-00009A600000}"/>
    <cellStyle name="Normal 42 2 8 4" xfId="24727" xr:uid="{00000000-0005-0000-0000-00009B600000}"/>
    <cellStyle name="Normal 42 2 8 5" xfId="24728" xr:uid="{00000000-0005-0000-0000-00009C600000}"/>
    <cellStyle name="Normal 42 2 8 6" xfId="24729" xr:uid="{00000000-0005-0000-0000-00009D600000}"/>
    <cellStyle name="Normal 42 2 9" xfId="24730" xr:uid="{00000000-0005-0000-0000-00009E600000}"/>
    <cellStyle name="Normal 42 2 9 2" xfId="24731" xr:uid="{00000000-0005-0000-0000-00009F600000}"/>
    <cellStyle name="Normal 42 2 9 3" xfId="24732" xr:uid="{00000000-0005-0000-0000-0000A0600000}"/>
    <cellStyle name="Normal 42 2 9 4" xfId="24733" xr:uid="{00000000-0005-0000-0000-0000A1600000}"/>
    <cellStyle name="Normal 42 2 9 5" xfId="24734" xr:uid="{00000000-0005-0000-0000-0000A2600000}"/>
    <cellStyle name="Normal 42 2 9 6" xfId="24735" xr:uid="{00000000-0005-0000-0000-0000A3600000}"/>
    <cellStyle name="Normal 42 3" xfId="24736" xr:uid="{00000000-0005-0000-0000-0000A4600000}"/>
    <cellStyle name="Normal 42 3 2" xfId="24737" xr:uid="{00000000-0005-0000-0000-0000A5600000}"/>
    <cellStyle name="Normal 42 3 3" xfId="24738" xr:uid="{00000000-0005-0000-0000-0000A6600000}"/>
    <cellStyle name="Normal 42 3 4" xfId="24739" xr:uid="{00000000-0005-0000-0000-0000A7600000}"/>
    <cellStyle name="Normal 42 3 5" xfId="24740" xr:uid="{00000000-0005-0000-0000-0000A8600000}"/>
    <cellStyle name="Normal 42 3 6" xfId="24741" xr:uid="{00000000-0005-0000-0000-0000A9600000}"/>
    <cellStyle name="Normal 42 4" xfId="24742" xr:uid="{00000000-0005-0000-0000-0000AA600000}"/>
    <cellStyle name="Normal 42 4 2" xfId="24743" xr:uid="{00000000-0005-0000-0000-0000AB600000}"/>
    <cellStyle name="Normal 42 4 3" xfId="24744" xr:uid="{00000000-0005-0000-0000-0000AC600000}"/>
    <cellStyle name="Normal 42 4 4" xfId="24745" xr:uid="{00000000-0005-0000-0000-0000AD600000}"/>
    <cellStyle name="Normal 42 4 5" xfId="24746" xr:uid="{00000000-0005-0000-0000-0000AE600000}"/>
    <cellStyle name="Normal 42 4 6" xfId="24747" xr:uid="{00000000-0005-0000-0000-0000AF600000}"/>
    <cellStyle name="Normal 42 5" xfId="24748" xr:uid="{00000000-0005-0000-0000-0000B0600000}"/>
    <cellStyle name="Normal 42 5 2" xfId="24749" xr:uid="{00000000-0005-0000-0000-0000B1600000}"/>
    <cellStyle name="Normal 42 5 3" xfId="24750" xr:uid="{00000000-0005-0000-0000-0000B2600000}"/>
    <cellStyle name="Normal 42 5 4" xfId="24751" xr:uid="{00000000-0005-0000-0000-0000B3600000}"/>
    <cellStyle name="Normal 42 5 5" xfId="24752" xr:uid="{00000000-0005-0000-0000-0000B4600000}"/>
    <cellStyle name="Normal 42 5 6" xfId="24753" xr:uid="{00000000-0005-0000-0000-0000B5600000}"/>
    <cellStyle name="Normal 42 6" xfId="24754" xr:uid="{00000000-0005-0000-0000-0000B6600000}"/>
    <cellStyle name="Normal 42 6 2" xfId="24755" xr:uid="{00000000-0005-0000-0000-0000B7600000}"/>
    <cellStyle name="Normal 42 6 3" xfId="24756" xr:uid="{00000000-0005-0000-0000-0000B8600000}"/>
    <cellStyle name="Normal 42 6 4" xfId="24757" xr:uid="{00000000-0005-0000-0000-0000B9600000}"/>
    <cellStyle name="Normal 42 6 5" xfId="24758" xr:uid="{00000000-0005-0000-0000-0000BA600000}"/>
    <cellStyle name="Normal 42 6 6" xfId="24759" xr:uid="{00000000-0005-0000-0000-0000BB600000}"/>
    <cellStyle name="Normal 42 7" xfId="24760" xr:uid="{00000000-0005-0000-0000-0000BC600000}"/>
    <cellStyle name="Normal 42 7 2" xfId="24761" xr:uid="{00000000-0005-0000-0000-0000BD600000}"/>
    <cellStyle name="Normal 42 7 3" xfId="24762" xr:uid="{00000000-0005-0000-0000-0000BE600000}"/>
    <cellStyle name="Normal 42 7 4" xfId="24763" xr:uid="{00000000-0005-0000-0000-0000BF600000}"/>
    <cellStyle name="Normal 42 7 5" xfId="24764" xr:uid="{00000000-0005-0000-0000-0000C0600000}"/>
    <cellStyle name="Normal 42 7 6" xfId="24765" xr:uid="{00000000-0005-0000-0000-0000C1600000}"/>
    <cellStyle name="Normal 42 8" xfId="24766" xr:uid="{00000000-0005-0000-0000-0000C2600000}"/>
    <cellStyle name="Normal 42 8 2" xfId="24767" xr:uid="{00000000-0005-0000-0000-0000C3600000}"/>
    <cellStyle name="Normal 42 8 3" xfId="24768" xr:uid="{00000000-0005-0000-0000-0000C4600000}"/>
    <cellStyle name="Normal 42 8 4" xfId="24769" xr:uid="{00000000-0005-0000-0000-0000C5600000}"/>
    <cellStyle name="Normal 42 8 5" xfId="24770" xr:uid="{00000000-0005-0000-0000-0000C6600000}"/>
    <cellStyle name="Normal 42 8 6" xfId="24771" xr:uid="{00000000-0005-0000-0000-0000C7600000}"/>
    <cellStyle name="Normal 42 9" xfId="24772" xr:uid="{00000000-0005-0000-0000-0000C8600000}"/>
    <cellStyle name="Normal 42 9 2" xfId="24773" xr:uid="{00000000-0005-0000-0000-0000C9600000}"/>
    <cellStyle name="Normal 42 9 3" xfId="24774" xr:uid="{00000000-0005-0000-0000-0000CA600000}"/>
    <cellStyle name="Normal 42 9 4" xfId="24775" xr:uid="{00000000-0005-0000-0000-0000CB600000}"/>
    <cellStyle name="Normal 42 9 5" xfId="24776" xr:uid="{00000000-0005-0000-0000-0000CC600000}"/>
    <cellStyle name="Normal 42 9 6" xfId="24777" xr:uid="{00000000-0005-0000-0000-0000CD600000}"/>
    <cellStyle name="Normal 43" xfId="24778" xr:uid="{00000000-0005-0000-0000-0000CE600000}"/>
    <cellStyle name="Normal 43 10" xfId="24779" xr:uid="{00000000-0005-0000-0000-0000CF600000}"/>
    <cellStyle name="Normal 43 10 2" xfId="24780" xr:uid="{00000000-0005-0000-0000-0000D0600000}"/>
    <cellStyle name="Normal 43 10 3" xfId="24781" xr:uid="{00000000-0005-0000-0000-0000D1600000}"/>
    <cellStyle name="Normal 43 10 4" xfId="24782" xr:uid="{00000000-0005-0000-0000-0000D2600000}"/>
    <cellStyle name="Normal 43 10 5" xfId="24783" xr:uid="{00000000-0005-0000-0000-0000D3600000}"/>
    <cellStyle name="Normal 43 10 6" xfId="24784" xr:uid="{00000000-0005-0000-0000-0000D4600000}"/>
    <cellStyle name="Normal 43 11" xfId="24785" xr:uid="{00000000-0005-0000-0000-0000D5600000}"/>
    <cellStyle name="Normal 43 12" xfId="24786" xr:uid="{00000000-0005-0000-0000-0000D6600000}"/>
    <cellStyle name="Normal 43 13" xfId="24787" xr:uid="{00000000-0005-0000-0000-0000D7600000}"/>
    <cellStyle name="Normal 43 14" xfId="24788" xr:uid="{00000000-0005-0000-0000-0000D8600000}"/>
    <cellStyle name="Normal 43 15" xfId="24789" xr:uid="{00000000-0005-0000-0000-0000D9600000}"/>
    <cellStyle name="Normal 43 2" xfId="24790" xr:uid="{00000000-0005-0000-0000-0000DA600000}"/>
    <cellStyle name="Normal 43 2 10" xfId="24791" xr:uid="{00000000-0005-0000-0000-0000DB600000}"/>
    <cellStyle name="Normal 43 2 11" xfId="24792" xr:uid="{00000000-0005-0000-0000-0000DC600000}"/>
    <cellStyle name="Normal 43 2 12" xfId="24793" xr:uid="{00000000-0005-0000-0000-0000DD600000}"/>
    <cellStyle name="Normal 43 2 13" xfId="24794" xr:uid="{00000000-0005-0000-0000-0000DE600000}"/>
    <cellStyle name="Normal 43 2 14" xfId="24795" xr:uid="{00000000-0005-0000-0000-0000DF600000}"/>
    <cellStyle name="Normal 43 2 2" xfId="24796" xr:uid="{00000000-0005-0000-0000-0000E0600000}"/>
    <cellStyle name="Normal 43 2 2 2" xfId="24797" xr:uid="{00000000-0005-0000-0000-0000E1600000}"/>
    <cellStyle name="Normal 43 2 2 3" xfId="24798" xr:uid="{00000000-0005-0000-0000-0000E2600000}"/>
    <cellStyle name="Normal 43 2 2 4" xfId="24799" xr:uid="{00000000-0005-0000-0000-0000E3600000}"/>
    <cellStyle name="Normal 43 2 2 5" xfId="24800" xr:uid="{00000000-0005-0000-0000-0000E4600000}"/>
    <cellStyle name="Normal 43 2 2 6" xfId="24801" xr:uid="{00000000-0005-0000-0000-0000E5600000}"/>
    <cellStyle name="Normal 43 2 3" xfId="24802" xr:uid="{00000000-0005-0000-0000-0000E6600000}"/>
    <cellStyle name="Normal 43 2 3 2" xfId="24803" xr:uid="{00000000-0005-0000-0000-0000E7600000}"/>
    <cellStyle name="Normal 43 2 3 3" xfId="24804" xr:uid="{00000000-0005-0000-0000-0000E8600000}"/>
    <cellStyle name="Normal 43 2 3 4" xfId="24805" xr:uid="{00000000-0005-0000-0000-0000E9600000}"/>
    <cellStyle name="Normal 43 2 3 5" xfId="24806" xr:uid="{00000000-0005-0000-0000-0000EA600000}"/>
    <cellStyle name="Normal 43 2 3 6" xfId="24807" xr:uid="{00000000-0005-0000-0000-0000EB600000}"/>
    <cellStyle name="Normal 43 2 4" xfId="24808" xr:uid="{00000000-0005-0000-0000-0000EC600000}"/>
    <cellStyle name="Normal 43 2 4 2" xfId="24809" xr:uid="{00000000-0005-0000-0000-0000ED600000}"/>
    <cellStyle name="Normal 43 2 4 3" xfId="24810" xr:uid="{00000000-0005-0000-0000-0000EE600000}"/>
    <cellStyle name="Normal 43 2 4 4" xfId="24811" xr:uid="{00000000-0005-0000-0000-0000EF600000}"/>
    <cellStyle name="Normal 43 2 4 5" xfId="24812" xr:uid="{00000000-0005-0000-0000-0000F0600000}"/>
    <cellStyle name="Normal 43 2 4 6" xfId="24813" xr:uid="{00000000-0005-0000-0000-0000F1600000}"/>
    <cellStyle name="Normal 43 2 5" xfId="24814" xr:uid="{00000000-0005-0000-0000-0000F2600000}"/>
    <cellStyle name="Normal 43 2 5 2" xfId="24815" xr:uid="{00000000-0005-0000-0000-0000F3600000}"/>
    <cellStyle name="Normal 43 2 5 3" xfId="24816" xr:uid="{00000000-0005-0000-0000-0000F4600000}"/>
    <cellStyle name="Normal 43 2 5 4" xfId="24817" xr:uid="{00000000-0005-0000-0000-0000F5600000}"/>
    <cellStyle name="Normal 43 2 5 5" xfId="24818" xr:uid="{00000000-0005-0000-0000-0000F6600000}"/>
    <cellStyle name="Normal 43 2 5 6" xfId="24819" xr:uid="{00000000-0005-0000-0000-0000F7600000}"/>
    <cellStyle name="Normal 43 2 6" xfId="24820" xr:uid="{00000000-0005-0000-0000-0000F8600000}"/>
    <cellStyle name="Normal 43 2 6 2" xfId="24821" xr:uid="{00000000-0005-0000-0000-0000F9600000}"/>
    <cellStyle name="Normal 43 2 6 3" xfId="24822" xr:uid="{00000000-0005-0000-0000-0000FA600000}"/>
    <cellStyle name="Normal 43 2 6 4" xfId="24823" xr:uid="{00000000-0005-0000-0000-0000FB600000}"/>
    <cellStyle name="Normal 43 2 6 5" xfId="24824" xr:uid="{00000000-0005-0000-0000-0000FC600000}"/>
    <cellStyle name="Normal 43 2 6 6" xfId="24825" xr:uid="{00000000-0005-0000-0000-0000FD600000}"/>
    <cellStyle name="Normal 43 2 7" xfId="24826" xr:uid="{00000000-0005-0000-0000-0000FE600000}"/>
    <cellStyle name="Normal 43 2 7 2" xfId="24827" xr:uid="{00000000-0005-0000-0000-0000FF600000}"/>
    <cellStyle name="Normal 43 2 7 3" xfId="24828" xr:uid="{00000000-0005-0000-0000-000000610000}"/>
    <cellStyle name="Normal 43 2 7 4" xfId="24829" xr:uid="{00000000-0005-0000-0000-000001610000}"/>
    <cellStyle name="Normal 43 2 7 5" xfId="24830" xr:uid="{00000000-0005-0000-0000-000002610000}"/>
    <cellStyle name="Normal 43 2 7 6" xfId="24831" xr:uid="{00000000-0005-0000-0000-000003610000}"/>
    <cellStyle name="Normal 43 2 8" xfId="24832" xr:uid="{00000000-0005-0000-0000-000004610000}"/>
    <cellStyle name="Normal 43 2 8 2" xfId="24833" xr:uid="{00000000-0005-0000-0000-000005610000}"/>
    <cellStyle name="Normal 43 2 8 3" xfId="24834" xr:uid="{00000000-0005-0000-0000-000006610000}"/>
    <cellStyle name="Normal 43 2 8 4" xfId="24835" xr:uid="{00000000-0005-0000-0000-000007610000}"/>
    <cellStyle name="Normal 43 2 8 5" xfId="24836" xr:uid="{00000000-0005-0000-0000-000008610000}"/>
    <cellStyle name="Normal 43 2 8 6" xfId="24837" xr:uid="{00000000-0005-0000-0000-000009610000}"/>
    <cellStyle name="Normal 43 2 9" xfId="24838" xr:uid="{00000000-0005-0000-0000-00000A610000}"/>
    <cellStyle name="Normal 43 2 9 2" xfId="24839" xr:uid="{00000000-0005-0000-0000-00000B610000}"/>
    <cellStyle name="Normal 43 2 9 3" xfId="24840" xr:uid="{00000000-0005-0000-0000-00000C610000}"/>
    <cellStyle name="Normal 43 2 9 4" xfId="24841" xr:uid="{00000000-0005-0000-0000-00000D610000}"/>
    <cellStyle name="Normal 43 2 9 5" xfId="24842" xr:uid="{00000000-0005-0000-0000-00000E610000}"/>
    <cellStyle name="Normal 43 2 9 6" xfId="24843" xr:uid="{00000000-0005-0000-0000-00000F610000}"/>
    <cellStyle name="Normal 43 3" xfId="24844" xr:uid="{00000000-0005-0000-0000-000010610000}"/>
    <cellStyle name="Normal 43 3 2" xfId="24845" xr:uid="{00000000-0005-0000-0000-000011610000}"/>
    <cellStyle name="Normal 43 3 3" xfId="24846" xr:uid="{00000000-0005-0000-0000-000012610000}"/>
    <cellStyle name="Normal 43 3 4" xfId="24847" xr:uid="{00000000-0005-0000-0000-000013610000}"/>
    <cellStyle name="Normal 43 3 5" xfId="24848" xr:uid="{00000000-0005-0000-0000-000014610000}"/>
    <cellStyle name="Normal 43 3 6" xfId="24849" xr:uid="{00000000-0005-0000-0000-000015610000}"/>
    <cellStyle name="Normal 43 4" xfId="24850" xr:uid="{00000000-0005-0000-0000-000016610000}"/>
    <cellStyle name="Normal 43 4 2" xfId="24851" xr:uid="{00000000-0005-0000-0000-000017610000}"/>
    <cellStyle name="Normal 43 4 3" xfId="24852" xr:uid="{00000000-0005-0000-0000-000018610000}"/>
    <cellStyle name="Normal 43 4 4" xfId="24853" xr:uid="{00000000-0005-0000-0000-000019610000}"/>
    <cellStyle name="Normal 43 4 5" xfId="24854" xr:uid="{00000000-0005-0000-0000-00001A610000}"/>
    <cellStyle name="Normal 43 4 6" xfId="24855" xr:uid="{00000000-0005-0000-0000-00001B610000}"/>
    <cellStyle name="Normal 43 5" xfId="24856" xr:uid="{00000000-0005-0000-0000-00001C610000}"/>
    <cellStyle name="Normal 43 5 2" xfId="24857" xr:uid="{00000000-0005-0000-0000-00001D610000}"/>
    <cellStyle name="Normal 43 5 3" xfId="24858" xr:uid="{00000000-0005-0000-0000-00001E610000}"/>
    <cellStyle name="Normal 43 5 4" xfId="24859" xr:uid="{00000000-0005-0000-0000-00001F610000}"/>
    <cellStyle name="Normal 43 5 5" xfId="24860" xr:uid="{00000000-0005-0000-0000-000020610000}"/>
    <cellStyle name="Normal 43 5 6" xfId="24861" xr:uid="{00000000-0005-0000-0000-000021610000}"/>
    <cellStyle name="Normal 43 6" xfId="24862" xr:uid="{00000000-0005-0000-0000-000022610000}"/>
    <cellStyle name="Normal 43 6 2" xfId="24863" xr:uid="{00000000-0005-0000-0000-000023610000}"/>
    <cellStyle name="Normal 43 6 3" xfId="24864" xr:uid="{00000000-0005-0000-0000-000024610000}"/>
    <cellStyle name="Normal 43 6 4" xfId="24865" xr:uid="{00000000-0005-0000-0000-000025610000}"/>
    <cellStyle name="Normal 43 6 5" xfId="24866" xr:uid="{00000000-0005-0000-0000-000026610000}"/>
    <cellStyle name="Normal 43 6 6" xfId="24867" xr:uid="{00000000-0005-0000-0000-000027610000}"/>
    <cellStyle name="Normal 43 7" xfId="24868" xr:uid="{00000000-0005-0000-0000-000028610000}"/>
    <cellStyle name="Normal 43 7 2" xfId="24869" xr:uid="{00000000-0005-0000-0000-000029610000}"/>
    <cellStyle name="Normal 43 7 3" xfId="24870" xr:uid="{00000000-0005-0000-0000-00002A610000}"/>
    <cellStyle name="Normal 43 7 4" xfId="24871" xr:uid="{00000000-0005-0000-0000-00002B610000}"/>
    <cellStyle name="Normal 43 7 5" xfId="24872" xr:uid="{00000000-0005-0000-0000-00002C610000}"/>
    <cellStyle name="Normal 43 7 6" xfId="24873" xr:uid="{00000000-0005-0000-0000-00002D610000}"/>
    <cellStyle name="Normal 43 8" xfId="24874" xr:uid="{00000000-0005-0000-0000-00002E610000}"/>
    <cellStyle name="Normal 43 8 2" xfId="24875" xr:uid="{00000000-0005-0000-0000-00002F610000}"/>
    <cellStyle name="Normal 43 8 3" xfId="24876" xr:uid="{00000000-0005-0000-0000-000030610000}"/>
    <cellStyle name="Normal 43 8 4" xfId="24877" xr:uid="{00000000-0005-0000-0000-000031610000}"/>
    <cellStyle name="Normal 43 8 5" xfId="24878" xr:uid="{00000000-0005-0000-0000-000032610000}"/>
    <cellStyle name="Normal 43 8 6" xfId="24879" xr:uid="{00000000-0005-0000-0000-000033610000}"/>
    <cellStyle name="Normal 43 9" xfId="24880" xr:uid="{00000000-0005-0000-0000-000034610000}"/>
    <cellStyle name="Normal 43 9 2" xfId="24881" xr:uid="{00000000-0005-0000-0000-000035610000}"/>
    <cellStyle name="Normal 43 9 3" xfId="24882" xr:uid="{00000000-0005-0000-0000-000036610000}"/>
    <cellStyle name="Normal 43 9 4" xfId="24883" xr:uid="{00000000-0005-0000-0000-000037610000}"/>
    <cellStyle name="Normal 43 9 5" xfId="24884" xr:uid="{00000000-0005-0000-0000-000038610000}"/>
    <cellStyle name="Normal 43 9 6" xfId="24885" xr:uid="{00000000-0005-0000-0000-000039610000}"/>
    <cellStyle name="Normal 44" xfId="24886" xr:uid="{00000000-0005-0000-0000-00003A610000}"/>
    <cellStyle name="Normal 44 10" xfId="24887" xr:uid="{00000000-0005-0000-0000-00003B610000}"/>
    <cellStyle name="Normal 44 10 2" xfId="24888" xr:uid="{00000000-0005-0000-0000-00003C610000}"/>
    <cellStyle name="Normal 44 10 3" xfId="24889" xr:uid="{00000000-0005-0000-0000-00003D610000}"/>
    <cellStyle name="Normal 44 10 4" xfId="24890" xr:uid="{00000000-0005-0000-0000-00003E610000}"/>
    <cellStyle name="Normal 44 10 5" xfId="24891" xr:uid="{00000000-0005-0000-0000-00003F610000}"/>
    <cellStyle name="Normal 44 10 6" xfId="24892" xr:uid="{00000000-0005-0000-0000-000040610000}"/>
    <cellStyle name="Normal 44 11" xfId="24893" xr:uid="{00000000-0005-0000-0000-000041610000}"/>
    <cellStyle name="Normal 44 12" xfId="24894" xr:uid="{00000000-0005-0000-0000-000042610000}"/>
    <cellStyle name="Normal 44 13" xfId="24895" xr:uid="{00000000-0005-0000-0000-000043610000}"/>
    <cellStyle name="Normal 44 14" xfId="24896" xr:uid="{00000000-0005-0000-0000-000044610000}"/>
    <cellStyle name="Normal 44 15" xfId="24897" xr:uid="{00000000-0005-0000-0000-000045610000}"/>
    <cellStyle name="Normal 44 2" xfId="24898" xr:uid="{00000000-0005-0000-0000-000046610000}"/>
    <cellStyle name="Normal 44 2 10" xfId="24899" xr:uid="{00000000-0005-0000-0000-000047610000}"/>
    <cellStyle name="Normal 44 2 11" xfId="24900" xr:uid="{00000000-0005-0000-0000-000048610000}"/>
    <cellStyle name="Normal 44 2 12" xfId="24901" xr:uid="{00000000-0005-0000-0000-000049610000}"/>
    <cellStyle name="Normal 44 2 13" xfId="24902" xr:uid="{00000000-0005-0000-0000-00004A610000}"/>
    <cellStyle name="Normal 44 2 14" xfId="24903" xr:uid="{00000000-0005-0000-0000-00004B610000}"/>
    <cellStyle name="Normal 44 2 2" xfId="24904" xr:uid="{00000000-0005-0000-0000-00004C610000}"/>
    <cellStyle name="Normal 44 2 2 2" xfId="24905" xr:uid="{00000000-0005-0000-0000-00004D610000}"/>
    <cellStyle name="Normal 44 2 2 3" xfId="24906" xr:uid="{00000000-0005-0000-0000-00004E610000}"/>
    <cellStyle name="Normal 44 2 2 4" xfId="24907" xr:uid="{00000000-0005-0000-0000-00004F610000}"/>
    <cellStyle name="Normal 44 2 2 5" xfId="24908" xr:uid="{00000000-0005-0000-0000-000050610000}"/>
    <cellStyle name="Normal 44 2 2 6" xfId="24909" xr:uid="{00000000-0005-0000-0000-000051610000}"/>
    <cellStyle name="Normal 44 2 3" xfId="24910" xr:uid="{00000000-0005-0000-0000-000052610000}"/>
    <cellStyle name="Normal 44 2 3 2" xfId="24911" xr:uid="{00000000-0005-0000-0000-000053610000}"/>
    <cellStyle name="Normal 44 2 3 3" xfId="24912" xr:uid="{00000000-0005-0000-0000-000054610000}"/>
    <cellStyle name="Normal 44 2 3 4" xfId="24913" xr:uid="{00000000-0005-0000-0000-000055610000}"/>
    <cellStyle name="Normal 44 2 3 5" xfId="24914" xr:uid="{00000000-0005-0000-0000-000056610000}"/>
    <cellStyle name="Normal 44 2 3 6" xfId="24915" xr:uid="{00000000-0005-0000-0000-000057610000}"/>
    <cellStyle name="Normal 44 2 4" xfId="24916" xr:uid="{00000000-0005-0000-0000-000058610000}"/>
    <cellStyle name="Normal 44 2 4 2" xfId="24917" xr:uid="{00000000-0005-0000-0000-000059610000}"/>
    <cellStyle name="Normal 44 2 4 3" xfId="24918" xr:uid="{00000000-0005-0000-0000-00005A610000}"/>
    <cellStyle name="Normal 44 2 4 4" xfId="24919" xr:uid="{00000000-0005-0000-0000-00005B610000}"/>
    <cellStyle name="Normal 44 2 4 5" xfId="24920" xr:uid="{00000000-0005-0000-0000-00005C610000}"/>
    <cellStyle name="Normal 44 2 4 6" xfId="24921" xr:uid="{00000000-0005-0000-0000-00005D610000}"/>
    <cellStyle name="Normal 44 2 5" xfId="24922" xr:uid="{00000000-0005-0000-0000-00005E610000}"/>
    <cellStyle name="Normal 44 2 5 2" xfId="24923" xr:uid="{00000000-0005-0000-0000-00005F610000}"/>
    <cellStyle name="Normal 44 2 5 3" xfId="24924" xr:uid="{00000000-0005-0000-0000-000060610000}"/>
    <cellStyle name="Normal 44 2 5 4" xfId="24925" xr:uid="{00000000-0005-0000-0000-000061610000}"/>
    <cellStyle name="Normal 44 2 5 5" xfId="24926" xr:uid="{00000000-0005-0000-0000-000062610000}"/>
    <cellStyle name="Normal 44 2 5 6" xfId="24927" xr:uid="{00000000-0005-0000-0000-000063610000}"/>
    <cellStyle name="Normal 44 2 6" xfId="24928" xr:uid="{00000000-0005-0000-0000-000064610000}"/>
    <cellStyle name="Normal 44 2 6 2" xfId="24929" xr:uid="{00000000-0005-0000-0000-000065610000}"/>
    <cellStyle name="Normal 44 2 6 3" xfId="24930" xr:uid="{00000000-0005-0000-0000-000066610000}"/>
    <cellStyle name="Normal 44 2 6 4" xfId="24931" xr:uid="{00000000-0005-0000-0000-000067610000}"/>
    <cellStyle name="Normal 44 2 6 5" xfId="24932" xr:uid="{00000000-0005-0000-0000-000068610000}"/>
    <cellStyle name="Normal 44 2 6 6" xfId="24933" xr:uid="{00000000-0005-0000-0000-000069610000}"/>
    <cellStyle name="Normal 44 2 7" xfId="24934" xr:uid="{00000000-0005-0000-0000-00006A610000}"/>
    <cellStyle name="Normal 44 2 7 2" xfId="24935" xr:uid="{00000000-0005-0000-0000-00006B610000}"/>
    <cellStyle name="Normal 44 2 7 3" xfId="24936" xr:uid="{00000000-0005-0000-0000-00006C610000}"/>
    <cellStyle name="Normal 44 2 7 4" xfId="24937" xr:uid="{00000000-0005-0000-0000-00006D610000}"/>
    <cellStyle name="Normal 44 2 7 5" xfId="24938" xr:uid="{00000000-0005-0000-0000-00006E610000}"/>
    <cellStyle name="Normal 44 2 7 6" xfId="24939" xr:uid="{00000000-0005-0000-0000-00006F610000}"/>
    <cellStyle name="Normal 44 2 8" xfId="24940" xr:uid="{00000000-0005-0000-0000-000070610000}"/>
    <cellStyle name="Normal 44 2 8 2" xfId="24941" xr:uid="{00000000-0005-0000-0000-000071610000}"/>
    <cellStyle name="Normal 44 2 8 3" xfId="24942" xr:uid="{00000000-0005-0000-0000-000072610000}"/>
    <cellStyle name="Normal 44 2 8 4" xfId="24943" xr:uid="{00000000-0005-0000-0000-000073610000}"/>
    <cellStyle name="Normal 44 2 8 5" xfId="24944" xr:uid="{00000000-0005-0000-0000-000074610000}"/>
    <cellStyle name="Normal 44 2 8 6" xfId="24945" xr:uid="{00000000-0005-0000-0000-000075610000}"/>
    <cellStyle name="Normal 44 2 9" xfId="24946" xr:uid="{00000000-0005-0000-0000-000076610000}"/>
    <cellStyle name="Normal 44 2 9 2" xfId="24947" xr:uid="{00000000-0005-0000-0000-000077610000}"/>
    <cellStyle name="Normal 44 2 9 3" xfId="24948" xr:uid="{00000000-0005-0000-0000-000078610000}"/>
    <cellStyle name="Normal 44 2 9 4" xfId="24949" xr:uid="{00000000-0005-0000-0000-000079610000}"/>
    <cellStyle name="Normal 44 2 9 5" xfId="24950" xr:uid="{00000000-0005-0000-0000-00007A610000}"/>
    <cellStyle name="Normal 44 2 9 6" xfId="24951" xr:uid="{00000000-0005-0000-0000-00007B610000}"/>
    <cellStyle name="Normal 44 3" xfId="24952" xr:uid="{00000000-0005-0000-0000-00007C610000}"/>
    <cellStyle name="Normal 44 3 2" xfId="24953" xr:uid="{00000000-0005-0000-0000-00007D610000}"/>
    <cellStyle name="Normal 44 3 3" xfId="24954" xr:uid="{00000000-0005-0000-0000-00007E610000}"/>
    <cellStyle name="Normal 44 3 4" xfId="24955" xr:uid="{00000000-0005-0000-0000-00007F610000}"/>
    <cellStyle name="Normal 44 3 5" xfId="24956" xr:uid="{00000000-0005-0000-0000-000080610000}"/>
    <cellStyle name="Normal 44 3 6" xfId="24957" xr:uid="{00000000-0005-0000-0000-000081610000}"/>
    <cellStyle name="Normal 44 4" xfId="24958" xr:uid="{00000000-0005-0000-0000-000082610000}"/>
    <cellStyle name="Normal 44 4 2" xfId="24959" xr:uid="{00000000-0005-0000-0000-000083610000}"/>
    <cellStyle name="Normal 44 4 3" xfId="24960" xr:uid="{00000000-0005-0000-0000-000084610000}"/>
    <cellStyle name="Normal 44 4 4" xfId="24961" xr:uid="{00000000-0005-0000-0000-000085610000}"/>
    <cellStyle name="Normal 44 4 5" xfId="24962" xr:uid="{00000000-0005-0000-0000-000086610000}"/>
    <cellStyle name="Normal 44 4 6" xfId="24963" xr:uid="{00000000-0005-0000-0000-000087610000}"/>
    <cellStyle name="Normal 44 5" xfId="24964" xr:uid="{00000000-0005-0000-0000-000088610000}"/>
    <cellStyle name="Normal 44 5 2" xfId="24965" xr:uid="{00000000-0005-0000-0000-000089610000}"/>
    <cellStyle name="Normal 44 5 3" xfId="24966" xr:uid="{00000000-0005-0000-0000-00008A610000}"/>
    <cellStyle name="Normal 44 5 4" xfId="24967" xr:uid="{00000000-0005-0000-0000-00008B610000}"/>
    <cellStyle name="Normal 44 5 5" xfId="24968" xr:uid="{00000000-0005-0000-0000-00008C610000}"/>
    <cellStyle name="Normal 44 5 6" xfId="24969" xr:uid="{00000000-0005-0000-0000-00008D610000}"/>
    <cellStyle name="Normal 44 6" xfId="24970" xr:uid="{00000000-0005-0000-0000-00008E610000}"/>
    <cellStyle name="Normal 44 6 2" xfId="24971" xr:uid="{00000000-0005-0000-0000-00008F610000}"/>
    <cellStyle name="Normal 44 6 3" xfId="24972" xr:uid="{00000000-0005-0000-0000-000090610000}"/>
    <cellStyle name="Normal 44 6 4" xfId="24973" xr:uid="{00000000-0005-0000-0000-000091610000}"/>
    <cellStyle name="Normal 44 6 5" xfId="24974" xr:uid="{00000000-0005-0000-0000-000092610000}"/>
    <cellStyle name="Normal 44 6 6" xfId="24975" xr:uid="{00000000-0005-0000-0000-000093610000}"/>
    <cellStyle name="Normal 44 7" xfId="24976" xr:uid="{00000000-0005-0000-0000-000094610000}"/>
    <cellStyle name="Normal 44 7 2" xfId="24977" xr:uid="{00000000-0005-0000-0000-000095610000}"/>
    <cellStyle name="Normal 44 7 3" xfId="24978" xr:uid="{00000000-0005-0000-0000-000096610000}"/>
    <cellStyle name="Normal 44 7 4" xfId="24979" xr:uid="{00000000-0005-0000-0000-000097610000}"/>
    <cellStyle name="Normal 44 7 5" xfId="24980" xr:uid="{00000000-0005-0000-0000-000098610000}"/>
    <cellStyle name="Normal 44 7 6" xfId="24981" xr:uid="{00000000-0005-0000-0000-000099610000}"/>
    <cellStyle name="Normal 44 8" xfId="24982" xr:uid="{00000000-0005-0000-0000-00009A610000}"/>
    <cellStyle name="Normal 44 8 2" xfId="24983" xr:uid="{00000000-0005-0000-0000-00009B610000}"/>
    <cellStyle name="Normal 44 8 3" xfId="24984" xr:uid="{00000000-0005-0000-0000-00009C610000}"/>
    <cellStyle name="Normal 44 8 4" xfId="24985" xr:uid="{00000000-0005-0000-0000-00009D610000}"/>
    <cellStyle name="Normal 44 8 5" xfId="24986" xr:uid="{00000000-0005-0000-0000-00009E610000}"/>
    <cellStyle name="Normal 44 8 6" xfId="24987" xr:uid="{00000000-0005-0000-0000-00009F610000}"/>
    <cellStyle name="Normal 44 9" xfId="24988" xr:uid="{00000000-0005-0000-0000-0000A0610000}"/>
    <cellStyle name="Normal 44 9 2" xfId="24989" xr:uid="{00000000-0005-0000-0000-0000A1610000}"/>
    <cellStyle name="Normal 44 9 3" xfId="24990" xr:uid="{00000000-0005-0000-0000-0000A2610000}"/>
    <cellStyle name="Normal 44 9 4" xfId="24991" xr:uid="{00000000-0005-0000-0000-0000A3610000}"/>
    <cellStyle name="Normal 44 9 5" xfId="24992" xr:uid="{00000000-0005-0000-0000-0000A4610000}"/>
    <cellStyle name="Normal 44 9 6" xfId="24993" xr:uid="{00000000-0005-0000-0000-0000A5610000}"/>
    <cellStyle name="Normal 45" xfId="24994" xr:uid="{00000000-0005-0000-0000-0000A6610000}"/>
    <cellStyle name="Normal 45 10" xfId="24995" xr:uid="{00000000-0005-0000-0000-0000A7610000}"/>
    <cellStyle name="Normal 45 11" xfId="24996" xr:uid="{00000000-0005-0000-0000-0000A8610000}"/>
    <cellStyle name="Normal 45 12" xfId="24997" xr:uid="{00000000-0005-0000-0000-0000A9610000}"/>
    <cellStyle name="Normal 45 13" xfId="24998" xr:uid="{00000000-0005-0000-0000-0000AA610000}"/>
    <cellStyle name="Normal 45 14" xfId="24999" xr:uid="{00000000-0005-0000-0000-0000AB610000}"/>
    <cellStyle name="Normal 45 14 2" xfId="25000" xr:uid="{00000000-0005-0000-0000-0000AC610000}"/>
    <cellStyle name="Normal 45 14 3" xfId="25001" xr:uid="{00000000-0005-0000-0000-0000AD610000}"/>
    <cellStyle name="Normal 45 14 4" xfId="25002" xr:uid="{00000000-0005-0000-0000-0000AE610000}"/>
    <cellStyle name="Normal 45 14 5" xfId="25003" xr:uid="{00000000-0005-0000-0000-0000AF610000}"/>
    <cellStyle name="Normal 45 14 6" xfId="25004" xr:uid="{00000000-0005-0000-0000-0000B0610000}"/>
    <cellStyle name="Normal 45 15" xfId="25005" xr:uid="{00000000-0005-0000-0000-0000B1610000}"/>
    <cellStyle name="Normal 45 16" xfId="25006" xr:uid="{00000000-0005-0000-0000-0000B2610000}"/>
    <cellStyle name="Normal 45 17" xfId="25007" xr:uid="{00000000-0005-0000-0000-0000B3610000}"/>
    <cellStyle name="Normal 45 18" xfId="25008" xr:uid="{00000000-0005-0000-0000-0000B4610000}"/>
    <cellStyle name="Normal 45 19" xfId="25009" xr:uid="{00000000-0005-0000-0000-0000B5610000}"/>
    <cellStyle name="Normal 45 2" xfId="25010" xr:uid="{00000000-0005-0000-0000-0000B6610000}"/>
    <cellStyle name="Normal 45 2 10" xfId="25011" xr:uid="{00000000-0005-0000-0000-0000B7610000}"/>
    <cellStyle name="Normal 45 2 11" xfId="25012" xr:uid="{00000000-0005-0000-0000-0000B8610000}"/>
    <cellStyle name="Normal 45 2 12" xfId="25013" xr:uid="{00000000-0005-0000-0000-0000B9610000}"/>
    <cellStyle name="Normal 45 2 13" xfId="25014" xr:uid="{00000000-0005-0000-0000-0000BA610000}"/>
    <cellStyle name="Normal 45 2 14" xfId="25015" xr:uid="{00000000-0005-0000-0000-0000BB610000}"/>
    <cellStyle name="Normal 45 2 2" xfId="25016" xr:uid="{00000000-0005-0000-0000-0000BC610000}"/>
    <cellStyle name="Normal 45 2 2 2" xfId="25017" xr:uid="{00000000-0005-0000-0000-0000BD610000}"/>
    <cellStyle name="Normal 45 2 2 3" xfId="25018" xr:uid="{00000000-0005-0000-0000-0000BE610000}"/>
    <cellStyle name="Normal 45 2 2 4" xfId="25019" xr:uid="{00000000-0005-0000-0000-0000BF610000}"/>
    <cellStyle name="Normal 45 2 2 5" xfId="25020" xr:uid="{00000000-0005-0000-0000-0000C0610000}"/>
    <cellStyle name="Normal 45 2 2 6" xfId="25021" xr:uid="{00000000-0005-0000-0000-0000C1610000}"/>
    <cellStyle name="Normal 45 2 3" xfId="25022" xr:uid="{00000000-0005-0000-0000-0000C2610000}"/>
    <cellStyle name="Normal 45 2 3 2" xfId="25023" xr:uid="{00000000-0005-0000-0000-0000C3610000}"/>
    <cellStyle name="Normal 45 2 3 3" xfId="25024" xr:uid="{00000000-0005-0000-0000-0000C4610000}"/>
    <cellStyle name="Normal 45 2 3 4" xfId="25025" xr:uid="{00000000-0005-0000-0000-0000C5610000}"/>
    <cellStyle name="Normal 45 2 3 5" xfId="25026" xr:uid="{00000000-0005-0000-0000-0000C6610000}"/>
    <cellStyle name="Normal 45 2 3 6" xfId="25027" xr:uid="{00000000-0005-0000-0000-0000C7610000}"/>
    <cellStyle name="Normal 45 2 4" xfId="25028" xr:uid="{00000000-0005-0000-0000-0000C8610000}"/>
    <cellStyle name="Normal 45 2 4 2" xfId="25029" xr:uid="{00000000-0005-0000-0000-0000C9610000}"/>
    <cellStyle name="Normal 45 2 4 3" xfId="25030" xr:uid="{00000000-0005-0000-0000-0000CA610000}"/>
    <cellStyle name="Normal 45 2 4 4" xfId="25031" xr:uid="{00000000-0005-0000-0000-0000CB610000}"/>
    <cellStyle name="Normal 45 2 4 5" xfId="25032" xr:uid="{00000000-0005-0000-0000-0000CC610000}"/>
    <cellStyle name="Normal 45 2 4 6" xfId="25033" xr:uid="{00000000-0005-0000-0000-0000CD610000}"/>
    <cellStyle name="Normal 45 2 5" xfId="25034" xr:uid="{00000000-0005-0000-0000-0000CE610000}"/>
    <cellStyle name="Normal 45 2 5 2" xfId="25035" xr:uid="{00000000-0005-0000-0000-0000CF610000}"/>
    <cellStyle name="Normal 45 2 5 3" xfId="25036" xr:uid="{00000000-0005-0000-0000-0000D0610000}"/>
    <cellStyle name="Normal 45 2 5 4" xfId="25037" xr:uid="{00000000-0005-0000-0000-0000D1610000}"/>
    <cellStyle name="Normal 45 2 5 5" xfId="25038" xr:uid="{00000000-0005-0000-0000-0000D2610000}"/>
    <cellStyle name="Normal 45 2 5 6" xfId="25039" xr:uid="{00000000-0005-0000-0000-0000D3610000}"/>
    <cellStyle name="Normal 45 2 6" xfId="25040" xr:uid="{00000000-0005-0000-0000-0000D4610000}"/>
    <cellStyle name="Normal 45 2 6 2" xfId="25041" xr:uid="{00000000-0005-0000-0000-0000D5610000}"/>
    <cellStyle name="Normal 45 2 6 3" xfId="25042" xr:uid="{00000000-0005-0000-0000-0000D6610000}"/>
    <cellStyle name="Normal 45 2 6 4" xfId="25043" xr:uid="{00000000-0005-0000-0000-0000D7610000}"/>
    <cellStyle name="Normal 45 2 6 5" xfId="25044" xr:uid="{00000000-0005-0000-0000-0000D8610000}"/>
    <cellStyle name="Normal 45 2 6 6" xfId="25045" xr:uid="{00000000-0005-0000-0000-0000D9610000}"/>
    <cellStyle name="Normal 45 2 7" xfId="25046" xr:uid="{00000000-0005-0000-0000-0000DA610000}"/>
    <cellStyle name="Normal 45 2 7 2" xfId="25047" xr:uid="{00000000-0005-0000-0000-0000DB610000}"/>
    <cellStyle name="Normal 45 2 7 3" xfId="25048" xr:uid="{00000000-0005-0000-0000-0000DC610000}"/>
    <cellStyle name="Normal 45 2 7 4" xfId="25049" xr:uid="{00000000-0005-0000-0000-0000DD610000}"/>
    <cellStyle name="Normal 45 2 7 5" xfId="25050" xr:uid="{00000000-0005-0000-0000-0000DE610000}"/>
    <cellStyle name="Normal 45 2 7 6" xfId="25051" xr:uid="{00000000-0005-0000-0000-0000DF610000}"/>
    <cellStyle name="Normal 45 2 8" xfId="25052" xr:uid="{00000000-0005-0000-0000-0000E0610000}"/>
    <cellStyle name="Normal 45 2 8 2" xfId="25053" xr:uid="{00000000-0005-0000-0000-0000E1610000}"/>
    <cellStyle name="Normal 45 2 8 3" xfId="25054" xr:uid="{00000000-0005-0000-0000-0000E2610000}"/>
    <cellStyle name="Normal 45 2 8 4" xfId="25055" xr:uid="{00000000-0005-0000-0000-0000E3610000}"/>
    <cellStyle name="Normal 45 2 8 5" xfId="25056" xr:uid="{00000000-0005-0000-0000-0000E4610000}"/>
    <cellStyle name="Normal 45 2 8 6" xfId="25057" xr:uid="{00000000-0005-0000-0000-0000E5610000}"/>
    <cellStyle name="Normal 45 2 9" xfId="25058" xr:uid="{00000000-0005-0000-0000-0000E6610000}"/>
    <cellStyle name="Normal 45 2 9 2" xfId="25059" xr:uid="{00000000-0005-0000-0000-0000E7610000}"/>
    <cellStyle name="Normal 45 2 9 3" xfId="25060" xr:uid="{00000000-0005-0000-0000-0000E8610000}"/>
    <cellStyle name="Normal 45 2 9 4" xfId="25061" xr:uid="{00000000-0005-0000-0000-0000E9610000}"/>
    <cellStyle name="Normal 45 2 9 5" xfId="25062" xr:uid="{00000000-0005-0000-0000-0000EA610000}"/>
    <cellStyle name="Normal 45 2 9 6" xfId="25063" xr:uid="{00000000-0005-0000-0000-0000EB610000}"/>
    <cellStyle name="Normal 45 20" xfId="25064" xr:uid="{00000000-0005-0000-0000-0000EC610000}"/>
    <cellStyle name="Normal 45 21" xfId="25065" xr:uid="{00000000-0005-0000-0000-0000ED610000}"/>
    <cellStyle name="Normal 45 22" xfId="25066" xr:uid="{00000000-0005-0000-0000-0000EE610000}"/>
    <cellStyle name="Normal 45 23" xfId="25067" xr:uid="{00000000-0005-0000-0000-0000EF610000}"/>
    <cellStyle name="Normal 45 24" xfId="25068" xr:uid="{00000000-0005-0000-0000-0000F0610000}"/>
    <cellStyle name="Normal 45 25" xfId="25069" xr:uid="{00000000-0005-0000-0000-0000F1610000}"/>
    <cellStyle name="Normal 45 26" xfId="25070" xr:uid="{00000000-0005-0000-0000-0000F2610000}"/>
    <cellStyle name="Normal 45 27" xfId="25071" xr:uid="{00000000-0005-0000-0000-0000F3610000}"/>
    <cellStyle name="Normal 45 28" xfId="25072" xr:uid="{00000000-0005-0000-0000-0000F4610000}"/>
    <cellStyle name="Normal 45 29" xfId="25073" xr:uid="{00000000-0005-0000-0000-0000F5610000}"/>
    <cellStyle name="Normal 45 3" xfId="25074" xr:uid="{00000000-0005-0000-0000-0000F6610000}"/>
    <cellStyle name="Normal 45 3 10" xfId="25075" xr:uid="{00000000-0005-0000-0000-0000F7610000}"/>
    <cellStyle name="Normal 45 3 10 2" xfId="25076" xr:uid="{00000000-0005-0000-0000-0000F8610000}"/>
    <cellStyle name="Normal 45 3 10 3" xfId="25077" xr:uid="{00000000-0005-0000-0000-0000F9610000}"/>
    <cellStyle name="Normal 45 3 10 4" xfId="25078" xr:uid="{00000000-0005-0000-0000-0000FA610000}"/>
    <cellStyle name="Normal 45 3 10 5" xfId="25079" xr:uid="{00000000-0005-0000-0000-0000FB610000}"/>
    <cellStyle name="Normal 45 3 10 6" xfId="25080" xr:uid="{00000000-0005-0000-0000-0000FC610000}"/>
    <cellStyle name="Normal 45 3 11" xfId="25081" xr:uid="{00000000-0005-0000-0000-0000FD610000}"/>
    <cellStyle name="Normal 45 3 12" xfId="25082" xr:uid="{00000000-0005-0000-0000-0000FE610000}"/>
    <cellStyle name="Normal 45 3 13" xfId="25083" xr:uid="{00000000-0005-0000-0000-0000FF610000}"/>
    <cellStyle name="Normal 45 3 14" xfId="25084" xr:uid="{00000000-0005-0000-0000-000000620000}"/>
    <cellStyle name="Normal 45 3 15" xfId="25085" xr:uid="{00000000-0005-0000-0000-000001620000}"/>
    <cellStyle name="Normal 45 3 16" xfId="25086" xr:uid="{00000000-0005-0000-0000-000002620000}"/>
    <cellStyle name="Normal 45 3 17" xfId="25087" xr:uid="{00000000-0005-0000-0000-000003620000}"/>
    <cellStyle name="Normal 45 3 18" xfId="25088" xr:uid="{00000000-0005-0000-0000-000004620000}"/>
    <cellStyle name="Normal 45 3 19" xfId="25089" xr:uid="{00000000-0005-0000-0000-000005620000}"/>
    <cellStyle name="Normal 45 3 2" xfId="25090" xr:uid="{00000000-0005-0000-0000-000006620000}"/>
    <cellStyle name="Normal 45 3 2 10" xfId="25091" xr:uid="{00000000-0005-0000-0000-000007620000}"/>
    <cellStyle name="Normal 45 3 2 11" xfId="25092" xr:uid="{00000000-0005-0000-0000-000008620000}"/>
    <cellStyle name="Normal 45 3 2 12" xfId="25093" xr:uid="{00000000-0005-0000-0000-000009620000}"/>
    <cellStyle name="Normal 45 3 2 13" xfId="25094" xr:uid="{00000000-0005-0000-0000-00000A620000}"/>
    <cellStyle name="Normal 45 3 2 14" xfId="25095" xr:uid="{00000000-0005-0000-0000-00000B620000}"/>
    <cellStyle name="Normal 45 3 2 15" xfId="25096" xr:uid="{00000000-0005-0000-0000-00000C620000}"/>
    <cellStyle name="Normal 45 3 2 16" xfId="25097" xr:uid="{00000000-0005-0000-0000-00000D620000}"/>
    <cellStyle name="Normal 45 3 2 17" xfId="25098" xr:uid="{00000000-0005-0000-0000-00000E620000}"/>
    <cellStyle name="Normal 45 3 2 18" xfId="25099" xr:uid="{00000000-0005-0000-0000-00000F620000}"/>
    <cellStyle name="Normal 45 3 2 19" xfId="25100" xr:uid="{00000000-0005-0000-0000-000010620000}"/>
    <cellStyle name="Normal 45 3 2 2" xfId="25101" xr:uid="{00000000-0005-0000-0000-000011620000}"/>
    <cellStyle name="Normal 45 3 2 2 2" xfId="25102" xr:uid="{00000000-0005-0000-0000-000012620000}"/>
    <cellStyle name="Normal 45 3 2 2 3" xfId="25103" xr:uid="{00000000-0005-0000-0000-000013620000}"/>
    <cellStyle name="Normal 45 3 2 2 4" xfId="25104" xr:uid="{00000000-0005-0000-0000-000014620000}"/>
    <cellStyle name="Normal 45 3 2 2 5" xfId="25105" xr:uid="{00000000-0005-0000-0000-000015620000}"/>
    <cellStyle name="Normal 45 3 2 2 6" xfId="25106" xr:uid="{00000000-0005-0000-0000-000016620000}"/>
    <cellStyle name="Normal 45 3 2 20" xfId="25107" xr:uid="{00000000-0005-0000-0000-000017620000}"/>
    <cellStyle name="Normal 45 3 2 21" xfId="25108" xr:uid="{00000000-0005-0000-0000-000018620000}"/>
    <cellStyle name="Normal 45 3 2 22" xfId="25109" xr:uid="{00000000-0005-0000-0000-000019620000}"/>
    <cellStyle name="Normal 45 3 2 23" xfId="25110" xr:uid="{00000000-0005-0000-0000-00001A620000}"/>
    <cellStyle name="Normal 45 3 2 24" xfId="25111" xr:uid="{00000000-0005-0000-0000-00001B620000}"/>
    <cellStyle name="Normal 45 3 2 25" xfId="25112" xr:uid="{00000000-0005-0000-0000-00001C620000}"/>
    <cellStyle name="Normal 45 3 2 26" xfId="25113" xr:uid="{00000000-0005-0000-0000-00001D620000}"/>
    <cellStyle name="Normal 45 3 2 27" xfId="25114" xr:uid="{00000000-0005-0000-0000-00001E620000}"/>
    <cellStyle name="Normal 45 3 2 28" xfId="25115" xr:uid="{00000000-0005-0000-0000-00001F620000}"/>
    <cellStyle name="Normal 45 3 2 29" xfId="25116" xr:uid="{00000000-0005-0000-0000-000020620000}"/>
    <cellStyle name="Normal 45 3 2 3" xfId="25117" xr:uid="{00000000-0005-0000-0000-000021620000}"/>
    <cellStyle name="Normal 45 3 2 30" xfId="25118" xr:uid="{00000000-0005-0000-0000-000022620000}"/>
    <cellStyle name="Normal 45 3 2 31" xfId="25119" xr:uid="{00000000-0005-0000-0000-000023620000}"/>
    <cellStyle name="Normal 45 3 2 32" xfId="25120" xr:uid="{00000000-0005-0000-0000-000024620000}"/>
    <cellStyle name="Normal 45 3 2 33" xfId="25121" xr:uid="{00000000-0005-0000-0000-000025620000}"/>
    <cellStyle name="Normal 45 3 2 4" xfId="25122" xr:uid="{00000000-0005-0000-0000-000026620000}"/>
    <cellStyle name="Normal 45 3 2 5" xfId="25123" xr:uid="{00000000-0005-0000-0000-000027620000}"/>
    <cellStyle name="Normal 45 3 2 6" xfId="25124" xr:uid="{00000000-0005-0000-0000-000028620000}"/>
    <cellStyle name="Normal 45 3 2 7" xfId="25125" xr:uid="{00000000-0005-0000-0000-000029620000}"/>
    <cellStyle name="Normal 45 3 2 8" xfId="25126" xr:uid="{00000000-0005-0000-0000-00002A620000}"/>
    <cellStyle name="Normal 45 3 2 9" xfId="25127" xr:uid="{00000000-0005-0000-0000-00002B620000}"/>
    <cellStyle name="Normal 45 3 20" xfId="25128" xr:uid="{00000000-0005-0000-0000-00002C620000}"/>
    <cellStyle name="Normal 45 3 21" xfId="25129" xr:uid="{00000000-0005-0000-0000-00002D620000}"/>
    <cellStyle name="Normal 45 3 22" xfId="25130" xr:uid="{00000000-0005-0000-0000-00002E620000}"/>
    <cellStyle name="Normal 45 3 23" xfId="25131" xr:uid="{00000000-0005-0000-0000-00002F620000}"/>
    <cellStyle name="Normal 45 3 24" xfId="25132" xr:uid="{00000000-0005-0000-0000-000030620000}"/>
    <cellStyle name="Normal 45 3 25" xfId="25133" xr:uid="{00000000-0005-0000-0000-000031620000}"/>
    <cellStyle name="Normal 45 3 26" xfId="25134" xr:uid="{00000000-0005-0000-0000-000032620000}"/>
    <cellStyle name="Normal 45 3 27" xfId="25135" xr:uid="{00000000-0005-0000-0000-000033620000}"/>
    <cellStyle name="Normal 45 3 28" xfId="25136" xr:uid="{00000000-0005-0000-0000-000034620000}"/>
    <cellStyle name="Normal 45 3 29" xfId="25137" xr:uid="{00000000-0005-0000-0000-000035620000}"/>
    <cellStyle name="Normal 45 3 3" xfId="25138" xr:uid="{00000000-0005-0000-0000-000036620000}"/>
    <cellStyle name="Normal 45 3 3 2" xfId="25139" xr:uid="{00000000-0005-0000-0000-000037620000}"/>
    <cellStyle name="Normal 45 3 3 3" xfId="25140" xr:uid="{00000000-0005-0000-0000-000038620000}"/>
    <cellStyle name="Normal 45 3 3 4" xfId="25141" xr:uid="{00000000-0005-0000-0000-000039620000}"/>
    <cellStyle name="Normal 45 3 3 5" xfId="25142" xr:uid="{00000000-0005-0000-0000-00003A620000}"/>
    <cellStyle name="Normal 45 3 3 6" xfId="25143" xr:uid="{00000000-0005-0000-0000-00003B620000}"/>
    <cellStyle name="Normal 45 3 30" xfId="25144" xr:uid="{00000000-0005-0000-0000-00003C620000}"/>
    <cellStyle name="Normal 45 3 31" xfId="25145" xr:uid="{00000000-0005-0000-0000-00003D620000}"/>
    <cellStyle name="Normal 45 3 32" xfId="25146" xr:uid="{00000000-0005-0000-0000-00003E620000}"/>
    <cellStyle name="Normal 45 3 33" xfId="25147" xr:uid="{00000000-0005-0000-0000-00003F620000}"/>
    <cellStyle name="Normal 45 3 34" xfId="25148" xr:uid="{00000000-0005-0000-0000-000040620000}"/>
    <cellStyle name="Normal 45 3 35" xfId="25149" xr:uid="{00000000-0005-0000-0000-000041620000}"/>
    <cellStyle name="Normal 45 3 36" xfId="25150" xr:uid="{00000000-0005-0000-0000-000042620000}"/>
    <cellStyle name="Normal 45 3 37" xfId="25151" xr:uid="{00000000-0005-0000-0000-000043620000}"/>
    <cellStyle name="Normal 45 3 38" xfId="25152" xr:uid="{00000000-0005-0000-0000-000044620000}"/>
    <cellStyle name="Normal 45 3 39" xfId="25153" xr:uid="{00000000-0005-0000-0000-000045620000}"/>
    <cellStyle name="Normal 45 3 4" xfId="25154" xr:uid="{00000000-0005-0000-0000-000046620000}"/>
    <cellStyle name="Normal 45 3 4 2" xfId="25155" xr:uid="{00000000-0005-0000-0000-000047620000}"/>
    <cellStyle name="Normal 45 3 4 3" xfId="25156" xr:uid="{00000000-0005-0000-0000-000048620000}"/>
    <cellStyle name="Normal 45 3 4 4" xfId="25157" xr:uid="{00000000-0005-0000-0000-000049620000}"/>
    <cellStyle name="Normal 45 3 4 5" xfId="25158" xr:uid="{00000000-0005-0000-0000-00004A620000}"/>
    <cellStyle name="Normal 45 3 4 6" xfId="25159" xr:uid="{00000000-0005-0000-0000-00004B620000}"/>
    <cellStyle name="Normal 45 3 40" xfId="25160" xr:uid="{00000000-0005-0000-0000-00004C620000}"/>
    <cellStyle name="Normal 45 3 5" xfId="25161" xr:uid="{00000000-0005-0000-0000-00004D620000}"/>
    <cellStyle name="Normal 45 3 5 2" xfId="25162" xr:uid="{00000000-0005-0000-0000-00004E620000}"/>
    <cellStyle name="Normal 45 3 5 3" xfId="25163" xr:uid="{00000000-0005-0000-0000-00004F620000}"/>
    <cellStyle name="Normal 45 3 5 4" xfId="25164" xr:uid="{00000000-0005-0000-0000-000050620000}"/>
    <cellStyle name="Normal 45 3 5 5" xfId="25165" xr:uid="{00000000-0005-0000-0000-000051620000}"/>
    <cellStyle name="Normal 45 3 5 6" xfId="25166" xr:uid="{00000000-0005-0000-0000-000052620000}"/>
    <cellStyle name="Normal 45 3 6" xfId="25167" xr:uid="{00000000-0005-0000-0000-000053620000}"/>
    <cellStyle name="Normal 45 3 6 2" xfId="25168" xr:uid="{00000000-0005-0000-0000-000054620000}"/>
    <cellStyle name="Normal 45 3 6 3" xfId="25169" xr:uid="{00000000-0005-0000-0000-000055620000}"/>
    <cellStyle name="Normal 45 3 6 4" xfId="25170" xr:uid="{00000000-0005-0000-0000-000056620000}"/>
    <cellStyle name="Normal 45 3 6 5" xfId="25171" xr:uid="{00000000-0005-0000-0000-000057620000}"/>
    <cellStyle name="Normal 45 3 6 6" xfId="25172" xr:uid="{00000000-0005-0000-0000-000058620000}"/>
    <cellStyle name="Normal 45 3 7" xfId="25173" xr:uid="{00000000-0005-0000-0000-000059620000}"/>
    <cellStyle name="Normal 45 3 7 2" xfId="25174" xr:uid="{00000000-0005-0000-0000-00005A620000}"/>
    <cellStyle name="Normal 45 3 7 3" xfId="25175" xr:uid="{00000000-0005-0000-0000-00005B620000}"/>
    <cellStyle name="Normal 45 3 7 4" xfId="25176" xr:uid="{00000000-0005-0000-0000-00005C620000}"/>
    <cellStyle name="Normal 45 3 7 5" xfId="25177" xr:uid="{00000000-0005-0000-0000-00005D620000}"/>
    <cellStyle name="Normal 45 3 7 6" xfId="25178" xr:uid="{00000000-0005-0000-0000-00005E620000}"/>
    <cellStyle name="Normal 45 3 8" xfId="25179" xr:uid="{00000000-0005-0000-0000-00005F620000}"/>
    <cellStyle name="Normal 45 3 8 2" xfId="25180" xr:uid="{00000000-0005-0000-0000-000060620000}"/>
    <cellStyle name="Normal 45 3 8 3" xfId="25181" xr:uid="{00000000-0005-0000-0000-000061620000}"/>
    <cellStyle name="Normal 45 3 8 4" xfId="25182" xr:uid="{00000000-0005-0000-0000-000062620000}"/>
    <cellStyle name="Normal 45 3 8 5" xfId="25183" xr:uid="{00000000-0005-0000-0000-000063620000}"/>
    <cellStyle name="Normal 45 3 8 6" xfId="25184" xr:uid="{00000000-0005-0000-0000-000064620000}"/>
    <cellStyle name="Normal 45 3 9" xfId="25185" xr:uid="{00000000-0005-0000-0000-000065620000}"/>
    <cellStyle name="Normal 45 3 9 2" xfId="25186" xr:uid="{00000000-0005-0000-0000-000066620000}"/>
    <cellStyle name="Normal 45 3 9 3" xfId="25187" xr:uid="{00000000-0005-0000-0000-000067620000}"/>
    <cellStyle name="Normal 45 3 9 4" xfId="25188" xr:uid="{00000000-0005-0000-0000-000068620000}"/>
    <cellStyle name="Normal 45 3 9 5" xfId="25189" xr:uid="{00000000-0005-0000-0000-000069620000}"/>
    <cellStyle name="Normal 45 3 9 6" xfId="25190" xr:uid="{00000000-0005-0000-0000-00006A620000}"/>
    <cellStyle name="Normal 45 30" xfId="25191" xr:uid="{00000000-0005-0000-0000-00006B620000}"/>
    <cellStyle name="Normal 45 31" xfId="25192" xr:uid="{00000000-0005-0000-0000-00006C620000}"/>
    <cellStyle name="Normal 45 32" xfId="25193" xr:uid="{00000000-0005-0000-0000-00006D620000}"/>
    <cellStyle name="Normal 45 33" xfId="25194" xr:uid="{00000000-0005-0000-0000-00006E620000}"/>
    <cellStyle name="Normal 45 34" xfId="25195" xr:uid="{00000000-0005-0000-0000-00006F620000}"/>
    <cellStyle name="Normal 45 35" xfId="25196" xr:uid="{00000000-0005-0000-0000-000070620000}"/>
    <cellStyle name="Normal 45 36" xfId="25197" xr:uid="{00000000-0005-0000-0000-000071620000}"/>
    <cellStyle name="Normal 45 37" xfId="25198" xr:uid="{00000000-0005-0000-0000-000072620000}"/>
    <cellStyle name="Normal 45 38" xfId="25199" xr:uid="{00000000-0005-0000-0000-000073620000}"/>
    <cellStyle name="Normal 45 39" xfId="25200" xr:uid="{00000000-0005-0000-0000-000074620000}"/>
    <cellStyle name="Normal 45 4" xfId="25201" xr:uid="{00000000-0005-0000-0000-000075620000}"/>
    <cellStyle name="Normal 45 4 10" xfId="25202" xr:uid="{00000000-0005-0000-0000-000076620000}"/>
    <cellStyle name="Normal 45 4 2" xfId="25203" xr:uid="{00000000-0005-0000-0000-000077620000}"/>
    <cellStyle name="Normal 45 4 2 2" xfId="25204" xr:uid="{00000000-0005-0000-0000-000078620000}"/>
    <cellStyle name="Normal 45 4 2 3" xfId="25205" xr:uid="{00000000-0005-0000-0000-000079620000}"/>
    <cellStyle name="Normal 45 4 2 4" xfId="25206" xr:uid="{00000000-0005-0000-0000-00007A620000}"/>
    <cellStyle name="Normal 45 4 2 5" xfId="25207" xr:uid="{00000000-0005-0000-0000-00007B620000}"/>
    <cellStyle name="Normal 45 4 2 6" xfId="25208" xr:uid="{00000000-0005-0000-0000-00007C620000}"/>
    <cellStyle name="Normal 45 4 3" xfId="25209" xr:uid="{00000000-0005-0000-0000-00007D620000}"/>
    <cellStyle name="Normal 45 4 3 2" xfId="25210" xr:uid="{00000000-0005-0000-0000-00007E620000}"/>
    <cellStyle name="Normal 45 4 3 3" xfId="25211" xr:uid="{00000000-0005-0000-0000-00007F620000}"/>
    <cellStyle name="Normal 45 4 3 4" xfId="25212" xr:uid="{00000000-0005-0000-0000-000080620000}"/>
    <cellStyle name="Normal 45 4 3 5" xfId="25213" xr:uid="{00000000-0005-0000-0000-000081620000}"/>
    <cellStyle name="Normal 45 4 3 6" xfId="25214" xr:uid="{00000000-0005-0000-0000-000082620000}"/>
    <cellStyle name="Normal 45 4 4" xfId="25215" xr:uid="{00000000-0005-0000-0000-000083620000}"/>
    <cellStyle name="Normal 45 4 4 2" xfId="25216" xr:uid="{00000000-0005-0000-0000-000084620000}"/>
    <cellStyle name="Normal 45 4 4 3" xfId="25217" xr:uid="{00000000-0005-0000-0000-000085620000}"/>
    <cellStyle name="Normal 45 4 4 4" xfId="25218" xr:uid="{00000000-0005-0000-0000-000086620000}"/>
    <cellStyle name="Normal 45 4 4 5" xfId="25219" xr:uid="{00000000-0005-0000-0000-000087620000}"/>
    <cellStyle name="Normal 45 4 4 6" xfId="25220" xr:uid="{00000000-0005-0000-0000-000088620000}"/>
    <cellStyle name="Normal 45 4 5" xfId="25221" xr:uid="{00000000-0005-0000-0000-000089620000}"/>
    <cellStyle name="Normal 45 4 5 2" xfId="25222" xr:uid="{00000000-0005-0000-0000-00008A620000}"/>
    <cellStyle name="Normal 45 4 5 3" xfId="25223" xr:uid="{00000000-0005-0000-0000-00008B620000}"/>
    <cellStyle name="Normal 45 4 5 4" xfId="25224" xr:uid="{00000000-0005-0000-0000-00008C620000}"/>
    <cellStyle name="Normal 45 4 5 5" xfId="25225" xr:uid="{00000000-0005-0000-0000-00008D620000}"/>
    <cellStyle name="Normal 45 4 5 6" xfId="25226" xr:uid="{00000000-0005-0000-0000-00008E620000}"/>
    <cellStyle name="Normal 45 4 6" xfId="25227" xr:uid="{00000000-0005-0000-0000-00008F620000}"/>
    <cellStyle name="Normal 45 4 7" xfId="25228" xr:uid="{00000000-0005-0000-0000-000090620000}"/>
    <cellStyle name="Normal 45 4 8" xfId="25229" xr:uid="{00000000-0005-0000-0000-000091620000}"/>
    <cellStyle name="Normal 45 4 9" xfId="25230" xr:uid="{00000000-0005-0000-0000-000092620000}"/>
    <cellStyle name="Normal 45 40" xfId="25231" xr:uid="{00000000-0005-0000-0000-000093620000}"/>
    <cellStyle name="Normal 45 41" xfId="25232" xr:uid="{00000000-0005-0000-0000-000094620000}"/>
    <cellStyle name="Normal 45 42" xfId="25233" xr:uid="{00000000-0005-0000-0000-000095620000}"/>
    <cellStyle name="Normal 45 43" xfId="25234" xr:uid="{00000000-0005-0000-0000-000096620000}"/>
    <cellStyle name="Normal 45 44" xfId="25235" xr:uid="{00000000-0005-0000-0000-000097620000}"/>
    <cellStyle name="Normal 45 5" xfId="25236" xr:uid="{00000000-0005-0000-0000-000098620000}"/>
    <cellStyle name="Normal 45 5 10" xfId="25237" xr:uid="{00000000-0005-0000-0000-000099620000}"/>
    <cellStyle name="Normal 45 5 2" xfId="25238" xr:uid="{00000000-0005-0000-0000-00009A620000}"/>
    <cellStyle name="Normal 45 5 2 2" xfId="25239" xr:uid="{00000000-0005-0000-0000-00009B620000}"/>
    <cellStyle name="Normal 45 5 2 3" xfId="25240" xr:uid="{00000000-0005-0000-0000-00009C620000}"/>
    <cellStyle name="Normal 45 5 2 4" xfId="25241" xr:uid="{00000000-0005-0000-0000-00009D620000}"/>
    <cellStyle name="Normal 45 5 2 5" xfId="25242" xr:uid="{00000000-0005-0000-0000-00009E620000}"/>
    <cellStyle name="Normal 45 5 2 6" xfId="25243" xr:uid="{00000000-0005-0000-0000-00009F620000}"/>
    <cellStyle name="Normal 45 5 3" xfId="25244" xr:uid="{00000000-0005-0000-0000-0000A0620000}"/>
    <cellStyle name="Normal 45 5 3 2" xfId="25245" xr:uid="{00000000-0005-0000-0000-0000A1620000}"/>
    <cellStyle name="Normal 45 5 3 3" xfId="25246" xr:uid="{00000000-0005-0000-0000-0000A2620000}"/>
    <cellStyle name="Normal 45 5 3 4" xfId="25247" xr:uid="{00000000-0005-0000-0000-0000A3620000}"/>
    <cellStyle name="Normal 45 5 3 5" xfId="25248" xr:uid="{00000000-0005-0000-0000-0000A4620000}"/>
    <cellStyle name="Normal 45 5 3 6" xfId="25249" xr:uid="{00000000-0005-0000-0000-0000A5620000}"/>
    <cellStyle name="Normal 45 5 4" xfId="25250" xr:uid="{00000000-0005-0000-0000-0000A6620000}"/>
    <cellStyle name="Normal 45 5 4 2" xfId="25251" xr:uid="{00000000-0005-0000-0000-0000A7620000}"/>
    <cellStyle name="Normal 45 5 4 3" xfId="25252" xr:uid="{00000000-0005-0000-0000-0000A8620000}"/>
    <cellStyle name="Normal 45 5 4 4" xfId="25253" xr:uid="{00000000-0005-0000-0000-0000A9620000}"/>
    <cellStyle name="Normal 45 5 4 5" xfId="25254" xr:uid="{00000000-0005-0000-0000-0000AA620000}"/>
    <cellStyle name="Normal 45 5 4 6" xfId="25255" xr:uid="{00000000-0005-0000-0000-0000AB620000}"/>
    <cellStyle name="Normal 45 5 5" xfId="25256" xr:uid="{00000000-0005-0000-0000-0000AC620000}"/>
    <cellStyle name="Normal 45 5 5 2" xfId="25257" xr:uid="{00000000-0005-0000-0000-0000AD620000}"/>
    <cellStyle name="Normal 45 5 5 3" xfId="25258" xr:uid="{00000000-0005-0000-0000-0000AE620000}"/>
    <cellStyle name="Normal 45 5 5 4" xfId="25259" xr:uid="{00000000-0005-0000-0000-0000AF620000}"/>
    <cellStyle name="Normal 45 5 5 5" xfId="25260" xr:uid="{00000000-0005-0000-0000-0000B0620000}"/>
    <cellStyle name="Normal 45 5 5 6" xfId="25261" xr:uid="{00000000-0005-0000-0000-0000B1620000}"/>
    <cellStyle name="Normal 45 5 6" xfId="25262" xr:uid="{00000000-0005-0000-0000-0000B2620000}"/>
    <cellStyle name="Normal 45 5 7" xfId="25263" xr:uid="{00000000-0005-0000-0000-0000B3620000}"/>
    <cellStyle name="Normal 45 5 8" xfId="25264" xr:uid="{00000000-0005-0000-0000-0000B4620000}"/>
    <cellStyle name="Normal 45 5 9" xfId="25265" xr:uid="{00000000-0005-0000-0000-0000B5620000}"/>
    <cellStyle name="Normal 45 6" xfId="25266" xr:uid="{00000000-0005-0000-0000-0000B6620000}"/>
    <cellStyle name="Normal 45 6 10" xfId="25267" xr:uid="{00000000-0005-0000-0000-0000B7620000}"/>
    <cellStyle name="Normal 45 6 2" xfId="25268" xr:uid="{00000000-0005-0000-0000-0000B8620000}"/>
    <cellStyle name="Normal 45 6 2 2" xfId="25269" xr:uid="{00000000-0005-0000-0000-0000B9620000}"/>
    <cellStyle name="Normal 45 6 2 3" xfId="25270" xr:uid="{00000000-0005-0000-0000-0000BA620000}"/>
    <cellStyle name="Normal 45 6 2 4" xfId="25271" xr:uid="{00000000-0005-0000-0000-0000BB620000}"/>
    <cellStyle name="Normal 45 6 2 5" xfId="25272" xr:uid="{00000000-0005-0000-0000-0000BC620000}"/>
    <cellStyle name="Normal 45 6 2 6" xfId="25273" xr:uid="{00000000-0005-0000-0000-0000BD620000}"/>
    <cellStyle name="Normal 45 6 3" xfId="25274" xr:uid="{00000000-0005-0000-0000-0000BE620000}"/>
    <cellStyle name="Normal 45 6 3 2" xfId="25275" xr:uid="{00000000-0005-0000-0000-0000BF620000}"/>
    <cellStyle name="Normal 45 6 3 3" xfId="25276" xr:uid="{00000000-0005-0000-0000-0000C0620000}"/>
    <cellStyle name="Normal 45 6 3 4" xfId="25277" xr:uid="{00000000-0005-0000-0000-0000C1620000}"/>
    <cellStyle name="Normal 45 6 3 5" xfId="25278" xr:uid="{00000000-0005-0000-0000-0000C2620000}"/>
    <cellStyle name="Normal 45 6 3 6" xfId="25279" xr:uid="{00000000-0005-0000-0000-0000C3620000}"/>
    <cellStyle name="Normal 45 6 4" xfId="25280" xr:uid="{00000000-0005-0000-0000-0000C4620000}"/>
    <cellStyle name="Normal 45 6 4 2" xfId="25281" xr:uid="{00000000-0005-0000-0000-0000C5620000}"/>
    <cellStyle name="Normal 45 6 4 3" xfId="25282" xr:uid="{00000000-0005-0000-0000-0000C6620000}"/>
    <cellStyle name="Normal 45 6 4 4" xfId="25283" xr:uid="{00000000-0005-0000-0000-0000C7620000}"/>
    <cellStyle name="Normal 45 6 4 5" xfId="25284" xr:uid="{00000000-0005-0000-0000-0000C8620000}"/>
    <cellStyle name="Normal 45 6 4 6" xfId="25285" xr:uid="{00000000-0005-0000-0000-0000C9620000}"/>
    <cellStyle name="Normal 45 6 5" xfId="25286" xr:uid="{00000000-0005-0000-0000-0000CA620000}"/>
    <cellStyle name="Normal 45 6 5 2" xfId="25287" xr:uid="{00000000-0005-0000-0000-0000CB620000}"/>
    <cellStyle name="Normal 45 6 5 3" xfId="25288" xr:uid="{00000000-0005-0000-0000-0000CC620000}"/>
    <cellStyle name="Normal 45 6 5 4" xfId="25289" xr:uid="{00000000-0005-0000-0000-0000CD620000}"/>
    <cellStyle name="Normal 45 6 5 5" xfId="25290" xr:uid="{00000000-0005-0000-0000-0000CE620000}"/>
    <cellStyle name="Normal 45 6 5 6" xfId="25291" xr:uid="{00000000-0005-0000-0000-0000CF620000}"/>
    <cellStyle name="Normal 45 6 6" xfId="25292" xr:uid="{00000000-0005-0000-0000-0000D0620000}"/>
    <cellStyle name="Normal 45 6 7" xfId="25293" xr:uid="{00000000-0005-0000-0000-0000D1620000}"/>
    <cellStyle name="Normal 45 6 8" xfId="25294" xr:uid="{00000000-0005-0000-0000-0000D2620000}"/>
    <cellStyle name="Normal 45 6 9" xfId="25295" xr:uid="{00000000-0005-0000-0000-0000D3620000}"/>
    <cellStyle name="Normal 45 7" xfId="25296" xr:uid="{00000000-0005-0000-0000-0000D4620000}"/>
    <cellStyle name="Normal 45 7 10" xfId="25297" xr:uid="{00000000-0005-0000-0000-0000D5620000}"/>
    <cellStyle name="Normal 45 7 11" xfId="25298" xr:uid="{00000000-0005-0000-0000-0000D6620000}"/>
    <cellStyle name="Normal 45 7 12" xfId="25299" xr:uid="{00000000-0005-0000-0000-0000D7620000}"/>
    <cellStyle name="Normal 45 7 13" xfId="25300" xr:uid="{00000000-0005-0000-0000-0000D8620000}"/>
    <cellStyle name="Normal 45 7 14" xfId="25301" xr:uid="{00000000-0005-0000-0000-0000D9620000}"/>
    <cellStyle name="Normal 45 7 15" xfId="25302" xr:uid="{00000000-0005-0000-0000-0000DA620000}"/>
    <cellStyle name="Normal 45 7 16" xfId="25303" xr:uid="{00000000-0005-0000-0000-0000DB620000}"/>
    <cellStyle name="Normal 45 7 17" xfId="25304" xr:uid="{00000000-0005-0000-0000-0000DC620000}"/>
    <cellStyle name="Normal 45 7 18" xfId="25305" xr:uid="{00000000-0005-0000-0000-0000DD620000}"/>
    <cellStyle name="Normal 45 7 19" xfId="25306" xr:uid="{00000000-0005-0000-0000-0000DE620000}"/>
    <cellStyle name="Normal 45 7 2" xfId="25307" xr:uid="{00000000-0005-0000-0000-0000DF620000}"/>
    <cellStyle name="Normal 45 7 2 2" xfId="25308" xr:uid="{00000000-0005-0000-0000-0000E0620000}"/>
    <cellStyle name="Normal 45 7 2 3" xfId="25309" xr:uid="{00000000-0005-0000-0000-0000E1620000}"/>
    <cellStyle name="Normal 45 7 2 4" xfId="25310" xr:uid="{00000000-0005-0000-0000-0000E2620000}"/>
    <cellStyle name="Normal 45 7 2 5" xfId="25311" xr:uid="{00000000-0005-0000-0000-0000E3620000}"/>
    <cellStyle name="Normal 45 7 2 6" xfId="25312" xr:uid="{00000000-0005-0000-0000-0000E4620000}"/>
    <cellStyle name="Normal 45 7 20" xfId="25313" xr:uid="{00000000-0005-0000-0000-0000E5620000}"/>
    <cellStyle name="Normal 45 7 21" xfId="25314" xr:uid="{00000000-0005-0000-0000-0000E6620000}"/>
    <cellStyle name="Normal 45 7 22" xfId="25315" xr:uid="{00000000-0005-0000-0000-0000E7620000}"/>
    <cellStyle name="Normal 45 7 23" xfId="25316" xr:uid="{00000000-0005-0000-0000-0000E8620000}"/>
    <cellStyle name="Normal 45 7 24" xfId="25317" xr:uid="{00000000-0005-0000-0000-0000E9620000}"/>
    <cellStyle name="Normal 45 7 25" xfId="25318" xr:uid="{00000000-0005-0000-0000-0000EA620000}"/>
    <cellStyle name="Normal 45 7 26" xfId="25319" xr:uid="{00000000-0005-0000-0000-0000EB620000}"/>
    <cellStyle name="Normal 45 7 27" xfId="25320" xr:uid="{00000000-0005-0000-0000-0000EC620000}"/>
    <cellStyle name="Normal 45 7 28" xfId="25321" xr:uid="{00000000-0005-0000-0000-0000ED620000}"/>
    <cellStyle name="Normal 45 7 29" xfId="25322" xr:uid="{00000000-0005-0000-0000-0000EE620000}"/>
    <cellStyle name="Normal 45 7 3" xfId="25323" xr:uid="{00000000-0005-0000-0000-0000EF620000}"/>
    <cellStyle name="Normal 45 7 30" xfId="25324" xr:uid="{00000000-0005-0000-0000-0000F0620000}"/>
    <cellStyle name="Normal 45 7 31" xfId="25325" xr:uid="{00000000-0005-0000-0000-0000F1620000}"/>
    <cellStyle name="Normal 45 7 32" xfId="25326" xr:uid="{00000000-0005-0000-0000-0000F2620000}"/>
    <cellStyle name="Normal 45 7 33" xfId="25327" xr:uid="{00000000-0005-0000-0000-0000F3620000}"/>
    <cellStyle name="Normal 45 7 4" xfId="25328" xr:uid="{00000000-0005-0000-0000-0000F4620000}"/>
    <cellStyle name="Normal 45 7 5" xfId="25329" xr:uid="{00000000-0005-0000-0000-0000F5620000}"/>
    <cellStyle name="Normal 45 7 6" xfId="25330" xr:uid="{00000000-0005-0000-0000-0000F6620000}"/>
    <cellStyle name="Normal 45 7 7" xfId="25331" xr:uid="{00000000-0005-0000-0000-0000F7620000}"/>
    <cellStyle name="Normal 45 7 8" xfId="25332" xr:uid="{00000000-0005-0000-0000-0000F8620000}"/>
    <cellStyle name="Normal 45 7 9" xfId="25333" xr:uid="{00000000-0005-0000-0000-0000F9620000}"/>
    <cellStyle name="Normal 45 8" xfId="25334" xr:uid="{00000000-0005-0000-0000-0000FA620000}"/>
    <cellStyle name="Normal 45 9" xfId="25335" xr:uid="{00000000-0005-0000-0000-0000FB620000}"/>
    <cellStyle name="Normal 46" xfId="25336" xr:uid="{00000000-0005-0000-0000-0000FC620000}"/>
    <cellStyle name="Normal 46 10" xfId="25337" xr:uid="{00000000-0005-0000-0000-0000FD620000}"/>
    <cellStyle name="Normal 46 10 2" xfId="25338" xr:uid="{00000000-0005-0000-0000-0000FE620000}"/>
    <cellStyle name="Normal 46 10 3" xfId="25339" xr:uid="{00000000-0005-0000-0000-0000FF620000}"/>
    <cellStyle name="Normal 46 10 4" xfId="25340" xr:uid="{00000000-0005-0000-0000-000000630000}"/>
    <cellStyle name="Normal 46 10 5" xfId="25341" xr:uid="{00000000-0005-0000-0000-000001630000}"/>
    <cellStyle name="Normal 46 10 6" xfId="25342" xr:uid="{00000000-0005-0000-0000-000002630000}"/>
    <cellStyle name="Normal 46 11" xfId="25343" xr:uid="{00000000-0005-0000-0000-000003630000}"/>
    <cellStyle name="Normal 46 12" xfId="25344" xr:uid="{00000000-0005-0000-0000-000004630000}"/>
    <cellStyle name="Normal 46 13" xfId="25345" xr:uid="{00000000-0005-0000-0000-000005630000}"/>
    <cellStyle name="Normal 46 14" xfId="25346" xr:uid="{00000000-0005-0000-0000-000006630000}"/>
    <cellStyle name="Normal 46 15" xfId="25347" xr:uid="{00000000-0005-0000-0000-000007630000}"/>
    <cellStyle name="Normal 46 2" xfId="25348" xr:uid="{00000000-0005-0000-0000-000008630000}"/>
    <cellStyle name="Normal 46 2 10" xfId="25349" xr:uid="{00000000-0005-0000-0000-000009630000}"/>
    <cellStyle name="Normal 46 2 11" xfId="25350" xr:uid="{00000000-0005-0000-0000-00000A630000}"/>
    <cellStyle name="Normal 46 2 12" xfId="25351" xr:uid="{00000000-0005-0000-0000-00000B630000}"/>
    <cellStyle name="Normal 46 2 13" xfId="25352" xr:uid="{00000000-0005-0000-0000-00000C630000}"/>
    <cellStyle name="Normal 46 2 14" xfId="25353" xr:uid="{00000000-0005-0000-0000-00000D630000}"/>
    <cellStyle name="Normal 46 2 2" xfId="25354" xr:uid="{00000000-0005-0000-0000-00000E630000}"/>
    <cellStyle name="Normal 46 2 2 2" xfId="25355" xr:uid="{00000000-0005-0000-0000-00000F630000}"/>
    <cellStyle name="Normal 46 2 2 3" xfId="25356" xr:uid="{00000000-0005-0000-0000-000010630000}"/>
    <cellStyle name="Normal 46 2 2 4" xfId="25357" xr:uid="{00000000-0005-0000-0000-000011630000}"/>
    <cellStyle name="Normal 46 2 2 5" xfId="25358" xr:uid="{00000000-0005-0000-0000-000012630000}"/>
    <cellStyle name="Normal 46 2 2 6" xfId="25359" xr:uid="{00000000-0005-0000-0000-000013630000}"/>
    <cellStyle name="Normal 46 2 3" xfId="25360" xr:uid="{00000000-0005-0000-0000-000014630000}"/>
    <cellStyle name="Normal 46 2 3 2" xfId="25361" xr:uid="{00000000-0005-0000-0000-000015630000}"/>
    <cellStyle name="Normal 46 2 3 3" xfId="25362" xr:uid="{00000000-0005-0000-0000-000016630000}"/>
    <cellStyle name="Normal 46 2 3 4" xfId="25363" xr:uid="{00000000-0005-0000-0000-000017630000}"/>
    <cellStyle name="Normal 46 2 3 5" xfId="25364" xr:uid="{00000000-0005-0000-0000-000018630000}"/>
    <cellStyle name="Normal 46 2 3 6" xfId="25365" xr:uid="{00000000-0005-0000-0000-000019630000}"/>
    <cellStyle name="Normal 46 2 4" xfId="25366" xr:uid="{00000000-0005-0000-0000-00001A630000}"/>
    <cellStyle name="Normal 46 2 4 2" xfId="25367" xr:uid="{00000000-0005-0000-0000-00001B630000}"/>
    <cellStyle name="Normal 46 2 4 3" xfId="25368" xr:uid="{00000000-0005-0000-0000-00001C630000}"/>
    <cellStyle name="Normal 46 2 4 4" xfId="25369" xr:uid="{00000000-0005-0000-0000-00001D630000}"/>
    <cellStyle name="Normal 46 2 4 5" xfId="25370" xr:uid="{00000000-0005-0000-0000-00001E630000}"/>
    <cellStyle name="Normal 46 2 4 6" xfId="25371" xr:uid="{00000000-0005-0000-0000-00001F630000}"/>
    <cellStyle name="Normal 46 2 5" xfId="25372" xr:uid="{00000000-0005-0000-0000-000020630000}"/>
    <cellStyle name="Normal 46 2 5 2" xfId="25373" xr:uid="{00000000-0005-0000-0000-000021630000}"/>
    <cellStyle name="Normal 46 2 5 3" xfId="25374" xr:uid="{00000000-0005-0000-0000-000022630000}"/>
    <cellStyle name="Normal 46 2 5 4" xfId="25375" xr:uid="{00000000-0005-0000-0000-000023630000}"/>
    <cellStyle name="Normal 46 2 5 5" xfId="25376" xr:uid="{00000000-0005-0000-0000-000024630000}"/>
    <cellStyle name="Normal 46 2 5 6" xfId="25377" xr:uid="{00000000-0005-0000-0000-000025630000}"/>
    <cellStyle name="Normal 46 2 6" xfId="25378" xr:uid="{00000000-0005-0000-0000-000026630000}"/>
    <cellStyle name="Normal 46 2 6 2" xfId="25379" xr:uid="{00000000-0005-0000-0000-000027630000}"/>
    <cellStyle name="Normal 46 2 6 3" xfId="25380" xr:uid="{00000000-0005-0000-0000-000028630000}"/>
    <cellStyle name="Normal 46 2 6 4" xfId="25381" xr:uid="{00000000-0005-0000-0000-000029630000}"/>
    <cellStyle name="Normal 46 2 6 5" xfId="25382" xr:uid="{00000000-0005-0000-0000-00002A630000}"/>
    <cellStyle name="Normal 46 2 6 6" xfId="25383" xr:uid="{00000000-0005-0000-0000-00002B630000}"/>
    <cellStyle name="Normal 46 2 7" xfId="25384" xr:uid="{00000000-0005-0000-0000-00002C630000}"/>
    <cellStyle name="Normal 46 2 7 2" xfId="25385" xr:uid="{00000000-0005-0000-0000-00002D630000}"/>
    <cellStyle name="Normal 46 2 7 3" xfId="25386" xr:uid="{00000000-0005-0000-0000-00002E630000}"/>
    <cellStyle name="Normal 46 2 7 4" xfId="25387" xr:uid="{00000000-0005-0000-0000-00002F630000}"/>
    <cellStyle name="Normal 46 2 7 5" xfId="25388" xr:uid="{00000000-0005-0000-0000-000030630000}"/>
    <cellStyle name="Normal 46 2 7 6" xfId="25389" xr:uid="{00000000-0005-0000-0000-000031630000}"/>
    <cellStyle name="Normal 46 2 8" xfId="25390" xr:uid="{00000000-0005-0000-0000-000032630000}"/>
    <cellStyle name="Normal 46 2 8 2" xfId="25391" xr:uid="{00000000-0005-0000-0000-000033630000}"/>
    <cellStyle name="Normal 46 2 8 3" xfId="25392" xr:uid="{00000000-0005-0000-0000-000034630000}"/>
    <cellStyle name="Normal 46 2 8 4" xfId="25393" xr:uid="{00000000-0005-0000-0000-000035630000}"/>
    <cellStyle name="Normal 46 2 8 5" xfId="25394" xr:uid="{00000000-0005-0000-0000-000036630000}"/>
    <cellStyle name="Normal 46 2 8 6" xfId="25395" xr:uid="{00000000-0005-0000-0000-000037630000}"/>
    <cellStyle name="Normal 46 2 9" xfId="25396" xr:uid="{00000000-0005-0000-0000-000038630000}"/>
    <cellStyle name="Normal 46 2 9 2" xfId="25397" xr:uid="{00000000-0005-0000-0000-000039630000}"/>
    <cellStyle name="Normal 46 2 9 3" xfId="25398" xr:uid="{00000000-0005-0000-0000-00003A630000}"/>
    <cellStyle name="Normal 46 2 9 4" xfId="25399" xr:uid="{00000000-0005-0000-0000-00003B630000}"/>
    <cellStyle name="Normal 46 2 9 5" xfId="25400" xr:uid="{00000000-0005-0000-0000-00003C630000}"/>
    <cellStyle name="Normal 46 2 9 6" xfId="25401" xr:uid="{00000000-0005-0000-0000-00003D630000}"/>
    <cellStyle name="Normal 46 3" xfId="25402" xr:uid="{00000000-0005-0000-0000-00003E630000}"/>
    <cellStyle name="Normal 46 3 2" xfId="25403" xr:uid="{00000000-0005-0000-0000-00003F630000}"/>
    <cellStyle name="Normal 46 3 3" xfId="25404" xr:uid="{00000000-0005-0000-0000-000040630000}"/>
    <cellStyle name="Normal 46 3 4" xfId="25405" xr:uid="{00000000-0005-0000-0000-000041630000}"/>
    <cellStyle name="Normal 46 3 5" xfId="25406" xr:uid="{00000000-0005-0000-0000-000042630000}"/>
    <cellStyle name="Normal 46 3 6" xfId="25407" xr:uid="{00000000-0005-0000-0000-000043630000}"/>
    <cellStyle name="Normal 46 4" xfId="25408" xr:uid="{00000000-0005-0000-0000-000044630000}"/>
    <cellStyle name="Normal 46 4 2" xfId="25409" xr:uid="{00000000-0005-0000-0000-000045630000}"/>
    <cellStyle name="Normal 46 4 3" xfId="25410" xr:uid="{00000000-0005-0000-0000-000046630000}"/>
    <cellStyle name="Normal 46 4 4" xfId="25411" xr:uid="{00000000-0005-0000-0000-000047630000}"/>
    <cellStyle name="Normal 46 4 5" xfId="25412" xr:uid="{00000000-0005-0000-0000-000048630000}"/>
    <cellStyle name="Normal 46 4 6" xfId="25413" xr:uid="{00000000-0005-0000-0000-000049630000}"/>
    <cellStyle name="Normal 46 5" xfId="25414" xr:uid="{00000000-0005-0000-0000-00004A630000}"/>
    <cellStyle name="Normal 46 5 2" xfId="25415" xr:uid="{00000000-0005-0000-0000-00004B630000}"/>
    <cellStyle name="Normal 46 5 3" xfId="25416" xr:uid="{00000000-0005-0000-0000-00004C630000}"/>
    <cellStyle name="Normal 46 5 4" xfId="25417" xr:uid="{00000000-0005-0000-0000-00004D630000}"/>
    <cellStyle name="Normal 46 5 5" xfId="25418" xr:uid="{00000000-0005-0000-0000-00004E630000}"/>
    <cellStyle name="Normal 46 5 6" xfId="25419" xr:uid="{00000000-0005-0000-0000-00004F630000}"/>
    <cellStyle name="Normal 46 6" xfId="25420" xr:uid="{00000000-0005-0000-0000-000050630000}"/>
    <cellStyle name="Normal 46 6 2" xfId="25421" xr:uid="{00000000-0005-0000-0000-000051630000}"/>
    <cellStyle name="Normal 46 6 3" xfId="25422" xr:uid="{00000000-0005-0000-0000-000052630000}"/>
    <cellStyle name="Normal 46 6 4" xfId="25423" xr:uid="{00000000-0005-0000-0000-000053630000}"/>
    <cellStyle name="Normal 46 6 5" xfId="25424" xr:uid="{00000000-0005-0000-0000-000054630000}"/>
    <cellStyle name="Normal 46 6 6" xfId="25425" xr:uid="{00000000-0005-0000-0000-000055630000}"/>
    <cellStyle name="Normal 46 7" xfId="25426" xr:uid="{00000000-0005-0000-0000-000056630000}"/>
    <cellStyle name="Normal 46 7 2" xfId="25427" xr:uid="{00000000-0005-0000-0000-000057630000}"/>
    <cellStyle name="Normal 46 7 3" xfId="25428" xr:uid="{00000000-0005-0000-0000-000058630000}"/>
    <cellStyle name="Normal 46 7 4" xfId="25429" xr:uid="{00000000-0005-0000-0000-000059630000}"/>
    <cellStyle name="Normal 46 7 5" xfId="25430" xr:uid="{00000000-0005-0000-0000-00005A630000}"/>
    <cellStyle name="Normal 46 7 6" xfId="25431" xr:uid="{00000000-0005-0000-0000-00005B630000}"/>
    <cellStyle name="Normal 46 8" xfId="25432" xr:uid="{00000000-0005-0000-0000-00005C630000}"/>
    <cellStyle name="Normal 46 8 2" xfId="25433" xr:uid="{00000000-0005-0000-0000-00005D630000}"/>
    <cellStyle name="Normal 46 8 3" xfId="25434" xr:uid="{00000000-0005-0000-0000-00005E630000}"/>
    <cellStyle name="Normal 46 8 4" xfId="25435" xr:uid="{00000000-0005-0000-0000-00005F630000}"/>
    <cellStyle name="Normal 46 8 5" xfId="25436" xr:uid="{00000000-0005-0000-0000-000060630000}"/>
    <cellStyle name="Normal 46 8 6" xfId="25437" xr:uid="{00000000-0005-0000-0000-000061630000}"/>
    <cellStyle name="Normal 46 9" xfId="25438" xr:uid="{00000000-0005-0000-0000-000062630000}"/>
    <cellStyle name="Normal 46 9 2" xfId="25439" xr:uid="{00000000-0005-0000-0000-000063630000}"/>
    <cellStyle name="Normal 46 9 3" xfId="25440" xr:uid="{00000000-0005-0000-0000-000064630000}"/>
    <cellStyle name="Normal 46 9 4" xfId="25441" xr:uid="{00000000-0005-0000-0000-000065630000}"/>
    <cellStyle name="Normal 46 9 5" xfId="25442" xr:uid="{00000000-0005-0000-0000-000066630000}"/>
    <cellStyle name="Normal 46 9 6" xfId="25443" xr:uid="{00000000-0005-0000-0000-000067630000}"/>
    <cellStyle name="Normal 47" xfId="25444" xr:uid="{00000000-0005-0000-0000-000068630000}"/>
    <cellStyle name="Normal 47 10" xfId="25445" xr:uid="{00000000-0005-0000-0000-000069630000}"/>
    <cellStyle name="Normal 47 10 10" xfId="25446" xr:uid="{00000000-0005-0000-0000-00006A630000}"/>
    <cellStyle name="Normal 47 10 11" xfId="25447" xr:uid="{00000000-0005-0000-0000-00006B630000}"/>
    <cellStyle name="Normal 47 10 12" xfId="25448" xr:uid="{00000000-0005-0000-0000-00006C630000}"/>
    <cellStyle name="Normal 47 10 13" xfId="25449" xr:uid="{00000000-0005-0000-0000-00006D630000}"/>
    <cellStyle name="Normal 47 10 14" xfId="25450" xr:uid="{00000000-0005-0000-0000-00006E630000}"/>
    <cellStyle name="Normal 47 10 2" xfId="25451" xr:uid="{00000000-0005-0000-0000-00006F630000}"/>
    <cellStyle name="Normal 47 10 2 2" xfId="25452" xr:uid="{00000000-0005-0000-0000-000070630000}"/>
    <cellStyle name="Normal 47 10 2 3" xfId="25453" xr:uid="{00000000-0005-0000-0000-000071630000}"/>
    <cellStyle name="Normal 47 10 2 4" xfId="25454" xr:uid="{00000000-0005-0000-0000-000072630000}"/>
    <cellStyle name="Normal 47 10 2 5" xfId="25455" xr:uid="{00000000-0005-0000-0000-000073630000}"/>
    <cellStyle name="Normal 47 10 2 6" xfId="25456" xr:uid="{00000000-0005-0000-0000-000074630000}"/>
    <cellStyle name="Normal 47 10 3" xfId="25457" xr:uid="{00000000-0005-0000-0000-000075630000}"/>
    <cellStyle name="Normal 47 10 3 2" xfId="25458" xr:uid="{00000000-0005-0000-0000-000076630000}"/>
    <cellStyle name="Normal 47 10 3 3" xfId="25459" xr:uid="{00000000-0005-0000-0000-000077630000}"/>
    <cellStyle name="Normal 47 10 3 4" xfId="25460" xr:uid="{00000000-0005-0000-0000-000078630000}"/>
    <cellStyle name="Normal 47 10 3 5" xfId="25461" xr:uid="{00000000-0005-0000-0000-000079630000}"/>
    <cellStyle name="Normal 47 10 3 6" xfId="25462" xr:uid="{00000000-0005-0000-0000-00007A630000}"/>
    <cellStyle name="Normal 47 10 4" xfId="25463" xr:uid="{00000000-0005-0000-0000-00007B630000}"/>
    <cellStyle name="Normal 47 10 4 2" xfId="25464" xr:uid="{00000000-0005-0000-0000-00007C630000}"/>
    <cellStyle name="Normal 47 10 4 3" xfId="25465" xr:uid="{00000000-0005-0000-0000-00007D630000}"/>
    <cellStyle name="Normal 47 10 4 4" xfId="25466" xr:uid="{00000000-0005-0000-0000-00007E630000}"/>
    <cellStyle name="Normal 47 10 4 5" xfId="25467" xr:uid="{00000000-0005-0000-0000-00007F630000}"/>
    <cellStyle name="Normal 47 10 4 6" xfId="25468" xr:uid="{00000000-0005-0000-0000-000080630000}"/>
    <cellStyle name="Normal 47 10 5" xfId="25469" xr:uid="{00000000-0005-0000-0000-000081630000}"/>
    <cellStyle name="Normal 47 10 5 2" xfId="25470" xr:uid="{00000000-0005-0000-0000-000082630000}"/>
    <cellStyle name="Normal 47 10 5 3" xfId="25471" xr:uid="{00000000-0005-0000-0000-000083630000}"/>
    <cellStyle name="Normal 47 10 5 4" xfId="25472" xr:uid="{00000000-0005-0000-0000-000084630000}"/>
    <cellStyle name="Normal 47 10 5 5" xfId="25473" xr:uid="{00000000-0005-0000-0000-000085630000}"/>
    <cellStyle name="Normal 47 10 5 6" xfId="25474" xr:uid="{00000000-0005-0000-0000-000086630000}"/>
    <cellStyle name="Normal 47 10 6" xfId="25475" xr:uid="{00000000-0005-0000-0000-000087630000}"/>
    <cellStyle name="Normal 47 10 6 2" xfId="25476" xr:uid="{00000000-0005-0000-0000-000088630000}"/>
    <cellStyle name="Normal 47 10 6 3" xfId="25477" xr:uid="{00000000-0005-0000-0000-000089630000}"/>
    <cellStyle name="Normal 47 10 6 4" xfId="25478" xr:uid="{00000000-0005-0000-0000-00008A630000}"/>
    <cellStyle name="Normal 47 10 6 5" xfId="25479" xr:uid="{00000000-0005-0000-0000-00008B630000}"/>
    <cellStyle name="Normal 47 10 6 6" xfId="25480" xr:uid="{00000000-0005-0000-0000-00008C630000}"/>
    <cellStyle name="Normal 47 10 7" xfId="25481" xr:uid="{00000000-0005-0000-0000-00008D630000}"/>
    <cellStyle name="Normal 47 10 7 2" xfId="25482" xr:uid="{00000000-0005-0000-0000-00008E630000}"/>
    <cellStyle name="Normal 47 10 7 3" xfId="25483" xr:uid="{00000000-0005-0000-0000-00008F630000}"/>
    <cellStyle name="Normal 47 10 7 4" xfId="25484" xr:uid="{00000000-0005-0000-0000-000090630000}"/>
    <cellStyle name="Normal 47 10 7 5" xfId="25485" xr:uid="{00000000-0005-0000-0000-000091630000}"/>
    <cellStyle name="Normal 47 10 7 6" xfId="25486" xr:uid="{00000000-0005-0000-0000-000092630000}"/>
    <cellStyle name="Normal 47 10 8" xfId="25487" xr:uid="{00000000-0005-0000-0000-000093630000}"/>
    <cellStyle name="Normal 47 10 8 2" xfId="25488" xr:uid="{00000000-0005-0000-0000-000094630000}"/>
    <cellStyle name="Normal 47 10 8 3" xfId="25489" xr:uid="{00000000-0005-0000-0000-000095630000}"/>
    <cellStyle name="Normal 47 10 8 4" xfId="25490" xr:uid="{00000000-0005-0000-0000-000096630000}"/>
    <cellStyle name="Normal 47 10 8 5" xfId="25491" xr:uid="{00000000-0005-0000-0000-000097630000}"/>
    <cellStyle name="Normal 47 10 8 6" xfId="25492" xr:uid="{00000000-0005-0000-0000-000098630000}"/>
    <cellStyle name="Normal 47 10 9" xfId="25493" xr:uid="{00000000-0005-0000-0000-000099630000}"/>
    <cellStyle name="Normal 47 10 9 2" xfId="25494" xr:uid="{00000000-0005-0000-0000-00009A630000}"/>
    <cellStyle name="Normal 47 10 9 3" xfId="25495" xr:uid="{00000000-0005-0000-0000-00009B630000}"/>
    <cellStyle name="Normal 47 10 9 4" xfId="25496" xr:uid="{00000000-0005-0000-0000-00009C630000}"/>
    <cellStyle name="Normal 47 10 9 5" xfId="25497" xr:uid="{00000000-0005-0000-0000-00009D630000}"/>
    <cellStyle name="Normal 47 10 9 6" xfId="25498" xr:uid="{00000000-0005-0000-0000-00009E630000}"/>
    <cellStyle name="Normal 47 11" xfId="25499" xr:uid="{00000000-0005-0000-0000-00009F630000}"/>
    <cellStyle name="Normal 47 11 10" xfId="25500" xr:uid="{00000000-0005-0000-0000-0000A0630000}"/>
    <cellStyle name="Normal 47 11 11" xfId="25501" xr:uid="{00000000-0005-0000-0000-0000A1630000}"/>
    <cellStyle name="Normal 47 11 12" xfId="25502" xr:uid="{00000000-0005-0000-0000-0000A2630000}"/>
    <cellStyle name="Normal 47 11 13" xfId="25503" xr:uid="{00000000-0005-0000-0000-0000A3630000}"/>
    <cellStyle name="Normal 47 11 14" xfId="25504" xr:uid="{00000000-0005-0000-0000-0000A4630000}"/>
    <cellStyle name="Normal 47 11 2" xfId="25505" xr:uid="{00000000-0005-0000-0000-0000A5630000}"/>
    <cellStyle name="Normal 47 11 2 2" xfId="25506" xr:uid="{00000000-0005-0000-0000-0000A6630000}"/>
    <cellStyle name="Normal 47 11 2 3" xfId="25507" xr:uid="{00000000-0005-0000-0000-0000A7630000}"/>
    <cellStyle name="Normal 47 11 2 4" xfId="25508" xr:uid="{00000000-0005-0000-0000-0000A8630000}"/>
    <cellStyle name="Normal 47 11 2 5" xfId="25509" xr:uid="{00000000-0005-0000-0000-0000A9630000}"/>
    <cellStyle name="Normal 47 11 2 6" xfId="25510" xr:uid="{00000000-0005-0000-0000-0000AA630000}"/>
    <cellStyle name="Normal 47 11 3" xfId="25511" xr:uid="{00000000-0005-0000-0000-0000AB630000}"/>
    <cellStyle name="Normal 47 11 3 2" xfId="25512" xr:uid="{00000000-0005-0000-0000-0000AC630000}"/>
    <cellStyle name="Normal 47 11 3 3" xfId="25513" xr:uid="{00000000-0005-0000-0000-0000AD630000}"/>
    <cellStyle name="Normal 47 11 3 4" xfId="25514" xr:uid="{00000000-0005-0000-0000-0000AE630000}"/>
    <cellStyle name="Normal 47 11 3 5" xfId="25515" xr:uid="{00000000-0005-0000-0000-0000AF630000}"/>
    <cellStyle name="Normal 47 11 3 6" xfId="25516" xr:uid="{00000000-0005-0000-0000-0000B0630000}"/>
    <cellStyle name="Normal 47 11 4" xfId="25517" xr:uid="{00000000-0005-0000-0000-0000B1630000}"/>
    <cellStyle name="Normal 47 11 4 2" xfId="25518" xr:uid="{00000000-0005-0000-0000-0000B2630000}"/>
    <cellStyle name="Normal 47 11 4 3" xfId="25519" xr:uid="{00000000-0005-0000-0000-0000B3630000}"/>
    <cellStyle name="Normal 47 11 4 4" xfId="25520" xr:uid="{00000000-0005-0000-0000-0000B4630000}"/>
    <cellStyle name="Normal 47 11 4 5" xfId="25521" xr:uid="{00000000-0005-0000-0000-0000B5630000}"/>
    <cellStyle name="Normal 47 11 4 6" xfId="25522" xr:uid="{00000000-0005-0000-0000-0000B6630000}"/>
    <cellStyle name="Normal 47 11 5" xfId="25523" xr:uid="{00000000-0005-0000-0000-0000B7630000}"/>
    <cellStyle name="Normal 47 11 5 2" xfId="25524" xr:uid="{00000000-0005-0000-0000-0000B8630000}"/>
    <cellStyle name="Normal 47 11 5 3" xfId="25525" xr:uid="{00000000-0005-0000-0000-0000B9630000}"/>
    <cellStyle name="Normal 47 11 5 4" xfId="25526" xr:uid="{00000000-0005-0000-0000-0000BA630000}"/>
    <cellStyle name="Normal 47 11 5 5" xfId="25527" xr:uid="{00000000-0005-0000-0000-0000BB630000}"/>
    <cellStyle name="Normal 47 11 5 6" xfId="25528" xr:uid="{00000000-0005-0000-0000-0000BC630000}"/>
    <cellStyle name="Normal 47 11 6" xfId="25529" xr:uid="{00000000-0005-0000-0000-0000BD630000}"/>
    <cellStyle name="Normal 47 11 6 2" xfId="25530" xr:uid="{00000000-0005-0000-0000-0000BE630000}"/>
    <cellStyle name="Normal 47 11 6 3" xfId="25531" xr:uid="{00000000-0005-0000-0000-0000BF630000}"/>
    <cellStyle name="Normal 47 11 6 4" xfId="25532" xr:uid="{00000000-0005-0000-0000-0000C0630000}"/>
    <cellStyle name="Normal 47 11 6 5" xfId="25533" xr:uid="{00000000-0005-0000-0000-0000C1630000}"/>
    <cellStyle name="Normal 47 11 6 6" xfId="25534" xr:uid="{00000000-0005-0000-0000-0000C2630000}"/>
    <cellStyle name="Normal 47 11 7" xfId="25535" xr:uid="{00000000-0005-0000-0000-0000C3630000}"/>
    <cellStyle name="Normal 47 11 7 2" xfId="25536" xr:uid="{00000000-0005-0000-0000-0000C4630000}"/>
    <cellStyle name="Normal 47 11 7 3" xfId="25537" xr:uid="{00000000-0005-0000-0000-0000C5630000}"/>
    <cellStyle name="Normal 47 11 7 4" xfId="25538" xr:uid="{00000000-0005-0000-0000-0000C6630000}"/>
    <cellStyle name="Normal 47 11 7 5" xfId="25539" xr:uid="{00000000-0005-0000-0000-0000C7630000}"/>
    <cellStyle name="Normal 47 11 7 6" xfId="25540" xr:uid="{00000000-0005-0000-0000-0000C8630000}"/>
    <cellStyle name="Normal 47 11 8" xfId="25541" xr:uid="{00000000-0005-0000-0000-0000C9630000}"/>
    <cellStyle name="Normal 47 11 8 2" xfId="25542" xr:uid="{00000000-0005-0000-0000-0000CA630000}"/>
    <cellStyle name="Normal 47 11 8 3" xfId="25543" xr:uid="{00000000-0005-0000-0000-0000CB630000}"/>
    <cellStyle name="Normal 47 11 8 4" xfId="25544" xr:uid="{00000000-0005-0000-0000-0000CC630000}"/>
    <cellStyle name="Normal 47 11 8 5" xfId="25545" xr:uid="{00000000-0005-0000-0000-0000CD630000}"/>
    <cellStyle name="Normal 47 11 8 6" xfId="25546" xr:uid="{00000000-0005-0000-0000-0000CE630000}"/>
    <cellStyle name="Normal 47 11 9" xfId="25547" xr:uid="{00000000-0005-0000-0000-0000CF630000}"/>
    <cellStyle name="Normal 47 11 9 2" xfId="25548" xr:uid="{00000000-0005-0000-0000-0000D0630000}"/>
    <cellStyle name="Normal 47 11 9 3" xfId="25549" xr:uid="{00000000-0005-0000-0000-0000D1630000}"/>
    <cellStyle name="Normal 47 11 9 4" xfId="25550" xr:uid="{00000000-0005-0000-0000-0000D2630000}"/>
    <cellStyle name="Normal 47 11 9 5" xfId="25551" xr:uid="{00000000-0005-0000-0000-0000D3630000}"/>
    <cellStyle name="Normal 47 11 9 6" xfId="25552" xr:uid="{00000000-0005-0000-0000-0000D4630000}"/>
    <cellStyle name="Normal 47 12" xfId="25553" xr:uid="{00000000-0005-0000-0000-0000D5630000}"/>
    <cellStyle name="Normal 47 12 10" xfId="25554" xr:uid="{00000000-0005-0000-0000-0000D6630000}"/>
    <cellStyle name="Normal 47 12 11" xfId="25555" xr:uid="{00000000-0005-0000-0000-0000D7630000}"/>
    <cellStyle name="Normal 47 12 12" xfId="25556" xr:uid="{00000000-0005-0000-0000-0000D8630000}"/>
    <cellStyle name="Normal 47 12 13" xfId="25557" xr:uid="{00000000-0005-0000-0000-0000D9630000}"/>
    <cellStyle name="Normal 47 12 14" xfId="25558" xr:uid="{00000000-0005-0000-0000-0000DA630000}"/>
    <cellStyle name="Normal 47 12 2" xfId="25559" xr:uid="{00000000-0005-0000-0000-0000DB630000}"/>
    <cellStyle name="Normal 47 12 2 2" xfId="25560" xr:uid="{00000000-0005-0000-0000-0000DC630000}"/>
    <cellStyle name="Normal 47 12 2 3" xfId="25561" xr:uid="{00000000-0005-0000-0000-0000DD630000}"/>
    <cellStyle name="Normal 47 12 2 4" xfId="25562" xr:uid="{00000000-0005-0000-0000-0000DE630000}"/>
    <cellStyle name="Normal 47 12 2 5" xfId="25563" xr:uid="{00000000-0005-0000-0000-0000DF630000}"/>
    <cellStyle name="Normal 47 12 2 6" xfId="25564" xr:uid="{00000000-0005-0000-0000-0000E0630000}"/>
    <cellStyle name="Normal 47 12 3" xfId="25565" xr:uid="{00000000-0005-0000-0000-0000E1630000}"/>
    <cellStyle name="Normal 47 12 3 2" xfId="25566" xr:uid="{00000000-0005-0000-0000-0000E2630000}"/>
    <cellStyle name="Normal 47 12 3 3" xfId="25567" xr:uid="{00000000-0005-0000-0000-0000E3630000}"/>
    <cellStyle name="Normal 47 12 3 4" xfId="25568" xr:uid="{00000000-0005-0000-0000-0000E4630000}"/>
    <cellStyle name="Normal 47 12 3 5" xfId="25569" xr:uid="{00000000-0005-0000-0000-0000E5630000}"/>
    <cellStyle name="Normal 47 12 3 6" xfId="25570" xr:uid="{00000000-0005-0000-0000-0000E6630000}"/>
    <cellStyle name="Normal 47 12 4" xfId="25571" xr:uid="{00000000-0005-0000-0000-0000E7630000}"/>
    <cellStyle name="Normal 47 12 4 2" xfId="25572" xr:uid="{00000000-0005-0000-0000-0000E8630000}"/>
    <cellStyle name="Normal 47 12 4 3" xfId="25573" xr:uid="{00000000-0005-0000-0000-0000E9630000}"/>
    <cellStyle name="Normal 47 12 4 4" xfId="25574" xr:uid="{00000000-0005-0000-0000-0000EA630000}"/>
    <cellStyle name="Normal 47 12 4 5" xfId="25575" xr:uid="{00000000-0005-0000-0000-0000EB630000}"/>
    <cellStyle name="Normal 47 12 4 6" xfId="25576" xr:uid="{00000000-0005-0000-0000-0000EC630000}"/>
    <cellStyle name="Normal 47 12 5" xfId="25577" xr:uid="{00000000-0005-0000-0000-0000ED630000}"/>
    <cellStyle name="Normal 47 12 5 2" xfId="25578" xr:uid="{00000000-0005-0000-0000-0000EE630000}"/>
    <cellStyle name="Normal 47 12 5 3" xfId="25579" xr:uid="{00000000-0005-0000-0000-0000EF630000}"/>
    <cellStyle name="Normal 47 12 5 4" xfId="25580" xr:uid="{00000000-0005-0000-0000-0000F0630000}"/>
    <cellStyle name="Normal 47 12 5 5" xfId="25581" xr:uid="{00000000-0005-0000-0000-0000F1630000}"/>
    <cellStyle name="Normal 47 12 5 6" xfId="25582" xr:uid="{00000000-0005-0000-0000-0000F2630000}"/>
    <cellStyle name="Normal 47 12 6" xfId="25583" xr:uid="{00000000-0005-0000-0000-0000F3630000}"/>
    <cellStyle name="Normal 47 12 6 2" xfId="25584" xr:uid="{00000000-0005-0000-0000-0000F4630000}"/>
    <cellStyle name="Normal 47 12 6 3" xfId="25585" xr:uid="{00000000-0005-0000-0000-0000F5630000}"/>
    <cellStyle name="Normal 47 12 6 4" xfId="25586" xr:uid="{00000000-0005-0000-0000-0000F6630000}"/>
    <cellStyle name="Normal 47 12 6 5" xfId="25587" xr:uid="{00000000-0005-0000-0000-0000F7630000}"/>
    <cellStyle name="Normal 47 12 6 6" xfId="25588" xr:uid="{00000000-0005-0000-0000-0000F8630000}"/>
    <cellStyle name="Normal 47 12 7" xfId="25589" xr:uid="{00000000-0005-0000-0000-0000F9630000}"/>
    <cellStyle name="Normal 47 12 7 2" xfId="25590" xr:uid="{00000000-0005-0000-0000-0000FA630000}"/>
    <cellStyle name="Normal 47 12 7 3" xfId="25591" xr:uid="{00000000-0005-0000-0000-0000FB630000}"/>
    <cellStyle name="Normal 47 12 7 4" xfId="25592" xr:uid="{00000000-0005-0000-0000-0000FC630000}"/>
    <cellStyle name="Normal 47 12 7 5" xfId="25593" xr:uid="{00000000-0005-0000-0000-0000FD630000}"/>
    <cellStyle name="Normal 47 12 7 6" xfId="25594" xr:uid="{00000000-0005-0000-0000-0000FE630000}"/>
    <cellStyle name="Normal 47 12 8" xfId="25595" xr:uid="{00000000-0005-0000-0000-0000FF630000}"/>
    <cellStyle name="Normal 47 12 8 2" xfId="25596" xr:uid="{00000000-0005-0000-0000-000000640000}"/>
    <cellStyle name="Normal 47 12 8 3" xfId="25597" xr:uid="{00000000-0005-0000-0000-000001640000}"/>
    <cellStyle name="Normal 47 12 8 4" xfId="25598" xr:uid="{00000000-0005-0000-0000-000002640000}"/>
    <cellStyle name="Normal 47 12 8 5" xfId="25599" xr:uid="{00000000-0005-0000-0000-000003640000}"/>
    <cellStyle name="Normal 47 12 8 6" xfId="25600" xr:uid="{00000000-0005-0000-0000-000004640000}"/>
    <cellStyle name="Normal 47 12 9" xfId="25601" xr:uid="{00000000-0005-0000-0000-000005640000}"/>
    <cellStyle name="Normal 47 12 9 2" xfId="25602" xr:uid="{00000000-0005-0000-0000-000006640000}"/>
    <cellStyle name="Normal 47 12 9 3" xfId="25603" xr:uid="{00000000-0005-0000-0000-000007640000}"/>
    <cellStyle name="Normal 47 12 9 4" xfId="25604" xr:uid="{00000000-0005-0000-0000-000008640000}"/>
    <cellStyle name="Normal 47 12 9 5" xfId="25605" xr:uid="{00000000-0005-0000-0000-000009640000}"/>
    <cellStyle name="Normal 47 12 9 6" xfId="25606" xr:uid="{00000000-0005-0000-0000-00000A640000}"/>
    <cellStyle name="Normal 47 13" xfId="25607" xr:uid="{00000000-0005-0000-0000-00000B640000}"/>
    <cellStyle name="Normal 47 13 10" xfId="25608" xr:uid="{00000000-0005-0000-0000-00000C640000}"/>
    <cellStyle name="Normal 47 13 11" xfId="25609" xr:uid="{00000000-0005-0000-0000-00000D640000}"/>
    <cellStyle name="Normal 47 13 12" xfId="25610" xr:uid="{00000000-0005-0000-0000-00000E640000}"/>
    <cellStyle name="Normal 47 13 13" xfId="25611" xr:uid="{00000000-0005-0000-0000-00000F640000}"/>
    <cellStyle name="Normal 47 13 14" xfId="25612" xr:uid="{00000000-0005-0000-0000-000010640000}"/>
    <cellStyle name="Normal 47 13 2" xfId="25613" xr:uid="{00000000-0005-0000-0000-000011640000}"/>
    <cellStyle name="Normal 47 13 2 2" xfId="25614" xr:uid="{00000000-0005-0000-0000-000012640000}"/>
    <cellStyle name="Normal 47 13 2 3" xfId="25615" xr:uid="{00000000-0005-0000-0000-000013640000}"/>
    <cellStyle name="Normal 47 13 2 4" xfId="25616" xr:uid="{00000000-0005-0000-0000-000014640000}"/>
    <cellStyle name="Normal 47 13 2 5" xfId="25617" xr:uid="{00000000-0005-0000-0000-000015640000}"/>
    <cellStyle name="Normal 47 13 2 6" xfId="25618" xr:uid="{00000000-0005-0000-0000-000016640000}"/>
    <cellStyle name="Normal 47 13 3" xfId="25619" xr:uid="{00000000-0005-0000-0000-000017640000}"/>
    <cellStyle name="Normal 47 13 3 2" xfId="25620" xr:uid="{00000000-0005-0000-0000-000018640000}"/>
    <cellStyle name="Normal 47 13 3 3" xfId="25621" xr:uid="{00000000-0005-0000-0000-000019640000}"/>
    <cellStyle name="Normal 47 13 3 4" xfId="25622" xr:uid="{00000000-0005-0000-0000-00001A640000}"/>
    <cellStyle name="Normal 47 13 3 5" xfId="25623" xr:uid="{00000000-0005-0000-0000-00001B640000}"/>
    <cellStyle name="Normal 47 13 3 6" xfId="25624" xr:uid="{00000000-0005-0000-0000-00001C640000}"/>
    <cellStyle name="Normal 47 13 4" xfId="25625" xr:uid="{00000000-0005-0000-0000-00001D640000}"/>
    <cellStyle name="Normal 47 13 4 2" xfId="25626" xr:uid="{00000000-0005-0000-0000-00001E640000}"/>
    <cellStyle name="Normal 47 13 4 3" xfId="25627" xr:uid="{00000000-0005-0000-0000-00001F640000}"/>
    <cellStyle name="Normal 47 13 4 4" xfId="25628" xr:uid="{00000000-0005-0000-0000-000020640000}"/>
    <cellStyle name="Normal 47 13 4 5" xfId="25629" xr:uid="{00000000-0005-0000-0000-000021640000}"/>
    <cellStyle name="Normal 47 13 4 6" xfId="25630" xr:uid="{00000000-0005-0000-0000-000022640000}"/>
    <cellStyle name="Normal 47 13 5" xfId="25631" xr:uid="{00000000-0005-0000-0000-000023640000}"/>
    <cellStyle name="Normal 47 13 5 2" xfId="25632" xr:uid="{00000000-0005-0000-0000-000024640000}"/>
    <cellStyle name="Normal 47 13 5 3" xfId="25633" xr:uid="{00000000-0005-0000-0000-000025640000}"/>
    <cellStyle name="Normal 47 13 5 4" xfId="25634" xr:uid="{00000000-0005-0000-0000-000026640000}"/>
    <cellStyle name="Normal 47 13 5 5" xfId="25635" xr:uid="{00000000-0005-0000-0000-000027640000}"/>
    <cellStyle name="Normal 47 13 5 6" xfId="25636" xr:uid="{00000000-0005-0000-0000-000028640000}"/>
    <cellStyle name="Normal 47 13 6" xfId="25637" xr:uid="{00000000-0005-0000-0000-000029640000}"/>
    <cellStyle name="Normal 47 13 6 2" xfId="25638" xr:uid="{00000000-0005-0000-0000-00002A640000}"/>
    <cellStyle name="Normal 47 13 6 3" xfId="25639" xr:uid="{00000000-0005-0000-0000-00002B640000}"/>
    <cellStyle name="Normal 47 13 6 4" xfId="25640" xr:uid="{00000000-0005-0000-0000-00002C640000}"/>
    <cellStyle name="Normal 47 13 6 5" xfId="25641" xr:uid="{00000000-0005-0000-0000-00002D640000}"/>
    <cellStyle name="Normal 47 13 6 6" xfId="25642" xr:uid="{00000000-0005-0000-0000-00002E640000}"/>
    <cellStyle name="Normal 47 13 7" xfId="25643" xr:uid="{00000000-0005-0000-0000-00002F640000}"/>
    <cellStyle name="Normal 47 13 7 2" xfId="25644" xr:uid="{00000000-0005-0000-0000-000030640000}"/>
    <cellStyle name="Normal 47 13 7 3" xfId="25645" xr:uid="{00000000-0005-0000-0000-000031640000}"/>
    <cellStyle name="Normal 47 13 7 4" xfId="25646" xr:uid="{00000000-0005-0000-0000-000032640000}"/>
    <cellStyle name="Normal 47 13 7 5" xfId="25647" xr:uid="{00000000-0005-0000-0000-000033640000}"/>
    <cellStyle name="Normal 47 13 7 6" xfId="25648" xr:uid="{00000000-0005-0000-0000-000034640000}"/>
    <cellStyle name="Normal 47 13 8" xfId="25649" xr:uid="{00000000-0005-0000-0000-000035640000}"/>
    <cellStyle name="Normal 47 13 8 2" xfId="25650" xr:uid="{00000000-0005-0000-0000-000036640000}"/>
    <cellStyle name="Normal 47 13 8 3" xfId="25651" xr:uid="{00000000-0005-0000-0000-000037640000}"/>
    <cellStyle name="Normal 47 13 8 4" xfId="25652" xr:uid="{00000000-0005-0000-0000-000038640000}"/>
    <cellStyle name="Normal 47 13 8 5" xfId="25653" xr:uid="{00000000-0005-0000-0000-000039640000}"/>
    <cellStyle name="Normal 47 13 8 6" xfId="25654" xr:uid="{00000000-0005-0000-0000-00003A640000}"/>
    <cellStyle name="Normal 47 13 9" xfId="25655" xr:uid="{00000000-0005-0000-0000-00003B640000}"/>
    <cellStyle name="Normal 47 13 9 2" xfId="25656" xr:uid="{00000000-0005-0000-0000-00003C640000}"/>
    <cellStyle name="Normal 47 13 9 3" xfId="25657" xr:uid="{00000000-0005-0000-0000-00003D640000}"/>
    <cellStyle name="Normal 47 13 9 4" xfId="25658" xr:uid="{00000000-0005-0000-0000-00003E640000}"/>
    <cellStyle name="Normal 47 13 9 5" xfId="25659" xr:uid="{00000000-0005-0000-0000-00003F640000}"/>
    <cellStyle name="Normal 47 13 9 6" xfId="25660" xr:uid="{00000000-0005-0000-0000-000040640000}"/>
    <cellStyle name="Normal 47 14" xfId="25661" xr:uid="{00000000-0005-0000-0000-000041640000}"/>
    <cellStyle name="Normal 47 14 10" xfId="25662" xr:uid="{00000000-0005-0000-0000-000042640000}"/>
    <cellStyle name="Normal 47 14 11" xfId="25663" xr:uid="{00000000-0005-0000-0000-000043640000}"/>
    <cellStyle name="Normal 47 14 12" xfId="25664" xr:uid="{00000000-0005-0000-0000-000044640000}"/>
    <cellStyle name="Normal 47 14 13" xfId="25665" xr:uid="{00000000-0005-0000-0000-000045640000}"/>
    <cellStyle name="Normal 47 14 14" xfId="25666" xr:uid="{00000000-0005-0000-0000-000046640000}"/>
    <cellStyle name="Normal 47 14 2" xfId="25667" xr:uid="{00000000-0005-0000-0000-000047640000}"/>
    <cellStyle name="Normal 47 14 2 2" xfId="25668" xr:uid="{00000000-0005-0000-0000-000048640000}"/>
    <cellStyle name="Normal 47 14 2 3" xfId="25669" xr:uid="{00000000-0005-0000-0000-000049640000}"/>
    <cellStyle name="Normal 47 14 2 4" xfId="25670" xr:uid="{00000000-0005-0000-0000-00004A640000}"/>
    <cellStyle name="Normal 47 14 2 5" xfId="25671" xr:uid="{00000000-0005-0000-0000-00004B640000}"/>
    <cellStyle name="Normal 47 14 2 6" xfId="25672" xr:uid="{00000000-0005-0000-0000-00004C640000}"/>
    <cellStyle name="Normal 47 14 3" xfId="25673" xr:uid="{00000000-0005-0000-0000-00004D640000}"/>
    <cellStyle name="Normal 47 14 3 2" xfId="25674" xr:uid="{00000000-0005-0000-0000-00004E640000}"/>
    <cellStyle name="Normal 47 14 3 3" xfId="25675" xr:uid="{00000000-0005-0000-0000-00004F640000}"/>
    <cellStyle name="Normal 47 14 3 4" xfId="25676" xr:uid="{00000000-0005-0000-0000-000050640000}"/>
    <cellStyle name="Normal 47 14 3 5" xfId="25677" xr:uid="{00000000-0005-0000-0000-000051640000}"/>
    <cellStyle name="Normal 47 14 3 6" xfId="25678" xr:uid="{00000000-0005-0000-0000-000052640000}"/>
    <cellStyle name="Normal 47 14 4" xfId="25679" xr:uid="{00000000-0005-0000-0000-000053640000}"/>
    <cellStyle name="Normal 47 14 4 2" xfId="25680" xr:uid="{00000000-0005-0000-0000-000054640000}"/>
    <cellStyle name="Normal 47 14 4 3" xfId="25681" xr:uid="{00000000-0005-0000-0000-000055640000}"/>
    <cellStyle name="Normal 47 14 4 4" xfId="25682" xr:uid="{00000000-0005-0000-0000-000056640000}"/>
    <cellStyle name="Normal 47 14 4 5" xfId="25683" xr:uid="{00000000-0005-0000-0000-000057640000}"/>
    <cellStyle name="Normal 47 14 4 6" xfId="25684" xr:uid="{00000000-0005-0000-0000-000058640000}"/>
    <cellStyle name="Normal 47 14 5" xfId="25685" xr:uid="{00000000-0005-0000-0000-000059640000}"/>
    <cellStyle name="Normal 47 14 5 2" xfId="25686" xr:uid="{00000000-0005-0000-0000-00005A640000}"/>
    <cellStyle name="Normal 47 14 5 3" xfId="25687" xr:uid="{00000000-0005-0000-0000-00005B640000}"/>
    <cellStyle name="Normal 47 14 5 4" xfId="25688" xr:uid="{00000000-0005-0000-0000-00005C640000}"/>
    <cellStyle name="Normal 47 14 5 5" xfId="25689" xr:uid="{00000000-0005-0000-0000-00005D640000}"/>
    <cellStyle name="Normal 47 14 5 6" xfId="25690" xr:uid="{00000000-0005-0000-0000-00005E640000}"/>
    <cellStyle name="Normal 47 14 6" xfId="25691" xr:uid="{00000000-0005-0000-0000-00005F640000}"/>
    <cellStyle name="Normal 47 14 6 2" xfId="25692" xr:uid="{00000000-0005-0000-0000-000060640000}"/>
    <cellStyle name="Normal 47 14 6 3" xfId="25693" xr:uid="{00000000-0005-0000-0000-000061640000}"/>
    <cellStyle name="Normal 47 14 6 4" xfId="25694" xr:uid="{00000000-0005-0000-0000-000062640000}"/>
    <cellStyle name="Normal 47 14 6 5" xfId="25695" xr:uid="{00000000-0005-0000-0000-000063640000}"/>
    <cellStyle name="Normal 47 14 6 6" xfId="25696" xr:uid="{00000000-0005-0000-0000-000064640000}"/>
    <cellStyle name="Normal 47 14 7" xfId="25697" xr:uid="{00000000-0005-0000-0000-000065640000}"/>
    <cellStyle name="Normal 47 14 7 2" xfId="25698" xr:uid="{00000000-0005-0000-0000-000066640000}"/>
    <cellStyle name="Normal 47 14 7 3" xfId="25699" xr:uid="{00000000-0005-0000-0000-000067640000}"/>
    <cellStyle name="Normal 47 14 7 4" xfId="25700" xr:uid="{00000000-0005-0000-0000-000068640000}"/>
    <cellStyle name="Normal 47 14 7 5" xfId="25701" xr:uid="{00000000-0005-0000-0000-000069640000}"/>
    <cellStyle name="Normal 47 14 7 6" xfId="25702" xr:uid="{00000000-0005-0000-0000-00006A640000}"/>
    <cellStyle name="Normal 47 14 8" xfId="25703" xr:uid="{00000000-0005-0000-0000-00006B640000}"/>
    <cellStyle name="Normal 47 14 8 2" xfId="25704" xr:uid="{00000000-0005-0000-0000-00006C640000}"/>
    <cellStyle name="Normal 47 14 8 3" xfId="25705" xr:uid="{00000000-0005-0000-0000-00006D640000}"/>
    <cellStyle name="Normal 47 14 8 4" xfId="25706" xr:uid="{00000000-0005-0000-0000-00006E640000}"/>
    <cellStyle name="Normal 47 14 8 5" xfId="25707" xr:uid="{00000000-0005-0000-0000-00006F640000}"/>
    <cellStyle name="Normal 47 14 8 6" xfId="25708" xr:uid="{00000000-0005-0000-0000-000070640000}"/>
    <cellStyle name="Normal 47 14 9" xfId="25709" xr:uid="{00000000-0005-0000-0000-000071640000}"/>
    <cellStyle name="Normal 47 14 9 2" xfId="25710" xr:uid="{00000000-0005-0000-0000-000072640000}"/>
    <cellStyle name="Normal 47 14 9 3" xfId="25711" xr:uid="{00000000-0005-0000-0000-000073640000}"/>
    <cellStyle name="Normal 47 14 9 4" xfId="25712" xr:uid="{00000000-0005-0000-0000-000074640000}"/>
    <cellStyle name="Normal 47 14 9 5" xfId="25713" xr:uid="{00000000-0005-0000-0000-000075640000}"/>
    <cellStyle name="Normal 47 14 9 6" xfId="25714" xr:uid="{00000000-0005-0000-0000-000076640000}"/>
    <cellStyle name="Normal 47 15" xfId="25715" xr:uid="{00000000-0005-0000-0000-000077640000}"/>
    <cellStyle name="Normal 47 15 10" xfId="25716" xr:uid="{00000000-0005-0000-0000-000078640000}"/>
    <cellStyle name="Normal 47 15 11" xfId="25717" xr:uid="{00000000-0005-0000-0000-000079640000}"/>
    <cellStyle name="Normal 47 15 12" xfId="25718" xr:uid="{00000000-0005-0000-0000-00007A640000}"/>
    <cellStyle name="Normal 47 15 13" xfId="25719" xr:uid="{00000000-0005-0000-0000-00007B640000}"/>
    <cellStyle name="Normal 47 15 14" xfId="25720" xr:uid="{00000000-0005-0000-0000-00007C640000}"/>
    <cellStyle name="Normal 47 15 2" xfId="25721" xr:uid="{00000000-0005-0000-0000-00007D640000}"/>
    <cellStyle name="Normal 47 15 2 2" xfId="25722" xr:uid="{00000000-0005-0000-0000-00007E640000}"/>
    <cellStyle name="Normal 47 15 2 3" xfId="25723" xr:uid="{00000000-0005-0000-0000-00007F640000}"/>
    <cellStyle name="Normal 47 15 2 4" xfId="25724" xr:uid="{00000000-0005-0000-0000-000080640000}"/>
    <cellStyle name="Normal 47 15 2 5" xfId="25725" xr:uid="{00000000-0005-0000-0000-000081640000}"/>
    <cellStyle name="Normal 47 15 2 6" xfId="25726" xr:uid="{00000000-0005-0000-0000-000082640000}"/>
    <cellStyle name="Normal 47 15 3" xfId="25727" xr:uid="{00000000-0005-0000-0000-000083640000}"/>
    <cellStyle name="Normal 47 15 3 2" xfId="25728" xr:uid="{00000000-0005-0000-0000-000084640000}"/>
    <cellStyle name="Normal 47 15 3 3" xfId="25729" xr:uid="{00000000-0005-0000-0000-000085640000}"/>
    <cellStyle name="Normal 47 15 3 4" xfId="25730" xr:uid="{00000000-0005-0000-0000-000086640000}"/>
    <cellStyle name="Normal 47 15 3 5" xfId="25731" xr:uid="{00000000-0005-0000-0000-000087640000}"/>
    <cellStyle name="Normal 47 15 3 6" xfId="25732" xr:uid="{00000000-0005-0000-0000-000088640000}"/>
    <cellStyle name="Normal 47 15 4" xfId="25733" xr:uid="{00000000-0005-0000-0000-000089640000}"/>
    <cellStyle name="Normal 47 15 4 2" xfId="25734" xr:uid="{00000000-0005-0000-0000-00008A640000}"/>
    <cellStyle name="Normal 47 15 4 3" xfId="25735" xr:uid="{00000000-0005-0000-0000-00008B640000}"/>
    <cellStyle name="Normal 47 15 4 4" xfId="25736" xr:uid="{00000000-0005-0000-0000-00008C640000}"/>
    <cellStyle name="Normal 47 15 4 5" xfId="25737" xr:uid="{00000000-0005-0000-0000-00008D640000}"/>
    <cellStyle name="Normal 47 15 4 6" xfId="25738" xr:uid="{00000000-0005-0000-0000-00008E640000}"/>
    <cellStyle name="Normal 47 15 5" xfId="25739" xr:uid="{00000000-0005-0000-0000-00008F640000}"/>
    <cellStyle name="Normal 47 15 5 2" xfId="25740" xr:uid="{00000000-0005-0000-0000-000090640000}"/>
    <cellStyle name="Normal 47 15 5 3" xfId="25741" xr:uid="{00000000-0005-0000-0000-000091640000}"/>
    <cellStyle name="Normal 47 15 5 4" xfId="25742" xr:uid="{00000000-0005-0000-0000-000092640000}"/>
    <cellStyle name="Normal 47 15 5 5" xfId="25743" xr:uid="{00000000-0005-0000-0000-000093640000}"/>
    <cellStyle name="Normal 47 15 5 6" xfId="25744" xr:uid="{00000000-0005-0000-0000-000094640000}"/>
    <cellStyle name="Normal 47 15 6" xfId="25745" xr:uid="{00000000-0005-0000-0000-000095640000}"/>
    <cellStyle name="Normal 47 15 6 2" xfId="25746" xr:uid="{00000000-0005-0000-0000-000096640000}"/>
    <cellStyle name="Normal 47 15 6 3" xfId="25747" xr:uid="{00000000-0005-0000-0000-000097640000}"/>
    <cellStyle name="Normal 47 15 6 4" xfId="25748" xr:uid="{00000000-0005-0000-0000-000098640000}"/>
    <cellStyle name="Normal 47 15 6 5" xfId="25749" xr:uid="{00000000-0005-0000-0000-000099640000}"/>
    <cellStyle name="Normal 47 15 6 6" xfId="25750" xr:uid="{00000000-0005-0000-0000-00009A640000}"/>
    <cellStyle name="Normal 47 15 7" xfId="25751" xr:uid="{00000000-0005-0000-0000-00009B640000}"/>
    <cellStyle name="Normal 47 15 7 2" xfId="25752" xr:uid="{00000000-0005-0000-0000-00009C640000}"/>
    <cellStyle name="Normal 47 15 7 3" xfId="25753" xr:uid="{00000000-0005-0000-0000-00009D640000}"/>
    <cellStyle name="Normal 47 15 7 4" xfId="25754" xr:uid="{00000000-0005-0000-0000-00009E640000}"/>
    <cellStyle name="Normal 47 15 7 5" xfId="25755" xr:uid="{00000000-0005-0000-0000-00009F640000}"/>
    <cellStyle name="Normal 47 15 7 6" xfId="25756" xr:uid="{00000000-0005-0000-0000-0000A0640000}"/>
    <cellStyle name="Normal 47 15 8" xfId="25757" xr:uid="{00000000-0005-0000-0000-0000A1640000}"/>
    <cellStyle name="Normal 47 15 8 2" xfId="25758" xr:uid="{00000000-0005-0000-0000-0000A2640000}"/>
    <cellStyle name="Normal 47 15 8 3" xfId="25759" xr:uid="{00000000-0005-0000-0000-0000A3640000}"/>
    <cellStyle name="Normal 47 15 8 4" xfId="25760" xr:uid="{00000000-0005-0000-0000-0000A4640000}"/>
    <cellStyle name="Normal 47 15 8 5" xfId="25761" xr:uid="{00000000-0005-0000-0000-0000A5640000}"/>
    <cellStyle name="Normal 47 15 8 6" xfId="25762" xr:uid="{00000000-0005-0000-0000-0000A6640000}"/>
    <cellStyle name="Normal 47 15 9" xfId="25763" xr:uid="{00000000-0005-0000-0000-0000A7640000}"/>
    <cellStyle name="Normal 47 15 9 2" xfId="25764" xr:uid="{00000000-0005-0000-0000-0000A8640000}"/>
    <cellStyle name="Normal 47 15 9 3" xfId="25765" xr:uid="{00000000-0005-0000-0000-0000A9640000}"/>
    <cellStyle name="Normal 47 15 9 4" xfId="25766" xr:uid="{00000000-0005-0000-0000-0000AA640000}"/>
    <cellStyle name="Normal 47 15 9 5" xfId="25767" xr:uid="{00000000-0005-0000-0000-0000AB640000}"/>
    <cellStyle name="Normal 47 15 9 6" xfId="25768" xr:uid="{00000000-0005-0000-0000-0000AC640000}"/>
    <cellStyle name="Normal 47 16" xfId="25769" xr:uid="{00000000-0005-0000-0000-0000AD640000}"/>
    <cellStyle name="Normal 47 16 10" xfId="25770" xr:uid="{00000000-0005-0000-0000-0000AE640000}"/>
    <cellStyle name="Normal 47 16 11" xfId="25771" xr:uid="{00000000-0005-0000-0000-0000AF640000}"/>
    <cellStyle name="Normal 47 16 12" xfId="25772" xr:uid="{00000000-0005-0000-0000-0000B0640000}"/>
    <cellStyle name="Normal 47 16 13" xfId="25773" xr:uid="{00000000-0005-0000-0000-0000B1640000}"/>
    <cellStyle name="Normal 47 16 14" xfId="25774" xr:uid="{00000000-0005-0000-0000-0000B2640000}"/>
    <cellStyle name="Normal 47 16 2" xfId="25775" xr:uid="{00000000-0005-0000-0000-0000B3640000}"/>
    <cellStyle name="Normal 47 16 2 2" xfId="25776" xr:uid="{00000000-0005-0000-0000-0000B4640000}"/>
    <cellStyle name="Normal 47 16 2 3" xfId="25777" xr:uid="{00000000-0005-0000-0000-0000B5640000}"/>
    <cellStyle name="Normal 47 16 2 4" xfId="25778" xr:uid="{00000000-0005-0000-0000-0000B6640000}"/>
    <cellStyle name="Normal 47 16 2 5" xfId="25779" xr:uid="{00000000-0005-0000-0000-0000B7640000}"/>
    <cellStyle name="Normal 47 16 2 6" xfId="25780" xr:uid="{00000000-0005-0000-0000-0000B8640000}"/>
    <cellStyle name="Normal 47 16 3" xfId="25781" xr:uid="{00000000-0005-0000-0000-0000B9640000}"/>
    <cellStyle name="Normal 47 16 3 2" xfId="25782" xr:uid="{00000000-0005-0000-0000-0000BA640000}"/>
    <cellStyle name="Normal 47 16 3 3" xfId="25783" xr:uid="{00000000-0005-0000-0000-0000BB640000}"/>
    <cellStyle name="Normal 47 16 3 4" xfId="25784" xr:uid="{00000000-0005-0000-0000-0000BC640000}"/>
    <cellStyle name="Normal 47 16 3 5" xfId="25785" xr:uid="{00000000-0005-0000-0000-0000BD640000}"/>
    <cellStyle name="Normal 47 16 3 6" xfId="25786" xr:uid="{00000000-0005-0000-0000-0000BE640000}"/>
    <cellStyle name="Normal 47 16 4" xfId="25787" xr:uid="{00000000-0005-0000-0000-0000BF640000}"/>
    <cellStyle name="Normal 47 16 4 2" xfId="25788" xr:uid="{00000000-0005-0000-0000-0000C0640000}"/>
    <cellStyle name="Normal 47 16 4 3" xfId="25789" xr:uid="{00000000-0005-0000-0000-0000C1640000}"/>
    <cellStyle name="Normal 47 16 4 4" xfId="25790" xr:uid="{00000000-0005-0000-0000-0000C2640000}"/>
    <cellStyle name="Normal 47 16 4 5" xfId="25791" xr:uid="{00000000-0005-0000-0000-0000C3640000}"/>
    <cellStyle name="Normal 47 16 4 6" xfId="25792" xr:uid="{00000000-0005-0000-0000-0000C4640000}"/>
    <cellStyle name="Normal 47 16 5" xfId="25793" xr:uid="{00000000-0005-0000-0000-0000C5640000}"/>
    <cellStyle name="Normal 47 16 5 2" xfId="25794" xr:uid="{00000000-0005-0000-0000-0000C6640000}"/>
    <cellStyle name="Normal 47 16 5 3" xfId="25795" xr:uid="{00000000-0005-0000-0000-0000C7640000}"/>
    <cellStyle name="Normal 47 16 5 4" xfId="25796" xr:uid="{00000000-0005-0000-0000-0000C8640000}"/>
    <cellStyle name="Normal 47 16 5 5" xfId="25797" xr:uid="{00000000-0005-0000-0000-0000C9640000}"/>
    <cellStyle name="Normal 47 16 5 6" xfId="25798" xr:uid="{00000000-0005-0000-0000-0000CA640000}"/>
    <cellStyle name="Normal 47 16 6" xfId="25799" xr:uid="{00000000-0005-0000-0000-0000CB640000}"/>
    <cellStyle name="Normal 47 16 6 2" xfId="25800" xr:uid="{00000000-0005-0000-0000-0000CC640000}"/>
    <cellStyle name="Normal 47 16 6 3" xfId="25801" xr:uid="{00000000-0005-0000-0000-0000CD640000}"/>
    <cellStyle name="Normal 47 16 6 4" xfId="25802" xr:uid="{00000000-0005-0000-0000-0000CE640000}"/>
    <cellStyle name="Normal 47 16 6 5" xfId="25803" xr:uid="{00000000-0005-0000-0000-0000CF640000}"/>
    <cellStyle name="Normal 47 16 6 6" xfId="25804" xr:uid="{00000000-0005-0000-0000-0000D0640000}"/>
    <cellStyle name="Normal 47 16 7" xfId="25805" xr:uid="{00000000-0005-0000-0000-0000D1640000}"/>
    <cellStyle name="Normal 47 16 7 2" xfId="25806" xr:uid="{00000000-0005-0000-0000-0000D2640000}"/>
    <cellStyle name="Normal 47 16 7 3" xfId="25807" xr:uid="{00000000-0005-0000-0000-0000D3640000}"/>
    <cellStyle name="Normal 47 16 7 4" xfId="25808" xr:uid="{00000000-0005-0000-0000-0000D4640000}"/>
    <cellStyle name="Normal 47 16 7 5" xfId="25809" xr:uid="{00000000-0005-0000-0000-0000D5640000}"/>
    <cellStyle name="Normal 47 16 7 6" xfId="25810" xr:uid="{00000000-0005-0000-0000-0000D6640000}"/>
    <cellStyle name="Normal 47 16 8" xfId="25811" xr:uid="{00000000-0005-0000-0000-0000D7640000}"/>
    <cellStyle name="Normal 47 16 8 2" xfId="25812" xr:uid="{00000000-0005-0000-0000-0000D8640000}"/>
    <cellStyle name="Normal 47 16 8 3" xfId="25813" xr:uid="{00000000-0005-0000-0000-0000D9640000}"/>
    <cellStyle name="Normal 47 16 8 4" xfId="25814" xr:uid="{00000000-0005-0000-0000-0000DA640000}"/>
    <cellStyle name="Normal 47 16 8 5" xfId="25815" xr:uid="{00000000-0005-0000-0000-0000DB640000}"/>
    <cellStyle name="Normal 47 16 8 6" xfId="25816" xr:uid="{00000000-0005-0000-0000-0000DC640000}"/>
    <cellStyle name="Normal 47 16 9" xfId="25817" xr:uid="{00000000-0005-0000-0000-0000DD640000}"/>
    <cellStyle name="Normal 47 16 9 2" xfId="25818" xr:uid="{00000000-0005-0000-0000-0000DE640000}"/>
    <cellStyle name="Normal 47 16 9 3" xfId="25819" xr:uid="{00000000-0005-0000-0000-0000DF640000}"/>
    <cellStyle name="Normal 47 16 9 4" xfId="25820" xr:uid="{00000000-0005-0000-0000-0000E0640000}"/>
    <cellStyle name="Normal 47 16 9 5" xfId="25821" xr:uid="{00000000-0005-0000-0000-0000E1640000}"/>
    <cellStyle name="Normal 47 16 9 6" xfId="25822" xr:uid="{00000000-0005-0000-0000-0000E2640000}"/>
    <cellStyle name="Normal 47 17" xfId="25823" xr:uid="{00000000-0005-0000-0000-0000E3640000}"/>
    <cellStyle name="Normal 47 17 10" xfId="25824" xr:uid="{00000000-0005-0000-0000-0000E4640000}"/>
    <cellStyle name="Normal 47 17 11" xfId="25825" xr:uid="{00000000-0005-0000-0000-0000E5640000}"/>
    <cellStyle name="Normal 47 17 12" xfId="25826" xr:uid="{00000000-0005-0000-0000-0000E6640000}"/>
    <cellStyle name="Normal 47 17 13" xfId="25827" xr:uid="{00000000-0005-0000-0000-0000E7640000}"/>
    <cellStyle name="Normal 47 17 14" xfId="25828" xr:uid="{00000000-0005-0000-0000-0000E8640000}"/>
    <cellStyle name="Normal 47 17 2" xfId="25829" xr:uid="{00000000-0005-0000-0000-0000E9640000}"/>
    <cellStyle name="Normal 47 17 2 2" xfId="25830" xr:uid="{00000000-0005-0000-0000-0000EA640000}"/>
    <cellStyle name="Normal 47 17 2 3" xfId="25831" xr:uid="{00000000-0005-0000-0000-0000EB640000}"/>
    <cellStyle name="Normal 47 17 2 4" xfId="25832" xr:uid="{00000000-0005-0000-0000-0000EC640000}"/>
    <cellStyle name="Normal 47 17 2 5" xfId="25833" xr:uid="{00000000-0005-0000-0000-0000ED640000}"/>
    <cellStyle name="Normal 47 17 2 6" xfId="25834" xr:uid="{00000000-0005-0000-0000-0000EE640000}"/>
    <cellStyle name="Normal 47 17 3" xfId="25835" xr:uid="{00000000-0005-0000-0000-0000EF640000}"/>
    <cellStyle name="Normal 47 17 3 2" xfId="25836" xr:uid="{00000000-0005-0000-0000-0000F0640000}"/>
    <cellStyle name="Normal 47 17 3 3" xfId="25837" xr:uid="{00000000-0005-0000-0000-0000F1640000}"/>
    <cellStyle name="Normal 47 17 3 4" xfId="25838" xr:uid="{00000000-0005-0000-0000-0000F2640000}"/>
    <cellStyle name="Normal 47 17 3 5" xfId="25839" xr:uid="{00000000-0005-0000-0000-0000F3640000}"/>
    <cellStyle name="Normal 47 17 3 6" xfId="25840" xr:uid="{00000000-0005-0000-0000-0000F4640000}"/>
    <cellStyle name="Normal 47 17 4" xfId="25841" xr:uid="{00000000-0005-0000-0000-0000F5640000}"/>
    <cellStyle name="Normal 47 17 4 2" xfId="25842" xr:uid="{00000000-0005-0000-0000-0000F6640000}"/>
    <cellStyle name="Normal 47 17 4 3" xfId="25843" xr:uid="{00000000-0005-0000-0000-0000F7640000}"/>
    <cellStyle name="Normal 47 17 4 4" xfId="25844" xr:uid="{00000000-0005-0000-0000-0000F8640000}"/>
    <cellStyle name="Normal 47 17 4 5" xfId="25845" xr:uid="{00000000-0005-0000-0000-0000F9640000}"/>
    <cellStyle name="Normal 47 17 4 6" xfId="25846" xr:uid="{00000000-0005-0000-0000-0000FA640000}"/>
    <cellStyle name="Normal 47 17 5" xfId="25847" xr:uid="{00000000-0005-0000-0000-0000FB640000}"/>
    <cellStyle name="Normal 47 17 5 2" xfId="25848" xr:uid="{00000000-0005-0000-0000-0000FC640000}"/>
    <cellStyle name="Normal 47 17 5 3" xfId="25849" xr:uid="{00000000-0005-0000-0000-0000FD640000}"/>
    <cellStyle name="Normal 47 17 5 4" xfId="25850" xr:uid="{00000000-0005-0000-0000-0000FE640000}"/>
    <cellStyle name="Normal 47 17 5 5" xfId="25851" xr:uid="{00000000-0005-0000-0000-0000FF640000}"/>
    <cellStyle name="Normal 47 17 5 6" xfId="25852" xr:uid="{00000000-0005-0000-0000-000000650000}"/>
    <cellStyle name="Normal 47 17 6" xfId="25853" xr:uid="{00000000-0005-0000-0000-000001650000}"/>
    <cellStyle name="Normal 47 17 6 2" xfId="25854" xr:uid="{00000000-0005-0000-0000-000002650000}"/>
    <cellStyle name="Normal 47 17 6 3" xfId="25855" xr:uid="{00000000-0005-0000-0000-000003650000}"/>
    <cellStyle name="Normal 47 17 6 4" xfId="25856" xr:uid="{00000000-0005-0000-0000-000004650000}"/>
    <cellStyle name="Normal 47 17 6 5" xfId="25857" xr:uid="{00000000-0005-0000-0000-000005650000}"/>
    <cellStyle name="Normal 47 17 6 6" xfId="25858" xr:uid="{00000000-0005-0000-0000-000006650000}"/>
    <cellStyle name="Normal 47 17 7" xfId="25859" xr:uid="{00000000-0005-0000-0000-000007650000}"/>
    <cellStyle name="Normal 47 17 7 2" xfId="25860" xr:uid="{00000000-0005-0000-0000-000008650000}"/>
    <cellStyle name="Normal 47 17 7 3" xfId="25861" xr:uid="{00000000-0005-0000-0000-000009650000}"/>
    <cellStyle name="Normal 47 17 7 4" xfId="25862" xr:uid="{00000000-0005-0000-0000-00000A650000}"/>
    <cellStyle name="Normal 47 17 7 5" xfId="25863" xr:uid="{00000000-0005-0000-0000-00000B650000}"/>
    <cellStyle name="Normal 47 17 7 6" xfId="25864" xr:uid="{00000000-0005-0000-0000-00000C650000}"/>
    <cellStyle name="Normal 47 17 8" xfId="25865" xr:uid="{00000000-0005-0000-0000-00000D650000}"/>
    <cellStyle name="Normal 47 17 8 2" xfId="25866" xr:uid="{00000000-0005-0000-0000-00000E650000}"/>
    <cellStyle name="Normal 47 17 8 3" xfId="25867" xr:uid="{00000000-0005-0000-0000-00000F650000}"/>
    <cellStyle name="Normal 47 17 8 4" xfId="25868" xr:uid="{00000000-0005-0000-0000-000010650000}"/>
    <cellStyle name="Normal 47 17 8 5" xfId="25869" xr:uid="{00000000-0005-0000-0000-000011650000}"/>
    <cellStyle name="Normal 47 17 8 6" xfId="25870" xr:uid="{00000000-0005-0000-0000-000012650000}"/>
    <cellStyle name="Normal 47 17 9" xfId="25871" xr:uid="{00000000-0005-0000-0000-000013650000}"/>
    <cellStyle name="Normal 47 17 9 2" xfId="25872" xr:uid="{00000000-0005-0000-0000-000014650000}"/>
    <cellStyle name="Normal 47 17 9 3" xfId="25873" xr:uid="{00000000-0005-0000-0000-000015650000}"/>
    <cellStyle name="Normal 47 17 9 4" xfId="25874" xr:uid="{00000000-0005-0000-0000-000016650000}"/>
    <cellStyle name="Normal 47 17 9 5" xfId="25875" xr:uid="{00000000-0005-0000-0000-000017650000}"/>
    <cellStyle name="Normal 47 17 9 6" xfId="25876" xr:uid="{00000000-0005-0000-0000-000018650000}"/>
    <cellStyle name="Normal 47 18" xfId="25877" xr:uid="{00000000-0005-0000-0000-000019650000}"/>
    <cellStyle name="Normal 47 18 10" xfId="25878" xr:uid="{00000000-0005-0000-0000-00001A650000}"/>
    <cellStyle name="Normal 47 18 11" xfId="25879" xr:uid="{00000000-0005-0000-0000-00001B650000}"/>
    <cellStyle name="Normal 47 18 12" xfId="25880" xr:uid="{00000000-0005-0000-0000-00001C650000}"/>
    <cellStyle name="Normal 47 18 13" xfId="25881" xr:uid="{00000000-0005-0000-0000-00001D650000}"/>
    <cellStyle name="Normal 47 18 14" xfId="25882" xr:uid="{00000000-0005-0000-0000-00001E650000}"/>
    <cellStyle name="Normal 47 18 2" xfId="25883" xr:uid="{00000000-0005-0000-0000-00001F650000}"/>
    <cellStyle name="Normal 47 18 2 2" xfId="25884" xr:uid="{00000000-0005-0000-0000-000020650000}"/>
    <cellStyle name="Normal 47 18 2 3" xfId="25885" xr:uid="{00000000-0005-0000-0000-000021650000}"/>
    <cellStyle name="Normal 47 18 2 4" xfId="25886" xr:uid="{00000000-0005-0000-0000-000022650000}"/>
    <cellStyle name="Normal 47 18 2 5" xfId="25887" xr:uid="{00000000-0005-0000-0000-000023650000}"/>
    <cellStyle name="Normal 47 18 2 6" xfId="25888" xr:uid="{00000000-0005-0000-0000-000024650000}"/>
    <cellStyle name="Normal 47 18 3" xfId="25889" xr:uid="{00000000-0005-0000-0000-000025650000}"/>
    <cellStyle name="Normal 47 18 3 2" xfId="25890" xr:uid="{00000000-0005-0000-0000-000026650000}"/>
    <cellStyle name="Normal 47 18 3 3" xfId="25891" xr:uid="{00000000-0005-0000-0000-000027650000}"/>
    <cellStyle name="Normal 47 18 3 4" xfId="25892" xr:uid="{00000000-0005-0000-0000-000028650000}"/>
    <cellStyle name="Normal 47 18 3 5" xfId="25893" xr:uid="{00000000-0005-0000-0000-000029650000}"/>
    <cellStyle name="Normal 47 18 3 6" xfId="25894" xr:uid="{00000000-0005-0000-0000-00002A650000}"/>
    <cellStyle name="Normal 47 18 4" xfId="25895" xr:uid="{00000000-0005-0000-0000-00002B650000}"/>
    <cellStyle name="Normal 47 18 4 2" xfId="25896" xr:uid="{00000000-0005-0000-0000-00002C650000}"/>
    <cellStyle name="Normal 47 18 4 3" xfId="25897" xr:uid="{00000000-0005-0000-0000-00002D650000}"/>
    <cellStyle name="Normal 47 18 4 4" xfId="25898" xr:uid="{00000000-0005-0000-0000-00002E650000}"/>
    <cellStyle name="Normal 47 18 4 5" xfId="25899" xr:uid="{00000000-0005-0000-0000-00002F650000}"/>
    <cellStyle name="Normal 47 18 4 6" xfId="25900" xr:uid="{00000000-0005-0000-0000-000030650000}"/>
    <cellStyle name="Normal 47 18 5" xfId="25901" xr:uid="{00000000-0005-0000-0000-000031650000}"/>
    <cellStyle name="Normal 47 18 5 2" xfId="25902" xr:uid="{00000000-0005-0000-0000-000032650000}"/>
    <cellStyle name="Normal 47 18 5 3" xfId="25903" xr:uid="{00000000-0005-0000-0000-000033650000}"/>
    <cellStyle name="Normal 47 18 5 4" xfId="25904" xr:uid="{00000000-0005-0000-0000-000034650000}"/>
    <cellStyle name="Normal 47 18 5 5" xfId="25905" xr:uid="{00000000-0005-0000-0000-000035650000}"/>
    <cellStyle name="Normal 47 18 5 6" xfId="25906" xr:uid="{00000000-0005-0000-0000-000036650000}"/>
    <cellStyle name="Normal 47 18 6" xfId="25907" xr:uid="{00000000-0005-0000-0000-000037650000}"/>
    <cellStyle name="Normal 47 18 6 2" xfId="25908" xr:uid="{00000000-0005-0000-0000-000038650000}"/>
    <cellStyle name="Normal 47 18 6 3" xfId="25909" xr:uid="{00000000-0005-0000-0000-000039650000}"/>
    <cellStyle name="Normal 47 18 6 4" xfId="25910" xr:uid="{00000000-0005-0000-0000-00003A650000}"/>
    <cellStyle name="Normal 47 18 6 5" xfId="25911" xr:uid="{00000000-0005-0000-0000-00003B650000}"/>
    <cellStyle name="Normal 47 18 6 6" xfId="25912" xr:uid="{00000000-0005-0000-0000-00003C650000}"/>
    <cellStyle name="Normal 47 18 7" xfId="25913" xr:uid="{00000000-0005-0000-0000-00003D650000}"/>
    <cellStyle name="Normal 47 18 7 2" xfId="25914" xr:uid="{00000000-0005-0000-0000-00003E650000}"/>
    <cellStyle name="Normal 47 18 7 3" xfId="25915" xr:uid="{00000000-0005-0000-0000-00003F650000}"/>
    <cellStyle name="Normal 47 18 7 4" xfId="25916" xr:uid="{00000000-0005-0000-0000-000040650000}"/>
    <cellStyle name="Normal 47 18 7 5" xfId="25917" xr:uid="{00000000-0005-0000-0000-000041650000}"/>
    <cellStyle name="Normal 47 18 7 6" xfId="25918" xr:uid="{00000000-0005-0000-0000-000042650000}"/>
    <cellStyle name="Normal 47 18 8" xfId="25919" xr:uid="{00000000-0005-0000-0000-000043650000}"/>
    <cellStyle name="Normal 47 18 8 2" xfId="25920" xr:uid="{00000000-0005-0000-0000-000044650000}"/>
    <cellStyle name="Normal 47 18 8 3" xfId="25921" xr:uid="{00000000-0005-0000-0000-000045650000}"/>
    <cellStyle name="Normal 47 18 8 4" xfId="25922" xr:uid="{00000000-0005-0000-0000-000046650000}"/>
    <cellStyle name="Normal 47 18 8 5" xfId="25923" xr:uid="{00000000-0005-0000-0000-000047650000}"/>
    <cellStyle name="Normal 47 18 8 6" xfId="25924" xr:uid="{00000000-0005-0000-0000-000048650000}"/>
    <cellStyle name="Normal 47 18 9" xfId="25925" xr:uid="{00000000-0005-0000-0000-000049650000}"/>
    <cellStyle name="Normal 47 18 9 2" xfId="25926" xr:uid="{00000000-0005-0000-0000-00004A650000}"/>
    <cellStyle name="Normal 47 18 9 3" xfId="25927" xr:uid="{00000000-0005-0000-0000-00004B650000}"/>
    <cellStyle name="Normal 47 18 9 4" xfId="25928" xr:uid="{00000000-0005-0000-0000-00004C650000}"/>
    <cellStyle name="Normal 47 18 9 5" xfId="25929" xr:uid="{00000000-0005-0000-0000-00004D650000}"/>
    <cellStyle name="Normal 47 18 9 6" xfId="25930" xr:uid="{00000000-0005-0000-0000-00004E650000}"/>
    <cellStyle name="Normal 47 19" xfId="25931" xr:uid="{00000000-0005-0000-0000-00004F650000}"/>
    <cellStyle name="Normal 47 19 10" xfId="25932" xr:uid="{00000000-0005-0000-0000-000050650000}"/>
    <cellStyle name="Normal 47 19 11" xfId="25933" xr:uid="{00000000-0005-0000-0000-000051650000}"/>
    <cellStyle name="Normal 47 19 12" xfId="25934" xr:uid="{00000000-0005-0000-0000-000052650000}"/>
    <cellStyle name="Normal 47 19 13" xfId="25935" xr:uid="{00000000-0005-0000-0000-000053650000}"/>
    <cellStyle name="Normal 47 19 14" xfId="25936" xr:uid="{00000000-0005-0000-0000-000054650000}"/>
    <cellStyle name="Normal 47 19 2" xfId="25937" xr:uid="{00000000-0005-0000-0000-000055650000}"/>
    <cellStyle name="Normal 47 19 2 2" xfId="25938" xr:uid="{00000000-0005-0000-0000-000056650000}"/>
    <cellStyle name="Normal 47 19 2 3" xfId="25939" xr:uid="{00000000-0005-0000-0000-000057650000}"/>
    <cellStyle name="Normal 47 19 2 4" xfId="25940" xr:uid="{00000000-0005-0000-0000-000058650000}"/>
    <cellStyle name="Normal 47 19 2 5" xfId="25941" xr:uid="{00000000-0005-0000-0000-000059650000}"/>
    <cellStyle name="Normal 47 19 2 6" xfId="25942" xr:uid="{00000000-0005-0000-0000-00005A650000}"/>
    <cellStyle name="Normal 47 19 3" xfId="25943" xr:uid="{00000000-0005-0000-0000-00005B650000}"/>
    <cellStyle name="Normal 47 19 3 2" xfId="25944" xr:uid="{00000000-0005-0000-0000-00005C650000}"/>
    <cellStyle name="Normal 47 19 3 3" xfId="25945" xr:uid="{00000000-0005-0000-0000-00005D650000}"/>
    <cellStyle name="Normal 47 19 3 4" xfId="25946" xr:uid="{00000000-0005-0000-0000-00005E650000}"/>
    <cellStyle name="Normal 47 19 3 5" xfId="25947" xr:uid="{00000000-0005-0000-0000-00005F650000}"/>
    <cellStyle name="Normal 47 19 3 6" xfId="25948" xr:uid="{00000000-0005-0000-0000-000060650000}"/>
    <cellStyle name="Normal 47 19 4" xfId="25949" xr:uid="{00000000-0005-0000-0000-000061650000}"/>
    <cellStyle name="Normal 47 19 4 2" xfId="25950" xr:uid="{00000000-0005-0000-0000-000062650000}"/>
    <cellStyle name="Normal 47 19 4 3" xfId="25951" xr:uid="{00000000-0005-0000-0000-000063650000}"/>
    <cellStyle name="Normal 47 19 4 4" xfId="25952" xr:uid="{00000000-0005-0000-0000-000064650000}"/>
    <cellStyle name="Normal 47 19 4 5" xfId="25953" xr:uid="{00000000-0005-0000-0000-000065650000}"/>
    <cellStyle name="Normal 47 19 4 6" xfId="25954" xr:uid="{00000000-0005-0000-0000-000066650000}"/>
    <cellStyle name="Normal 47 19 5" xfId="25955" xr:uid="{00000000-0005-0000-0000-000067650000}"/>
    <cellStyle name="Normal 47 19 5 2" xfId="25956" xr:uid="{00000000-0005-0000-0000-000068650000}"/>
    <cellStyle name="Normal 47 19 5 3" xfId="25957" xr:uid="{00000000-0005-0000-0000-000069650000}"/>
    <cellStyle name="Normal 47 19 5 4" xfId="25958" xr:uid="{00000000-0005-0000-0000-00006A650000}"/>
    <cellStyle name="Normal 47 19 5 5" xfId="25959" xr:uid="{00000000-0005-0000-0000-00006B650000}"/>
    <cellStyle name="Normal 47 19 5 6" xfId="25960" xr:uid="{00000000-0005-0000-0000-00006C650000}"/>
    <cellStyle name="Normal 47 19 6" xfId="25961" xr:uid="{00000000-0005-0000-0000-00006D650000}"/>
    <cellStyle name="Normal 47 19 6 2" xfId="25962" xr:uid="{00000000-0005-0000-0000-00006E650000}"/>
    <cellStyle name="Normal 47 19 6 3" xfId="25963" xr:uid="{00000000-0005-0000-0000-00006F650000}"/>
    <cellStyle name="Normal 47 19 6 4" xfId="25964" xr:uid="{00000000-0005-0000-0000-000070650000}"/>
    <cellStyle name="Normal 47 19 6 5" xfId="25965" xr:uid="{00000000-0005-0000-0000-000071650000}"/>
    <cellStyle name="Normal 47 19 6 6" xfId="25966" xr:uid="{00000000-0005-0000-0000-000072650000}"/>
    <cellStyle name="Normal 47 19 7" xfId="25967" xr:uid="{00000000-0005-0000-0000-000073650000}"/>
    <cellStyle name="Normal 47 19 7 2" xfId="25968" xr:uid="{00000000-0005-0000-0000-000074650000}"/>
    <cellStyle name="Normal 47 19 7 3" xfId="25969" xr:uid="{00000000-0005-0000-0000-000075650000}"/>
    <cellStyle name="Normal 47 19 7 4" xfId="25970" xr:uid="{00000000-0005-0000-0000-000076650000}"/>
    <cellStyle name="Normal 47 19 7 5" xfId="25971" xr:uid="{00000000-0005-0000-0000-000077650000}"/>
    <cellStyle name="Normal 47 19 7 6" xfId="25972" xr:uid="{00000000-0005-0000-0000-000078650000}"/>
    <cellStyle name="Normal 47 19 8" xfId="25973" xr:uid="{00000000-0005-0000-0000-000079650000}"/>
    <cellStyle name="Normal 47 19 8 2" xfId="25974" xr:uid="{00000000-0005-0000-0000-00007A650000}"/>
    <cellStyle name="Normal 47 19 8 3" xfId="25975" xr:uid="{00000000-0005-0000-0000-00007B650000}"/>
    <cellStyle name="Normal 47 19 8 4" xfId="25976" xr:uid="{00000000-0005-0000-0000-00007C650000}"/>
    <cellStyle name="Normal 47 19 8 5" xfId="25977" xr:uid="{00000000-0005-0000-0000-00007D650000}"/>
    <cellStyle name="Normal 47 19 8 6" xfId="25978" xr:uid="{00000000-0005-0000-0000-00007E650000}"/>
    <cellStyle name="Normal 47 19 9" xfId="25979" xr:uid="{00000000-0005-0000-0000-00007F650000}"/>
    <cellStyle name="Normal 47 19 9 2" xfId="25980" xr:uid="{00000000-0005-0000-0000-000080650000}"/>
    <cellStyle name="Normal 47 19 9 3" xfId="25981" xr:uid="{00000000-0005-0000-0000-000081650000}"/>
    <cellStyle name="Normal 47 19 9 4" xfId="25982" xr:uid="{00000000-0005-0000-0000-000082650000}"/>
    <cellStyle name="Normal 47 19 9 5" xfId="25983" xr:uid="{00000000-0005-0000-0000-000083650000}"/>
    <cellStyle name="Normal 47 19 9 6" xfId="25984" xr:uid="{00000000-0005-0000-0000-000084650000}"/>
    <cellStyle name="Normal 47 2" xfId="25985" xr:uid="{00000000-0005-0000-0000-000085650000}"/>
    <cellStyle name="Normal 47 2 10" xfId="25986" xr:uid="{00000000-0005-0000-0000-000086650000}"/>
    <cellStyle name="Normal 47 2 11" xfId="25987" xr:uid="{00000000-0005-0000-0000-000087650000}"/>
    <cellStyle name="Normal 47 2 12" xfId="25988" xr:uid="{00000000-0005-0000-0000-000088650000}"/>
    <cellStyle name="Normal 47 2 13" xfId="25989" xr:uid="{00000000-0005-0000-0000-000089650000}"/>
    <cellStyle name="Normal 47 2 14" xfId="25990" xr:uid="{00000000-0005-0000-0000-00008A650000}"/>
    <cellStyle name="Normal 47 2 2" xfId="25991" xr:uid="{00000000-0005-0000-0000-00008B650000}"/>
    <cellStyle name="Normal 47 2 2 2" xfId="25992" xr:uid="{00000000-0005-0000-0000-00008C650000}"/>
    <cellStyle name="Normal 47 2 2 3" xfId="25993" xr:uid="{00000000-0005-0000-0000-00008D650000}"/>
    <cellStyle name="Normal 47 2 2 4" xfId="25994" xr:uid="{00000000-0005-0000-0000-00008E650000}"/>
    <cellStyle name="Normal 47 2 2 5" xfId="25995" xr:uid="{00000000-0005-0000-0000-00008F650000}"/>
    <cellStyle name="Normal 47 2 2 6" xfId="25996" xr:uid="{00000000-0005-0000-0000-000090650000}"/>
    <cellStyle name="Normal 47 2 3" xfId="25997" xr:uid="{00000000-0005-0000-0000-000091650000}"/>
    <cellStyle name="Normal 47 2 3 2" xfId="25998" xr:uid="{00000000-0005-0000-0000-000092650000}"/>
    <cellStyle name="Normal 47 2 3 3" xfId="25999" xr:uid="{00000000-0005-0000-0000-000093650000}"/>
    <cellStyle name="Normal 47 2 3 4" xfId="26000" xr:uid="{00000000-0005-0000-0000-000094650000}"/>
    <cellStyle name="Normal 47 2 3 5" xfId="26001" xr:uid="{00000000-0005-0000-0000-000095650000}"/>
    <cellStyle name="Normal 47 2 3 6" xfId="26002" xr:uid="{00000000-0005-0000-0000-000096650000}"/>
    <cellStyle name="Normal 47 2 4" xfId="26003" xr:uid="{00000000-0005-0000-0000-000097650000}"/>
    <cellStyle name="Normal 47 2 4 2" xfId="26004" xr:uid="{00000000-0005-0000-0000-000098650000}"/>
    <cellStyle name="Normal 47 2 4 3" xfId="26005" xr:uid="{00000000-0005-0000-0000-000099650000}"/>
    <cellStyle name="Normal 47 2 4 4" xfId="26006" xr:uid="{00000000-0005-0000-0000-00009A650000}"/>
    <cellStyle name="Normal 47 2 4 5" xfId="26007" xr:uid="{00000000-0005-0000-0000-00009B650000}"/>
    <cellStyle name="Normal 47 2 4 6" xfId="26008" xr:uid="{00000000-0005-0000-0000-00009C650000}"/>
    <cellStyle name="Normal 47 2 5" xfId="26009" xr:uid="{00000000-0005-0000-0000-00009D650000}"/>
    <cellStyle name="Normal 47 2 5 2" xfId="26010" xr:uid="{00000000-0005-0000-0000-00009E650000}"/>
    <cellStyle name="Normal 47 2 5 3" xfId="26011" xr:uid="{00000000-0005-0000-0000-00009F650000}"/>
    <cellStyle name="Normal 47 2 5 4" xfId="26012" xr:uid="{00000000-0005-0000-0000-0000A0650000}"/>
    <cellStyle name="Normal 47 2 5 5" xfId="26013" xr:uid="{00000000-0005-0000-0000-0000A1650000}"/>
    <cellStyle name="Normal 47 2 5 6" xfId="26014" xr:uid="{00000000-0005-0000-0000-0000A2650000}"/>
    <cellStyle name="Normal 47 2 6" xfId="26015" xr:uid="{00000000-0005-0000-0000-0000A3650000}"/>
    <cellStyle name="Normal 47 2 6 2" xfId="26016" xr:uid="{00000000-0005-0000-0000-0000A4650000}"/>
    <cellStyle name="Normal 47 2 6 3" xfId="26017" xr:uid="{00000000-0005-0000-0000-0000A5650000}"/>
    <cellStyle name="Normal 47 2 6 4" xfId="26018" xr:uid="{00000000-0005-0000-0000-0000A6650000}"/>
    <cellStyle name="Normal 47 2 6 5" xfId="26019" xr:uid="{00000000-0005-0000-0000-0000A7650000}"/>
    <cellStyle name="Normal 47 2 6 6" xfId="26020" xr:uid="{00000000-0005-0000-0000-0000A8650000}"/>
    <cellStyle name="Normal 47 2 7" xfId="26021" xr:uid="{00000000-0005-0000-0000-0000A9650000}"/>
    <cellStyle name="Normal 47 2 7 2" xfId="26022" xr:uid="{00000000-0005-0000-0000-0000AA650000}"/>
    <cellStyle name="Normal 47 2 7 3" xfId="26023" xr:uid="{00000000-0005-0000-0000-0000AB650000}"/>
    <cellStyle name="Normal 47 2 7 4" xfId="26024" xr:uid="{00000000-0005-0000-0000-0000AC650000}"/>
    <cellStyle name="Normal 47 2 7 5" xfId="26025" xr:uid="{00000000-0005-0000-0000-0000AD650000}"/>
    <cellStyle name="Normal 47 2 7 6" xfId="26026" xr:uid="{00000000-0005-0000-0000-0000AE650000}"/>
    <cellStyle name="Normal 47 2 8" xfId="26027" xr:uid="{00000000-0005-0000-0000-0000AF650000}"/>
    <cellStyle name="Normal 47 2 8 2" xfId="26028" xr:uid="{00000000-0005-0000-0000-0000B0650000}"/>
    <cellStyle name="Normal 47 2 8 3" xfId="26029" xr:uid="{00000000-0005-0000-0000-0000B1650000}"/>
    <cellStyle name="Normal 47 2 8 4" xfId="26030" xr:uid="{00000000-0005-0000-0000-0000B2650000}"/>
    <cellStyle name="Normal 47 2 8 5" xfId="26031" xr:uid="{00000000-0005-0000-0000-0000B3650000}"/>
    <cellStyle name="Normal 47 2 8 6" xfId="26032" xr:uid="{00000000-0005-0000-0000-0000B4650000}"/>
    <cellStyle name="Normal 47 2 9" xfId="26033" xr:uid="{00000000-0005-0000-0000-0000B5650000}"/>
    <cellStyle name="Normal 47 2 9 2" xfId="26034" xr:uid="{00000000-0005-0000-0000-0000B6650000}"/>
    <cellStyle name="Normal 47 2 9 3" xfId="26035" xr:uid="{00000000-0005-0000-0000-0000B7650000}"/>
    <cellStyle name="Normal 47 2 9 4" xfId="26036" xr:uid="{00000000-0005-0000-0000-0000B8650000}"/>
    <cellStyle name="Normal 47 2 9 5" xfId="26037" xr:uid="{00000000-0005-0000-0000-0000B9650000}"/>
    <cellStyle name="Normal 47 2 9 6" xfId="26038" xr:uid="{00000000-0005-0000-0000-0000BA650000}"/>
    <cellStyle name="Normal 47 20" xfId="26039" xr:uid="{00000000-0005-0000-0000-0000BB650000}"/>
    <cellStyle name="Normal 47 20 10" xfId="26040" xr:uid="{00000000-0005-0000-0000-0000BC650000}"/>
    <cellStyle name="Normal 47 20 11" xfId="26041" xr:uid="{00000000-0005-0000-0000-0000BD650000}"/>
    <cellStyle name="Normal 47 20 12" xfId="26042" xr:uid="{00000000-0005-0000-0000-0000BE650000}"/>
    <cellStyle name="Normal 47 20 13" xfId="26043" xr:uid="{00000000-0005-0000-0000-0000BF650000}"/>
    <cellStyle name="Normal 47 20 14" xfId="26044" xr:uid="{00000000-0005-0000-0000-0000C0650000}"/>
    <cellStyle name="Normal 47 20 2" xfId="26045" xr:uid="{00000000-0005-0000-0000-0000C1650000}"/>
    <cellStyle name="Normal 47 20 2 2" xfId="26046" xr:uid="{00000000-0005-0000-0000-0000C2650000}"/>
    <cellStyle name="Normal 47 20 2 3" xfId="26047" xr:uid="{00000000-0005-0000-0000-0000C3650000}"/>
    <cellStyle name="Normal 47 20 2 4" xfId="26048" xr:uid="{00000000-0005-0000-0000-0000C4650000}"/>
    <cellStyle name="Normal 47 20 2 5" xfId="26049" xr:uid="{00000000-0005-0000-0000-0000C5650000}"/>
    <cellStyle name="Normal 47 20 2 6" xfId="26050" xr:uid="{00000000-0005-0000-0000-0000C6650000}"/>
    <cellStyle name="Normal 47 20 3" xfId="26051" xr:uid="{00000000-0005-0000-0000-0000C7650000}"/>
    <cellStyle name="Normal 47 20 3 2" xfId="26052" xr:uid="{00000000-0005-0000-0000-0000C8650000}"/>
    <cellStyle name="Normal 47 20 3 3" xfId="26053" xr:uid="{00000000-0005-0000-0000-0000C9650000}"/>
    <cellStyle name="Normal 47 20 3 4" xfId="26054" xr:uid="{00000000-0005-0000-0000-0000CA650000}"/>
    <cellStyle name="Normal 47 20 3 5" xfId="26055" xr:uid="{00000000-0005-0000-0000-0000CB650000}"/>
    <cellStyle name="Normal 47 20 3 6" xfId="26056" xr:uid="{00000000-0005-0000-0000-0000CC650000}"/>
    <cellStyle name="Normal 47 20 4" xfId="26057" xr:uid="{00000000-0005-0000-0000-0000CD650000}"/>
    <cellStyle name="Normal 47 20 4 2" xfId="26058" xr:uid="{00000000-0005-0000-0000-0000CE650000}"/>
    <cellStyle name="Normal 47 20 4 3" xfId="26059" xr:uid="{00000000-0005-0000-0000-0000CF650000}"/>
    <cellStyle name="Normal 47 20 4 4" xfId="26060" xr:uid="{00000000-0005-0000-0000-0000D0650000}"/>
    <cellStyle name="Normal 47 20 4 5" xfId="26061" xr:uid="{00000000-0005-0000-0000-0000D1650000}"/>
    <cellStyle name="Normal 47 20 4 6" xfId="26062" xr:uid="{00000000-0005-0000-0000-0000D2650000}"/>
    <cellStyle name="Normal 47 20 5" xfId="26063" xr:uid="{00000000-0005-0000-0000-0000D3650000}"/>
    <cellStyle name="Normal 47 20 5 2" xfId="26064" xr:uid="{00000000-0005-0000-0000-0000D4650000}"/>
    <cellStyle name="Normal 47 20 5 3" xfId="26065" xr:uid="{00000000-0005-0000-0000-0000D5650000}"/>
    <cellStyle name="Normal 47 20 5 4" xfId="26066" xr:uid="{00000000-0005-0000-0000-0000D6650000}"/>
    <cellStyle name="Normal 47 20 5 5" xfId="26067" xr:uid="{00000000-0005-0000-0000-0000D7650000}"/>
    <cellStyle name="Normal 47 20 5 6" xfId="26068" xr:uid="{00000000-0005-0000-0000-0000D8650000}"/>
    <cellStyle name="Normal 47 20 6" xfId="26069" xr:uid="{00000000-0005-0000-0000-0000D9650000}"/>
    <cellStyle name="Normal 47 20 6 2" xfId="26070" xr:uid="{00000000-0005-0000-0000-0000DA650000}"/>
    <cellStyle name="Normal 47 20 6 3" xfId="26071" xr:uid="{00000000-0005-0000-0000-0000DB650000}"/>
    <cellStyle name="Normal 47 20 6 4" xfId="26072" xr:uid="{00000000-0005-0000-0000-0000DC650000}"/>
    <cellStyle name="Normal 47 20 6 5" xfId="26073" xr:uid="{00000000-0005-0000-0000-0000DD650000}"/>
    <cellStyle name="Normal 47 20 6 6" xfId="26074" xr:uid="{00000000-0005-0000-0000-0000DE650000}"/>
    <cellStyle name="Normal 47 20 7" xfId="26075" xr:uid="{00000000-0005-0000-0000-0000DF650000}"/>
    <cellStyle name="Normal 47 20 7 2" xfId="26076" xr:uid="{00000000-0005-0000-0000-0000E0650000}"/>
    <cellStyle name="Normal 47 20 7 3" xfId="26077" xr:uid="{00000000-0005-0000-0000-0000E1650000}"/>
    <cellStyle name="Normal 47 20 7 4" xfId="26078" xr:uid="{00000000-0005-0000-0000-0000E2650000}"/>
    <cellStyle name="Normal 47 20 7 5" xfId="26079" xr:uid="{00000000-0005-0000-0000-0000E3650000}"/>
    <cellStyle name="Normal 47 20 7 6" xfId="26080" xr:uid="{00000000-0005-0000-0000-0000E4650000}"/>
    <cellStyle name="Normal 47 20 8" xfId="26081" xr:uid="{00000000-0005-0000-0000-0000E5650000}"/>
    <cellStyle name="Normal 47 20 8 2" xfId="26082" xr:uid="{00000000-0005-0000-0000-0000E6650000}"/>
    <cellStyle name="Normal 47 20 8 3" xfId="26083" xr:uid="{00000000-0005-0000-0000-0000E7650000}"/>
    <cellStyle name="Normal 47 20 8 4" xfId="26084" xr:uid="{00000000-0005-0000-0000-0000E8650000}"/>
    <cellStyle name="Normal 47 20 8 5" xfId="26085" xr:uid="{00000000-0005-0000-0000-0000E9650000}"/>
    <cellStyle name="Normal 47 20 8 6" xfId="26086" xr:uid="{00000000-0005-0000-0000-0000EA650000}"/>
    <cellStyle name="Normal 47 20 9" xfId="26087" xr:uid="{00000000-0005-0000-0000-0000EB650000}"/>
    <cellStyle name="Normal 47 20 9 2" xfId="26088" xr:uid="{00000000-0005-0000-0000-0000EC650000}"/>
    <cellStyle name="Normal 47 20 9 3" xfId="26089" xr:uid="{00000000-0005-0000-0000-0000ED650000}"/>
    <cellStyle name="Normal 47 20 9 4" xfId="26090" xr:uid="{00000000-0005-0000-0000-0000EE650000}"/>
    <cellStyle name="Normal 47 20 9 5" xfId="26091" xr:uid="{00000000-0005-0000-0000-0000EF650000}"/>
    <cellStyle name="Normal 47 20 9 6" xfId="26092" xr:uid="{00000000-0005-0000-0000-0000F0650000}"/>
    <cellStyle name="Normal 47 21" xfId="26093" xr:uid="{00000000-0005-0000-0000-0000F1650000}"/>
    <cellStyle name="Normal 47 21 10" xfId="26094" xr:uid="{00000000-0005-0000-0000-0000F2650000}"/>
    <cellStyle name="Normal 47 21 11" xfId="26095" xr:uid="{00000000-0005-0000-0000-0000F3650000}"/>
    <cellStyle name="Normal 47 21 12" xfId="26096" xr:uid="{00000000-0005-0000-0000-0000F4650000}"/>
    <cellStyle name="Normal 47 21 13" xfId="26097" xr:uid="{00000000-0005-0000-0000-0000F5650000}"/>
    <cellStyle name="Normal 47 21 14" xfId="26098" xr:uid="{00000000-0005-0000-0000-0000F6650000}"/>
    <cellStyle name="Normal 47 21 2" xfId="26099" xr:uid="{00000000-0005-0000-0000-0000F7650000}"/>
    <cellStyle name="Normal 47 21 2 2" xfId="26100" xr:uid="{00000000-0005-0000-0000-0000F8650000}"/>
    <cellStyle name="Normal 47 21 2 3" xfId="26101" xr:uid="{00000000-0005-0000-0000-0000F9650000}"/>
    <cellStyle name="Normal 47 21 2 4" xfId="26102" xr:uid="{00000000-0005-0000-0000-0000FA650000}"/>
    <cellStyle name="Normal 47 21 2 5" xfId="26103" xr:uid="{00000000-0005-0000-0000-0000FB650000}"/>
    <cellStyle name="Normal 47 21 2 6" xfId="26104" xr:uid="{00000000-0005-0000-0000-0000FC650000}"/>
    <cellStyle name="Normal 47 21 3" xfId="26105" xr:uid="{00000000-0005-0000-0000-0000FD650000}"/>
    <cellStyle name="Normal 47 21 3 2" xfId="26106" xr:uid="{00000000-0005-0000-0000-0000FE650000}"/>
    <cellStyle name="Normal 47 21 3 3" xfId="26107" xr:uid="{00000000-0005-0000-0000-0000FF650000}"/>
    <cellStyle name="Normal 47 21 3 4" xfId="26108" xr:uid="{00000000-0005-0000-0000-000000660000}"/>
    <cellStyle name="Normal 47 21 3 5" xfId="26109" xr:uid="{00000000-0005-0000-0000-000001660000}"/>
    <cellStyle name="Normal 47 21 3 6" xfId="26110" xr:uid="{00000000-0005-0000-0000-000002660000}"/>
    <cellStyle name="Normal 47 21 4" xfId="26111" xr:uid="{00000000-0005-0000-0000-000003660000}"/>
    <cellStyle name="Normal 47 21 4 2" xfId="26112" xr:uid="{00000000-0005-0000-0000-000004660000}"/>
    <cellStyle name="Normal 47 21 4 3" xfId="26113" xr:uid="{00000000-0005-0000-0000-000005660000}"/>
    <cellStyle name="Normal 47 21 4 4" xfId="26114" xr:uid="{00000000-0005-0000-0000-000006660000}"/>
    <cellStyle name="Normal 47 21 4 5" xfId="26115" xr:uid="{00000000-0005-0000-0000-000007660000}"/>
    <cellStyle name="Normal 47 21 4 6" xfId="26116" xr:uid="{00000000-0005-0000-0000-000008660000}"/>
    <cellStyle name="Normal 47 21 5" xfId="26117" xr:uid="{00000000-0005-0000-0000-000009660000}"/>
    <cellStyle name="Normal 47 21 5 2" xfId="26118" xr:uid="{00000000-0005-0000-0000-00000A660000}"/>
    <cellStyle name="Normal 47 21 5 3" xfId="26119" xr:uid="{00000000-0005-0000-0000-00000B660000}"/>
    <cellStyle name="Normal 47 21 5 4" xfId="26120" xr:uid="{00000000-0005-0000-0000-00000C660000}"/>
    <cellStyle name="Normal 47 21 5 5" xfId="26121" xr:uid="{00000000-0005-0000-0000-00000D660000}"/>
    <cellStyle name="Normal 47 21 5 6" xfId="26122" xr:uid="{00000000-0005-0000-0000-00000E660000}"/>
    <cellStyle name="Normal 47 21 6" xfId="26123" xr:uid="{00000000-0005-0000-0000-00000F660000}"/>
    <cellStyle name="Normal 47 21 6 2" xfId="26124" xr:uid="{00000000-0005-0000-0000-000010660000}"/>
    <cellStyle name="Normal 47 21 6 3" xfId="26125" xr:uid="{00000000-0005-0000-0000-000011660000}"/>
    <cellStyle name="Normal 47 21 6 4" xfId="26126" xr:uid="{00000000-0005-0000-0000-000012660000}"/>
    <cellStyle name="Normal 47 21 6 5" xfId="26127" xr:uid="{00000000-0005-0000-0000-000013660000}"/>
    <cellStyle name="Normal 47 21 6 6" xfId="26128" xr:uid="{00000000-0005-0000-0000-000014660000}"/>
    <cellStyle name="Normal 47 21 7" xfId="26129" xr:uid="{00000000-0005-0000-0000-000015660000}"/>
    <cellStyle name="Normal 47 21 7 2" xfId="26130" xr:uid="{00000000-0005-0000-0000-000016660000}"/>
    <cellStyle name="Normal 47 21 7 3" xfId="26131" xr:uid="{00000000-0005-0000-0000-000017660000}"/>
    <cellStyle name="Normal 47 21 7 4" xfId="26132" xr:uid="{00000000-0005-0000-0000-000018660000}"/>
    <cellStyle name="Normal 47 21 7 5" xfId="26133" xr:uid="{00000000-0005-0000-0000-000019660000}"/>
    <cellStyle name="Normal 47 21 7 6" xfId="26134" xr:uid="{00000000-0005-0000-0000-00001A660000}"/>
    <cellStyle name="Normal 47 21 8" xfId="26135" xr:uid="{00000000-0005-0000-0000-00001B660000}"/>
    <cellStyle name="Normal 47 21 8 2" xfId="26136" xr:uid="{00000000-0005-0000-0000-00001C660000}"/>
    <cellStyle name="Normal 47 21 8 3" xfId="26137" xr:uid="{00000000-0005-0000-0000-00001D660000}"/>
    <cellStyle name="Normal 47 21 8 4" xfId="26138" xr:uid="{00000000-0005-0000-0000-00001E660000}"/>
    <cellStyle name="Normal 47 21 8 5" xfId="26139" xr:uid="{00000000-0005-0000-0000-00001F660000}"/>
    <cellStyle name="Normal 47 21 8 6" xfId="26140" xr:uid="{00000000-0005-0000-0000-000020660000}"/>
    <cellStyle name="Normal 47 21 9" xfId="26141" xr:uid="{00000000-0005-0000-0000-000021660000}"/>
    <cellStyle name="Normal 47 21 9 2" xfId="26142" xr:uid="{00000000-0005-0000-0000-000022660000}"/>
    <cellStyle name="Normal 47 21 9 3" xfId="26143" xr:uid="{00000000-0005-0000-0000-000023660000}"/>
    <cellStyle name="Normal 47 21 9 4" xfId="26144" xr:uid="{00000000-0005-0000-0000-000024660000}"/>
    <cellStyle name="Normal 47 21 9 5" xfId="26145" xr:uid="{00000000-0005-0000-0000-000025660000}"/>
    <cellStyle name="Normal 47 21 9 6" xfId="26146" xr:uid="{00000000-0005-0000-0000-000026660000}"/>
    <cellStyle name="Normal 47 22" xfId="26147" xr:uid="{00000000-0005-0000-0000-000027660000}"/>
    <cellStyle name="Normal 47 22 10" xfId="26148" xr:uid="{00000000-0005-0000-0000-000028660000}"/>
    <cellStyle name="Normal 47 22 11" xfId="26149" xr:uid="{00000000-0005-0000-0000-000029660000}"/>
    <cellStyle name="Normal 47 22 12" xfId="26150" xr:uid="{00000000-0005-0000-0000-00002A660000}"/>
    <cellStyle name="Normal 47 22 13" xfId="26151" xr:uid="{00000000-0005-0000-0000-00002B660000}"/>
    <cellStyle name="Normal 47 22 14" xfId="26152" xr:uid="{00000000-0005-0000-0000-00002C660000}"/>
    <cellStyle name="Normal 47 22 2" xfId="26153" xr:uid="{00000000-0005-0000-0000-00002D660000}"/>
    <cellStyle name="Normal 47 22 2 2" xfId="26154" xr:uid="{00000000-0005-0000-0000-00002E660000}"/>
    <cellStyle name="Normal 47 22 2 3" xfId="26155" xr:uid="{00000000-0005-0000-0000-00002F660000}"/>
    <cellStyle name="Normal 47 22 2 4" xfId="26156" xr:uid="{00000000-0005-0000-0000-000030660000}"/>
    <cellStyle name="Normal 47 22 2 5" xfId="26157" xr:uid="{00000000-0005-0000-0000-000031660000}"/>
    <cellStyle name="Normal 47 22 2 6" xfId="26158" xr:uid="{00000000-0005-0000-0000-000032660000}"/>
    <cellStyle name="Normal 47 22 3" xfId="26159" xr:uid="{00000000-0005-0000-0000-000033660000}"/>
    <cellStyle name="Normal 47 22 3 2" xfId="26160" xr:uid="{00000000-0005-0000-0000-000034660000}"/>
    <cellStyle name="Normal 47 22 3 3" xfId="26161" xr:uid="{00000000-0005-0000-0000-000035660000}"/>
    <cellStyle name="Normal 47 22 3 4" xfId="26162" xr:uid="{00000000-0005-0000-0000-000036660000}"/>
    <cellStyle name="Normal 47 22 3 5" xfId="26163" xr:uid="{00000000-0005-0000-0000-000037660000}"/>
    <cellStyle name="Normal 47 22 3 6" xfId="26164" xr:uid="{00000000-0005-0000-0000-000038660000}"/>
    <cellStyle name="Normal 47 22 4" xfId="26165" xr:uid="{00000000-0005-0000-0000-000039660000}"/>
    <cellStyle name="Normal 47 22 4 2" xfId="26166" xr:uid="{00000000-0005-0000-0000-00003A660000}"/>
    <cellStyle name="Normal 47 22 4 3" xfId="26167" xr:uid="{00000000-0005-0000-0000-00003B660000}"/>
    <cellStyle name="Normal 47 22 4 4" xfId="26168" xr:uid="{00000000-0005-0000-0000-00003C660000}"/>
    <cellStyle name="Normal 47 22 4 5" xfId="26169" xr:uid="{00000000-0005-0000-0000-00003D660000}"/>
    <cellStyle name="Normal 47 22 4 6" xfId="26170" xr:uid="{00000000-0005-0000-0000-00003E660000}"/>
    <cellStyle name="Normal 47 22 5" xfId="26171" xr:uid="{00000000-0005-0000-0000-00003F660000}"/>
    <cellStyle name="Normal 47 22 5 2" xfId="26172" xr:uid="{00000000-0005-0000-0000-000040660000}"/>
    <cellStyle name="Normal 47 22 5 3" xfId="26173" xr:uid="{00000000-0005-0000-0000-000041660000}"/>
    <cellStyle name="Normal 47 22 5 4" xfId="26174" xr:uid="{00000000-0005-0000-0000-000042660000}"/>
    <cellStyle name="Normal 47 22 5 5" xfId="26175" xr:uid="{00000000-0005-0000-0000-000043660000}"/>
    <cellStyle name="Normal 47 22 5 6" xfId="26176" xr:uid="{00000000-0005-0000-0000-000044660000}"/>
    <cellStyle name="Normal 47 22 6" xfId="26177" xr:uid="{00000000-0005-0000-0000-000045660000}"/>
    <cellStyle name="Normal 47 22 6 2" xfId="26178" xr:uid="{00000000-0005-0000-0000-000046660000}"/>
    <cellStyle name="Normal 47 22 6 3" xfId="26179" xr:uid="{00000000-0005-0000-0000-000047660000}"/>
    <cellStyle name="Normal 47 22 6 4" xfId="26180" xr:uid="{00000000-0005-0000-0000-000048660000}"/>
    <cellStyle name="Normal 47 22 6 5" xfId="26181" xr:uid="{00000000-0005-0000-0000-000049660000}"/>
    <cellStyle name="Normal 47 22 6 6" xfId="26182" xr:uid="{00000000-0005-0000-0000-00004A660000}"/>
    <cellStyle name="Normal 47 22 7" xfId="26183" xr:uid="{00000000-0005-0000-0000-00004B660000}"/>
    <cellStyle name="Normal 47 22 7 2" xfId="26184" xr:uid="{00000000-0005-0000-0000-00004C660000}"/>
    <cellStyle name="Normal 47 22 7 3" xfId="26185" xr:uid="{00000000-0005-0000-0000-00004D660000}"/>
    <cellStyle name="Normal 47 22 7 4" xfId="26186" xr:uid="{00000000-0005-0000-0000-00004E660000}"/>
    <cellStyle name="Normal 47 22 7 5" xfId="26187" xr:uid="{00000000-0005-0000-0000-00004F660000}"/>
    <cellStyle name="Normal 47 22 7 6" xfId="26188" xr:uid="{00000000-0005-0000-0000-000050660000}"/>
    <cellStyle name="Normal 47 22 8" xfId="26189" xr:uid="{00000000-0005-0000-0000-000051660000}"/>
    <cellStyle name="Normal 47 22 8 2" xfId="26190" xr:uid="{00000000-0005-0000-0000-000052660000}"/>
    <cellStyle name="Normal 47 22 8 3" xfId="26191" xr:uid="{00000000-0005-0000-0000-000053660000}"/>
    <cellStyle name="Normal 47 22 8 4" xfId="26192" xr:uid="{00000000-0005-0000-0000-000054660000}"/>
    <cellStyle name="Normal 47 22 8 5" xfId="26193" xr:uid="{00000000-0005-0000-0000-000055660000}"/>
    <cellStyle name="Normal 47 22 8 6" xfId="26194" xr:uid="{00000000-0005-0000-0000-000056660000}"/>
    <cellStyle name="Normal 47 22 9" xfId="26195" xr:uid="{00000000-0005-0000-0000-000057660000}"/>
    <cellStyle name="Normal 47 22 9 2" xfId="26196" xr:uid="{00000000-0005-0000-0000-000058660000}"/>
    <cellStyle name="Normal 47 22 9 3" xfId="26197" xr:uid="{00000000-0005-0000-0000-000059660000}"/>
    <cellStyle name="Normal 47 22 9 4" xfId="26198" xr:uid="{00000000-0005-0000-0000-00005A660000}"/>
    <cellStyle name="Normal 47 22 9 5" xfId="26199" xr:uid="{00000000-0005-0000-0000-00005B660000}"/>
    <cellStyle name="Normal 47 22 9 6" xfId="26200" xr:uid="{00000000-0005-0000-0000-00005C660000}"/>
    <cellStyle name="Normal 47 23" xfId="26201" xr:uid="{00000000-0005-0000-0000-00005D660000}"/>
    <cellStyle name="Normal 47 23 10" xfId="26202" xr:uid="{00000000-0005-0000-0000-00005E660000}"/>
    <cellStyle name="Normal 47 23 11" xfId="26203" xr:uid="{00000000-0005-0000-0000-00005F660000}"/>
    <cellStyle name="Normal 47 23 12" xfId="26204" xr:uid="{00000000-0005-0000-0000-000060660000}"/>
    <cellStyle name="Normal 47 23 13" xfId="26205" xr:uid="{00000000-0005-0000-0000-000061660000}"/>
    <cellStyle name="Normal 47 23 14" xfId="26206" xr:uid="{00000000-0005-0000-0000-000062660000}"/>
    <cellStyle name="Normal 47 23 2" xfId="26207" xr:uid="{00000000-0005-0000-0000-000063660000}"/>
    <cellStyle name="Normal 47 23 2 2" xfId="26208" xr:uid="{00000000-0005-0000-0000-000064660000}"/>
    <cellStyle name="Normal 47 23 2 3" xfId="26209" xr:uid="{00000000-0005-0000-0000-000065660000}"/>
    <cellStyle name="Normal 47 23 2 4" xfId="26210" xr:uid="{00000000-0005-0000-0000-000066660000}"/>
    <cellStyle name="Normal 47 23 2 5" xfId="26211" xr:uid="{00000000-0005-0000-0000-000067660000}"/>
    <cellStyle name="Normal 47 23 2 6" xfId="26212" xr:uid="{00000000-0005-0000-0000-000068660000}"/>
    <cellStyle name="Normal 47 23 3" xfId="26213" xr:uid="{00000000-0005-0000-0000-000069660000}"/>
    <cellStyle name="Normal 47 23 3 2" xfId="26214" xr:uid="{00000000-0005-0000-0000-00006A660000}"/>
    <cellStyle name="Normal 47 23 3 3" xfId="26215" xr:uid="{00000000-0005-0000-0000-00006B660000}"/>
    <cellStyle name="Normal 47 23 3 4" xfId="26216" xr:uid="{00000000-0005-0000-0000-00006C660000}"/>
    <cellStyle name="Normal 47 23 3 5" xfId="26217" xr:uid="{00000000-0005-0000-0000-00006D660000}"/>
    <cellStyle name="Normal 47 23 3 6" xfId="26218" xr:uid="{00000000-0005-0000-0000-00006E660000}"/>
    <cellStyle name="Normal 47 23 4" xfId="26219" xr:uid="{00000000-0005-0000-0000-00006F660000}"/>
    <cellStyle name="Normal 47 23 4 2" xfId="26220" xr:uid="{00000000-0005-0000-0000-000070660000}"/>
    <cellStyle name="Normal 47 23 4 3" xfId="26221" xr:uid="{00000000-0005-0000-0000-000071660000}"/>
    <cellStyle name="Normal 47 23 4 4" xfId="26222" xr:uid="{00000000-0005-0000-0000-000072660000}"/>
    <cellStyle name="Normal 47 23 4 5" xfId="26223" xr:uid="{00000000-0005-0000-0000-000073660000}"/>
    <cellStyle name="Normal 47 23 4 6" xfId="26224" xr:uid="{00000000-0005-0000-0000-000074660000}"/>
    <cellStyle name="Normal 47 23 5" xfId="26225" xr:uid="{00000000-0005-0000-0000-000075660000}"/>
    <cellStyle name="Normal 47 23 5 2" xfId="26226" xr:uid="{00000000-0005-0000-0000-000076660000}"/>
    <cellStyle name="Normal 47 23 5 3" xfId="26227" xr:uid="{00000000-0005-0000-0000-000077660000}"/>
    <cellStyle name="Normal 47 23 5 4" xfId="26228" xr:uid="{00000000-0005-0000-0000-000078660000}"/>
    <cellStyle name="Normal 47 23 5 5" xfId="26229" xr:uid="{00000000-0005-0000-0000-000079660000}"/>
    <cellStyle name="Normal 47 23 5 6" xfId="26230" xr:uid="{00000000-0005-0000-0000-00007A660000}"/>
    <cellStyle name="Normal 47 23 6" xfId="26231" xr:uid="{00000000-0005-0000-0000-00007B660000}"/>
    <cellStyle name="Normal 47 23 6 2" xfId="26232" xr:uid="{00000000-0005-0000-0000-00007C660000}"/>
    <cellStyle name="Normal 47 23 6 3" xfId="26233" xr:uid="{00000000-0005-0000-0000-00007D660000}"/>
    <cellStyle name="Normal 47 23 6 4" xfId="26234" xr:uid="{00000000-0005-0000-0000-00007E660000}"/>
    <cellStyle name="Normal 47 23 6 5" xfId="26235" xr:uid="{00000000-0005-0000-0000-00007F660000}"/>
    <cellStyle name="Normal 47 23 6 6" xfId="26236" xr:uid="{00000000-0005-0000-0000-000080660000}"/>
    <cellStyle name="Normal 47 23 7" xfId="26237" xr:uid="{00000000-0005-0000-0000-000081660000}"/>
    <cellStyle name="Normal 47 23 7 2" xfId="26238" xr:uid="{00000000-0005-0000-0000-000082660000}"/>
    <cellStyle name="Normal 47 23 7 3" xfId="26239" xr:uid="{00000000-0005-0000-0000-000083660000}"/>
    <cellStyle name="Normal 47 23 7 4" xfId="26240" xr:uid="{00000000-0005-0000-0000-000084660000}"/>
    <cellStyle name="Normal 47 23 7 5" xfId="26241" xr:uid="{00000000-0005-0000-0000-000085660000}"/>
    <cellStyle name="Normal 47 23 7 6" xfId="26242" xr:uid="{00000000-0005-0000-0000-000086660000}"/>
    <cellStyle name="Normal 47 23 8" xfId="26243" xr:uid="{00000000-0005-0000-0000-000087660000}"/>
    <cellStyle name="Normal 47 23 8 2" xfId="26244" xr:uid="{00000000-0005-0000-0000-000088660000}"/>
    <cellStyle name="Normal 47 23 8 3" xfId="26245" xr:uid="{00000000-0005-0000-0000-000089660000}"/>
    <cellStyle name="Normal 47 23 8 4" xfId="26246" xr:uid="{00000000-0005-0000-0000-00008A660000}"/>
    <cellStyle name="Normal 47 23 8 5" xfId="26247" xr:uid="{00000000-0005-0000-0000-00008B660000}"/>
    <cellStyle name="Normal 47 23 8 6" xfId="26248" xr:uid="{00000000-0005-0000-0000-00008C660000}"/>
    <cellStyle name="Normal 47 23 9" xfId="26249" xr:uid="{00000000-0005-0000-0000-00008D660000}"/>
    <cellStyle name="Normal 47 23 9 2" xfId="26250" xr:uid="{00000000-0005-0000-0000-00008E660000}"/>
    <cellStyle name="Normal 47 23 9 3" xfId="26251" xr:uid="{00000000-0005-0000-0000-00008F660000}"/>
    <cellStyle name="Normal 47 23 9 4" xfId="26252" xr:uid="{00000000-0005-0000-0000-000090660000}"/>
    <cellStyle name="Normal 47 23 9 5" xfId="26253" xr:uid="{00000000-0005-0000-0000-000091660000}"/>
    <cellStyle name="Normal 47 23 9 6" xfId="26254" xr:uid="{00000000-0005-0000-0000-000092660000}"/>
    <cellStyle name="Normal 47 24" xfId="26255" xr:uid="{00000000-0005-0000-0000-000093660000}"/>
    <cellStyle name="Normal 47 24 10" xfId="26256" xr:uid="{00000000-0005-0000-0000-000094660000}"/>
    <cellStyle name="Normal 47 24 11" xfId="26257" xr:uid="{00000000-0005-0000-0000-000095660000}"/>
    <cellStyle name="Normal 47 24 12" xfId="26258" xr:uid="{00000000-0005-0000-0000-000096660000}"/>
    <cellStyle name="Normal 47 24 13" xfId="26259" xr:uid="{00000000-0005-0000-0000-000097660000}"/>
    <cellStyle name="Normal 47 24 14" xfId="26260" xr:uid="{00000000-0005-0000-0000-000098660000}"/>
    <cellStyle name="Normal 47 24 2" xfId="26261" xr:uid="{00000000-0005-0000-0000-000099660000}"/>
    <cellStyle name="Normal 47 24 2 2" xfId="26262" xr:uid="{00000000-0005-0000-0000-00009A660000}"/>
    <cellStyle name="Normal 47 24 2 3" xfId="26263" xr:uid="{00000000-0005-0000-0000-00009B660000}"/>
    <cellStyle name="Normal 47 24 2 4" xfId="26264" xr:uid="{00000000-0005-0000-0000-00009C660000}"/>
    <cellStyle name="Normal 47 24 2 5" xfId="26265" xr:uid="{00000000-0005-0000-0000-00009D660000}"/>
    <cellStyle name="Normal 47 24 2 6" xfId="26266" xr:uid="{00000000-0005-0000-0000-00009E660000}"/>
    <cellStyle name="Normal 47 24 3" xfId="26267" xr:uid="{00000000-0005-0000-0000-00009F660000}"/>
    <cellStyle name="Normal 47 24 3 2" xfId="26268" xr:uid="{00000000-0005-0000-0000-0000A0660000}"/>
    <cellStyle name="Normal 47 24 3 3" xfId="26269" xr:uid="{00000000-0005-0000-0000-0000A1660000}"/>
    <cellStyle name="Normal 47 24 3 4" xfId="26270" xr:uid="{00000000-0005-0000-0000-0000A2660000}"/>
    <cellStyle name="Normal 47 24 3 5" xfId="26271" xr:uid="{00000000-0005-0000-0000-0000A3660000}"/>
    <cellStyle name="Normal 47 24 3 6" xfId="26272" xr:uid="{00000000-0005-0000-0000-0000A4660000}"/>
    <cellStyle name="Normal 47 24 4" xfId="26273" xr:uid="{00000000-0005-0000-0000-0000A5660000}"/>
    <cellStyle name="Normal 47 24 4 2" xfId="26274" xr:uid="{00000000-0005-0000-0000-0000A6660000}"/>
    <cellStyle name="Normal 47 24 4 3" xfId="26275" xr:uid="{00000000-0005-0000-0000-0000A7660000}"/>
    <cellStyle name="Normal 47 24 4 4" xfId="26276" xr:uid="{00000000-0005-0000-0000-0000A8660000}"/>
    <cellStyle name="Normal 47 24 4 5" xfId="26277" xr:uid="{00000000-0005-0000-0000-0000A9660000}"/>
    <cellStyle name="Normal 47 24 4 6" xfId="26278" xr:uid="{00000000-0005-0000-0000-0000AA660000}"/>
    <cellStyle name="Normal 47 24 5" xfId="26279" xr:uid="{00000000-0005-0000-0000-0000AB660000}"/>
    <cellStyle name="Normal 47 24 5 2" xfId="26280" xr:uid="{00000000-0005-0000-0000-0000AC660000}"/>
    <cellStyle name="Normal 47 24 5 3" xfId="26281" xr:uid="{00000000-0005-0000-0000-0000AD660000}"/>
    <cellStyle name="Normal 47 24 5 4" xfId="26282" xr:uid="{00000000-0005-0000-0000-0000AE660000}"/>
    <cellStyle name="Normal 47 24 5 5" xfId="26283" xr:uid="{00000000-0005-0000-0000-0000AF660000}"/>
    <cellStyle name="Normal 47 24 5 6" xfId="26284" xr:uid="{00000000-0005-0000-0000-0000B0660000}"/>
    <cellStyle name="Normal 47 24 6" xfId="26285" xr:uid="{00000000-0005-0000-0000-0000B1660000}"/>
    <cellStyle name="Normal 47 24 6 2" xfId="26286" xr:uid="{00000000-0005-0000-0000-0000B2660000}"/>
    <cellStyle name="Normal 47 24 6 3" xfId="26287" xr:uid="{00000000-0005-0000-0000-0000B3660000}"/>
    <cellStyle name="Normal 47 24 6 4" xfId="26288" xr:uid="{00000000-0005-0000-0000-0000B4660000}"/>
    <cellStyle name="Normal 47 24 6 5" xfId="26289" xr:uid="{00000000-0005-0000-0000-0000B5660000}"/>
    <cellStyle name="Normal 47 24 6 6" xfId="26290" xr:uid="{00000000-0005-0000-0000-0000B6660000}"/>
    <cellStyle name="Normal 47 24 7" xfId="26291" xr:uid="{00000000-0005-0000-0000-0000B7660000}"/>
    <cellStyle name="Normal 47 24 7 2" xfId="26292" xr:uid="{00000000-0005-0000-0000-0000B8660000}"/>
    <cellStyle name="Normal 47 24 7 3" xfId="26293" xr:uid="{00000000-0005-0000-0000-0000B9660000}"/>
    <cellStyle name="Normal 47 24 7 4" xfId="26294" xr:uid="{00000000-0005-0000-0000-0000BA660000}"/>
    <cellStyle name="Normal 47 24 7 5" xfId="26295" xr:uid="{00000000-0005-0000-0000-0000BB660000}"/>
    <cellStyle name="Normal 47 24 7 6" xfId="26296" xr:uid="{00000000-0005-0000-0000-0000BC660000}"/>
    <cellStyle name="Normal 47 24 8" xfId="26297" xr:uid="{00000000-0005-0000-0000-0000BD660000}"/>
    <cellStyle name="Normal 47 24 8 2" xfId="26298" xr:uid="{00000000-0005-0000-0000-0000BE660000}"/>
    <cellStyle name="Normal 47 24 8 3" xfId="26299" xr:uid="{00000000-0005-0000-0000-0000BF660000}"/>
    <cellStyle name="Normal 47 24 8 4" xfId="26300" xr:uid="{00000000-0005-0000-0000-0000C0660000}"/>
    <cellStyle name="Normal 47 24 8 5" xfId="26301" xr:uid="{00000000-0005-0000-0000-0000C1660000}"/>
    <cellStyle name="Normal 47 24 8 6" xfId="26302" xr:uid="{00000000-0005-0000-0000-0000C2660000}"/>
    <cellStyle name="Normal 47 24 9" xfId="26303" xr:uid="{00000000-0005-0000-0000-0000C3660000}"/>
    <cellStyle name="Normal 47 24 9 2" xfId="26304" xr:uid="{00000000-0005-0000-0000-0000C4660000}"/>
    <cellStyle name="Normal 47 24 9 3" xfId="26305" xr:uid="{00000000-0005-0000-0000-0000C5660000}"/>
    <cellStyle name="Normal 47 24 9 4" xfId="26306" xr:uid="{00000000-0005-0000-0000-0000C6660000}"/>
    <cellStyle name="Normal 47 24 9 5" xfId="26307" xr:uid="{00000000-0005-0000-0000-0000C7660000}"/>
    <cellStyle name="Normal 47 24 9 6" xfId="26308" xr:uid="{00000000-0005-0000-0000-0000C8660000}"/>
    <cellStyle name="Normal 47 25" xfId="26309" xr:uid="{00000000-0005-0000-0000-0000C9660000}"/>
    <cellStyle name="Normal 47 25 10" xfId="26310" xr:uid="{00000000-0005-0000-0000-0000CA660000}"/>
    <cellStyle name="Normal 47 25 11" xfId="26311" xr:uid="{00000000-0005-0000-0000-0000CB660000}"/>
    <cellStyle name="Normal 47 25 12" xfId="26312" xr:uid="{00000000-0005-0000-0000-0000CC660000}"/>
    <cellStyle name="Normal 47 25 13" xfId="26313" xr:uid="{00000000-0005-0000-0000-0000CD660000}"/>
    <cellStyle name="Normal 47 25 14" xfId="26314" xr:uid="{00000000-0005-0000-0000-0000CE660000}"/>
    <cellStyle name="Normal 47 25 2" xfId="26315" xr:uid="{00000000-0005-0000-0000-0000CF660000}"/>
    <cellStyle name="Normal 47 25 2 2" xfId="26316" xr:uid="{00000000-0005-0000-0000-0000D0660000}"/>
    <cellStyle name="Normal 47 25 2 3" xfId="26317" xr:uid="{00000000-0005-0000-0000-0000D1660000}"/>
    <cellStyle name="Normal 47 25 2 4" xfId="26318" xr:uid="{00000000-0005-0000-0000-0000D2660000}"/>
    <cellStyle name="Normal 47 25 2 5" xfId="26319" xr:uid="{00000000-0005-0000-0000-0000D3660000}"/>
    <cellStyle name="Normal 47 25 2 6" xfId="26320" xr:uid="{00000000-0005-0000-0000-0000D4660000}"/>
    <cellStyle name="Normal 47 25 3" xfId="26321" xr:uid="{00000000-0005-0000-0000-0000D5660000}"/>
    <cellStyle name="Normal 47 25 3 2" xfId="26322" xr:uid="{00000000-0005-0000-0000-0000D6660000}"/>
    <cellStyle name="Normal 47 25 3 3" xfId="26323" xr:uid="{00000000-0005-0000-0000-0000D7660000}"/>
    <cellStyle name="Normal 47 25 3 4" xfId="26324" xr:uid="{00000000-0005-0000-0000-0000D8660000}"/>
    <cellStyle name="Normal 47 25 3 5" xfId="26325" xr:uid="{00000000-0005-0000-0000-0000D9660000}"/>
    <cellStyle name="Normal 47 25 3 6" xfId="26326" xr:uid="{00000000-0005-0000-0000-0000DA660000}"/>
    <cellStyle name="Normal 47 25 4" xfId="26327" xr:uid="{00000000-0005-0000-0000-0000DB660000}"/>
    <cellStyle name="Normal 47 25 4 2" xfId="26328" xr:uid="{00000000-0005-0000-0000-0000DC660000}"/>
    <cellStyle name="Normal 47 25 4 3" xfId="26329" xr:uid="{00000000-0005-0000-0000-0000DD660000}"/>
    <cellStyle name="Normal 47 25 4 4" xfId="26330" xr:uid="{00000000-0005-0000-0000-0000DE660000}"/>
    <cellStyle name="Normal 47 25 4 5" xfId="26331" xr:uid="{00000000-0005-0000-0000-0000DF660000}"/>
    <cellStyle name="Normal 47 25 4 6" xfId="26332" xr:uid="{00000000-0005-0000-0000-0000E0660000}"/>
    <cellStyle name="Normal 47 25 5" xfId="26333" xr:uid="{00000000-0005-0000-0000-0000E1660000}"/>
    <cellStyle name="Normal 47 25 5 2" xfId="26334" xr:uid="{00000000-0005-0000-0000-0000E2660000}"/>
    <cellStyle name="Normal 47 25 5 3" xfId="26335" xr:uid="{00000000-0005-0000-0000-0000E3660000}"/>
    <cellStyle name="Normal 47 25 5 4" xfId="26336" xr:uid="{00000000-0005-0000-0000-0000E4660000}"/>
    <cellStyle name="Normal 47 25 5 5" xfId="26337" xr:uid="{00000000-0005-0000-0000-0000E5660000}"/>
    <cellStyle name="Normal 47 25 5 6" xfId="26338" xr:uid="{00000000-0005-0000-0000-0000E6660000}"/>
    <cellStyle name="Normal 47 25 6" xfId="26339" xr:uid="{00000000-0005-0000-0000-0000E7660000}"/>
    <cellStyle name="Normal 47 25 6 2" xfId="26340" xr:uid="{00000000-0005-0000-0000-0000E8660000}"/>
    <cellStyle name="Normal 47 25 6 3" xfId="26341" xr:uid="{00000000-0005-0000-0000-0000E9660000}"/>
    <cellStyle name="Normal 47 25 6 4" xfId="26342" xr:uid="{00000000-0005-0000-0000-0000EA660000}"/>
    <cellStyle name="Normal 47 25 6 5" xfId="26343" xr:uid="{00000000-0005-0000-0000-0000EB660000}"/>
    <cellStyle name="Normal 47 25 6 6" xfId="26344" xr:uid="{00000000-0005-0000-0000-0000EC660000}"/>
    <cellStyle name="Normal 47 25 7" xfId="26345" xr:uid="{00000000-0005-0000-0000-0000ED660000}"/>
    <cellStyle name="Normal 47 25 7 2" xfId="26346" xr:uid="{00000000-0005-0000-0000-0000EE660000}"/>
    <cellStyle name="Normal 47 25 7 3" xfId="26347" xr:uid="{00000000-0005-0000-0000-0000EF660000}"/>
    <cellStyle name="Normal 47 25 7 4" xfId="26348" xr:uid="{00000000-0005-0000-0000-0000F0660000}"/>
    <cellStyle name="Normal 47 25 7 5" xfId="26349" xr:uid="{00000000-0005-0000-0000-0000F1660000}"/>
    <cellStyle name="Normal 47 25 7 6" xfId="26350" xr:uid="{00000000-0005-0000-0000-0000F2660000}"/>
    <cellStyle name="Normal 47 25 8" xfId="26351" xr:uid="{00000000-0005-0000-0000-0000F3660000}"/>
    <cellStyle name="Normal 47 25 8 2" xfId="26352" xr:uid="{00000000-0005-0000-0000-0000F4660000}"/>
    <cellStyle name="Normal 47 25 8 3" xfId="26353" xr:uid="{00000000-0005-0000-0000-0000F5660000}"/>
    <cellStyle name="Normal 47 25 8 4" xfId="26354" xr:uid="{00000000-0005-0000-0000-0000F6660000}"/>
    <cellStyle name="Normal 47 25 8 5" xfId="26355" xr:uid="{00000000-0005-0000-0000-0000F7660000}"/>
    <cellStyle name="Normal 47 25 8 6" xfId="26356" xr:uid="{00000000-0005-0000-0000-0000F8660000}"/>
    <cellStyle name="Normal 47 25 9" xfId="26357" xr:uid="{00000000-0005-0000-0000-0000F9660000}"/>
    <cellStyle name="Normal 47 25 9 2" xfId="26358" xr:uid="{00000000-0005-0000-0000-0000FA660000}"/>
    <cellStyle name="Normal 47 25 9 3" xfId="26359" xr:uid="{00000000-0005-0000-0000-0000FB660000}"/>
    <cellStyle name="Normal 47 25 9 4" xfId="26360" xr:uid="{00000000-0005-0000-0000-0000FC660000}"/>
    <cellStyle name="Normal 47 25 9 5" xfId="26361" xr:uid="{00000000-0005-0000-0000-0000FD660000}"/>
    <cellStyle name="Normal 47 25 9 6" xfId="26362" xr:uid="{00000000-0005-0000-0000-0000FE660000}"/>
    <cellStyle name="Normal 47 26" xfId="26363" xr:uid="{00000000-0005-0000-0000-0000FF660000}"/>
    <cellStyle name="Normal 47 26 10" xfId="26364" xr:uid="{00000000-0005-0000-0000-000000670000}"/>
    <cellStyle name="Normal 47 26 11" xfId="26365" xr:uid="{00000000-0005-0000-0000-000001670000}"/>
    <cellStyle name="Normal 47 26 12" xfId="26366" xr:uid="{00000000-0005-0000-0000-000002670000}"/>
    <cellStyle name="Normal 47 26 13" xfId="26367" xr:uid="{00000000-0005-0000-0000-000003670000}"/>
    <cellStyle name="Normal 47 26 14" xfId="26368" xr:uid="{00000000-0005-0000-0000-000004670000}"/>
    <cellStyle name="Normal 47 26 2" xfId="26369" xr:uid="{00000000-0005-0000-0000-000005670000}"/>
    <cellStyle name="Normal 47 26 2 2" xfId="26370" xr:uid="{00000000-0005-0000-0000-000006670000}"/>
    <cellStyle name="Normal 47 26 2 3" xfId="26371" xr:uid="{00000000-0005-0000-0000-000007670000}"/>
    <cellStyle name="Normal 47 26 2 4" xfId="26372" xr:uid="{00000000-0005-0000-0000-000008670000}"/>
    <cellStyle name="Normal 47 26 2 5" xfId="26373" xr:uid="{00000000-0005-0000-0000-000009670000}"/>
    <cellStyle name="Normal 47 26 2 6" xfId="26374" xr:uid="{00000000-0005-0000-0000-00000A670000}"/>
    <cellStyle name="Normal 47 26 3" xfId="26375" xr:uid="{00000000-0005-0000-0000-00000B670000}"/>
    <cellStyle name="Normal 47 26 3 2" xfId="26376" xr:uid="{00000000-0005-0000-0000-00000C670000}"/>
    <cellStyle name="Normal 47 26 3 3" xfId="26377" xr:uid="{00000000-0005-0000-0000-00000D670000}"/>
    <cellStyle name="Normal 47 26 3 4" xfId="26378" xr:uid="{00000000-0005-0000-0000-00000E670000}"/>
    <cellStyle name="Normal 47 26 3 5" xfId="26379" xr:uid="{00000000-0005-0000-0000-00000F670000}"/>
    <cellStyle name="Normal 47 26 3 6" xfId="26380" xr:uid="{00000000-0005-0000-0000-000010670000}"/>
    <cellStyle name="Normal 47 26 4" xfId="26381" xr:uid="{00000000-0005-0000-0000-000011670000}"/>
    <cellStyle name="Normal 47 26 4 2" xfId="26382" xr:uid="{00000000-0005-0000-0000-000012670000}"/>
    <cellStyle name="Normal 47 26 4 3" xfId="26383" xr:uid="{00000000-0005-0000-0000-000013670000}"/>
    <cellStyle name="Normal 47 26 4 4" xfId="26384" xr:uid="{00000000-0005-0000-0000-000014670000}"/>
    <cellStyle name="Normal 47 26 4 5" xfId="26385" xr:uid="{00000000-0005-0000-0000-000015670000}"/>
    <cellStyle name="Normal 47 26 4 6" xfId="26386" xr:uid="{00000000-0005-0000-0000-000016670000}"/>
    <cellStyle name="Normal 47 26 5" xfId="26387" xr:uid="{00000000-0005-0000-0000-000017670000}"/>
    <cellStyle name="Normal 47 26 5 2" xfId="26388" xr:uid="{00000000-0005-0000-0000-000018670000}"/>
    <cellStyle name="Normal 47 26 5 3" xfId="26389" xr:uid="{00000000-0005-0000-0000-000019670000}"/>
    <cellStyle name="Normal 47 26 5 4" xfId="26390" xr:uid="{00000000-0005-0000-0000-00001A670000}"/>
    <cellStyle name="Normal 47 26 5 5" xfId="26391" xr:uid="{00000000-0005-0000-0000-00001B670000}"/>
    <cellStyle name="Normal 47 26 5 6" xfId="26392" xr:uid="{00000000-0005-0000-0000-00001C670000}"/>
    <cellStyle name="Normal 47 26 6" xfId="26393" xr:uid="{00000000-0005-0000-0000-00001D670000}"/>
    <cellStyle name="Normal 47 26 6 2" xfId="26394" xr:uid="{00000000-0005-0000-0000-00001E670000}"/>
    <cellStyle name="Normal 47 26 6 3" xfId="26395" xr:uid="{00000000-0005-0000-0000-00001F670000}"/>
    <cellStyle name="Normal 47 26 6 4" xfId="26396" xr:uid="{00000000-0005-0000-0000-000020670000}"/>
    <cellStyle name="Normal 47 26 6 5" xfId="26397" xr:uid="{00000000-0005-0000-0000-000021670000}"/>
    <cellStyle name="Normal 47 26 6 6" xfId="26398" xr:uid="{00000000-0005-0000-0000-000022670000}"/>
    <cellStyle name="Normal 47 26 7" xfId="26399" xr:uid="{00000000-0005-0000-0000-000023670000}"/>
    <cellStyle name="Normal 47 26 7 2" xfId="26400" xr:uid="{00000000-0005-0000-0000-000024670000}"/>
    <cellStyle name="Normal 47 26 7 3" xfId="26401" xr:uid="{00000000-0005-0000-0000-000025670000}"/>
    <cellStyle name="Normal 47 26 7 4" xfId="26402" xr:uid="{00000000-0005-0000-0000-000026670000}"/>
    <cellStyle name="Normal 47 26 7 5" xfId="26403" xr:uid="{00000000-0005-0000-0000-000027670000}"/>
    <cellStyle name="Normal 47 26 7 6" xfId="26404" xr:uid="{00000000-0005-0000-0000-000028670000}"/>
    <cellStyle name="Normal 47 26 8" xfId="26405" xr:uid="{00000000-0005-0000-0000-000029670000}"/>
    <cellStyle name="Normal 47 26 8 2" xfId="26406" xr:uid="{00000000-0005-0000-0000-00002A670000}"/>
    <cellStyle name="Normal 47 26 8 3" xfId="26407" xr:uid="{00000000-0005-0000-0000-00002B670000}"/>
    <cellStyle name="Normal 47 26 8 4" xfId="26408" xr:uid="{00000000-0005-0000-0000-00002C670000}"/>
    <cellStyle name="Normal 47 26 8 5" xfId="26409" xr:uid="{00000000-0005-0000-0000-00002D670000}"/>
    <cellStyle name="Normal 47 26 8 6" xfId="26410" xr:uid="{00000000-0005-0000-0000-00002E670000}"/>
    <cellStyle name="Normal 47 26 9" xfId="26411" xr:uid="{00000000-0005-0000-0000-00002F670000}"/>
    <cellStyle name="Normal 47 26 9 2" xfId="26412" xr:uid="{00000000-0005-0000-0000-000030670000}"/>
    <cellStyle name="Normal 47 26 9 3" xfId="26413" xr:uid="{00000000-0005-0000-0000-000031670000}"/>
    <cellStyle name="Normal 47 26 9 4" xfId="26414" xr:uid="{00000000-0005-0000-0000-000032670000}"/>
    <cellStyle name="Normal 47 26 9 5" xfId="26415" xr:uid="{00000000-0005-0000-0000-000033670000}"/>
    <cellStyle name="Normal 47 26 9 6" xfId="26416" xr:uid="{00000000-0005-0000-0000-000034670000}"/>
    <cellStyle name="Normal 47 27" xfId="26417" xr:uid="{00000000-0005-0000-0000-000035670000}"/>
    <cellStyle name="Normal 47 27 10" xfId="26418" xr:uid="{00000000-0005-0000-0000-000036670000}"/>
    <cellStyle name="Normal 47 27 11" xfId="26419" xr:uid="{00000000-0005-0000-0000-000037670000}"/>
    <cellStyle name="Normal 47 27 12" xfId="26420" xr:uid="{00000000-0005-0000-0000-000038670000}"/>
    <cellStyle name="Normal 47 27 13" xfId="26421" xr:uid="{00000000-0005-0000-0000-000039670000}"/>
    <cellStyle name="Normal 47 27 14" xfId="26422" xr:uid="{00000000-0005-0000-0000-00003A670000}"/>
    <cellStyle name="Normal 47 27 2" xfId="26423" xr:uid="{00000000-0005-0000-0000-00003B670000}"/>
    <cellStyle name="Normal 47 27 2 2" xfId="26424" xr:uid="{00000000-0005-0000-0000-00003C670000}"/>
    <cellStyle name="Normal 47 27 2 3" xfId="26425" xr:uid="{00000000-0005-0000-0000-00003D670000}"/>
    <cellStyle name="Normal 47 27 2 4" xfId="26426" xr:uid="{00000000-0005-0000-0000-00003E670000}"/>
    <cellStyle name="Normal 47 27 2 5" xfId="26427" xr:uid="{00000000-0005-0000-0000-00003F670000}"/>
    <cellStyle name="Normal 47 27 2 6" xfId="26428" xr:uid="{00000000-0005-0000-0000-000040670000}"/>
    <cellStyle name="Normal 47 27 3" xfId="26429" xr:uid="{00000000-0005-0000-0000-000041670000}"/>
    <cellStyle name="Normal 47 27 3 2" xfId="26430" xr:uid="{00000000-0005-0000-0000-000042670000}"/>
    <cellStyle name="Normal 47 27 3 3" xfId="26431" xr:uid="{00000000-0005-0000-0000-000043670000}"/>
    <cellStyle name="Normal 47 27 3 4" xfId="26432" xr:uid="{00000000-0005-0000-0000-000044670000}"/>
    <cellStyle name="Normal 47 27 3 5" xfId="26433" xr:uid="{00000000-0005-0000-0000-000045670000}"/>
    <cellStyle name="Normal 47 27 3 6" xfId="26434" xr:uid="{00000000-0005-0000-0000-000046670000}"/>
    <cellStyle name="Normal 47 27 4" xfId="26435" xr:uid="{00000000-0005-0000-0000-000047670000}"/>
    <cellStyle name="Normal 47 27 4 2" xfId="26436" xr:uid="{00000000-0005-0000-0000-000048670000}"/>
    <cellStyle name="Normal 47 27 4 3" xfId="26437" xr:uid="{00000000-0005-0000-0000-000049670000}"/>
    <cellStyle name="Normal 47 27 4 4" xfId="26438" xr:uid="{00000000-0005-0000-0000-00004A670000}"/>
    <cellStyle name="Normal 47 27 4 5" xfId="26439" xr:uid="{00000000-0005-0000-0000-00004B670000}"/>
    <cellStyle name="Normal 47 27 4 6" xfId="26440" xr:uid="{00000000-0005-0000-0000-00004C670000}"/>
    <cellStyle name="Normal 47 27 5" xfId="26441" xr:uid="{00000000-0005-0000-0000-00004D670000}"/>
    <cellStyle name="Normal 47 27 5 2" xfId="26442" xr:uid="{00000000-0005-0000-0000-00004E670000}"/>
    <cellStyle name="Normal 47 27 5 3" xfId="26443" xr:uid="{00000000-0005-0000-0000-00004F670000}"/>
    <cellStyle name="Normal 47 27 5 4" xfId="26444" xr:uid="{00000000-0005-0000-0000-000050670000}"/>
    <cellStyle name="Normal 47 27 5 5" xfId="26445" xr:uid="{00000000-0005-0000-0000-000051670000}"/>
    <cellStyle name="Normal 47 27 5 6" xfId="26446" xr:uid="{00000000-0005-0000-0000-000052670000}"/>
    <cellStyle name="Normal 47 27 6" xfId="26447" xr:uid="{00000000-0005-0000-0000-000053670000}"/>
    <cellStyle name="Normal 47 27 6 2" xfId="26448" xr:uid="{00000000-0005-0000-0000-000054670000}"/>
    <cellStyle name="Normal 47 27 6 3" xfId="26449" xr:uid="{00000000-0005-0000-0000-000055670000}"/>
    <cellStyle name="Normal 47 27 6 4" xfId="26450" xr:uid="{00000000-0005-0000-0000-000056670000}"/>
    <cellStyle name="Normal 47 27 6 5" xfId="26451" xr:uid="{00000000-0005-0000-0000-000057670000}"/>
    <cellStyle name="Normal 47 27 6 6" xfId="26452" xr:uid="{00000000-0005-0000-0000-000058670000}"/>
    <cellStyle name="Normal 47 27 7" xfId="26453" xr:uid="{00000000-0005-0000-0000-000059670000}"/>
    <cellStyle name="Normal 47 27 7 2" xfId="26454" xr:uid="{00000000-0005-0000-0000-00005A670000}"/>
    <cellStyle name="Normal 47 27 7 3" xfId="26455" xr:uid="{00000000-0005-0000-0000-00005B670000}"/>
    <cellStyle name="Normal 47 27 7 4" xfId="26456" xr:uid="{00000000-0005-0000-0000-00005C670000}"/>
    <cellStyle name="Normal 47 27 7 5" xfId="26457" xr:uid="{00000000-0005-0000-0000-00005D670000}"/>
    <cellStyle name="Normal 47 27 7 6" xfId="26458" xr:uid="{00000000-0005-0000-0000-00005E670000}"/>
    <cellStyle name="Normal 47 27 8" xfId="26459" xr:uid="{00000000-0005-0000-0000-00005F670000}"/>
    <cellStyle name="Normal 47 27 8 2" xfId="26460" xr:uid="{00000000-0005-0000-0000-000060670000}"/>
    <cellStyle name="Normal 47 27 8 3" xfId="26461" xr:uid="{00000000-0005-0000-0000-000061670000}"/>
    <cellStyle name="Normal 47 27 8 4" xfId="26462" xr:uid="{00000000-0005-0000-0000-000062670000}"/>
    <cellStyle name="Normal 47 27 8 5" xfId="26463" xr:uid="{00000000-0005-0000-0000-000063670000}"/>
    <cellStyle name="Normal 47 27 8 6" xfId="26464" xr:uid="{00000000-0005-0000-0000-000064670000}"/>
    <cellStyle name="Normal 47 27 9" xfId="26465" xr:uid="{00000000-0005-0000-0000-000065670000}"/>
    <cellStyle name="Normal 47 27 9 2" xfId="26466" xr:uid="{00000000-0005-0000-0000-000066670000}"/>
    <cellStyle name="Normal 47 27 9 3" xfId="26467" xr:uid="{00000000-0005-0000-0000-000067670000}"/>
    <cellStyle name="Normal 47 27 9 4" xfId="26468" xr:uid="{00000000-0005-0000-0000-000068670000}"/>
    <cellStyle name="Normal 47 27 9 5" xfId="26469" xr:uid="{00000000-0005-0000-0000-000069670000}"/>
    <cellStyle name="Normal 47 27 9 6" xfId="26470" xr:uid="{00000000-0005-0000-0000-00006A670000}"/>
    <cellStyle name="Normal 47 28" xfId="26471" xr:uid="{00000000-0005-0000-0000-00006B670000}"/>
    <cellStyle name="Normal 47 28 10" xfId="26472" xr:uid="{00000000-0005-0000-0000-00006C670000}"/>
    <cellStyle name="Normal 47 28 11" xfId="26473" xr:uid="{00000000-0005-0000-0000-00006D670000}"/>
    <cellStyle name="Normal 47 28 12" xfId="26474" xr:uid="{00000000-0005-0000-0000-00006E670000}"/>
    <cellStyle name="Normal 47 28 13" xfId="26475" xr:uid="{00000000-0005-0000-0000-00006F670000}"/>
    <cellStyle name="Normal 47 28 14" xfId="26476" xr:uid="{00000000-0005-0000-0000-000070670000}"/>
    <cellStyle name="Normal 47 28 2" xfId="26477" xr:uid="{00000000-0005-0000-0000-000071670000}"/>
    <cellStyle name="Normal 47 28 2 2" xfId="26478" xr:uid="{00000000-0005-0000-0000-000072670000}"/>
    <cellStyle name="Normal 47 28 2 3" xfId="26479" xr:uid="{00000000-0005-0000-0000-000073670000}"/>
    <cellStyle name="Normal 47 28 2 4" xfId="26480" xr:uid="{00000000-0005-0000-0000-000074670000}"/>
    <cellStyle name="Normal 47 28 2 5" xfId="26481" xr:uid="{00000000-0005-0000-0000-000075670000}"/>
    <cellStyle name="Normal 47 28 2 6" xfId="26482" xr:uid="{00000000-0005-0000-0000-000076670000}"/>
    <cellStyle name="Normal 47 28 3" xfId="26483" xr:uid="{00000000-0005-0000-0000-000077670000}"/>
    <cellStyle name="Normal 47 28 3 2" xfId="26484" xr:uid="{00000000-0005-0000-0000-000078670000}"/>
    <cellStyle name="Normal 47 28 3 3" xfId="26485" xr:uid="{00000000-0005-0000-0000-000079670000}"/>
    <cellStyle name="Normal 47 28 3 4" xfId="26486" xr:uid="{00000000-0005-0000-0000-00007A670000}"/>
    <cellStyle name="Normal 47 28 3 5" xfId="26487" xr:uid="{00000000-0005-0000-0000-00007B670000}"/>
    <cellStyle name="Normal 47 28 3 6" xfId="26488" xr:uid="{00000000-0005-0000-0000-00007C670000}"/>
    <cellStyle name="Normal 47 28 4" xfId="26489" xr:uid="{00000000-0005-0000-0000-00007D670000}"/>
    <cellStyle name="Normal 47 28 4 2" xfId="26490" xr:uid="{00000000-0005-0000-0000-00007E670000}"/>
    <cellStyle name="Normal 47 28 4 3" xfId="26491" xr:uid="{00000000-0005-0000-0000-00007F670000}"/>
    <cellStyle name="Normal 47 28 4 4" xfId="26492" xr:uid="{00000000-0005-0000-0000-000080670000}"/>
    <cellStyle name="Normal 47 28 4 5" xfId="26493" xr:uid="{00000000-0005-0000-0000-000081670000}"/>
    <cellStyle name="Normal 47 28 4 6" xfId="26494" xr:uid="{00000000-0005-0000-0000-000082670000}"/>
    <cellStyle name="Normal 47 28 5" xfId="26495" xr:uid="{00000000-0005-0000-0000-000083670000}"/>
    <cellStyle name="Normal 47 28 5 2" xfId="26496" xr:uid="{00000000-0005-0000-0000-000084670000}"/>
    <cellStyle name="Normal 47 28 5 3" xfId="26497" xr:uid="{00000000-0005-0000-0000-000085670000}"/>
    <cellStyle name="Normal 47 28 5 4" xfId="26498" xr:uid="{00000000-0005-0000-0000-000086670000}"/>
    <cellStyle name="Normal 47 28 5 5" xfId="26499" xr:uid="{00000000-0005-0000-0000-000087670000}"/>
    <cellStyle name="Normal 47 28 5 6" xfId="26500" xr:uid="{00000000-0005-0000-0000-000088670000}"/>
    <cellStyle name="Normal 47 28 6" xfId="26501" xr:uid="{00000000-0005-0000-0000-000089670000}"/>
    <cellStyle name="Normal 47 28 6 2" xfId="26502" xr:uid="{00000000-0005-0000-0000-00008A670000}"/>
    <cellStyle name="Normal 47 28 6 3" xfId="26503" xr:uid="{00000000-0005-0000-0000-00008B670000}"/>
    <cellStyle name="Normal 47 28 6 4" xfId="26504" xr:uid="{00000000-0005-0000-0000-00008C670000}"/>
    <cellStyle name="Normal 47 28 6 5" xfId="26505" xr:uid="{00000000-0005-0000-0000-00008D670000}"/>
    <cellStyle name="Normal 47 28 6 6" xfId="26506" xr:uid="{00000000-0005-0000-0000-00008E670000}"/>
    <cellStyle name="Normal 47 28 7" xfId="26507" xr:uid="{00000000-0005-0000-0000-00008F670000}"/>
    <cellStyle name="Normal 47 28 7 2" xfId="26508" xr:uid="{00000000-0005-0000-0000-000090670000}"/>
    <cellStyle name="Normal 47 28 7 3" xfId="26509" xr:uid="{00000000-0005-0000-0000-000091670000}"/>
    <cellStyle name="Normal 47 28 7 4" xfId="26510" xr:uid="{00000000-0005-0000-0000-000092670000}"/>
    <cellStyle name="Normal 47 28 7 5" xfId="26511" xr:uid="{00000000-0005-0000-0000-000093670000}"/>
    <cellStyle name="Normal 47 28 7 6" xfId="26512" xr:uid="{00000000-0005-0000-0000-000094670000}"/>
    <cellStyle name="Normal 47 28 8" xfId="26513" xr:uid="{00000000-0005-0000-0000-000095670000}"/>
    <cellStyle name="Normal 47 28 8 2" xfId="26514" xr:uid="{00000000-0005-0000-0000-000096670000}"/>
    <cellStyle name="Normal 47 28 8 3" xfId="26515" xr:uid="{00000000-0005-0000-0000-000097670000}"/>
    <cellStyle name="Normal 47 28 8 4" xfId="26516" xr:uid="{00000000-0005-0000-0000-000098670000}"/>
    <cellStyle name="Normal 47 28 8 5" xfId="26517" xr:uid="{00000000-0005-0000-0000-000099670000}"/>
    <cellStyle name="Normal 47 28 8 6" xfId="26518" xr:uid="{00000000-0005-0000-0000-00009A670000}"/>
    <cellStyle name="Normal 47 28 9" xfId="26519" xr:uid="{00000000-0005-0000-0000-00009B670000}"/>
    <cellStyle name="Normal 47 28 9 2" xfId="26520" xr:uid="{00000000-0005-0000-0000-00009C670000}"/>
    <cellStyle name="Normal 47 28 9 3" xfId="26521" xr:uid="{00000000-0005-0000-0000-00009D670000}"/>
    <cellStyle name="Normal 47 28 9 4" xfId="26522" xr:uid="{00000000-0005-0000-0000-00009E670000}"/>
    <cellStyle name="Normal 47 28 9 5" xfId="26523" xr:uid="{00000000-0005-0000-0000-00009F670000}"/>
    <cellStyle name="Normal 47 28 9 6" xfId="26524" xr:uid="{00000000-0005-0000-0000-0000A0670000}"/>
    <cellStyle name="Normal 47 29" xfId="26525" xr:uid="{00000000-0005-0000-0000-0000A1670000}"/>
    <cellStyle name="Normal 47 29 10" xfId="26526" xr:uid="{00000000-0005-0000-0000-0000A2670000}"/>
    <cellStyle name="Normal 47 29 11" xfId="26527" xr:uid="{00000000-0005-0000-0000-0000A3670000}"/>
    <cellStyle name="Normal 47 29 12" xfId="26528" xr:uid="{00000000-0005-0000-0000-0000A4670000}"/>
    <cellStyle name="Normal 47 29 13" xfId="26529" xr:uid="{00000000-0005-0000-0000-0000A5670000}"/>
    <cellStyle name="Normal 47 29 14" xfId="26530" xr:uid="{00000000-0005-0000-0000-0000A6670000}"/>
    <cellStyle name="Normal 47 29 2" xfId="26531" xr:uid="{00000000-0005-0000-0000-0000A7670000}"/>
    <cellStyle name="Normal 47 29 2 2" xfId="26532" xr:uid="{00000000-0005-0000-0000-0000A8670000}"/>
    <cellStyle name="Normal 47 29 2 3" xfId="26533" xr:uid="{00000000-0005-0000-0000-0000A9670000}"/>
    <cellStyle name="Normal 47 29 2 4" xfId="26534" xr:uid="{00000000-0005-0000-0000-0000AA670000}"/>
    <cellStyle name="Normal 47 29 2 5" xfId="26535" xr:uid="{00000000-0005-0000-0000-0000AB670000}"/>
    <cellStyle name="Normal 47 29 2 6" xfId="26536" xr:uid="{00000000-0005-0000-0000-0000AC670000}"/>
    <cellStyle name="Normal 47 29 3" xfId="26537" xr:uid="{00000000-0005-0000-0000-0000AD670000}"/>
    <cellStyle name="Normal 47 29 3 2" xfId="26538" xr:uid="{00000000-0005-0000-0000-0000AE670000}"/>
    <cellStyle name="Normal 47 29 3 3" xfId="26539" xr:uid="{00000000-0005-0000-0000-0000AF670000}"/>
    <cellStyle name="Normal 47 29 3 4" xfId="26540" xr:uid="{00000000-0005-0000-0000-0000B0670000}"/>
    <cellStyle name="Normal 47 29 3 5" xfId="26541" xr:uid="{00000000-0005-0000-0000-0000B1670000}"/>
    <cellStyle name="Normal 47 29 3 6" xfId="26542" xr:uid="{00000000-0005-0000-0000-0000B2670000}"/>
    <cellStyle name="Normal 47 29 4" xfId="26543" xr:uid="{00000000-0005-0000-0000-0000B3670000}"/>
    <cellStyle name="Normal 47 29 4 2" xfId="26544" xr:uid="{00000000-0005-0000-0000-0000B4670000}"/>
    <cellStyle name="Normal 47 29 4 3" xfId="26545" xr:uid="{00000000-0005-0000-0000-0000B5670000}"/>
    <cellStyle name="Normal 47 29 4 4" xfId="26546" xr:uid="{00000000-0005-0000-0000-0000B6670000}"/>
    <cellStyle name="Normal 47 29 4 5" xfId="26547" xr:uid="{00000000-0005-0000-0000-0000B7670000}"/>
    <cellStyle name="Normal 47 29 4 6" xfId="26548" xr:uid="{00000000-0005-0000-0000-0000B8670000}"/>
    <cellStyle name="Normal 47 29 5" xfId="26549" xr:uid="{00000000-0005-0000-0000-0000B9670000}"/>
    <cellStyle name="Normal 47 29 5 2" xfId="26550" xr:uid="{00000000-0005-0000-0000-0000BA670000}"/>
    <cellStyle name="Normal 47 29 5 3" xfId="26551" xr:uid="{00000000-0005-0000-0000-0000BB670000}"/>
    <cellStyle name="Normal 47 29 5 4" xfId="26552" xr:uid="{00000000-0005-0000-0000-0000BC670000}"/>
    <cellStyle name="Normal 47 29 5 5" xfId="26553" xr:uid="{00000000-0005-0000-0000-0000BD670000}"/>
    <cellStyle name="Normal 47 29 5 6" xfId="26554" xr:uid="{00000000-0005-0000-0000-0000BE670000}"/>
    <cellStyle name="Normal 47 29 6" xfId="26555" xr:uid="{00000000-0005-0000-0000-0000BF670000}"/>
    <cellStyle name="Normal 47 29 6 2" xfId="26556" xr:uid="{00000000-0005-0000-0000-0000C0670000}"/>
    <cellStyle name="Normal 47 29 6 3" xfId="26557" xr:uid="{00000000-0005-0000-0000-0000C1670000}"/>
    <cellStyle name="Normal 47 29 6 4" xfId="26558" xr:uid="{00000000-0005-0000-0000-0000C2670000}"/>
    <cellStyle name="Normal 47 29 6 5" xfId="26559" xr:uid="{00000000-0005-0000-0000-0000C3670000}"/>
    <cellStyle name="Normal 47 29 6 6" xfId="26560" xr:uid="{00000000-0005-0000-0000-0000C4670000}"/>
    <cellStyle name="Normal 47 29 7" xfId="26561" xr:uid="{00000000-0005-0000-0000-0000C5670000}"/>
    <cellStyle name="Normal 47 29 7 2" xfId="26562" xr:uid="{00000000-0005-0000-0000-0000C6670000}"/>
    <cellStyle name="Normal 47 29 7 3" xfId="26563" xr:uid="{00000000-0005-0000-0000-0000C7670000}"/>
    <cellStyle name="Normal 47 29 7 4" xfId="26564" xr:uid="{00000000-0005-0000-0000-0000C8670000}"/>
    <cellStyle name="Normal 47 29 7 5" xfId="26565" xr:uid="{00000000-0005-0000-0000-0000C9670000}"/>
    <cellStyle name="Normal 47 29 7 6" xfId="26566" xr:uid="{00000000-0005-0000-0000-0000CA670000}"/>
    <cellStyle name="Normal 47 29 8" xfId="26567" xr:uid="{00000000-0005-0000-0000-0000CB670000}"/>
    <cellStyle name="Normal 47 29 8 2" xfId="26568" xr:uid="{00000000-0005-0000-0000-0000CC670000}"/>
    <cellStyle name="Normal 47 29 8 3" xfId="26569" xr:uid="{00000000-0005-0000-0000-0000CD670000}"/>
    <cellStyle name="Normal 47 29 8 4" xfId="26570" xr:uid="{00000000-0005-0000-0000-0000CE670000}"/>
    <cellStyle name="Normal 47 29 8 5" xfId="26571" xr:uid="{00000000-0005-0000-0000-0000CF670000}"/>
    <cellStyle name="Normal 47 29 8 6" xfId="26572" xr:uid="{00000000-0005-0000-0000-0000D0670000}"/>
    <cellStyle name="Normal 47 29 9" xfId="26573" xr:uid="{00000000-0005-0000-0000-0000D1670000}"/>
    <cellStyle name="Normal 47 29 9 2" xfId="26574" xr:uid="{00000000-0005-0000-0000-0000D2670000}"/>
    <cellStyle name="Normal 47 29 9 3" xfId="26575" xr:uid="{00000000-0005-0000-0000-0000D3670000}"/>
    <cellStyle name="Normal 47 29 9 4" xfId="26576" xr:uid="{00000000-0005-0000-0000-0000D4670000}"/>
    <cellStyle name="Normal 47 29 9 5" xfId="26577" xr:uid="{00000000-0005-0000-0000-0000D5670000}"/>
    <cellStyle name="Normal 47 29 9 6" xfId="26578" xr:uid="{00000000-0005-0000-0000-0000D6670000}"/>
    <cellStyle name="Normal 47 3" xfId="26579" xr:uid="{00000000-0005-0000-0000-0000D7670000}"/>
    <cellStyle name="Normal 47 3 10" xfId="26580" xr:uid="{00000000-0005-0000-0000-0000D8670000}"/>
    <cellStyle name="Normal 47 3 11" xfId="26581" xr:uid="{00000000-0005-0000-0000-0000D9670000}"/>
    <cellStyle name="Normal 47 3 12" xfId="26582" xr:uid="{00000000-0005-0000-0000-0000DA670000}"/>
    <cellStyle name="Normal 47 3 13" xfId="26583" xr:uid="{00000000-0005-0000-0000-0000DB670000}"/>
    <cellStyle name="Normal 47 3 14" xfId="26584" xr:uid="{00000000-0005-0000-0000-0000DC670000}"/>
    <cellStyle name="Normal 47 3 2" xfId="26585" xr:uid="{00000000-0005-0000-0000-0000DD670000}"/>
    <cellStyle name="Normal 47 3 2 2" xfId="26586" xr:uid="{00000000-0005-0000-0000-0000DE670000}"/>
    <cellStyle name="Normal 47 3 2 3" xfId="26587" xr:uid="{00000000-0005-0000-0000-0000DF670000}"/>
    <cellStyle name="Normal 47 3 2 4" xfId="26588" xr:uid="{00000000-0005-0000-0000-0000E0670000}"/>
    <cellStyle name="Normal 47 3 2 5" xfId="26589" xr:uid="{00000000-0005-0000-0000-0000E1670000}"/>
    <cellStyle name="Normal 47 3 2 6" xfId="26590" xr:uid="{00000000-0005-0000-0000-0000E2670000}"/>
    <cellStyle name="Normal 47 3 3" xfId="26591" xr:uid="{00000000-0005-0000-0000-0000E3670000}"/>
    <cellStyle name="Normal 47 3 3 2" xfId="26592" xr:uid="{00000000-0005-0000-0000-0000E4670000}"/>
    <cellStyle name="Normal 47 3 3 3" xfId="26593" xr:uid="{00000000-0005-0000-0000-0000E5670000}"/>
    <cellStyle name="Normal 47 3 3 4" xfId="26594" xr:uid="{00000000-0005-0000-0000-0000E6670000}"/>
    <cellStyle name="Normal 47 3 3 5" xfId="26595" xr:uid="{00000000-0005-0000-0000-0000E7670000}"/>
    <cellStyle name="Normal 47 3 3 6" xfId="26596" xr:uid="{00000000-0005-0000-0000-0000E8670000}"/>
    <cellStyle name="Normal 47 3 4" xfId="26597" xr:uid="{00000000-0005-0000-0000-0000E9670000}"/>
    <cellStyle name="Normal 47 3 4 2" xfId="26598" xr:uid="{00000000-0005-0000-0000-0000EA670000}"/>
    <cellStyle name="Normal 47 3 4 3" xfId="26599" xr:uid="{00000000-0005-0000-0000-0000EB670000}"/>
    <cellStyle name="Normal 47 3 4 4" xfId="26600" xr:uid="{00000000-0005-0000-0000-0000EC670000}"/>
    <cellStyle name="Normal 47 3 4 5" xfId="26601" xr:uid="{00000000-0005-0000-0000-0000ED670000}"/>
    <cellStyle name="Normal 47 3 4 6" xfId="26602" xr:uid="{00000000-0005-0000-0000-0000EE670000}"/>
    <cellStyle name="Normal 47 3 5" xfId="26603" xr:uid="{00000000-0005-0000-0000-0000EF670000}"/>
    <cellStyle name="Normal 47 3 5 2" xfId="26604" xr:uid="{00000000-0005-0000-0000-0000F0670000}"/>
    <cellStyle name="Normal 47 3 5 3" xfId="26605" xr:uid="{00000000-0005-0000-0000-0000F1670000}"/>
    <cellStyle name="Normal 47 3 5 4" xfId="26606" xr:uid="{00000000-0005-0000-0000-0000F2670000}"/>
    <cellStyle name="Normal 47 3 5 5" xfId="26607" xr:uid="{00000000-0005-0000-0000-0000F3670000}"/>
    <cellStyle name="Normal 47 3 5 6" xfId="26608" xr:uid="{00000000-0005-0000-0000-0000F4670000}"/>
    <cellStyle name="Normal 47 3 6" xfId="26609" xr:uid="{00000000-0005-0000-0000-0000F5670000}"/>
    <cellStyle name="Normal 47 3 6 2" xfId="26610" xr:uid="{00000000-0005-0000-0000-0000F6670000}"/>
    <cellStyle name="Normal 47 3 6 3" xfId="26611" xr:uid="{00000000-0005-0000-0000-0000F7670000}"/>
    <cellStyle name="Normal 47 3 6 4" xfId="26612" xr:uid="{00000000-0005-0000-0000-0000F8670000}"/>
    <cellStyle name="Normal 47 3 6 5" xfId="26613" xr:uid="{00000000-0005-0000-0000-0000F9670000}"/>
    <cellStyle name="Normal 47 3 6 6" xfId="26614" xr:uid="{00000000-0005-0000-0000-0000FA670000}"/>
    <cellStyle name="Normal 47 3 7" xfId="26615" xr:uid="{00000000-0005-0000-0000-0000FB670000}"/>
    <cellStyle name="Normal 47 3 7 2" xfId="26616" xr:uid="{00000000-0005-0000-0000-0000FC670000}"/>
    <cellStyle name="Normal 47 3 7 3" xfId="26617" xr:uid="{00000000-0005-0000-0000-0000FD670000}"/>
    <cellStyle name="Normal 47 3 7 4" xfId="26618" xr:uid="{00000000-0005-0000-0000-0000FE670000}"/>
    <cellStyle name="Normal 47 3 7 5" xfId="26619" xr:uid="{00000000-0005-0000-0000-0000FF670000}"/>
    <cellStyle name="Normal 47 3 7 6" xfId="26620" xr:uid="{00000000-0005-0000-0000-000000680000}"/>
    <cellStyle name="Normal 47 3 8" xfId="26621" xr:uid="{00000000-0005-0000-0000-000001680000}"/>
    <cellStyle name="Normal 47 3 8 2" xfId="26622" xr:uid="{00000000-0005-0000-0000-000002680000}"/>
    <cellStyle name="Normal 47 3 8 3" xfId="26623" xr:uid="{00000000-0005-0000-0000-000003680000}"/>
    <cellStyle name="Normal 47 3 8 4" xfId="26624" xr:uid="{00000000-0005-0000-0000-000004680000}"/>
    <cellStyle name="Normal 47 3 8 5" xfId="26625" xr:uid="{00000000-0005-0000-0000-000005680000}"/>
    <cellStyle name="Normal 47 3 8 6" xfId="26626" xr:uid="{00000000-0005-0000-0000-000006680000}"/>
    <cellStyle name="Normal 47 3 9" xfId="26627" xr:uid="{00000000-0005-0000-0000-000007680000}"/>
    <cellStyle name="Normal 47 3 9 2" xfId="26628" xr:uid="{00000000-0005-0000-0000-000008680000}"/>
    <cellStyle name="Normal 47 3 9 3" xfId="26629" xr:uid="{00000000-0005-0000-0000-000009680000}"/>
    <cellStyle name="Normal 47 3 9 4" xfId="26630" xr:uid="{00000000-0005-0000-0000-00000A680000}"/>
    <cellStyle name="Normal 47 3 9 5" xfId="26631" xr:uid="{00000000-0005-0000-0000-00000B680000}"/>
    <cellStyle name="Normal 47 3 9 6" xfId="26632" xr:uid="{00000000-0005-0000-0000-00000C680000}"/>
    <cellStyle name="Normal 47 30" xfId="26633" xr:uid="{00000000-0005-0000-0000-00000D680000}"/>
    <cellStyle name="Normal 47 30 10" xfId="26634" xr:uid="{00000000-0005-0000-0000-00000E680000}"/>
    <cellStyle name="Normal 47 30 11" xfId="26635" xr:uid="{00000000-0005-0000-0000-00000F680000}"/>
    <cellStyle name="Normal 47 30 12" xfId="26636" xr:uid="{00000000-0005-0000-0000-000010680000}"/>
    <cellStyle name="Normal 47 30 13" xfId="26637" xr:uid="{00000000-0005-0000-0000-000011680000}"/>
    <cellStyle name="Normal 47 30 14" xfId="26638" xr:uid="{00000000-0005-0000-0000-000012680000}"/>
    <cellStyle name="Normal 47 30 2" xfId="26639" xr:uid="{00000000-0005-0000-0000-000013680000}"/>
    <cellStyle name="Normal 47 30 2 2" xfId="26640" xr:uid="{00000000-0005-0000-0000-000014680000}"/>
    <cellStyle name="Normal 47 30 2 3" xfId="26641" xr:uid="{00000000-0005-0000-0000-000015680000}"/>
    <cellStyle name="Normal 47 30 2 4" xfId="26642" xr:uid="{00000000-0005-0000-0000-000016680000}"/>
    <cellStyle name="Normal 47 30 2 5" xfId="26643" xr:uid="{00000000-0005-0000-0000-000017680000}"/>
    <cellStyle name="Normal 47 30 2 6" xfId="26644" xr:uid="{00000000-0005-0000-0000-000018680000}"/>
    <cellStyle name="Normal 47 30 3" xfId="26645" xr:uid="{00000000-0005-0000-0000-000019680000}"/>
    <cellStyle name="Normal 47 30 3 2" xfId="26646" xr:uid="{00000000-0005-0000-0000-00001A680000}"/>
    <cellStyle name="Normal 47 30 3 3" xfId="26647" xr:uid="{00000000-0005-0000-0000-00001B680000}"/>
    <cellStyle name="Normal 47 30 3 4" xfId="26648" xr:uid="{00000000-0005-0000-0000-00001C680000}"/>
    <cellStyle name="Normal 47 30 3 5" xfId="26649" xr:uid="{00000000-0005-0000-0000-00001D680000}"/>
    <cellStyle name="Normal 47 30 3 6" xfId="26650" xr:uid="{00000000-0005-0000-0000-00001E680000}"/>
    <cellStyle name="Normal 47 30 4" xfId="26651" xr:uid="{00000000-0005-0000-0000-00001F680000}"/>
    <cellStyle name="Normal 47 30 4 2" xfId="26652" xr:uid="{00000000-0005-0000-0000-000020680000}"/>
    <cellStyle name="Normal 47 30 4 3" xfId="26653" xr:uid="{00000000-0005-0000-0000-000021680000}"/>
    <cellStyle name="Normal 47 30 4 4" xfId="26654" xr:uid="{00000000-0005-0000-0000-000022680000}"/>
    <cellStyle name="Normal 47 30 4 5" xfId="26655" xr:uid="{00000000-0005-0000-0000-000023680000}"/>
    <cellStyle name="Normal 47 30 4 6" xfId="26656" xr:uid="{00000000-0005-0000-0000-000024680000}"/>
    <cellStyle name="Normal 47 30 5" xfId="26657" xr:uid="{00000000-0005-0000-0000-000025680000}"/>
    <cellStyle name="Normal 47 30 5 2" xfId="26658" xr:uid="{00000000-0005-0000-0000-000026680000}"/>
    <cellStyle name="Normal 47 30 5 3" xfId="26659" xr:uid="{00000000-0005-0000-0000-000027680000}"/>
    <cellStyle name="Normal 47 30 5 4" xfId="26660" xr:uid="{00000000-0005-0000-0000-000028680000}"/>
    <cellStyle name="Normal 47 30 5 5" xfId="26661" xr:uid="{00000000-0005-0000-0000-000029680000}"/>
    <cellStyle name="Normal 47 30 5 6" xfId="26662" xr:uid="{00000000-0005-0000-0000-00002A680000}"/>
    <cellStyle name="Normal 47 30 6" xfId="26663" xr:uid="{00000000-0005-0000-0000-00002B680000}"/>
    <cellStyle name="Normal 47 30 6 2" xfId="26664" xr:uid="{00000000-0005-0000-0000-00002C680000}"/>
    <cellStyle name="Normal 47 30 6 3" xfId="26665" xr:uid="{00000000-0005-0000-0000-00002D680000}"/>
    <cellStyle name="Normal 47 30 6 4" xfId="26666" xr:uid="{00000000-0005-0000-0000-00002E680000}"/>
    <cellStyle name="Normal 47 30 6 5" xfId="26667" xr:uid="{00000000-0005-0000-0000-00002F680000}"/>
    <cellStyle name="Normal 47 30 6 6" xfId="26668" xr:uid="{00000000-0005-0000-0000-000030680000}"/>
    <cellStyle name="Normal 47 30 7" xfId="26669" xr:uid="{00000000-0005-0000-0000-000031680000}"/>
    <cellStyle name="Normal 47 30 7 2" xfId="26670" xr:uid="{00000000-0005-0000-0000-000032680000}"/>
    <cellStyle name="Normal 47 30 7 3" xfId="26671" xr:uid="{00000000-0005-0000-0000-000033680000}"/>
    <cellStyle name="Normal 47 30 7 4" xfId="26672" xr:uid="{00000000-0005-0000-0000-000034680000}"/>
    <cellStyle name="Normal 47 30 7 5" xfId="26673" xr:uid="{00000000-0005-0000-0000-000035680000}"/>
    <cellStyle name="Normal 47 30 7 6" xfId="26674" xr:uid="{00000000-0005-0000-0000-000036680000}"/>
    <cellStyle name="Normal 47 30 8" xfId="26675" xr:uid="{00000000-0005-0000-0000-000037680000}"/>
    <cellStyle name="Normal 47 30 8 2" xfId="26676" xr:uid="{00000000-0005-0000-0000-000038680000}"/>
    <cellStyle name="Normal 47 30 8 3" xfId="26677" xr:uid="{00000000-0005-0000-0000-000039680000}"/>
    <cellStyle name="Normal 47 30 8 4" xfId="26678" xr:uid="{00000000-0005-0000-0000-00003A680000}"/>
    <cellStyle name="Normal 47 30 8 5" xfId="26679" xr:uid="{00000000-0005-0000-0000-00003B680000}"/>
    <cellStyle name="Normal 47 30 8 6" xfId="26680" xr:uid="{00000000-0005-0000-0000-00003C680000}"/>
    <cellStyle name="Normal 47 30 9" xfId="26681" xr:uid="{00000000-0005-0000-0000-00003D680000}"/>
    <cellStyle name="Normal 47 30 9 2" xfId="26682" xr:uid="{00000000-0005-0000-0000-00003E680000}"/>
    <cellStyle name="Normal 47 30 9 3" xfId="26683" xr:uid="{00000000-0005-0000-0000-00003F680000}"/>
    <cellStyle name="Normal 47 30 9 4" xfId="26684" xr:uid="{00000000-0005-0000-0000-000040680000}"/>
    <cellStyle name="Normal 47 30 9 5" xfId="26685" xr:uid="{00000000-0005-0000-0000-000041680000}"/>
    <cellStyle name="Normal 47 30 9 6" xfId="26686" xr:uid="{00000000-0005-0000-0000-000042680000}"/>
    <cellStyle name="Normal 47 31" xfId="26687" xr:uid="{00000000-0005-0000-0000-000043680000}"/>
    <cellStyle name="Normal 47 31 2" xfId="26688" xr:uid="{00000000-0005-0000-0000-000044680000}"/>
    <cellStyle name="Normal 47 31 3" xfId="26689" xr:uid="{00000000-0005-0000-0000-000045680000}"/>
    <cellStyle name="Normal 47 31 4" xfId="26690" xr:uid="{00000000-0005-0000-0000-000046680000}"/>
    <cellStyle name="Normal 47 31 5" xfId="26691" xr:uid="{00000000-0005-0000-0000-000047680000}"/>
    <cellStyle name="Normal 47 31 6" xfId="26692" xr:uid="{00000000-0005-0000-0000-000048680000}"/>
    <cellStyle name="Normal 47 32" xfId="26693" xr:uid="{00000000-0005-0000-0000-000049680000}"/>
    <cellStyle name="Normal 47 32 2" xfId="26694" xr:uid="{00000000-0005-0000-0000-00004A680000}"/>
    <cellStyle name="Normal 47 32 3" xfId="26695" xr:uid="{00000000-0005-0000-0000-00004B680000}"/>
    <cellStyle name="Normal 47 32 4" xfId="26696" xr:uid="{00000000-0005-0000-0000-00004C680000}"/>
    <cellStyle name="Normal 47 32 5" xfId="26697" xr:uid="{00000000-0005-0000-0000-00004D680000}"/>
    <cellStyle name="Normal 47 32 6" xfId="26698" xr:uid="{00000000-0005-0000-0000-00004E680000}"/>
    <cellStyle name="Normal 47 33" xfId="26699" xr:uid="{00000000-0005-0000-0000-00004F680000}"/>
    <cellStyle name="Normal 47 33 2" xfId="26700" xr:uid="{00000000-0005-0000-0000-000050680000}"/>
    <cellStyle name="Normal 47 33 3" xfId="26701" xr:uid="{00000000-0005-0000-0000-000051680000}"/>
    <cellStyle name="Normal 47 33 4" xfId="26702" xr:uid="{00000000-0005-0000-0000-000052680000}"/>
    <cellStyle name="Normal 47 33 5" xfId="26703" xr:uid="{00000000-0005-0000-0000-000053680000}"/>
    <cellStyle name="Normal 47 33 6" xfId="26704" xr:uid="{00000000-0005-0000-0000-000054680000}"/>
    <cellStyle name="Normal 47 34" xfId="26705" xr:uid="{00000000-0005-0000-0000-000055680000}"/>
    <cellStyle name="Normal 47 34 2" xfId="26706" xr:uid="{00000000-0005-0000-0000-000056680000}"/>
    <cellStyle name="Normal 47 34 3" xfId="26707" xr:uid="{00000000-0005-0000-0000-000057680000}"/>
    <cellStyle name="Normal 47 34 4" xfId="26708" xr:uid="{00000000-0005-0000-0000-000058680000}"/>
    <cellStyle name="Normal 47 34 5" xfId="26709" xr:uid="{00000000-0005-0000-0000-000059680000}"/>
    <cellStyle name="Normal 47 34 6" xfId="26710" xr:uid="{00000000-0005-0000-0000-00005A680000}"/>
    <cellStyle name="Normal 47 35" xfId="26711" xr:uid="{00000000-0005-0000-0000-00005B680000}"/>
    <cellStyle name="Normal 47 35 2" xfId="26712" xr:uid="{00000000-0005-0000-0000-00005C680000}"/>
    <cellStyle name="Normal 47 35 3" xfId="26713" xr:uid="{00000000-0005-0000-0000-00005D680000}"/>
    <cellStyle name="Normal 47 35 4" xfId="26714" xr:uid="{00000000-0005-0000-0000-00005E680000}"/>
    <cellStyle name="Normal 47 35 5" xfId="26715" xr:uid="{00000000-0005-0000-0000-00005F680000}"/>
    <cellStyle name="Normal 47 35 6" xfId="26716" xr:uid="{00000000-0005-0000-0000-000060680000}"/>
    <cellStyle name="Normal 47 36" xfId="26717" xr:uid="{00000000-0005-0000-0000-000061680000}"/>
    <cellStyle name="Normal 47 36 2" xfId="26718" xr:uid="{00000000-0005-0000-0000-000062680000}"/>
    <cellStyle name="Normal 47 36 3" xfId="26719" xr:uid="{00000000-0005-0000-0000-000063680000}"/>
    <cellStyle name="Normal 47 36 4" xfId="26720" xr:uid="{00000000-0005-0000-0000-000064680000}"/>
    <cellStyle name="Normal 47 36 5" xfId="26721" xr:uid="{00000000-0005-0000-0000-000065680000}"/>
    <cellStyle name="Normal 47 36 6" xfId="26722" xr:uid="{00000000-0005-0000-0000-000066680000}"/>
    <cellStyle name="Normal 47 37" xfId="26723" xr:uid="{00000000-0005-0000-0000-000067680000}"/>
    <cellStyle name="Normal 47 37 2" xfId="26724" xr:uid="{00000000-0005-0000-0000-000068680000}"/>
    <cellStyle name="Normal 47 37 3" xfId="26725" xr:uid="{00000000-0005-0000-0000-000069680000}"/>
    <cellStyle name="Normal 47 37 4" xfId="26726" xr:uid="{00000000-0005-0000-0000-00006A680000}"/>
    <cellStyle name="Normal 47 37 5" xfId="26727" xr:uid="{00000000-0005-0000-0000-00006B680000}"/>
    <cellStyle name="Normal 47 37 6" xfId="26728" xr:uid="{00000000-0005-0000-0000-00006C680000}"/>
    <cellStyle name="Normal 47 38" xfId="26729" xr:uid="{00000000-0005-0000-0000-00006D680000}"/>
    <cellStyle name="Normal 47 38 2" xfId="26730" xr:uid="{00000000-0005-0000-0000-00006E680000}"/>
    <cellStyle name="Normal 47 38 3" xfId="26731" xr:uid="{00000000-0005-0000-0000-00006F680000}"/>
    <cellStyle name="Normal 47 38 4" xfId="26732" xr:uid="{00000000-0005-0000-0000-000070680000}"/>
    <cellStyle name="Normal 47 38 5" xfId="26733" xr:uid="{00000000-0005-0000-0000-000071680000}"/>
    <cellStyle name="Normal 47 38 6" xfId="26734" xr:uid="{00000000-0005-0000-0000-000072680000}"/>
    <cellStyle name="Normal 47 39" xfId="26735" xr:uid="{00000000-0005-0000-0000-000073680000}"/>
    <cellStyle name="Normal 47 39 2" xfId="26736" xr:uid="{00000000-0005-0000-0000-000074680000}"/>
    <cellStyle name="Normal 47 39 3" xfId="26737" xr:uid="{00000000-0005-0000-0000-000075680000}"/>
    <cellStyle name="Normal 47 39 4" xfId="26738" xr:uid="{00000000-0005-0000-0000-000076680000}"/>
    <cellStyle name="Normal 47 39 5" xfId="26739" xr:uid="{00000000-0005-0000-0000-000077680000}"/>
    <cellStyle name="Normal 47 39 6" xfId="26740" xr:uid="{00000000-0005-0000-0000-000078680000}"/>
    <cellStyle name="Normal 47 4" xfId="26741" xr:uid="{00000000-0005-0000-0000-000079680000}"/>
    <cellStyle name="Normal 47 4 10" xfId="26742" xr:uid="{00000000-0005-0000-0000-00007A680000}"/>
    <cellStyle name="Normal 47 4 11" xfId="26743" xr:uid="{00000000-0005-0000-0000-00007B680000}"/>
    <cellStyle name="Normal 47 4 12" xfId="26744" xr:uid="{00000000-0005-0000-0000-00007C680000}"/>
    <cellStyle name="Normal 47 4 13" xfId="26745" xr:uid="{00000000-0005-0000-0000-00007D680000}"/>
    <cellStyle name="Normal 47 4 14" xfId="26746" xr:uid="{00000000-0005-0000-0000-00007E680000}"/>
    <cellStyle name="Normal 47 4 2" xfId="26747" xr:uid="{00000000-0005-0000-0000-00007F680000}"/>
    <cellStyle name="Normal 47 4 2 2" xfId="26748" xr:uid="{00000000-0005-0000-0000-000080680000}"/>
    <cellStyle name="Normal 47 4 2 3" xfId="26749" xr:uid="{00000000-0005-0000-0000-000081680000}"/>
    <cellStyle name="Normal 47 4 2 4" xfId="26750" xr:uid="{00000000-0005-0000-0000-000082680000}"/>
    <cellStyle name="Normal 47 4 2 5" xfId="26751" xr:uid="{00000000-0005-0000-0000-000083680000}"/>
    <cellStyle name="Normal 47 4 2 6" xfId="26752" xr:uid="{00000000-0005-0000-0000-000084680000}"/>
    <cellStyle name="Normal 47 4 3" xfId="26753" xr:uid="{00000000-0005-0000-0000-000085680000}"/>
    <cellStyle name="Normal 47 4 3 2" xfId="26754" xr:uid="{00000000-0005-0000-0000-000086680000}"/>
    <cellStyle name="Normal 47 4 3 3" xfId="26755" xr:uid="{00000000-0005-0000-0000-000087680000}"/>
    <cellStyle name="Normal 47 4 3 4" xfId="26756" xr:uid="{00000000-0005-0000-0000-000088680000}"/>
    <cellStyle name="Normal 47 4 3 5" xfId="26757" xr:uid="{00000000-0005-0000-0000-000089680000}"/>
    <cellStyle name="Normal 47 4 3 6" xfId="26758" xr:uid="{00000000-0005-0000-0000-00008A680000}"/>
    <cellStyle name="Normal 47 4 4" xfId="26759" xr:uid="{00000000-0005-0000-0000-00008B680000}"/>
    <cellStyle name="Normal 47 4 4 2" xfId="26760" xr:uid="{00000000-0005-0000-0000-00008C680000}"/>
    <cellStyle name="Normal 47 4 4 3" xfId="26761" xr:uid="{00000000-0005-0000-0000-00008D680000}"/>
    <cellStyle name="Normal 47 4 4 4" xfId="26762" xr:uid="{00000000-0005-0000-0000-00008E680000}"/>
    <cellStyle name="Normal 47 4 4 5" xfId="26763" xr:uid="{00000000-0005-0000-0000-00008F680000}"/>
    <cellStyle name="Normal 47 4 4 6" xfId="26764" xr:uid="{00000000-0005-0000-0000-000090680000}"/>
    <cellStyle name="Normal 47 4 5" xfId="26765" xr:uid="{00000000-0005-0000-0000-000091680000}"/>
    <cellStyle name="Normal 47 4 5 2" xfId="26766" xr:uid="{00000000-0005-0000-0000-000092680000}"/>
    <cellStyle name="Normal 47 4 5 3" xfId="26767" xr:uid="{00000000-0005-0000-0000-000093680000}"/>
    <cellStyle name="Normal 47 4 5 4" xfId="26768" xr:uid="{00000000-0005-0000-0000-000094680000}"/>
    <cellStyle name="Normal 47 4 5 5" xfId="26769" xr:uid="{00000000-0005-0000-0000-000095680000}"/>
    <cellStyle name="Normal 47 4 5 6" xfId="26770" xr:uid="{00000000-0005-0000-0000-000096680000}"/>
    <cellStyle name="Normal 47 4 6" xfId="26771" xr:uid="{00000000-0005-0000-0000-000097680000}"/>
    <cellStyle name="Normal 47 4 6 2" xfId="26772" xr:uid="{00000000-0005-0000-0000-000098680000}"/>
    <cellStyle name="Normal 47 4 6 3" xfId="26773" xr:uid="{00000000-0005-0000-0000-000099680000}"/>
    <cellStyle name="Normal 47 4 6 4" xfId="26774" xr:uid="{00000000-0005-0000-0000-00009A680000}"/>
    <cellStyle name="Normal 47 4 6 5" xfId="26775" xr:uid="{00000000-0005-0000-0000-00009B680000}"/>
    <cellStyle name="Normal 47 4 6 6" xfId="26776" xr:uid="{00000000-0005-0000-0000-00009C680000}"/>
    <cellStyle name="Normal 47 4 7" xfId="26777" xr:uid="{00000000-0005-0000-0000-00009D680000}"/>
    <cellStyle name="Normal 47 4 7 2" xfId="26778" xr:uid="{00000000-0005-0000-0000-00009E680000}"/>
    <cellStyle name="Normal 47 4 7 3" xfId="26779" xr:uid="{00000000-0005-0000-0000-00009F680000}"/>
    <cellStyle name="Normal 47 4 7 4" xfId="26780" xr:uid="{00000000-0005-0000-0000-0000A0680000}"/>
    <cellStyle name="Normal 47 4 7 5" xfId="26781" xr:uid="{00000000-0005-0000-0000-0000A1680000}"/>
    <cellStyle name="Normal 47 4 7 6" xfId="26782" xr:uid="{00000000-0005-0000-0000-0000A2680000}"/>
    <cellStyle name="Normal 47 4 8" xfId="26783" xr:uid="{00000000-0005-0000-0000-0000A3680000}"/>
    <cellStyle name="Normal 47 4 8 2" xfId="26784" xr:uid="{00000000-0005-0000-0000-0000A4680000}"/>
    <cellStyle name="Normal 47 4 8 3" xfId="26785" xr:uid="{00000000-0005-0000-0000-0000A5680000}"/>
    <cellStyle name="Normal 47 4 8 4" xfId="26786" xr:uid="{00000000-0005-0000-0000-0000A6680000}"/>
    <cellStyle name="Normal 47 4 8 5" xfId="26787" xr:uid="{00000000-0005-0000-0000-0000A7680000}"/>
    <cellStyle name="Normal 47 4 8 6" xfId="26788" xr:uid="{00000000-0005-0000-0000-0000A8680000}"/>
    <cellStyle name="Normal 47 4 9" xfId="26789" xr:uid="{00000000-0005-0000-0000-0000A9680000}"/>
    <cellStyle name="Normal 47 4 9 2" xfId="26790" xr:uid="{00000000-0005-0000-0000-0000AA680000}"/>
    <cellStyle name="Normal 47 4 9 3" xfId="26791" xr:uid="{00000000-0005-0000-0000-0000AB680000}"/>
    <cellStyle name="Normal 47 4 9 4" xfId="26792" xr:uid="{00000000-0005-0000-0000-0000AC680000}"/>
    <cellStyle name="Normal 47 4 9 5" xfId="26793" xr:uid="{00000000-0005-0000-0000-0000AD680000}"/>
    <cellStyle name="Normal 47 4 9 6" xfId="26794" xr:uid="{00000000-0005-0000-0000-0000AE680000}"/>
    <cellStyle name="Normal 47 40" xfId="26795" xr:uid="{00000000-0005-0000-0000-0000AF680000}"/>
    <cellStyle name="Normal 47 40 2" xfId="26796" xr:uid="{00000000-0005-0000-0000-0000B0680000}"/>
    <cellStyle name="Normal 47 40 3" xfId="26797" xr:uid="{00000000-0005-0000-0000-0000B1680000}"/>
    <cellStyle name="Normal 47 40 4" xfId="26798" xr:uid="{00000000-0005-0000-0000-0000B2680000}"/>
    <cellStyle name="Normal 47 40 5" xfId="26799" xr:uid="{00000000-0005-0000-0000-0000B3680000}"/>
    <cellStyle name="Normal 47 40 6" xfId="26800" xr:uid="{00000000-0005-0000-0000-0000B4680000}"/>
    <cellStyle name="Normal 47 41" xfId="26801" xr:uid="{00000000-0005-0000-0000-0000B5680000}"/>
    <cellStyle name="Normal 47 41 2" xfId="26802" xr:uid="{00000000-0005-0000-0000-0000B6680000}"/>
    <cellStyle name="Normal 47 41 3" xfId="26803" xr:uid="{00000000-0005-0000-0000-0000B7680000}"/>
    <cellStyle name="Normal 47 41 4" xfId="26804" xr:uid="{00000000-0005-0000-0000-0000B8680000}"/>
    <cellStyle name="Normal 47 41 5" xfId="26805" xr:uid="{00000000-0005-0000-0000-0000B9680000}"/>
    <cellStyle name="Normal 47 41 6" xfId="26806" xr:uid="{00000000-0005-0000-0000-0000BA680000}"/>
    <cellStyle name="Normal 47 42" xfId="26807" xr:uid="{00000000-0005-0000-0000-0000BB680000}"/>
    <cellStyle name="Normal 47 42 2" xfId="26808" xr:uid="{00000000-0005-0000-0000-0000BC680000}"/>
    <cellStyle name="Normal 47 42 3" xfId="26809" xr:uid="{00000000-0005-0000-0000-0000BD680000}"/>
    <cellStyle name="Normal 47 42 4" xfId="26810" xr:uid="{00000000-0005-0000-0000-0000BE680000}"/>
    <cellStyle name="Normal 47 42 5" xfId="26811" xr:uid="{00000000-0005-0000-0000-0000BF680000}"/>
    <cellStyle name="Normal 47 42 6" xfId="26812" xr:uid="{00000000-0005-0000-0000-0000C0680000}"/>
    <cellStyle name="Normal 47 43" xfId="26813" xr:uid="{00000000-0005-0000-0000-0000C1680000}"/>
    <cellStyle name="Normal 47 43 2" xfId="26814" xr:uid="{00000000-0005-0000-0000-0000C2680000}"/>
    <cellStyle name="Normal 47 43 3" xfId="26815" xr:uid="{00000000-0005-0000-0000-0000C3680000}"/>
    <cellStyle name="Normal 47 43 4" xfId="26816" xr:uid="{00000000-0005-0000-0000-0000C4680000}"/>
    <cellStyle name="Normal 47 43 5" xfId="26817" xr:uid="{00000000-0005-0000-0000-0000C5680000}"/>
    <cellStyle name="Normal 47 43 6" xfId="26818" xr:uid="{00000000-0005-0000-0000-0000C6680000}"/>
    <cellStyle name="Normal 47 44" xfId="26819" xr:uid="{00000000-0005-0000-0000-0000C7680000}"/>
    <cellStyle name="Normal 47 44 2" xfId="26820" xr:uid="{00000000-0005-0000-0000-0000C8680000}"/>
    <cellStyle name="Normal 47 44 3" xfId="26821" xr:uid="{00000000-0005-0000-0000-0000C9680000}"/>
    <cellStyle name="Normal 47 44 4" xfId="26822" xr:uid="{00000000-0005-0000-0000-0000CA680000}"/>
    <cellStyle name="Normal 47 44 5" xfId="26823" xr:uid="{00000000-0005-0000-0000-0000CB680000}"/>
    <cellStyle name="Normal 47 44 6" xfId="26824" xr:uid="{00000000-0005-0000-0000-0000CC680000}"/>
    <cellStyle name="Normal 47 45" xfId="26825" xr:uid="{00000000-0005-0000-0000-0000CD680000}"/>
    <cellStyle name="Normal 47 45 2" xfId="26826" xr:uid="{00000000-0005-0000-0000-0000CE680000}"/>
    <cellStyle name="Normal 47 45 3" xfId="26827" xr:uid="{00000000-0005-0000-0000-0000CF680000}"/>
    <cellStyle name="Normal 47 45 4" xfId="26828" xr:uid="{00000000-0005-0000-0000-0000D0680000}"/>
    <cellStyle name="Normal 47 45 5" xfId="26829" xr:uid="{00000000-0005-0000-0000-0000D1680000}"/>
    <cellStyle name="Normal 47 45 6" xfId="26830" xr:uid="{00000000-0005-0000-0000-0000D2680000}"/>
    <cellStyle name="Normal 47 46" xfId="26831" xr:uid="{00000000-0005-0000-0000-0000D3680000}"/>
    <cellStyle name="Normal 47 46 2" xfId="26832" xr:uid="{00000000-0005-0000-0000-0000D4680000}"/>
    <cellStyle name="Normal 47 46 3" xfId="26833" xr:uid="{00000000-0005-0000-0000-0000D5680000}"/>
    <cellStyle name="Normal 47 46 4" xfId="26834" xr:uid="{00000000-0005-0000-0000-0000D6680000}"/>
    <cellStyle name="Normal 47 46 5" xfId="26835" xr:uid="{00000000-0005-0000-0000-0000D7680000}"/>
    <cellStyle name="Normal 47 46 6" xfId="26836" xr:uid="{00000000-0005-0000-0000-0000D8680000}"/>
    <cellStyle name="Normal 47 47" xfId="26837" xr:uid="{00000000-0005-0000-0000-0000D9680000}"/>
    <cellStyle name="Normal 47 47 2" xfId="26838" xr:uid="{00000000-0005-0000-0000-0000DA680000}"/>
    <cellStyle name="Normal 47 47 3" xfId="26839" xr:uid="{00000000-0005-0000-0000-0000DB680000}"/>
    <cellStyle name="Normal 47 47 4" xfId="26840" xr:uid="{00000000-0005-0000-0000-0000DC680000}"/>
    <cellStyle name="Normal 47 47 5" xfId="26841" xr:uid="{00000000-0005-0000-0000-0000DD680000}"/>
    <cellStyle name="Normal 47 47 6" xfId="26842" xr:uid="{00000000-0005-0000-0000-0000DE680000}"/>
    <cellStyle name="Normal 47 48" xfId="26843" xr:uid="{00000000-0005-0000-0000-0000DF680000}"/>
    <cellStyle name="Normal 47 48 2" xfId="26844" xr:uid="{00000000-0005-0000-0000-0000E0680000}"/>
    <cellStyle name="Normal 47 48 3" xfId="26845" xr:uid="{00000000-0005-0000-0000-0000E1680000}"/>
    <cellStyle name="Normal 47 48 4" xfId="26846" xr:uid="{00000000-0005-0000-0000-0000E2680000}"/>
    <cellStyle name="Normal 47 48 5" xfId="26847" xr:uid="{00000000-0005-0000-0000-0000E3680000}"/>
    <cellStyle name="Normal 47 48 6" xfId="26848" xr:uid="{00000000-0005-0000-0000-0000E4680000}"/>
    <cellStyle name="Normal 47 49" xfId="26849" xr:uid="{00000000-0005-0000-0000-0000E5680000}"/>
    <cellStyle name="Normal 47 49 2" xfId="26850" xr:uid="{00000000-0005-0000-0000-0000E6680000}"/>
    <cellStyle name="Normal 47 49 3" xfId="26851" xr:uid="{00000000-0005-0000-0000-0000E7680000}"/>
    <cellStyle name="Normal 47 49 4" xfId="26852" xr:uid="{00000000-0005-0000-0000-0000E8680000}"/>
    <cellStyle name="Normal 47 49 5" xfId="26853" xr:uid="{00000000-0005-0000-0000-0000E9680000}"/>
    <cellStyle name="Normal 47 49 6" xfId="26854" xr:uid="{00000000-0005-0000-0000-0000EA680000}"/>
    <cellStyle name="Normal 47 5" xfId="26855" xr:uid="{00000000-0005-0000-0000-0000EB680000}"/>
    <cellStyle name="Normal 47 5 10" xfId="26856" xr:uid="{00000000-0005-0000-0000-0000EC680000}"/>
    <cellStyle name="Normal 47 5 11" xfId="26857" xr:uid="{00000000-0005-0000-0000-0000ED680000}"/>
    <cellStyle name="Normal 47 5 12" xfId="26858" xr:uid="{00000000-0005-0000-0000-0000EE680000}"/>
    <cellStyle name="Normal 47 5 13" xfId="26859" xr:uid="{00000000-0005-0000-0000-0000EF680000}"/>
    <cellStyle name="Normal 47 5 14" xfId="26860" xr:uid="{00000000-0005-0000-0000-0000F0680000}"/>
    <cellStyle name="Normal 47 5 2" xfId="26861" xr:uid="{00000000-0005-0000-0000-0000F1680000}"/>
    <cellStyle name="Normal 47 5 2 2" xfId="26862" xr:uid="{00000000-0005-0000-0000-0000F2680000}"/>
    <cellStyle name="Normal 47 5 2 3" xfId="26863" xr:uid="{00000000-0005-0000-0000-0000F3680000}"/>
    <cellStyle name="Normal 47 5 2 4" xfId="26864" xr:uid="{00000000-0005-0000-0000-0000F4680000}"/>
    <cellStyle name="Normal 47 5 2 5" xfId="26865" xr:uid="{00000000-0005-0000-0000-0000F5680000}"/>
    <cellStyle name="Normal 47 5 2 6" xfId="26866" xr:uid="{00000000-0005-0000-0000-0000F6680000}"/>
    <cellStyle name="Normal 47 5 3" xfId="26867" xr:uid="{00000000-0005-0000-0000-0000F7680000}"/>
    <cellStyle name="Normal 47 5 3 2" xfId="26868" xr:uid="{00000000-0005-0000-0000-0000F8680000}"/>
    <cellStyle name="Normal 47 5 3 3" xfId="26869" xr:uid="{00000000-0005-0000-0000-0000F9680000}"/>
    <cellStyle name="Normal 47 5 3 4" xfId="26870" xr:uid="{00000000-0005-0000-0000-0000FA680000}"/>
    <cellStyle name="Normal 47 5 3 5" xfId="26871" xr:uid="{00000000-0005-0000-0000-0000FB680000}"/>
    <cellStyle name="Normal 47 5 3 6" xfId="26872" xr:uid="{00000000-0005-0000-0000-0000FC680000}"/>
    <cellStyle name="Normal 47 5 4" xfId="26873" xr:uid="{00000000-0005-0000-0000-0000FD680000}"/>
    <cellStyle name="Normal 47 5 4 2" xfId="26874" xr:uid="{00000000-0005-0000-0000-0000FE680000}"/>
    <cellStyle name="Normal 47 5 4 3" xfId="26875" xr:uid="{00000000-0005-0000-0000-0000FF680000}"/>
    <cellStyle name="Normal 47 5 4 4" xfId="26876" xr:uid="{00000000-0005-0000-0000-000000690000}"/>
    <cellStyle name="Normal 47 5 4 5" xfId="26877" xr:uid="{00000000-0005-0000-0000-000001690000}"/>
    <cellStyle name="Normal 47 5 4 6" xfId="26878" xr:uid="{00000000-0005-0000-0000-000002690000}"/>
    <cellStyle name="Normal 47 5 5" xfId="26879" xr:uid="{00000000-0005-0000-0000-000003690000}"/>
    <cellStyle name="Normal 47 5 5 2" xfId="26880" xr:uid="{00000000-0005-0000-0000-000004690000}"/>
    <cellStyle name="Normal 47 5 5 3" xfId="26881" xr:uid="{00000000-0005-0000-0000-000005690000}"/>
    <cellStyle name="Normal 47 5 5 4" xfId="26882" xr:uid="{00000000-0005-0000-0000-000006690000}"/>
    <cellStyle name="Normal 47 5 5 5" xfId="26883" xr:uid="{00000000-0005-0000-0000-000007690000}"/>
    <cellStyle name="Normal 47 5 5 6" xfId="26884" xr:uid="{00000000-0005-0000-0000-000008690000}"/>
    <cellStyle name="Normal 47 5 6" xfId="26885" xr:uid="{00000000-0005-0000-0000-000009690000}"/>
    <cellStyle name="Normal 47 5 6 2" xfId="26886" xr:uid="{00000000-0005-0000-0000-00000A690000}"/>
    <cellStyle name="Normal 47 5 6 3" xfId="26887" xr:uid="{00000000-0005-0000-0000-00000B690000}"/>
    <cellStyle name="Normal 47 5 6 4" xfId="26888" xr:uid="{00000000-0005-0000-0000-00000C690000}"/>
    <cellStyle name="Normal 47 5 6 5" xfId="26889" xr:uid="{00000000-0005-0000-0000-00000D690000}"/>
    <cellStyle name="Normal 47 5 6 6" xfId="26890" xr:uid="{00000000-0005-0000-0000-00000E690000}"/>
    <cellStyle name="Normal 47 5 7" xfId="26891" xr:uid="{00000000-0005-0000-0000-00000F690000}"/>
    <cellStyle name="Normal 47 5 7 2" xfId="26892" xr:uid="{00000000-0005-0000-0000-000010690000}"/>
    <cellStyle name="Normal 47 5 7 3" xfId="26893" xr:uid="{00000000-0005-0000-0000-000011690000}"/>
    <cellStyle name="Normal 47 5 7 4" xfId="26894" xr:uid="{00000000-0005-0000-0000-000012690000}"/>
    <cellStyle name="Normal 47 5 7 5" xfId="26895" xr:uid="{00000000-0005-0000-0000-000013690000}"/>
    <cellStyle name="Normal 47 5 7 6" xfId="26896" xr:uid="{00000000-0005-0000-0000-000014690000}"/>
    <cellStyle name="Normal 47 5 8" xfId="26897" xr:uid="{00000000-0005-0000-0000-000015690000}"/>
    <cellStyle name="Normal 47 5 8 2" xfId="26898" xr:uid="{00000000-0005-0000-0000-000016690000}"/>
    <cellStyle name="Normal 47 5 8 3" xfId="26899" xr:uid="{00000000-0005-0000-0000-000017690000}"/>
    <cellStyle name="Normal 47 5 8 4" xfId="26900" xr:uid="{00000000-0005-0000-0000-000018690000}"/>
    <cellStyle name="Normal 47 5 8 5" xfId="26901" xr:uid="{00000000-0005-0000-0000-000019690000}"/>
    <cellStyle name="Normal 47 5 8 6" xfId="26902" xr:uid="{00000000-0005-0000-0000-00001A690000}"/>
    <cellStyle name="Normal 47 5 9" xfId="26903" xr:uid="{00000000-0005-0000-0000-00001B690000}"/>
    <cellStyle name="Normal 47 5 9 2" xfId="26904" xr:uid="{00000000-0005-0000-0000-00001C690000}"/>
    <cellStyle name="Normal 47 5 9 3" xfId="26905" xr:uid="{00000000-0005-0000-0000-00001D690000}"/>
    <cellStyle name="Normal 47 5 9 4" xfId="26906" xr:uid="{00000000-0005-0000-0000-00001E690000}"/>
    <cellStyle name="Normal 47 5 9 5" xfId="26907" xr:uid="{00000000-0005-0000-0000-00001F690000}"/>
    <cellStyle name="Normal 47 5 9 6" xfId="26908" xr:uid="{00000000-0005-0000-0000-000020690000}"/>
    <cellStyle name="Normal 47 50" xfId="26909" xr:uid="{00000000-0005-0000-0000-000021690000}"/>
    <cellStyle name="Normal 47 50 2" xfId="26910" xr:uid="{00000000-0005-0000-0000-000022690000}"/>
    <cellStyle name="Normal 47 50 3" xfId="26911" xr:uid="{00000000-0005-0000-0000-000023690000}"/>
    <cellStyle name="Normal 47 50 4" xfId="26912" xr:uid="{00000000-0005-0000-0000-000024690000}"/>
    <cellStyle name="Normal 47 50 5" xfId="26913" xr:uid="{00000000-0005-0000-0000-000025690000}"/>
    <cellStyle name="Normal 47 50 6" xfId="26914" xr:uid="{00000000-0005-0000-0000-000026690000}"/>
    <cellStyle name="Normal 47 51" xfId="26915" xr:uid="{00000000-0005-0000-0000-000027690000}"/>
    <cellStyle name="Normal 47 51 2" xfId="26916" xr:uid="{00000000-0005-0000-0000-000028690000}"/>
    <cellStyle name="Normal 47 51 2 2" xfId="26917" xr:uid="{00000000-0005-0000-0000-000029690000}"/>
    <cellStyle name="Normal 47 51 2 3" xfId="26918" xr:uid="{00000000-0005-0000-0000-00002A690000}"/>
    <cellStyle name="Normal 47 51 2 4" xfId="26919" xr:uid="{00000000-0005-0000-0000-00002B690000}"/>
    <cellStyle name="Normal 47 51 2 5" xfId="26920" xr:uid="{00000000-0005-0000-0000-00002C690000}"/>
    <cellStyle name="Normal 47 51 2 6" xfId="26921" xr:uid="{00000000-0005-0000-0000-00002D690000}"/>
    <cellStyle name="Normal 47 51 3" xfId="26922" xr:uid="{00000000-0005-0000-0000-00002E690000}"/>
    <cellStyle name="Normal 47 51 4" xfId="26923" xr:uid="{00000000-0005-0000-0000-00002F690000}"/>
    <cellStyle name="Normal 47 51 5" xfId="26924" xr:uid="{00000000-0005-0000-0000-000030690000}"/>
    <cellStyle name="Normal 47 51 6" xfId="26925" xr:uid="{00000000-0005-0000-0000-000031690000}"/>
    <cellStyle name="Normal 47 51 7" xfId="26926" xr:uid="{00000000-0005-0000-0000-000032690000}"/>
    <cellStyle name="Normal 47 52" xfId="26927" xr:uid="{00000000-0005-0000-0000-000033690000}"/>
    <cellStyle name="Normal 47 52 2" xfId="26928" xr:uid="{00000000-0005-0000-0000-000034690000}"/>
    <cellStyle name="Normal 47 52 3" xfId="26929" xr:uid="{00000000-0005-0000-0000-000035690000}"/>
    <cellStyle name="Normal 47 52 4" xfId="26930" xr:uid="{00000000-0005-0000-0000-000036690000}"/>
    <cellStyle name="Normal 47 52 5" xfId="26931" xr:uid="{00000000-0005-0000-0000-000037690000}"/>
    <cellStyle name="Normal 47 52 6" xfId="26932" xr:uid="{00000000-0005-0000-0000-000038690000}"/>
    <cellStyle name="Normal 47 53" xfId="26933" xr:uid="{00000000-0005-0000-0000-000039690000}"/>
    <cellStyle name="Normal 47 53 2" xfId="26934" xr:uid="{00000000-0005-0000-0000-00003A690000}"/>
    <cellStyle name="Normal 47 53 3" xfId="26935" xr:uid="{00000000-0005-0000-0000-00003B690000}"/>
    <cellStyle name="Normal 47 53 4" xfId="26936" xr:uid="{00000000-0005-0000-0000-00003C690000}"/>
    <cellStyle name="Normal 47 53 5" xfId="26937" xr:uid="{00000000-0005-0000-0000-00003D690000}"/>
    <cellStyle name="Normal 47 53 6" xfId="26938" xr:uid="{00000000-0005-0000-0000-00003E690000}"/>
    <cellStyle name="Normal 47 54" xfId="26939" xr:uid="{00000000-0005-0000-0000-00003F690000}"/>
    <cellStyle name="Normal 47 54 2" xfId="26940" xr:uid="{00000000-0005-0000-0000-000040690000}"/>
    <cellStyle name="Normal 47 54 3" xfId="26941" xr:uid="{00000000-0005-0000-0000-000041690000}"/>
    <cellStyle name="Normal 47 54 4" xfId="26942" xr:uid="{00000000-0005-0000-0000-000042690000}"/>
    <cellStyle name="Normal 47 54 5" xfId="26943" xr:uid="{00000000-0005-0000-0000-000043690000}"/>
    <cellStyle name="Normal 47 54 6" xfId="26944" xr:uid="{00000000-0005-0000-0000-000044690000}"/>
    <cellStyle name="Normal 47 55" xfId="26945" xr:uid="{00000000-0005-0000-0000-000045690000}"/>
    <cellStyle name="Normal 47 55 2" xfId="26946" xr:uid="{00000000-0005-0000-0000-000046690000}"/>
    <cellStyle name="Normal 47 55 3" xfId="26947" xr:uid="{00000000-0005-0000-0000-000047690000}"/>
    <cellStyle name="Normal 47 55 4" xfId="26948" xr:uid="{00000000-0005-0000-0000-000048690000}"/>
    <cellStyle name="Normal 47 55 5" xfId="26949" xr:uid="{00000000-0005-0000-0000-000049690000}"/>
    <cellStyle name="Normal 47 55 6" xfId="26950" xr:uid="{00000000-0005-0000-0000-00004A690000}"/>
    <cellStyle name="Normal 47 56" xfId="26951" xr:uid="{00000000-0005-0000-0000-00004B690000}"/>
    <cellStyle name="Normal 47 56 2" xfId="26952" xr:uid="{00000000-0005-0000-0000-00004C690000}"/>
    <cellStyle name="Normal 47 56 3" xfId="26953" xr:uid="{00000000-0005-0000-0000-00004D690000}"/>
    <cellStyle name="Normal 47 56 4" xfId="26954" xr:uid="{00000000-0005-0000-0000-00004E690000}"/>
    <cellStyle name="Normal 47 56 5" xfId="26955" xr:uid="{00000000-0005-0000-0000-00004F690000}"/>
    <cellStyle name="Normal 47 56 6" xfId="26956" xr:uid="{00000000-0005-0000-0000-000050690000}"/>
    <cellStyle name="Normal 47 57" xfId="26957" xr:uid="{00000000-0005-0000-0000-000051690000}"/>
    <cellStyle name="Normal 47 57 2" xfId="26958" xr:uid="{00000000-0005-0000-0000-000052690000}"/>
    <cellStyle name="Normal 47 57 3" xfId="26959" xr:uid="{00000000-0005-0000-0000-000053690000}"/>
    <cellStyle name="Normal 47 57 4" xfId="26960" xr:uid="{00000000-0005-0000-0000-000054690000}"/>
    <cellStyle name="Normal 47 57 5" xfId="26961" xr:uid="{00000000-0005-0000-0000-000055690000}"/>
    <cellStyle name="Normal 47 57 6" xfId="26962" xr:uid="{00000000-0005-0000-0000-000056690000}"/>
    <cellStyle name="Normal 47 58" xfId="26963" xr:uid="{00000000-0005-0000-0000-000057690000}"/>
    <cellStyle name="Normal 47 58 2" xfId="26964" xr:uid="{00000000-0005-0000-0000-000058690000}"/>
    <cellStyle name="Normal 47 58 3" xfId="26965" xr:uid="{00000000-0005-0000-0000-000059690000}"/>
    <cellStyle name="Normal 47 58 4" xfId="26966" xr:uid="{00000000-0005-0000-0000-00005A690000}"/>
    <cellStyle name="Normal 47 58 5" xfId="26967" xr:uid="{00000000-0005-0000-0000-00005B690000}"/>
    <cellStyle name="Normal 47 58 6" xfId="26968" xr:uid="{00000000-0005-0000-0000-00005C690000}"/>
    <cellStyle name="Normal 47 59" xfId="26969" xr:uid="{00000000-0005-0000-0000-00005D690000}"/>
    <cellStyle name="Normal 47 59 2" xfId="26970" xr:uid="{00000000-0005-0000-0000-00005E690000}"/>
    <cellStyle name="Normal 47 59 3" xfId="26971" xr:uid="{00000000-0005-0000-0000-00005F690000}"/>
    <cellStyle name="Normal 47 59 4" xfId="26972" xr:uid="{00000000-0005-0000-0000-000060690000}"/>
    <cellStyle name="Normal 47 59 5" xfId="26973" xr:uid="{00000000-0005-0000-0000-000061690000}"/>
    <cellStyle name="Normal 47 59 6" xfId="26974" xr:uid="{00000000-0005-0000-0000-000062690000}"/>
    <cellStyle name="Normal 47 6" xfId="26975" xr:uid="{00000000-0005-0000-0000-000063690000}"/>
    <cellStyle name="Normal 47 6 10" xfId="26976" xr:uid="{00000000-0005-0000-0000-000064690000}"/>
    <cellStyle name="Normal 47 6 11" xfId="26977" xr:uid="{00000000-0005-0000-0000-000065690000}"/>
    <cellStyle name="Normal 47 6 12" xfId="26978" xr:uid="{00000000-0005-0000-0000-000066690000}"/>
    <cellStyle name="Normal 47 6 13" xfId="26979" xr:uid="{00000000-0005-0000-0000-000067690000}"/>
    <cellStyle name="Normal 47 6 14" xfId="26980" xr:uid="{00000000-0005-0000-0000-000068690000}"/>
    <cellStyle name="Normal 47 6 2" xfId="26981" xr:uid="{00000000-0005-0000-0000-000069690000}"/>
    <cellStyle name="Normal 47 6 2 2" xfId="26982" xr:uid="{00000000-0005-0000-0000-00006A690000}"/>
    <cellStyle name="Normal 47 6 2 3" xfId="26983" xr:uid="{00000000-0005-0000-0000-00006B690000}"/>
    <cellStyle name="Normal 47 6 2 4" xfId="26984" xr:uid="{00000000-0005-0000-0000-00006C690000}"/>
    <cellStyle name="Normal 47 6 2 5" xfId="26985" xr:uid="{00000000-0005-0000-0000-00006D690000}"/>
    <cellStyle name="Normal 47 6 2 6" xfId="26986" xr:uid="{00000000-0005-0000-0000-00006E690000}"/>
    <cellStyle name="Normal 47 6 3" xfId="26987" xr:uid="{00000000-0005-0000-0000-00006F690000}"/>
    <cellStyle name="Normal 47 6 3 2" xfId="26988" xr:uid="{00000000-0005-0000-0000-000070690000}"/>
    <cellStyle name="Normal 47 6 3 3" xfId="26989" xr:uid="{00000000-0005-0000-0000-000071690000}"/>
    <cellStyle name="Normal 47 6 3 4" xfId="26990" xr:uid="{00000000-0005-0000-0000-000072690000}"/>
    <cellStyle name="Normal 47 6 3 5" xfId="26991" xr:uid="{00000000-0005-0000-0000-000073690000}"/>
    <cellStyle name="Normal 47 6 3 6" xfId="26992" xr:uid="{00000000-0005-0000-0000-000074690000}"/>
    <cellStyle name="Normal 47 6 4" xfId="26993" xr:uid="{00000000-0005-0000-0000-000075690000}"/>
    <cellStyle name="Normal 47 6 4 2" xfId="26994" xr:uid="{00000000-0005-0000-0000-000076690000}"/>
    <cellStyle name="Normal 47 6 4 3" xfId="26995" xr:uid="{00000000-0005-0000-0000-000077690000}"/>
    <cellStyle name="Normal 47 6 4 4" xfId="26996" xr:uid="{00000000-0005-0000-0000-000078690000}"/>
    <cellStyle name="Normal 47 6 4 5" xfId="26997" xr:uid="{00000000-0005-0000-0000-000079690000}"/>
    <cellStyle name="Normal 47 6 4 6" xfId="26998" xr:uid="{00000000-0005-0000-0000-00007A690000}"/>
    <cellStyle name="Normal 47 6 5" xfId="26999" xr:uid="{00000000-0005-0000-0000-00007B690000}"/>
    <cellStyle name="Normal 47 6 5 2" xfId="27000" xr:uid="{00000000-0005-0000-0000-00007C690000}"/>
    <cellStyle name="Normal 47 6 5 3" xfId="27001" xr:uid="{00000000-0005-0000-0000-00007D690000}"/>
    <cellStyle name="Normal 47 6 5 4" xfId="27002" xr:uid="{00000000-0005-0000-0000-00007E690000}"/>
    <cellStyle name="Normal 47 6 5 5" xfId="27003" xr:uid="{00000000-0005-0000-0000-00007F690000}"/>
    <cellStyle name="Normal 47 6 5 6" xfId="27004" xr:uid="{00000000-0005-0000-0000-000080690000}"/>
    <cellStyle name="Normal 47 6 6" xfId="27005" xr:uid="{00000000-0005-0000-0000-000081690000}"/>
    <cellStyle name="Normal 47 6 6 2" xfId="27006" xr:uid="{00000000-0005-0000-0000-000082690000}"/>
    <cellStyle name="Normal 47 6 6 3" xfId="27007" xr:uid="{00000000-0005-0000-0000-000083690000}"/>
    <cellStyle name="Normal 47 6 6 4" xfId="27008" xr:uid="{00000000-0005-0000-0000-000084690000}"/>
    <cellStyle name="Normal 47 6 6 5" xfId="27009" xr:uid="{00000000-0005-0000-0000-000085690000}"/>
    <cellStyle name="Normal 47 6 6 6" xfId="27010" xr:uid="{00000000-0005-0000-0000-000086690000}"/>
    <cellStyle name="Normal 47 6 7" xfId="27011" xr:uid="{00000000-0005-0000-0000-000087690000}"/>
    <cellStyle name="Normal 47 6 7 2" xfId="27012" xr:uid="{00000000-0005-0000-0000-000088690000}"/>
    <cellStyle name="Normal 47 6 7 3" xfId="27013" xr:uid="{00000000-0005-0000-0000-000089690000}"/>
    <cellStyle name="Normal 47 6 7 4" xfId="27014" xr:uid="{00000000-0005-0000-0000-00008A690000}"/>
    <cellStyle name="Normal 47 6 7 5" xfId="27015" xr:uid="{00000000-0005-0000-0000-00008B690000}"/>
    <cellStyle name="Normal 47 6 7 6" xfId="27016" xr:uid="{00000000-0005-0000-0000-00008C690000}"/>
    <cellStyle name="Normal 47 6 8" xfId="27017" xr:uid="{00000000-0005-0000-0000-00008D690000}"/>
    <cellStyle name="Normal 47 6 8 2" xfId="27018" xr:uid="{00000000-0005-0000-0000-00008E690000}"/>
    <cellStyle name="Normal 47 6 8 3" xfId="27019" xr:uid="{00000000-0005-0000-0000-00008F690000}"/>
    <cellStyle name="Normal 47 6 8 4" xfId="27020" xr:uid="{00000000-0005-0000-0000-000090690000}"/>
    <cellStyle name="Normal 47 6 8 5" xfId="27021" xr:uid="{00000000-0005-0000-0000-000091690000}"/>
    <cellStyle name="Normal 47 6 8 6" xfId="27022" xr:uid="{00000000-0005-0000-0000-000092690000}"/>
    <cellStyle name="Normal 47 6 9" xfId="27023" xr:uid="{00000000-0005-0000-0000-000093690000}"/>
    <cellStyle name="Normal 47 6 9 2" xfId="27024" xr:uid="{00000000-0005-0000-0000-000094690000}"/>
    <cellStyle name="Normal 47 6 9 3" xfId="27025" xr:uid="{00000000-0005-0000-0000-000095690000}"/>
    <cellStyle name="Normal 47 6 9 4" xfId="27026" xr:uid="{00000000-0005-0000-0000-000096690000}"/>
    <cellStyle name="Normal 47 6 9 5" xfId="27027" xr:uid="{00000000-0005-0000-0000-000097690000}"/>
    <cellStyle name="Normal 47 6 9 6" xfId="27028" xr:uid="{00000000-0005-0000-0000-000098690000}"/>
    <cellStyle name="Normal 47 60" xfId="27029" xr:uid="{00000000-0005-0000-0000-000099690000}"/>
    <cellStyle name="Normal 47 60 2" xfId="27030" xr:uid="{00000000-0005-0000-0000-00009A690000}"/>
    <cellStyle name="Normal 47 60 3" xfId="27031" xr:uid="{00000000-0005-0000-0000-00009B690000}"/>
    <cellStyle name="Normal 47 60 4" xfId="27032" xr:uid="{00000000-0005-0000-0000-00009C690000}"/>
    <cellStyle name="Normal 47 60 5" xfId="27033" xr:uid="{00000000-0005-0000-0000-00009D690000}"/>
    <cellStyle name="Normal 47 60 6" xfId="27034" xr:uid="{00000000-0005-0000-0000-00009E690000}"/>
    <cellStyle name="Normal 47 61" xfId="27035" xr:uid="{00000000-0005-0000-0000-00009F690000}"/>
    <cellStyle name="Normal 47 61 2" xfId="27036" xr:uid="{00000000-0005-0000-0000-0000A0690000}"/>
    <cellStyle name="Normal 47 61 3" xfId="27037" xr:uid="{00000000-0005-0000-0000-0000A1690000}"/>
    <cellStyle name="Normal 47 61 4" xfId="27038" xr:uid="{00000000-0005-0000-0000-0000A2690000}"/>
    <cellStyle name="Normal 47 61 5" xfId="27039" xr:uid="{00000000-0005-0000-0000-0000A3690000}"/>
    <cellStyle name="Normal 47 61 6" xfId="27040" xr:uid="{00000000-0005-0000-0000-0000A4690000}"/>
    <cellStyle name="Normal 47 62" xfId="27041" xr:uid="{00000000-0005-0000-0000-0000A5690000}"/>
    <cellStyle name="Normal 47 62 2" xfId="27042" xr:uid="{00000000-0005-0000-0000-0000A6690000}"/>
    <cellStyle name="Normal 47 62 3" xfId="27043" xr:uid="{00000000-0005-0000-0000-0000A7690000}"/>
    <cellStyle name="Normal 47 62 4" xfId="27044" xr:uid="{00000000-0005-0000-0000-0000A8690000}"/>
    <cellStyle name="Normal 47 62 5" xfId="27045" xr:uid="{00000000-0005-0000-0000-0000A9690000}"/>
    <cellStyle name="Normal 47 62 6" xfId="27046" xr:uid="{00000000-0005-0000-0000-0000AA690000}"/>
    <cellStyle name="Normal 47 63" xfId="27047" xr:uid="{00000000-0005-0000-0000-0000AB690000}"/>
    <cellStyle name="Normal 47 63 2" xfId="27048" xr:uid="{00000000-0005-0000-0000-0000AC690000}"/>
    <cellStyle name="Normal 47 63 3" xfId="27049" xr:uid="{00000000-0005-0000-0000-0000AD690000}"/>
    <cellStyle name="Normal 47 63 4" xfId="27050" xr:uid="{00000000-0005-0000-0000-0000AE690000}"/>
    <cellStyle name="Normal 47 63 5" xfId="27051" xr:uid="{00000000-0005-0000-0000-0000AF690000}"/>
    <cellStyle name="Normal 47 63 6" xfId="27052" xr:uid="{00000000-0005-0000-0000-0000B0690000}"/>
    <cellStyle name="Normal 47 64" xfId="27053" xr:uid="{00000000-0005-0000-0000-0000B1690000}"/>
    <cellStyle name="Normal 47 65" xfId="27054" xr:uid="{00000000-0005-0000-0000-0000B2690000}"/>
    <cellStyle name="Normal 47 66" xfId="27055" xr:uid="{00000000-0005-0000-0000-0000B3690000}"/>
    <cellStyle name="Normal 47 67" xfId="27056" xr:uid="{00000000-0005-0000-0000-0000B4690000}"/>
    <cellStyle name="Normal 47 68" xfId="27057" xr:uid="{00000000-0005-0000-0000-0000B5690000}"/>
    <cellStyle name="Normal 47 7" xfId="27058" xr:uid="{00000000-0005-0000-0000-0000B6690000}"/>
    <cellStyle name="Normal 47 7 10" xfId="27059" xr:uid="{00000000-0005-0000-0000-0000B7690000}"/>
    <cellStyle name="Normal 47 7 11" xfId="27060" xr:uid="{00000000-0005-0000-0000-0000B8690000}"/>
    <cellStyle name="Normal 47 7 12" xfId="27061" xr:uid="{00000000-0005-0000-0000-0000B9690000}"/>
    <cellStyle name="Normal 47 7 13" xfId="27062" xr:uid="{00000000-0005-0000-0000-0000BA690000}"/>
    <cellStyle name="Normal 47 7 14" xfId="27063" xr:uid="{00000000-0005-0000-0000-0000BB690000}"/>
    <cellStyle name="Normal 47 7 2" xfId="27064" xr:uid="{00000000-0005-0000-0000-0000BC690000}"/>
    <cellStyle name="Normal 47 7 2 2" xfId="27065" xr:uid="{00000000-0005-0000-0000-0000BD690000}"/>
    <cellStyle name="Normal 47 7 2 3" xfId="27066" xr:uid="{00000000-0005-0000-0000-0000BE690000}"/>
    <cellStyle name="Normal 47 7 2 4" xfId="27067" xr:uid="{00000000-0005-0000-0000-0000BF690000}"/>
    <cellStyle name="Normal 47 7 2 5" xfId="27068" xr:uid="{00000000-0005-0000-0000-0000C0690000}"/>
    <cellStyle name="Normal 47 7 2 6" xfId="27069" xr:uid="{00000000-0005-0000-0000-0000C1690000}"/>
    <cellStyle name="Normal 47 7 3" xfId="27070" xr:uid="{00000000-0005-0000-0000-0000C2690000}"/>
    <cellStyle name="Normal 47 7 3 2" xfId="27071" xr:uid="{00000000-0005-0000-0000-0000C3690000}"/>
    <cellStyle name="Normal 47 7 3 3" xfId="27072" xr:uid="{00000000-0005-0000-0000-0000C4690000}"/>
    <cellStyle name="Normal 47 7 3 4" xfId="27073" xr:uid="{00000000-0005-0000-0000-0000C5690000}"/>
    <cellStyle name="Normal 47 7 3 5" xfId="27074" xr:uid="{00000000-0005-0000-0000-0000C6690000}"/>
    <cellStyle name="Normal 47 7 3 6" xfId="27075" xr:uid="{00000000-0005-0000-0000-0000C7690000}"/>
    <cellStyle name="Normal 47 7 4" xfId="27076" xr:uid="{00000000-0005-0000-0000-0000C8690000}"/>
    <cellStyle name="Normal 47 7 4 2" xfId="27077" xr:uid="{00000000-0005-0000-0000-0000C9690000}"/>
    <cellStyle name="Normal 47 7 4 3" xfId="27078" xr:uid="{00000000-0005-0000-0000-0000CA690000}"/>
    <cellStyle name="Normal 47 7 4 4" xfId="27079" xr:uid="{00000000-0005-0000-0000-0000CB690000}"/>
    <cellStyle name="Normal 47 7 4 5" xfId="27080" xr:uid="{00000000-0005-0000-0000-0000CC690000}"/>
    <cellStyle name="Normal 47 7 4 6" xfId="27081" xr:uid="{00000000-0005-0000-0000-0000CD690000}"/>
    <cellStyle name="Normal 47 7 5" xfId="27082" xr:uid="{00000000-0005-0000-0000-0000CE690000}"/>
    <cellStyle name="Normal 47 7 5 2" xfId="27083" xr:uid="{00000000-0005-0000-0000-0000CF690000}"/>
    <cellStyle name="Normal 47 7 5 3" xfId="27084" xr:uid="{00000000-0005-0000-0000-0000D0690000}"/>
    <cellStyle name="Normal 47 7 5 4" xfId="27085" xr:uid="{00000000-0005-0000-0000-0000D1690000}"/>
    <cellStyle name="Normal 47 7 5 5" xfId="27086" xr:uid="{00000000-0005-0000-0000-0000D2690000}"/>
    <cellStyle name="Normal 47 7 5 6" xfId="27087" xr:uid="{00000000-0005-0000-0000-0000D3690000}"/>
    <cellStyle name="Normal 47 7 6" xfId="27088" xr:uid="{00000000-0005-0000-0000-0000D4690000}"/>
    <cellStyle name="Normal 47 7 6 2" xfId="27089" xr:uid="{00000000-0005-0000-0000-0000D5690000}"/>
    <cellStyle name="Normal 47 7 6 3" xfId="27090" xr:uid="{00000000-0005-0000-0000-0000D6690000}"/>
    <cellStyle name="Normal 47 7 6 4" xfId="27091" xr:uid="{00000000-0005-0000-0000-0000D7690000}"/>
    <cellStyle name="Normal 47 7 6 5" xfId="27092" xr:uid="{00000000-0005-0000-0000-0000D8690000}"/>
    <cellStyle name="Normal 47 7 6 6" xfId="27093" xr:uid="{00000000-0005-0000-0000-0000D9690000}"/>
    <cellStyle name="Normal 47 7 7" xfId="27094" xr:uid="{00000000-0005-0000-0000-0000DA690000}"/>
    <cellStyle name="Normal 47 7 7 2" xfId="27095" xr:uid="{00000000-0005-0000-0000-0000DB690000}"/>
    <cellStyle name="Normal 47 7 7 3" xfId="27096" xr:uid="{00000000-0005-0000-0000-0000DC690000}"/>
    <cellStyle name="Normal 47 7 7 4" xfId="27097" xr:uid="{00000000-0005-0000-0000-0000DD690000}"/>
    <cellStyle name="Normal 47 7 7 5" xfId="27098" xr:uid="{00000000-0005-0000-0000-0000DE690000}"/>
    <cellStyle name="Normal 47 7 7 6" xfId="27099" xr:uid="{00000000-0005-0000-0000-0000DF690000}"/>
    <cellStyle name="Normal 47 7 8" xfId="27100" xr:uid="{00000000-0005-0000-0000-0000E0690000}"/>
    <cellStyle name="Normal 47 7 8 2" xfId="27101" xr:uid="{00000000-0005-0000-0000-0000E1690000}"/>
    <cellStyle name="Normal 47 7 8 3" xfId="27102" xr:uid="{00000000-0005-0000-0000-0000E2690000}"/>
    <cellStyle name="Normal 47 7 8 4" xfId="27103" xr:uid="{00000000-0005-0000-0000-0000E3690000}"/>
    <cellStyle name="Normal 47 7 8 5" xfId="27104" xr:uid="{00000000-0005-0000-0000-0000E4690000}"/>
    <cellStyle name="Normal 47 7 8 6" xfId="27105" xr:uid="{00000000-0005-0000-0000-0000E5690000}"/>
    <cellStyle name="Normal 47 7 9" xfId="27106" xr:uid="{00000000-0005-0000-0000-0000E6690000}"/>
    <cellStyle name="Normal 47 7 9 2" xfId="27107" xr:uid="{00000000-0005-0000-0000-0000E7690000}"/>
    <cellStyle name="Normal 47 7 9 3" xfId="27108" xr:uid="{00000000-0005-0000-0000-0000E8690000}"/>
    <cellStyle name="Normal 47 7 9 4" xfId="27109" xr:uid="{00000000-0005-0000-0000-0000E9690000}"/>
    <cellStyle name="Normal 47 7 9 5" xfId="27110" xr:uid="{00000000-0005-0000-0000-0000EA690000}"/>
    <cellStyle name="Normal 47 7 9 6" xfId="27111" xr:uid="{00000000-0005-0000-0000-0000EB690000}"/>
    <cellStyle name="Normal 47 8" xfId="27112" xr:uid="{00000000-0005-0000-0000-0000EC690000}"/>
    <cellStyle name="Normal 47 8 10" xfId="27113" xr:uid="{00000000-0005-0000-0000-0000ED690000}"/>
    <cellStyle name="Normal 47 8 11" xfId="27114" xr:uid="{00000000-0005-0000-0000-0000EE690000}"/>
    <cellStyle name="Normal 47 8 12" xfId="27115" xr:uid="{00000000-0005-0000-0000-0000EF690000}"/>
    <cellStyle name="Normal 47 8 13" xfId="27116" xr:uid="{00000000-0005-0000-0000-0000F0690000}"/>
    <cellStyle name="Normal 47 8 14" xfId="27117" xr:uid="{00000000-0005-0000-0000-0000F1690000}"/>
    <cellStyle name="Normal 47 8 2" xfId="27118" xr:uid="{00000000-0005-0000-0000-0000F2690000}"/>
    <cellStyle name="Normal 47 8 2 2" xfId="27119" xr:uid="{00000000-0005-0000-0000-0000F3690000}"/>
    <cellStyle name="Normal 47 8 2 3" xfId="27120" xr:uid="{00000000-0005-0000-0000-0000F4690000}"/>
    <cellStyle name="Normal 47 8 2 4" xfId="27121" xr:uid="{00000000-0005-0000-0000-0000F5690000}"/>
    <cellStyle name="Normal 47 8 2 5" xfId="27122" xr:uid="{00000000-0005-0000-0000-0000F6690000}"/>
    <cellStyle name="Normal 47 8 2 6" xfId="27123" xr:uid="{00000000-0005-0000-0000-0000F7690000}"/>
    <cellStyle name="Normal 47 8 3" xfId="27124" xr:uid="{00000000-0005-0000-0000-0000F8690000}"/>
    <cellStyle name="Normal 47 8 3 2" xfId="27125" xr:uid="{00000000-0005-0000-0000-0000F9690000}"/>
    <cellStyle name="Normal 47 8 3 3" xfId="27126" xr:uid="{00000000-0005-0000-0000-0000FA690000}"/>
    <cellStyle name="Normal 47 8 3 4" xfId="27127" xr:uid="{00000000-0005-0000-0000-0000FB690000}"/>
    <cellStyle name="Normal 47 8 3 5" xfId="27128" xr:uid="{00000000-0005-0000-0000-0000FC690000}"/>
    <cellStyle name="Normal 47 8 3 6" xfId="27129" xr:uid="{00000000-0005-0000-0000-0000FD690000}"/>
    <cellStyle name="Normal 47 8 4" xfId="27130" xr:uid="{00000000-0005-0000-0000-0000FE690000}"/>
    <cellStyle name="Normal 47 8 4 2" xfId="27131" xr:uid="{00000000-0005-0000-0000-0000FF690000}"/>
    <cellStyle name="Normal 47 8 4 3" xfId="27132" xr:uid="{00000000-0005-0000-0000-0000006A0000}"/>
    <cellStyle name="Normal 47 8 4 4" xfId="27133" xr:uid="{00000000-0005-0000-0000-0000016A0000}"/>
    <cellStyle name="Normal 47 8 4 5" xfId="27134" xr:uid="{00000000-0005-0000-0000-0000026A0000}"/>
    <cellStyle name="Normal 47 8 4 6" xfId="27135" xr:uid="{00000000-0005-0000-0000-0000036A0000}"/>
    <cellStyle name="Normal 47 8 5" xfId="27136" xr:uid="{00000000-0005-0000-0000-0000046A0000}"/>
    <cellStyle name="Normal 47 8 5 2" xfId="27137" xr:uid="{00000000-0005-0000-0000-0000056A0000}"/>
    <cellStyle name="Normal 47 8 5 3" xfId="27138" xr:uid="{00000000-0005-0000-0000-0000066A0000}"/>
    <cellStyle name="Normal 47 8 5 4" xfId="27139" xr:uid="{00000000-0005-0000-0000-0000076A0000}"/>
    <cellStyle name="Normal 47 8 5 5" xfId="27140" xr:uid="{00000000-0005-0000-0000-0000086A0000}"/>
    <cellStyle name="Normal 47 8 5 6" xfId="27141" xr:uid="{00000000-0005-0000-0000-0000096A0000}"/>
    <cellStyle name="Normal 47 8 6" xfId="27142" xr:uid="{00000000-0005-0000-0000-00000A6A0000}"/>
    <cellStyle name="Normal 47 8 6 2" xfId="27143" xr:uid="{00000000-0005-0000-0000-00000B6A0000}"/>
    <cellStyle name="Normal 47 8 6 3" xfId="27144" xr:uid="{00000000-0005-0000-0000-00000C6A0000}"/>
    <cellStyle name="Normal 47 8 6 4" xfId="27145" xr:uid="{00000000-0005-0000-0000-00000D6A0000}"/>
    <cellStyle name="Normal 47 8 6 5" xfId="27146" xr:uid="{00000000-0005-0000-0000-00000E6A0000}"/>
    <cellStyle name="Normal 47 8 6 6" xfId="27147" xr:uid="{00000000-0005-0000-0000-00000F6A0000}"/>
    <cellStyle name="Normal 47 8 7" xfId="27148" xr:uid="{00000000-0005-0000-0000-0000106A0000}"/>
    <cellStyle name="Normal 47 8 7 2" xfId="27149" xr:uid="{00000000-0005-0000-0000-0000116A0000}"/>
    <cellStyle name="Normal 47 8 7 3" xfId="27150" xr:uid="{00000000-0005-0000-0000-0000126A0000}"/>
    <cellStyle name="Normal 47 8 7 4" xfId="27151" xr:uid="{00000000-0005-0000-0000-0000136A0000}"/>
    <cellStyle name="Normal 47 8 7 5" xfId="27152" xr:uid="{00000000-0005-0000-0000-0000146A0000}"/>
    <cellStyle name="Normal 47 8 7 6" xfId="27153" xr:uid="{00000000-0005-0000-0000-0000156A0000}"/>
    <cellStyle name="Normal 47 8 8" xfId="27154" xr:uid="{00000000-0005-0000-0000-0000166A0000}"/>
    <cellStyle name="Normal 47 8 8 2" xfId="27155" xr:uid="{00000000-0005-0000-0000-0000176A0000}"/>
    <cellStyle name="Normal 47 8 8 3" xfId="27156" xr:uid="{00000000-0005-0000-0000-0000186A0000}"/>
    <cellStyle name="Normal 47 8 8 4" xfId="27157" xr:uid="{00000000-0005-0000-0000-0000196A0000}"/>
    <cellStyle name="Normal 47 8 8 5" xfId="27158" xr:uid="{00000000-0005-0000-0000-00001A6A0000}"/>
    <cellStyle name="Normal 47 8 8 6" xfId="27159" xr:uid="{00000000-0005-0000-0000-00001B6A0000}"/>
    <cellStyle name="Normal 47 8 9" xfId="27160" xr:uid="{00000000-0005-0000-0000-00001C6A0000}"/>
    <cellStyle name="Normal 47 8 9 2" xfId="27161" xr:uid="{00000000-0005-0000-0000-00001D6A0000}"/>
    <cellStyle name="Normal 47 8 9 3" xfId="27162" xr:uid="{00000000-0005-0000-0000-00001E6A0000}"/>
    <cellStyle name="Normal 47 8 9 4" xfId="27163" xr:uid="{00000000-0005-0000-0000-00001F6A0000}"/>
    <cellStyle name="Normal 47 8 9 5" xfId="27164" xr:uid="{00000000-0005-0000-0000-0000206A0000}"/>
    <cellStyle name="Normal 47 8 9 6" xfId="27165" xr:uid="{00000000-0005-0000-0000-0000216A0000}"/>
    <cellStyle name="Normal 47 9" xfId="27166" xr:uid="{00000000-0005-0000-0000-0000226A0000}"/>
    <cellStyle name="Normal 47 9 10" xfId="27167" xr:uid="{00000000-0005-0000-0000-0000236A0000}"/>
    <cellStyle name="Normal 47 9 11" xfId="27168" xr:uid="{00000000-0005-0000-0000-0000246A0000}"/>
    <cellStyle name="Normal 47 9 12" xfId="27169" xr:uid="{00000000-0005-0000-0000-0000256A0000}"/>
    <cellStyle name="Normal 47 9 13" xfId="27170" xr:uid="{00000000-0005-0000-0000-0000266A0000}"/>
    <cellStyle name="Normal 47 9 14" xfId="27171" xr:uid="{00000000-0005-0000-0000-0000276A0000}"/>
    <cellStyle name="Normal 47 9 2" xfId="27172" xr:uid="{00000000-0005-0000-0000-0000286A0000}"/>
    <cellStyle name="Normal 47 9 2 2" xfId="27173" xr:uid="{00000000-0005-0000-0000-0000296A0000}"/>
    <cellStyle name="Normal 47 9 2 3" xfId="27174" xr:uid="{00000000-0005-0000-0000-00002A6A0000}"/>
    <cellStyle name="Normal 47 9 2 4" xfId="27175" xr:uid="{00000000-0005-0000-0000-00002B6A0000}"/>
    <cellStyle name="Normal 47 9 2 5" xfId="27176" xr:uid="{00000000-0005-0000-0000-00002C6A0000}"/>
    <cellStyle name="Normal 47 9 2 6" xfId="27177" xr:uid="{00000000-0005-0000-0000-00002D6A0000}"/>
    <cellStyle name="Normal 47 9 3" xfId="27178" xr:uid="{00000000-0005-0000-0000-00002E6A0000}"/>
    <cellStyle name="Normal 47 9 3 2" xfId="27179" xr:uid="{00000000-0005-0000-0000-00002F6A0000}"/>
    <cellStyle name="Normal 47 9 3 3" xfId="27180" xr:uid="{00000000-0005-0000-0000-0000306A0000}"/>
    <cellStyle name="Normal 47 9 3 4" xfId="27181" xr:uid="{00000000-0005-0000-0000-0000316A0000}"/>
    <cellStyle name="Normal 47 9 3 5" xfId="27182" xr:uid="{00000000-0005-0000-0000-0000326A0000}"/>
    <cellStyle name="Normal 47 9 3 6" xfId="27183" xr:uid="{00000000-0005-0000-0000-0000336A0000}"/>
    <cellStyle name="Normal 47 9 4" xfId="27184" xr:uid="{00000000-0005-0000-0000-0000346A0000}"/>
    <cellStyle name="Normal 47 9 4 2" xfId="27185" xr:uid="{00000000-0005-0000-0000-0000356A0000}"/>
    <cellStyle name="Normal 47 9 4 3" xfId="27186" xr:uid="{00000000-0005-0000-0000-0000366A0000}"/>
    <cellStyle name="Normal 47 9 4 4" xfId="27187" xr:uid="{00000000-0005-0000-0000-0000376A0000}"/>
    <cellStyle name="Normal 47 9 4 5" xfId="27188" xr:uid="{00000000-0005-0000-0000-0000386A0000}"/>
    <cellStyle name="Normal 47 9 4 6" xfId="27189" xr:uid="{00000000-0005-0000-0000-0000396A0000}"/>
    <cellStyle name="Normal 47 9 5" xfId="27190" xr:uid="{00000000-0005-0000-0000-00003A6A0000}"/>
    <cellStyle name="Normal 47 9 5 2" xfId="27191" xr:uid="{00000000-0005-0000-0000-00003B6A0000}"/>
    <cellStyle name="Normal 47 9 5 3" xfId="27192" xr:uid="{00000000-0005-0000-0000-00003C6A0000}"/>
    <cellStyle name="Normal 47 9 5 4" xfId="27193" xr:uid="{00000000-0005-0000-0000-00003D6A0000}"/>
    <cellStyle name="Normal 47 9 5 5" xfId="27194" xr:uid="{00000000-0005-0000-0000-00003E6A0000}"/>
    <cellStyle name="Normal 47 9 5 6" xfId="27195" xr:uid="{00000000-0005-0000-0000-00003F6A0000}"/>
    <cellStyle name="Normal 47 9 6" xfId="27196" xr:uid="{00000000-0005-0000-0000-0000406A0000}"/>
    <cellStyle name="Normal 47 9 6 2" xfId="27197" xr:uid="{00000000-0005-0000-0000-0000416A0000}"/>
    <cellStyle name="Normal 47 9 6 3" xfId="27198" xr:uid="{00000000-0005-0000-0000-0000426A0000}"/>
    <cellStyle name="Normal 47 9 6 4" xfId="27199" xr:uid="{00000000-0005-0000-0000-0000436A0000}"/>
    <cellStyle name="Normal 47 9 6 5" xfId="27200" xr:uid="{00000000-0005-0000-0000-0000446A0000}"/>
    <cellStyle name="Normal 47 9 6 6" xfId="27201" xr:uid="{00000000-0005-0000-0000-0000456A0000}"/>
    <cellStyle name="Normal 47 9 7" xfId="27202" xr:uid="{00000000-0005-0000-0000-0000466A0000}"/>
    <cellStyle name="Normal 47 9 7 2" xfId="27203" xr:uid="{00000000-0005-0000-0000-0000476A0000}"/>
    <cellStyle name="Normal 47 9 7 3" xfId="27204" xr:uid="{00000000-0005-0000-0000-0000486A0000}"/>
    <cellStyle name="Normal 47 9 7 4" xfId="27205" xr:uid="{00000000-0005-0000-0000-0000496A0000}"/>
    <cellStyle name="Normal 47 9 7 5" xfId="27206" xr:uid="{00000000-0005-0000-0000-00004A6A0000}"/>
    <cellStyle name="Normal 47 9 7 6" xfId="27207" xr:uid="{00000000-0005-0000-0000-00004B6A0000}"/>
    <cellStyle name="Normal 47 9 8" xfId="27208" xr:uid="{00000000-0005-0000-0000-00004C6A0000}"/>
    <cellStyle name="Normal 47 9 8 2" xfId="27209" xr:uid="{00000000-0005-0000-0000-00004D6A0000}"/>
    <cellStyle name="Normal 47 9 8 3" xfId="27210" xr:uid="{00000000-0005-0000-0000-00004E6A0000}"/>
    <cellStyle name="Normal 47 9 8 4" xfId="27211" xr:uid="{00000000-0005-0000-0000-00004F6A0000}"/>
    <cellStyle name="Normal 47 9 8 5" xfId="27212" xr:uid="{00000000-0005-0000-0000-0000506A0000}"/>
    <cellStyle name="Normal 47 9 8 6" xfId="27213" xr:uid="{00000000-0005-0000-0000-0000516A0000}"/>
    <cellStyle name="Normal 47 9 9" xfId="27214" xr:uid="{00000000-0005-0000-0000-0000526A0000}"/>
    <cellStyle name="Normal 47 9 9 2" xfId="27215" xr:uid="{00000000-0005-0000-0000-0000536A0000}"/>
    <cellStyle name="Normal 47 9 9 3" xfId="27216" xr:uid="{00000000-0005-0000-0000-0000546A0000}"/>
    <cellStyle name="Normal 47 9 9 4" xfId="27217" xr:uid="{00000000-0005-0000-0000-0000556A0000}"/>
    <cellStyle name="Normal 47 9 9 5" xfId="27218" xr:uid="{00000000-0005-0000-0000-0000566A0000}"/>
    <cellStyle name="Normal 47 9 9 6" xfId="27219" xr:uid="{00000000-0005-0000-0000-0000576A0000}"/>
    <cellStyle name="Normal 48" xfId="27220" xr:uid="{00000000-0005-0000-0000-0000586A0000}"/>
    <cellStyle name="Normal 48 10" xfId="27221" xr:uid="{00000000-0005-0000-0000-0000596A0000}"/>
    <cellStyle name="Normal 48 11" xfId="27222" xr:uid="{00000000-0005-0000-0000-00005A6A0000}"/>
    <cellStyle name="Normal 48 12" xfId="27223" xr:uid="{00000000-0005-0000-0000-00005B6A0000}"/>
    <cellStyle name="Normal 48 13" xfId="27224" xr:uid="{00000000-0005-0000-0000-00005C6A0000}"/>
    <cellStyle name="Normal 48 14" xfId="27225" xr:uid="{00000000-0005-0000-0000-00005D6A0000}"/>
    <cellStyle name="Normal 48 2" xfId="27226" xr:uid="{00000000-0005-0000-0000-00005E6A0000}"/>
    <cellStyle name="Normal 48 2 2" xfId="27227" xr:uid="{00000000-0005-0000-0000-00005F6A0000}"/>
    <cellStyle name="Normal 48 2 3" xfId="27228" xr:uid="{00000000-0005-0000-0000-0000606A0000}"/>
    <cellStyle name="Normal 48 2 4" xfId="27229" xr:uid="{00000000-0005-0000-0000-0000616A0000}"/>
    <cellStyle name="Normal 48 2 5" xfId="27230" xr:uid="{00000000-0005-0000-0000-0000626A0000}"/>
    <cellStyle name="Normal 48 2 6" xfId="27231" xr:uid="{00000000-0005-0000-0000-0000636A0000}"/>
    <cellStyle name="Normal 48 3" xfId="27232" xr:uid="{00000000-0005-0000-0000-0000646A0000}"/>
    <cellStyle name="Normal 48 3 2" xfId="27233" xr:uid="{00000000-0005-0000-0000-0000656A0000}"/>
    <cellStyle name="Normal 48 3 3" xfId="27234" xr:uid="{00000000-0005-0000-0000-0000666A0000}"/>
    <cellStyle name="Normal 48 3 4" xfId="27235" xr:uid="{00000000-0005-0000-0000-0000676A0000}"/>
    <cellStyle name="Normal 48 3 5" xfId="27236" xr:uid="{00000000-0005-0000-0000-0000686A0000}"/>
    <cellStyle name="Normal 48 3 6" xfId="27237" xr:uid="{00000000-0005-0000-0000-0000696A0000}"/>
    <cellStyle name="Normal 48 4" xfId="27238" xr:uid="{00000000-0005-0000-0000-00006A6A0000}"/>
    <cellStyle name="Normal 48 4 2" xfId="27239" xr:uid="{00000000-0005-0000-0000-00006B6A0000}"/>
    <cellStyle name="Normal 48 4 3" xfId="27240" xr:uid="{00000000-0005-0000-0000-00006C6A0000}"/>
    <cellStyle name="Normal 48 4 4" xfId="27241" xr:uid="{00000000-0005-0000-0000-00006D6A0000}"/>
    <cellStyle name="Normal 48 4 5" xfId="27242" xr:uid="{00000000-0005-0000-0000-00006E6A0000}"/>
    <cellStyle name="Normal 48 4 6" xfId="27243" xr:uid="{00000000-0005-0000-0000-00006F6A0000}"/>
    <cellStyle name="Normal 48 5" xfId="27244" xr:uid="{00000000-0005-0000-0000-0000706A0000}"/>
    <cellStyle name="Normal 48 5 2" xfId="27245" xr:uid="{00000000-0005-0000-0000-0000716A0000}"/>
    <cellStyle name="Normal 48 5 3" xfId="27246" xr:uid="{00000000-0005-0000-0000-0000726A0000}"/>
    <cellStyle name="Normal 48 5 4" xfId="27247" xr:uid="{00000000-0005-0000-0000-0000736A0000}"/>
    <cellStyle name="Normal 48 5 5" xfId="27248" xr:uid="{00000000-0005-0000-0000-0000746A0000}"/>
    <cellStyle name="Normal 48 5 6" xfId="27249" xr:uid="{00000000-0005-0000-0000-0000756A0000}"/>
    <cellStyle name="Normal 48 6" xfId="27250" xr:uid="{00000000-0005-0000-0000-0000766A0000}"/>
    <cellStyle name="Normal 48 6 2" xfId="27251" xr:uid="{00000000-0005-0000-0000-0000776A0000}"/>
    <cellStyle name="Normal 48 6 3" xfId="27252" xr:uid="{00000000-0005-0000-0000-0000786A0000}"/>
    <cellStyle name="Normal 48 6 4" xfId="27253" xr:uid="{00000000-0005-0000-0000-0000796A0000}"/>
    <cellStyle name="Normal 48 6 5" xfId="27254" xr:uid="{00000000-0005-0000-0000-00007A6A0000}"/>
    <cellStyle name="Normal 48 6 6" xfId="27255" xr:uid="{00000000-0005-0000-0000-00007B6A0000}"/>
    <cellStyle name="Normal 48 7" xfId="27256" xr:uid="{00000000-0005-0000-0000-00007C6A0000}"/>
    <cellStyle name="Normal 48 7 2" xfId="27257" xr:uid="{00000000-0005-0000-0000-00007D6A0000}"/>
    <cellStyle name="Normal 48 7 3" xfId="27258" xr:uid="{00000000-0005-0000-0000-00007E6A0000}"/>
    <cellStyle name="Normal 48 7 4" xfId="27259" xr:uid="{00000000-0005-0000-0000-00007F6A0000}"/>
    <cellStyle name="Normal 48 7 5" xfId="27260" xr:uid="{00000000-0005-0000-0000-0000806A0000}"/>
    <cellStyle name="Normal 48 7 6" xfId="27261" xr:uid="{00000000-0005-0000-0000-0000816A0000}"/>
    <cellStyle name="Normal 48 8" xfId="27262" xr:uid="{00000000-0005-0000-0000-0000826A0000}"/>
    <cellStyle name="Normal 48 8 2" xfId="27263" xr:uid="{00000000-0005-0000-0000-0000836A0000}"/>
    <cellStyle name="Normal 48 8 3" xfId="27264" xr:uid="{00000000-0005-0000-0000-0000846A0000}"/>
    <cellStyle name="Normal 48 8 4" xfId="27265" xr:uid="{00000000-0005-0000-0000-0000856A0000}"/>
    <cellStyle name="Normal 48 8 5" xfId="27266" xr:uid="{00000000-0005-0000-0000-0000866A0000}"/>
    <cellStyle name="Normal 48 8 6" xfId="27267" xr:uid="{00000000-0005-0000-0000-0000876A0000}"/>
    <cellStyle name="Normal 48 9" xfId="27268" xr:uid="{00000000-0005-0000-0000-0000886A0000}"/>
    <cellStyle name="Normal 48 9 2" xfId="27269" xr:uid="{00000000-0005-0000-0000-0000896A0000}"/>
    <cellStyle name="Normal 48 9 3" xfId="27270" xr:uid="{00000000-0005-0000-0000-00008A6A0000}"/>
    <cellStyle name="Normal 48 9 4" xfId="27271" xr:uid="{00000000-0005-0000-0000-00008B6A0000}"/>
    <cellStyle name="Normal 48 9 5" xfId="27272" xr:uid="{00000000-0005-0000-0000-00008C6A0000}"/>
    <cellStyle name="Normal 48 9 6" xfId="27273" xr:uid="{00000000-0005-0000-0000-00008D6A0000}"/>
    <cellStyle name="Normal 49" xfId="27274" xr:uid="{00000000-0005-0000-0000-00008E6A0000}"/>
    <cellStyle name="Normal 49 10" xfId="27275" xr:uid="{00000000-0005-0000-0000-00008F6A0000}"/>
    <cellStyle name="Normal 49 11" xfId="27276" xr:uid="{00000000-0005-0000-0000-0000906A0000}"/>
    <cellStyle name="Normal 49 12" xfId="27277" xr:uid="{00000000-0005-0000-0000-0000916A0000}"/>
    <cellStyle name="Normal 49 12 2" xfId="27278" xr:uid="{00000000-0005-0000-0000-0000926A0000}"/>
    <cellStyle name="Normal 49 12 3" xfId="27279" xr:uid="{00000000-0005-0000-0000-0000936A0000}"/>
    <cellStyle name="Normal 49 12 4" xfId="27280" xr:uid="{00000000-0005-0000-0000-0000946A0000}"/>
    <cellStyle name="Normal 49 12 5" xfId="27281" xr:uid="{00000000-0005-0000-0000-0000956A0000}"/>
    <cellStyle name="Normal 49 12 6" xfId="27282" xr:uid="{00000000-0005-0000-0000-0000966A0000}"/>
    <cellStyle name="Normal 49 13" xfId="27283" xr:uid="{00000000-0005-0000-0000-0000976A0000}"/>
    <cellStyle name="Normal 49 14" xfId="27284" xr:uid="{00000000-0005-0000-0000-0000986A0000}"/>
    <cellStyle name="Normal 49 15" xfId="27285" xr:uid="{00000000-0005-0000-0000-0000996A0000}"/>
    <cellStyle name="Normal 49 16" xfId="27286" xr:uid="{00000000-0005-0000-0000-00009A6A0000}"/>
    <cellStyle name="Normal 49 17" xfId="27287" xr:uid="{00000000-0005-0000-0000-00009B6A0000}"/>
    <cellStyle name="Normal 49 18" xfId="27288" xr:uid="{00000000-0005-0000-0000-00009C6A0000}"/>
    <cellStyle name="Normal 49 19" xfId="27289" xr:uid="{00000000-0005-0000-0000-00009D6A0000}"/>
    <cellStyle name="Normal 49 2" xfId="27290" xr:uid="{00000000-0005-0000-0000-00009E6A0000}"/>
    <cellStyle name="Normal 49 2 10" xfId="27291" xr:uid="{00000000-0005-0000-0000-00009F6A0000}"/>
    <cellStyle name="Normal 49 2 10 2" xfId="27292" xr:uid="{00000000-0005-0000-0000-0000A06A0000}"/>
    <cellStyle name="Normal 49 2 10 3" xfId="27293" xr:uid="{00000000-0005-0000-0000-0000A16A0000}"/>
    <cellStyle name="Normal 49 2 10 4" xfId="27294" xr:uid="{00000000-0005-0000-0000-0000A26A0000}"/>
    <cellStyle name="Normal 49 2 10 5" xfId="27295" xr:uid="{00000000-0005-0000-0000-0000A36A0000}"/>
    <cellStyle name="Normal 49 2 10 6" xfId="27296" xr:uid="{00000000-0005-0000-0000-0000A46A0000}"/>
    <cellStyle name="Normal 49 2 11" xfId="27297" xr:uid="{00000000-0005-0000-0000-0000A56A0000}"/>
    <cellStyle name="Normal 49 2 12" xfId="27298" xr:uid="{00000000-0005-0000-0000-0000A66A0000}"/>
    <cellStyle name="Normal 49 2 13" xfId="27299" xr:uid="{00000000-0005-0000-0000-0000A76A0000}"/>
    <cellStyle name="Normal 49 2 14" xfId="27300" xr:uid="{00000000-0005-0000-0000-0000A86A0000}"/>
    <cellStyle name="Normal 49 2 15" xfId="27301" xr:uid="{00000000-0005-0000-0000-0000A96A0000}"/>
    <cellStyle name="Normal 49 2 16" xfId="27302" xr:uid="{00000000-0005-0000-0000-0000AA6A0000}"/>
    <cellStyle name="Normal 49 2 17" xfId="27303" xr:uid="{00000000-0005-0000-0000-0000AB6A0000}"/>
    <cellStyle name="Normal 49 2 18" xfId="27304" xr:uid="{00000000-0005-0000-0000-0000AC6A0000}"/>
    <cellStyle name="Normal 49 2 19" xfId="27305" xr:uid="{00000000-0005-0000-0000-0000AD6A0000}"/>
    <cellStyle name="Normal 49 2 2" xfId="27306" xr:uid="{00000000-0005-0000-0000-0000AE6A0000}"/>
    <cellStyle name="Normal 49 2 2 10" xfId="27307" xr:uid="{00000000-0005-0000-0000-0000AF6A0000}"/>
    <cellStyle name="Normal 49 2 2 11" xfId="27308" xr:uid="{00000000-0005-0000-0000-0000B06A0000}"/>
    <cellStyle name="Normal 49 2 2 12" xfId="27309" xr:uid="{00000000-0005-0000-0000-0000B16A0000}"/>
    <cellStyle name="Normal 49 2 2 13" xfId="27310" xr:uid="{00000000-0005-0000-0000-0000B26A0000}"/>
    <cellStyle name="Normal 49 2 2 14" xfId="27311" xr:uid="{00000000-0005-0000-0000-0000B36A0000}"/>
    <cellStyle name="Normal 49 2 2 15" xfId="27312" xr:uid="{00000000-0005-0000-0000-0000B46A0000}"/>
    <cellStyle name="Normal 49 2 2 16" xfId="27313" xr:uid="{00000000-0005-0000-0000-0000B56A0000}"/>
    <cellStyle name="Normal 49 2 2 17" xfId="27314" xr:uid="{00000000-0005-0000-0000-0000B66A0000}"/>
    <cellStyle name="Normal 49 2 2 18" xfId="27315" xr:uid="{00000000-0005-0000-0000-0000B76A0000}"/>
    <cellStyle name="Normal 49 2 2 19" xfId="27316" xr:uid="{00000000-0005-0000-0000-0000B86A0000}"/>
    <cellStyle name="Normal 49 2 2 2" xfId="27317" xr:uid="{00000000-0005-0000-0000-0000B96A0000}"/>
    <cellStyle name="Normal 49 2 2 2 2" xfId="27318" xr:uid="{00000000-0005-0000-0000-0000BA6A0000}"/>
    <cellStyle name="Normal 49 2 2 2 3" xfId="27319" xr:uid="{00000000-0005-0000-0000-0000BB6A0000}"/>
    <cellStyle name="Normal 49 2 2 2 4" xfId="27320" xr:uid="{00000000-0005-0000-0000-0000BC6A0000}"/>
    <cellStyle name="Normal 49 2 2 2 5" xfId="27321" xr:uid="{00000000-0005-0000-0000-0000BD6A0000}"/>
    <cellStyle name="Normal 49 2 2 2 6" xfId="27322" xr:uid="{00000000-0005-0000-0000-0000BE6A0000}"/>
    <cellStyle name="Normal 49 2 2 20" xfId="27323" xr:uid="{00000000-0005-0000-0000-0000BF6A0000}"/>
    <cellStyle name="Normal 49 2 2 21" xfId="27324" xr:uid="{00000000-0005-0000-0000-0000C06A0000}"/>
    <cellStyle name="Normal 49 2 2 22" xfId="27325" xr:uid="{00000000-0005-0000-0000-0000C16A0000}"/>
    <cellStyle name="Normal 49 2 2 23" xfId="27326" xr:uid="{00000000-0005-0000-0000-0000C26A0000}"/>
    <cellStyle name="Normal 49 2 2 24" xfId="27327" xr:uid="{00000000-0005-0000-0000-0000C36A0000}"/>
    <cellStyle name="Normal 49 2 2 25" xfId="27328" xr:uid="{00000000-0005-0000-0000-0000C46A0000}"/>
    <cellStyle name="Normal 49 2 2 26" xfId="27329" xr:uid="{00000000-0005-0000-0000-0000C56A0000}"/>
    <cellStyle name="Normal 49 2 2 27" xfId="27330" xr:uid="{00000000-0005-0000-0000-0000C66A0000}"/>
    <cellStyle name="Normal 49 2 2 28" xfId="27331" xr:uid="{00000000-0005-0000-0000-0000C76A0000}"/>
    <cellStyle name="Normal 49 2 2 29" xfId="27332" xr:uid="{00000000-0005-0000-0000-0000C86A0000}"/>
    <cellStyle name="Normal 49 2 2 3" xfId="27333" xr:uid="{00000000-0005-0000-0000-0000C96A0000}"/>
    <cellStyle name="Normal 49 2 2 30" xfId="27334" xr:uid="{00000000-0005-0000-0000-0000CA6A0000}"/>
    <cellStyle name="Normal 49 2 2 31" xfId="27335" xr:uid="{00000000-0005-0000-0000-0000CB6A0000}"/>
    <cellStyle name="Normal 49 2 2 32" xfId="27336" xr:uid="{00000000-0005-0000-0000-0000CC6A0000}"/>
    <cellStyle name="Normal 49 2 2 33" xfId="27337" xr:uid="{00000000-0005-0000-0000-0000CD6A0000}"/>
    <cellStyle name="Normal 49 2 2 4" xfId="27338" xr:uid="{00000000-0005-0000-0000-0000CE6A0000}"/>
    <cellStyle name="Normal 49 2 2 5" xfId="27339" xr:uid="{00000000-0005-0000-0000-0000CF6A0000}"/>
    <cellStyle name="Normal 49 2 2 6" xfId="27340" xr:uid="{00000000-0005-0000-0000-0000D06A0000}"/>
    <cellStyle name="Normal 49 2 2 7" xfId="27341" xr:uid="{00000000-0005-0000-0000-0000D16A0000}"/>
    <cellStyle name="Normal 49 2 2 8" xfId="27342" xr:uid="{00000000-0005-0000-0000-0000D26A0000}"/>
    <cellStyle name="Normal 49 2 2 9" xfId="27343" xr:uid="{00000000-0005-0000-0000-0000D36A0000}"/>
    <cellStyle name="Normal 49 2 20" xfId="27344" xr:uid="{00000000-0005-0000-0000-0000D46A0000}"/>
    <cellStyle name="Normal 49 2 21" xfId="27345" xr:uid="{00000000-0005-0000-0000-0000D56A0000}"/>
    <cellStyle name="Normal 49 2 22" xfId="27346" xr:uid="{00000000-0005-0000-0000-0000D66A0000}"/>
    <cellStyle name="Normal 49 2 23" xfId="27347" xr:uid="{00000000-0005-0000-0000-0000D76A0000}"/>
    <cellStyle name="Normal 49 2 24" xfId="27348" xr:uid="{00000000-0005-0000-0000-0000D86A0000}"/>
    <cellStyle name="Normal 49 2 25" xfId="27349" xr:uid="{00000000-0005-0000-0000-0000D96A0000}"/>
    <cellStyle name="Normal 49 2 26" xfId="27350" xr:uid="{00000000-0005-0000-0000-0000DA6A0000}"/>
    <cellStyle name="Normal 49 2 27" xfId="27351" xr:uid="{00000000-0005-0000-0000-0000DB6A0000}"/>
    <cellStyle name="Normal 49 2 28" xfId="27352" xr:uid="{00000000-0005-0000-0000-0000DC6A0000}"/>
    <cellStyle name="Normal 49 2 29" xfId="27353" xr:uid="{00000000-0005-0000-0000-0000DD6A0000}"/>
    <cellStyle name="Normal 49 2 3" xfId="27354" xr:uid="{00000000-0005-0000-0000-0000DE6A0000}"/>
    <cellStyle name="Normal 49 2 3 2" xfId="27355" xr:uid="{00000000-0005-0000-0000-0000DF6A0000}"/>
    <cellStyle name="Normal 49 2 3 3" xfId="27356" xr:uid="{00000000-0005-0000-0000-0000E06A0000}"/>
    <cellStyle name="Normal 49 2 3 4" xfId="27357" xr:uid="{00000000-0005-0000-0000-0000E16A0000}"/>
    <cellStyle name="Normal 49 2 3 5" xfId="27358" xr:uid="{00000000-0005-0000-0000-0000E26A0000}"/>
    <cellStyle name="Normal 49 2 3 6" xfId="27359" xr:uid="{00000000-0005-0000-0000-0000E36A0000}"/>
    <cellStyle name="Normal 49 2 30" xfId="27360" xr:uid="{00000000-0005-0000-0000-0000E46A0000}"/>
    <cellStyle name="Normal 49 2 31" xfId="27361" xr:uid="{00000000-0005-0000-0000-0000E56A0000}"/>
    <cellStyle name="Normal 49 2 32" xfId="27362" xr:uid="{00000000-0005-0000-0000-0000E66A0000}"/>
    <cellStyle name="Normal 49 2 33" xfId="27363" xr:uid="{00000000-0005-0000-0000-0000E76A0000}"/>
    <cellStyle name="Normal 49 2 34" xfId="27364" xr:uid="{00000000-0005-0000-0000-0000E86A0000}"/>
    <cellStyle name="Normal 49 2 35" xfId="27365" xr:uid="{00000000-0005-0000-0000-0000E96A0000}"/>
    <cellStyle name="Normal 49 2 36" xfId="27366" xr:uid="{00000000-0005-0000-0000-0000EA6A0000}"/>
    <cellStyle name="Normal 49 2 37" xfId="27367" xr:uid="{00000000-0005-0000-0000-0000EB6A0000}"/>
    <cellStyle name="Normal 49 2 38" xfId="27368" xr:uid="{00000000-0005-0000-0000-0000EC6A0000}"/>
    <cellStyle name="Normal 49 2 39" xfId="27369" xr:uid="{00000000-0005-0000-0000-0000ED6A0000}"/>
    <cellStyle name="Normal 49 2 4" xfId="27370" xr:uid="{00000000-0005-0000-0000-0000EE6A0000}"/>
    <cellStyle name="Normal 49 2 4 2" xfId="27371" xr:uid="{00000000-0005-0000-0000-0000EF6A0000}"/>
    <cellStyle name="Normal 49 2 4 3" xfId="27372" xr:uid="{00000000-0005-0000-0000-0000F06A0000}"/>
    <cellStyle name="Normal 49 2 4 4" xfId="27373" xr:uid="{00000000-0005-0000-0000-0000F16A0000}"/>
    <cellStyle name="Normal 49 2 4 5" xfId="27374" xr:uid="{00000000-0005-0000-0000-0000F26A0000}"/>
    <cellStyle name="Normal 49 2 4 6" xfId="27375" xr:uid="{00000000-0005-0000-0000-0000F36A0000}"/>
    <cellStyle name="Normal 49 2 40" xfId="27376" xr:uid="{00000000-0005-0000-0000-0000F46A0000}"/>
    <cellStyle name="Normal 49 2 5" xfId="27377" xr:uid="{00000000-0005-0000-0000-0000F56A0000}"/>
    <cellStyle name="Normal 49 2 5 2" xfId="27378" xr:uid="{00000000-0005-0000-0000-0000F66A0000}"/>
    <cellStyle name="Normal 49 2 5 3" xfId="27379" xr:uid="{00000000-0005-0000-0000-0000F76A0000}"/>
    <cellStyle name="Normal 49 2 5 4" xfId="27380" xr:uid="{00000000-0005-0000-0000-0000F86A0000}"/>
    <cellStyle name="Normal 49 2 5 5" xfId="27381" xr:uid="{00000000-0005-0000-0000-0000F96A0000}"/>
    <cellStyle name="Normal 49 2 5 6" xfId="27382" xr:uid="{00000000-0005-0000-0000-0000FA6A0000}"/>
    <cellStyle name="Normal 49 2 6" xfId="27383" xr:uid="{00000000-0005-0000-0000-0000FB6A0000}"/>
    <cellStyle name="Normal 49 2 6 2" xfId="27384" xr:uid="{00000000-0005-0000-0000-0000FC6A0000}"/>
    <cellStyle name="Normal 49 2 6 3" xfId="27385" xr:uid="{00000000-0005-0000-0000-0000FD6A0000}"/>
    <cellStyle name="Normal 49 2 6 4" xfId="27386" xr:uid="{00000000-0005-0000-0000-0000FE6A0000}"/>
    <cellStyle name="Normal 49 2 6 5" xfId="27387" xr:uid="{00000000-0005-0000-0000-0000FF6A0000}"/>
    <cellStyle name="Normal 49 2 6 6" xfId="27388" xr:uid="{00000000-0005-0000-0000-0000006B0000}"/>
    <cellStyle name="Normal 49 2 7" xfId="27389" xr:uid="{00000000-0005-0000-0000-0000016B0000}"/>
    <cellStyle name="Normal 49 2 7 2" xfId="27390" xr:uid="{00000000-0005-0000-0000-0000026B0000}"/>
    <cellStyle name="Normal 49 2 7 3" xfId="27391" xr:uid="{00000000-0005-0000-0000-0000036B0000}"/>
    <cellStyle name="Normal 49 2 7 4" xfId="27392" xr:uid="{00000000-0005-0000-0000-0000046B0000}"/>
    <cellStyle name="Normal 49 2 7 5" xfId="27393" xr:uid="{00000000-0005-0000-0000-0000056B0000}"/>
    <cellStyle name="Normal 49 2 7 6" xfId="27394" xr:uid="{00000000-0005-0000-0000-0000066B0000}"/>
    <cellStyle name="Normal 49 2 8" xfId="27395" xr:uid="{00000000-0005-0000-0000-0000076B0000}"/>
    <cellStyle name="Normal 49 2 8 2" xfId="27396" xr:uid="{00000000-0005-0000-0000-0000086B0000}"/>
    <cellStyle name="Normal 49 2 8 3" xfId="27397" xr:uid="{00000000-0005-0000-0000-0000096B0000}"/>
    <cellStyle name="Normal 49 2 8 4" xfId="27398" xr:uid="{00000000-0005-0000-0000-00000A6B0000}"/>
    <cellStyle name="Normal 49 2 8 5" xfId="27399" xr:uid="{00000000-0005-0000-0000-00000B6B0000}"/>
    <cellStyle name="Normal 49 2 8 6" xfId="27400" xr:uid="{00000000-0005-0000-0000-00000C6B0000}"/>
    <cellStyle name="Normal 49 2 9" xfId="27401" xr:uid="{00000000-0005-0000-0000-00000D6B0000}"/>
    <cellStyle name="Normal 49 2 9 2" xfId="27402" xr:uid="{00000000-0005-0000-0000-00000E6B0000}"/>
    <cellStyle name="Normal 49 2 9 3" xfId="27403" xr:uid="{00000000-0005-0000-0000-00000F6B0000}"/>
    <cellStyle name="Normal 49 2 9 4" xfId="27404" xr:uid="{00000000-0005-0000-0000-0000106B0000}"/>
    <cellStyle name="Normal 49 2 9 5" xfId="27405" xr:uid="{00000000-0005-0000-0000-0000116B0000}"/>
    <cellStyle name="Normal 49 2 9 6" xfId="27406" xr:uid="{00000000-0005-0000-0000-0000126B0000}"/>
    <cellStyle name="Normal 49 20" xfId="27407" xr:uid="{00000000-0005-0000-0000-0000136B0000}"/>
    <cellStyle name="Normal 49 21" xfId="27408" xr:uid="{00000000-0005-0000-0000-0000146B0000}"/>
    <cellStyle name="Normal 49 22" xfId="27409" xr:uid="{00000000-0005-0000-0000-0000156B0000}"/>
    <cellStyle name="Normal 49 23" xfId="27410" xr:uid="{00000000-0005-0000-0000-0000166B0000}"/>
    <cellStyle name="Normal 49 24" xfId="27411" xr:uid="{00000000-0005-0000-0000-0000176B0000}"/>
    <cellStyle name="Normal 49 25" xfId="27412" xr:uid="{00000000-0005-0000-0000-0000186B0000}"/>
    <cellStyle name="Normal 49 26" xfId="27413" xr:uid="{00000000-0005-0000-0000-0000196B0000}"/>
    <cellStyle name="Normal 49 27" xfId="27414" xr:uid="{00000000-0005-0000-0000-00001A6B0000}"/>
    <cellStyle name="Normal 49 28" xfId="27415" xr:uid="{00000000-0005-0000-0000-00001B6B0000}"/>
    <cellStyle name="Normal 49 29" xfId="27416" xr:uid="{00000000-0005-0000-0000-00001C6B0000}"/>
    <cellStyle name="Normal 49 3" xfId="27417" xr:uid="{00000000-0005-0000-0000-00001D6B0000}"/>
    <cellStyle name="Normal 49 3 10" xfId="27418" xr:uid="{00000000-0005-0000-0000-00001E6B0000}"/>
    <cellStyle name="Normal 49 3 2" xfId="27419" xr:uid="{00000000-0005-0000-0000-00001F6B0000}"/>
    <cellStyle name="Normal 49 3 2 2" xfId="27420" xr:uid="{00000000-0005-0000-0000-0000206B0000}"/>
    <cellStyle name="Normal 49 3 2 3" xfId="27421" xr:uid="{00000000-0005-0000-0000-0000216B0000}"/>
    <cellStyle name="Normal 49 3 2 4" xfId="27422" xr:uid="{00000000-0005-0000-0000-0000226B0000}"/>
    <cellStyle name="Normal 49 3 2 5" xfId="27423" xr:uid="{00000000-0005-0000-0000-0000236B0000}"/>
    <cellStyle name="Normal 49 3 2 6" xfId="27424" xr:uid="{00000000-0005-0000-0000-0000246B0000}"/>
    <cellStyle name="Normal 49 3 3" xfId="27425" xr:uid="{00000000-0005-0000-0000-0000256B0000}"/>
    <cellStyle name="Normal 49 3 3 2" xfId="27426" xr:uid="{00000000-0005-0000-0000-0000266B0000}"/>
    <cellStyle name="Normal 49 3 3 3" xfId="27427" xr:uid="{00000000-0005-0000-0000-0000276B0000}"/>
    <cellStyle name="Normal 49 3 3 4" xfId="27428" xr:uid="{00000000-0005-0000-0000-0000286B0000}"/>
    <cellStyle name="Normal 49 3 3 5" xfId="27429" xr:uid="{00000000-0005-0000-0000-0000296B0000}"/>
    <cellStyle name="Normal 49 3 3 6" xfId="27430" xr:uid="{00000000-0005-0000-0000-00002A6B0000}"/>
    <cellStyle name="Normal 49 3 4" xfId="27431" xr:uid="{00000000-0005-0000-0000-00002B6B0000}"/>
    <cellStyle name="Normal 49 3 4 2" xfId="27432" xr:uid="{00000000-0005-0000-0000-00002C6B0000}"/>
    <cellStyle name="Normal 49 3 4 3" xfId="27433" xr:uid="{00000000-0005-0000-0000-00002D6B0000}"/>
    <cellStyle name="Normal 49 3 4 4" xfId="27434" xr:uid="{00000000-0005-0000-0000-00002E6B0000}"/>
    <cellStyle name="Normal 49 3 4 5" xfId="27435" xr:uid="{00000000-0005-0000-0000-00002F6B0000}"/>
    <cellStyle name="Normal 49 3 4 6" xfId="27436" xr:uid="{00000000-0005-0000-0000-0000306B0000}"/>
    <cellStyle name="Normal 49 3 5" xfId="27437" xr:uid="{00000000-0005-0000-0000-0000316B0000}"/>
    <cellStyle name="Normal 49 3 5 2" xfId="27438" xr:uid="{00000000-0005-0000-0000-0000326B0000}"/>
    <cellStyle name="Normal 49 3 5 3" xfId="27439" xr:uid="{00000000-0005-0000-0000-0000336B0000}"/>
    <cellStyle name="Normal 49 3 5 4" xfId="27440" xr:uid="{00000000-0005-0000-0000-0000346B0000}"/>
    <cellStyle name="Normal 49 3 5 5" xfId="27441" xr:uid="{00000000-0005-0000-0000-0000356B0000}"/>
    <cellStyle name="Normal 49 3 5 6" xfId="27442" xr:uid="{00000000-0005-0000-0000-0000366B0000}"/>
    <cellStyle name="Normal 49 3 6" xfId="27443" xr:uid="{00000000-0005-0000-0000-0000376B0000}"/>
    <cellStyle name="Normal 49 3 7" xfId="27444" xr:uid="{00000000-0005-0000-0000-0000386B0000}"/>
    <cellStyle name="Normal 49 3 8" xfId="27445" xr:uid="{00000000-0005-0000-0000-0000396B0000}"/>
    <cellStyle name="Normal 49 3 9" xfId="27446" xr:uid="{00000000-0005-0000-0000-00003A6B0000}"/>
    <cellStyle name="Normal 49 30" xfId="27447" xr:uid="{00000000-0005-0000-0000-00003B6B0000}"/>
    <cellStyle name="Normal 49 31" xfId="27448" xr:uid="{00000000-0005-0000-0000-00003C6B0000}"/>
    <cellStyle name="Normal 49 32" xfId="27449" xr:uid="{00000000-0005-0000-0000-00003D6B0000}"/>
    <cellStyle name="Normal 49 33" xfId="27450" xr:uid="{00000000-0005-0000-0000-00003E6B0000}"/>
    <cellStyle name="Normal 49 34" xfId="27451" xr:uid="{00000000-0005-0000-0000-00003F6B0000}"/>
    <cellStyle name="Normal 49 35" xfId="27452" xr:uid="{00000000-0005-0000-0000-0000406B0000}"/>
    <cellStyle name="Normal 49 36" xfId="27453" xr:uid="{00000000-0005-0000-0000-0000416B0000}"/>
    <cellStyle name="Normal 49 37" xfId="27454" xr:uid="{00000000-0005-0000-0000-0000426B0000}"/>
    <cellStyle name="Normal 49 38" xfId="27455" xr:uid="{00000000-0005-0000-0000-0000436B0000}"/>
    <cellStyle name="Normal 49 39" xfId="27456" xr:uid="{00000000-0005-0000-0000-0000446B0000}"/>
    <cellStyle name="Normal 49 4" xfId="27457" xr:uid="{00000000-0005-0000-0000-0000456B0000}"/>
    <cellStyle name="Normal 49 4 10" xfId="27458" xr:uid="{00000000-0005-0000-0000-0000466B0000}"/>
    <cellStyle name="Normal 49 4 2" xfId="27459" xr:uid="{00000000-0005-0000-0000-0000476B0000}"/>
    <cellStyle name="Normal 49 4 2 2" xfId="27460" xr:uid="{00000000-0005-0000-0000-0000486B0000}"/>
    <cellStyle name="Normal 49 4 2 3" xfId="27461" xr:uid="{00000000-0005-0000-0000-0000496B0000}"/>
    <cellStyle name="Normal 49 4 2 4" xfId="27462" xr:uid="{00000000-0005-0000-0000-00004A6B0000}"/>
    <cellStyle name="Normal 49 4 2 5" xfId="27463" xr:uid="{00000000-0005-0000-0000-00004B6B0000}"/>
    <cellStyle name="Normal 49 4 2 6" xfId="27464" xr:uid="{00000000-0005-0000-0000-00004C6B0000}"/>
    <cellStyle name="Normal 49 4 3" xfId="27465" xr:uid="{00000000-0005-0000-0000-00004D6B0000}"/>
    <cellStyle name="Normal 49 4 3 2" xfId="27466" xr:uid="{00000000-0005-0000-0000-00004E6B0000}"/>
    <cellStyle name="Normal 49 4 3 3" xfId="27467" xr:uid="{00000000-0005-0000-0000-00004F6B0000}"/>
    <cellStyle name="Normal 49 4 3 4" xfId="27468" xr:uid="{00000000-0005-0000-0000-0000506B0000}"/>
    <cellStyle name="Normal 49 4 3 5" xfId="27469" xr:uid="{00000000-0005-0000-0000-0000516B0000}"/>
    <cellStyle name="Normal 49 4 3 6" xfId="27470" xr:uid="{00000000-0005-0000-0000-0000526B0000}"/>
    <cellStyle name="Normal 49 4 4" xfId="27471" xr:uid="{00000000-0005-0000-0000-0000536B0000}"/>
    <cellStyle name="Normal 49 4 4 2" xfId="27472" xr:uid="{00000000-0005-0000-0000-0000546B0000}"/>
    <cellStyle name="Normal 49 4 4 3" xfId="27473" xr:uid="{00000000-0005-0000-0000-0000556B0000}"/>
    <cellStyle name="Normal 49 4 4 4" xfId="27474" xr:uid="{00000000-0005-0000-0000-0000566B0000}"/>
    <cellStyle name="Normal 49 4 4 5" xfId="27475" xr:uid="{00000000-0005-0000-0000-0000576B0000}"/>
    <cellStyle name="Normal 49 4 4 6" xfId="27476" xr:uid="{00000000-0005-0000-0000-0000586B0000}"/>
    <cellStyle name="Normal 49 4 5" xfId="27477" xr:uid="{00000000-0005-0000-0000-0000596B0000}"/>
    <cellStyle name="Normal 49 4 5 2" xfId="27478" xr:uid="{00000000-0005-0000-0000-00005A6B0000}"/>
    <cellStyle name="Normal 49 4 5 3" xfId="27479" xr:uid="{00000000-0005-0000-0000-00005B6B0000}"/>
    <cellStyle name="Normal 49 4 5 4" xfId="27480" xr:uid="{00000000-0005-0000-0000-00005C6B0000}"/>
    <cellStyle name="Normal 49 4 5 5" xfId="27481" xr:uid="{00000000-0005-0000-0000-00005D6B0000}"/>
    <cellStyle name="Normal 49 4 5 6" xfId="27482" xr:uid="{00000000-0005-0000-0000-00005E6B0000}"/>
    <cellStyle name="Normal 49 4 6" xfId="27483" xr:uid="{00000000-0005-0000-0000-00005F6B0000}"/>
    <cellStyle name="Normal 49 4 7" xfId="27484" xr:uid="{00000000-0005-0000-0000-0000606B0000}"/>
    <cellStyle name="Normal 49 4 8" xfId="27485" xr:uid="{00000000-0005-0000-0000-0000616B0000}"/>
    <cellStyle name="Normal 49 4 9" xfId="27486" xr:uid="{00000000-0005-0000-0000-0000626B0000}"/>
    <cellStyle name="Normal 49 40" xfId="27487" xr:uid="{00000000-0005-0000-0000-0000636B0000}"/>
    <cellStyle name="Normal 49 41" xfId="27488" xr:uid="{00000000-0005-0000-0000-0000646B0000}"/>
    <cellStyle name="Normal 49 42" xfId="27489" xr:uid="{00000000-0005-0000-0000-0000656B0000}"/>
    <cellStyle name="Normal 49 5" xfId="27490" xr:uid="{00000000-0005-0000-0000-0000666B0000}"/>
    <cellStyle name="Normal 49 5 10" xfId="27491" xr:uid="{00000000-0005-0000-0000-0000676B0000}"/>
    <cellStyle name="Normal 49 5 11" xfId="27492" xr:uid="{00000000-0005-0000-0000-0000686B0000}"/>
    <cellStyle name="Normal 49 5 12" xfId="27493" xr:uid="{00000000-0005-0000-0000-0000696B0000}"/>
    <cellStyle name="Normal 49 5 13" xfId="27494" xr:uid="{00000000-0005-0000-0000-00006A6B0000}"/>
    <cellStyle name="Normal 49 5 14" xfId="27495" xr:uid="{00000000-0005-0000-0000-00006B6B0000}"/>
    <cellStyle name="Normal 49 5 15" xfId="27496" xr:uid="{00000000-0005-0000-0000-00006C6B0000}"/>
    <cellStyle name="Normal 49 5 16" xfId="27497" xr:uid="{00000000-0005-0000-0000-00006D6B0000}"/>
    <cellStyle name="Normal 49 5 17" xfId="27498" xr:uid="{00000000-0005-0000-0000-00006E6B0000}"/>
    <cellStyle name="Normal 49 5 18" xfId="27499" xr:uid="{00000000-0005-0000-0000-00006F6B0000}"/>
    <cellStyle name="Normal 49 5 19" xfId="27500" xr:uid="{00000000-0005-0000-0000-0000706B0000}"/>
    <cellStyle name="Normal 49 5 2" xfId="27501" xr:uid="{00000000-0005-0000-0000-0000716B0000}"/>
    <cellStyle name="Normal 49 5 2 2" xfId="27502" xr:uid="{00000000-0005-0000-0000-0000726B0000}"/>
    <cellStyle name="Normal 49 5 2 3" xfId="27503" xr:uid="{00000000-0005-0000-0000-0000736B0000}"/>
    <cellStyle name="Normal 49 5 2 4" xfId="27504" xr:uid="{00000000-0005-0000-0000-0000746B0000}"/>
    <cellStyle name="Normal 49 5 2 5" xfId="27505" xr:uid="{00000000-0005-0000-0000-0000756B0000}"/>
    <cellStyle name="Normal 49 5 2 6" xfId="27506" xr:uid="{00000000-0005-0000-0000-0000766B0000}"/>
    <cellStyle name="Normal 49 5 20" xfId="27507" xr:uid="{00000000-0005-0000-0000-0000776B0000}"/>
    <cellStyle name="Normal 49 5 21" xfId="27508" xr:uid="{00000000-0005-0000-0000-0000786B0000}"/>
    <cellStyle name="Normal 49 5 22" xfId="27509" xr:uid="{00000000-0005-0000-0000-0000796B0000}"/>
    <cellStyle name="Normal 49 5 23" xfId="27510" xr:uid="{00000000-0005-0000-0000-00007A6B0000}"/>
    <cellStyle name="Normal 49 5 24" xfId="27511" xr:uid="{00000000-0005-0000-0000-00007B6B0000}"/>
    <cellStyle name="Normal 49 5 25" xfId="27512" xr:uid="{00000000-0005-0000-0000-00007C6B0000}"/>
    <cellStyle name="Normal 49 5 26" xfId="27513" xr:uid="{00000000-0005-0000-0000-00007D6B0000}"/>
    <cellStyle name="Normal 49 5 27" xfId="27514" xr:uid="{00000000-0005-0000-0000-00007E6B0000}"/>
    <cellStyle name="Normal 49 5 28" xfId="27515" xr:uid="{00000000-0005-0000-0000-00007F6B0000}"/>
    <cellStyle name="Normal 49 5 29" xfId="27516" xr:uid="{00000000-0005-0000-0000-0000806B0000}"/>
    <cellStyle name="Normal 49 5 3" xfId="27517" xr:uid="{00000000-0005-0000-0000-0000816B0000}"/>
    <cellStyle name="Normal 49 5 30" xfId="27518" xr:uid="{00000000-0005-0000-0000-0000826B0000}"/>
    <cellStyle name="Normal 49 5 31" xfId="27519" xr:uid="{00000000-0005-0000-0000-0000836B0000}"/>
    <cellStyle name="Normal 49 5 32" xfId="27520" xr:uid="{00000000-0005-0000-0000-0000846B0000}"/>
    <cellStyle name="Normal 49 5 33" xfId="27521" xr:uid="{00000000-0005-0000-0000-0000856B0000}"/>
    <cellStyle name="Normal 49 5 4" xfId="27522" xr:uid="{00000000-0005-0000-0000-0000866B0000}"/>
    <cellStyle name="Normal 49 5 5" xfId="27523" xr:uid="{00000000-0005-0000-0000-0000876B0000}"/>
    <cellStyle name="Normal 49 5 6" xfId="27524" xr:uid="{00000000-0005-0000-0000-0000886B0000}"/>
    <cellStyle name="Normal 49 5 7" xfId="27525" xr:uid="{00000000-0005-0000-0000-0000896B0000}"/>
    <cellStyle name="Normal 49 5 8" xfId="27526" xr:uid="{00000000-0005-0000-0000-00008A6B0000}"/>
    <cellStyle name="Normal 49 5 9" xfId="27527" xr:uid="{00000000-0005-0000-0000-00008B6B0000}"/>
    <cellStyle name="Normal 49 6" xfId="27528" xr:uid="{00000000-0005-0000-0000-00008C6B0000}"/>
    <cellStyle name="Normal 49 7" xfId="27529" xr:uid="{00000000-0005-0000-0000-00008D6B0000}"/>
    <cellStyle name="Normal 49 8" xfId="27530" xr:uid="{00000000-0005-0000-0000-00008E6B0000}"/>
    <cellStyle name="Normal 49 9" xfId="27531" xr:uid="{00000000-0005-0000-0000-00008F6B0000}"/>
    <cellStyle name="Normal 5" xfId="27532" xr:uid="{00000000-0005-0000-0000-0000906B0000}"/>
    <cellStyle name="Normal 5 10" xfId="27533" xr:uid="{00000000-0005-0000-0000-0000916B0000}"/>
    <cellStyle name="Normal 5 11" xfId="27534" xr:uid="{00000000-0005-0000-0000-0000926B0000}"/>
    <cellStyle name="Normal 5 12" xfId="27535" xr:uid="{00000000-0005-0000-0000-0000936B0000}"/>
    <cellStyle name="Normal 5 13" xfId="27536" xr:uid="{00000000-0005-0000-0000-0000946B0000}"/>
    <cellStyle name="Normal 5 14" xfId="27537" xr:uid="{00000000-0005-0000-0000-0000956B0000}"/>
    <cellStyle name="Normal 5 15" xfId="27538" xr:uid="{00000000-0005-0000-0000-0000966B0000}"/>
    <cellStyle name="Normal 5 16" xfId="27539" xr:uid="{00000000-0005-0000-0000-0000976B0000}"/>
    <cellStyle name="Normal 5 17" xfId="27540" xr:uid="{00000000-0005-0000-0000-0000986B0000}"/>
    <cellStyle name="Normal 5 18" xfId="27541" xr:uid="{00000000-0005-0000-0000-0000996B0000}"/>
    <cellStyle name="Normal 5 19" xfId="27542" xr:uid="{00000000-0005-0000-0000-00009A6B0000}"/>
    <cellStyle name="Normal 5 2" xfId="27543" xr:uid="{00000000-0005-0000-0000-00009B6B0000}"/>
    <cellStyle name="Normal 5 2 10" xfId="27544" xr:uid="{00000000-0005-0000-0000-00009C6B0000}"/>
    <cellStyle name="Normal 5 2 11" xfId="27545" xr:uid="{00000000-0005-0000-0000-00009D6B0000}"/>
    <cellStyle name="Normal 5 2 12" xfId="27546" xr:uid="{00000000-0005-0000-0000-00009E6B0000}"/>
    <cellStyle name="Normal 5 2 13" xfId="27547" xr:uid="{00000000-0005-0000-0000-00009F6B0000}"/>
    <cellStyle name="Normal 5 2 14" xfId="27548" xr:uid="{00000000-0005-0000-0000-0000A06B0000}"/>
    <cellStyle name="Normal 5 2 15" xfId="27549" xr:uid="{00000000-0005-0000-0000-0000A16B0000}"/>
    <cellStyle name="Normal 5 2 16" xfId="27550" xr:uid="{00000000-0005-0000-0000-0000A26B0000}"/>
    <cellStyle name="Normal 5 2 17" xfId="27551" xr:uid="{00000000-0005-0000-0000-0000A36B0000}"/>
    <cellStyle name="Normal 5 2 18" xfId="27552" xr:uid="{00000000-0005-0000-0000-0000A46B0000}"/>
    <cellStyle name="Normal 5 2 19" xfId="27553" xr:uid="{00000000-0005-0000-0000-0000A56B0000}"/>
    <cellStyle name="Normal 5 2 2" xfId="27554" xr:uid="{00000000-0005-0000-0000-0000A66B0000}"/>
    <cellStyle name="Normal 5 2 2 10" xfId="27555" xr:uid="{00000000-0005-0000-0000-0000A76B0000}"/>
    <cellStyle name="Normal 5 2 2 10 2" xfId="27556" xr:uid="{00000000-0005-0000-0000-0000A86B0000}"/>
    <cellStyle name="Normal 5 2 2 10 3" xfId="27557" xr:uid="{00000000-0005-0000-0000-0000A96B0000}"/>
    <cellStyle name="Normal 5 2 2 10 4" xfId="27558" xr:uid="{00000000-0005-0000-0000-0000AA6B0000}"/>
    <cellStyle name="Normal 5 2 2 10 5" xfId="27559" xr:uid="{00000000-0005-0000-0000-0000AB6B0000}"/>
    <cellStyle name="Normal 5 2 2 10 6" xfId="27560" xr:uid="{00000000-0005-0000-0000-0000AC6B0000}"/>
    <cellStyle name="Normal 5 2 2 11" xfId="27561" xr:uid="{00000000-0005-0000-0000-0000AD6B0000}"/>
    <cellStyle name="Normal 5 2 2 11 2" xfId="27562" xr:uid="{00000000-0005-0000-0000-0000AE6B0000}"/>
    <cellStyle name="Normal 5 2 2 11 3" xfId="27563" xr:uid="{00000000-0005-0000-0000-0000AF6B0000}"/>
    <cellStyle name="Normal 5 2 2 11 4" xfId="27564" xr:uid="{00000000-0005-0000-0000-0000B06B0000}"/>
    <cellStyle name="Normal 5 2 2 11 5" xfId="27565" xr:uid="{00000000-0005-0000-0000-0000B16B0000}"/>
    <cellStyle name="Normal 5 2 2 11 6" xfId="27566" xr:uid="{00000000-0005-0000-0000-0000B26B0000}"/>
    <cellStyle name="Normal 5 2 2 12" xfId="27567" xr:uid="{00000000-0005-0000-0000-0000B36B0000}"/>
    <cellStyle name="Normal 5 2 2 13" xfId="27568" xr:uid="{00000000-0005-0000-0000-0000B46B0000}"/>
    <cellStyle name="Normal 5 2 2 14" xfId="27569" xr:uid="{00000000-0005-0000-0000-0000B56B0000}"/>
    <cellStyle name="Normal 5 2 2 15" xfId="27570" xr:uid="{00000000-0005-0000-0000-0000B66B0000}"/>
    <cellStyle name="Normal 5 2 2 16" xfId="27571" xr:uid="{00000000-0005-0000-0000-0000B76B0000}"/>
    <cellStyle name="Normal 5 2 2 17" xfId="27572" xr:uid="{00000000-0005-0000-0000-0000B86B0000}"/>
    <cellStyle name="Normal 5 2 2 18" xfId="27573" xr:uid="{00000000-0005-0000-0000-0000B96B0000}"/>
    <cellStyle name="Normal 5 2 2 19" xfId="27574" xr:uid="{00000000-0005-0000-0000-0000BA6B0000}"/>
    <cellStyle name="Normal 5 2 2 2" xfId="27575" xr:uid="{00000000-0005-0000-0000-0000BB6B0000}"/>
    <cellStyle name="Normal 5 2 2 2 10" xfId="27576" xr:uid="{00000000-0005-0000-0000-0000BC6B0000}"/>
    <cellStyle name="Normal 5 2 2 2 10 2" xfId="27577" xr:uid="{00000000-0005-0000-0000-0000BD6B0000}"/>
    <cellStyle name="Normal 5 2 2 2 10 3" xfId="27578" xr:uid="{00000000-0005-0000-0000-0000BE6B0000}"/>
    <cellStyle name="Normal 5 2 2 2 10 4" xfId="27579" xr:uid="{00000000-0005-0000-0000-0000BF6B0000}"/>
    <cellStyle name="Normal 5 2 2 2 10 5" xfId="27580" xr:uid="{00000000-0005-0000-0000-0000C06B0000}"/>
    <cellStyle name="Normal 5 2 2 2 10 6" xfId="27581" xr:uid="{00000000-0005-0000-0000-0000C16B0000}"/>
    <cellStyle name="Normal 5 2 2 2 11" xfId="27582" xr:uid="{00000000-0005-0000-0000-0000C26B0000}"/>
    <cellStyle name="Normal 5 2 2 2 12" xfId="27583" xr:uid="{00000000-0005-0000-0000-0000C36B0000}"/>
    <cellStyle name="Normal 5 2 2 2 13" xfId="27584" xr:uid="{00000000-0005-0000-0000-0000C46B0000}"/>
    <cellStyle name="Normal 5 2 2 2 14" xfId="27585" xr:uid="{00000000-0005-0000-0000-0000C56B0000}"/>
    <cellStyle name="Normal 5 2 2 2 15" xfId="27586" xr:uid="{00000000-0005-0000-0000-0000C66B0000}"/>
    <cellStyle name="Normal 5 2 2 2 2" xfId="27587" xr:uid="{00000000-0005-0000-0000-0000C76B0000}"/>
    <cellStyle name="Normal 5 2 2 2 2 10" xfId="27588" xr:uid="{00000000-0005-0000-0000-0000C86B0000}"/>
    <cellStyle name="Normal 5 2 2 2 2 11" xfId="27589" xr:uid="{00000000-0005-0000-0000-0000C96B0000}"/>
    <cellStyle name="Normal 5 2 2 2 2 12" xfId="27590" xr:uid="{00000000-0005-0000-0000-0000CA6B0000}"/>
    <cellStyle name="Normal 5 2 2 2 2 13" xfId="27591" xr:uid="{00000000-0005-0000-0000-0000CB6B0000}"/>
    <cellStyle name="Normal 5 2 2 2 2 14" xfId="27592" xr:uid="{00000000-0005-0000-0000-0000CC6B0000}"/>
    <cellStyle name="Normal 5 2 2 2 2 2" xfId="27593" xr:uid="{00000000-0005-0000-0000-0000CD6B0000}"/>
    <cellStyle name="Normal 5 2 2 2 2 2 2" xfId="27594" xr:uid="{00000000-0005-0000-0000-0000CE6B0000}"/>
    <cellStyle name="Normal 5 2 2 2 2 2 3" xfId="27595" xr:uid="{00000000-0005-0000-0000-0000CF6B0000}"/>
    <cellStyle name="Normal 5 2 2 2 2 2 4" xfId="27596" xr:uid="{00000000-0005-0000-0000-0000D06B0000}"/>
    <cellStyle name="Normal 5 2 2 2 2 2 5" xfId="27597" xr:uid="{00000000-0005-0000-0000-0000D16B0000}"/>
    <cellStyle name="Normal 5 2 2 2 2 2 6" xfId="27598" xr:uid="{00000000-0005-0000-0000-0000D26B0000}"/>
    <cellStyle name="Normal 5 2 2 2 2 3" xfId="27599" xr:uid="{00000000-0005-0000-0000-0000D36B0000}"/>
    <cellStyle name="Normal 5 2 2 2 2 3 2" xfId="27600" xr:uid="{00000000-0005-0000-0000-0000D46B0000}"/>
    <cellStyle name="Normal 5 2 2 2 2 3 3" xfId="27601" xr:uid="{00000000-0005-0000-0000-0000D56B0000}"/>
    <cellStyle name="Normal 5 2 2 2 2 3 4" xfId="27602" xr:uid="{00000000-0005-0000-0000-0000D66B0000}"/>
    <cellStyle name="Normal 5 2 2 2 2 3 5" xfId="27603" xr:uid="{00000000-0005-0000-0000-0000D76B0000}"/>
    <cellStyle name="Normal 5 2 2 2 2 3 6" xfId="27604" xr:uid="{00000000-0005-0000-0000-0000D86B0000}"/>
    <cellStyle name="Normal 5 2 2 2 2 4" xfId="27605" xr:uid="{00000000-0005-0000-0000-0000D96B0000}"/>
    <cellStyle name="Normal 5 2 2 2 2 4 2" xfId="27606" xr:uid="{00000000-0005-0000-0000-0000DA6B0000}"/>
    <cellStyle name="Normal 5 2 2 2 2 4 3" xfId="27607" xr:uid="{00000000-0005-0000-0000-0000DB6B0000}"/>
    <cellStyle name="Normal 5 2 2 2 2 4 4" xfId="27608" xr:uid="{00000000-0005-0000-0000-0000DC6B0000}"/>
    <cellStyle name="Normal 5 2 2 2 2 4 5" xfId="27609" xr:uid="{00000000-0005-0000-0000-0000DD6B0000}"/>
    <cellStyle name="Normal 5 2 2 2 2 4 6" xfId="27610" xr:uid="{00000000-0005-0000-0000-0000DE6B0000}"/>
    <cellStyle name="Normal 5 2 2 2 2 5" xfId="27611" xr:uid="{00000000-0005-0000-0000-0000DF6B0000}"/>
    <cellStyle name="Normal 5 2 2 2 2 5 2" xfId="27612" xr:uid="{00000000-0005-0000-0000-0000E06B0000}"/>
    <cellStyle name="Normal 5 2 2 2 2 5 3" xfId="27613" xr:uid="{00000000-0005-0000-0000-0000E16B0000}"/>
    <cellStyle name="Normal 5 2 2 2 2 5 4" xfId="27614" xr:uid="{00000000-0005-0000-0000-0000E26B0000}"/>
    <cellStyle name="Normal 5 2 2 2 2 5 5" xfId="27615" xr:uid="{00000000-0005-0000-0000-0000E36B0000}"/>
    <cellStyle name="Normal 5 2 2 2 2 5 6" xfId="27616" xr:uid="{00000000-0005-0000-0000-0000E46B0000}"/>
    <cellStyle name="Normal 5 2 2 2 2 6" xfId="27617" xr:uid="{00000000-0005-0000-0000-0000E56B0000}"/>
    <cellStyle name="Normal 5 2 2 2 2 6 2" xfId="27618" xr:uid="{00000000-0005-0000-0000-0000E66B0000}"/>
    <cellStyle name="Normal 5 2 2 2 2 6 3" xfId="27619" xr:uid="{00000000-0005-0000-0000-0000E76B0000}"/>
    <cellStyle name="Normal 5 2 2 2 2 6 4" xfId="27620" xr:uid="{00000000-0005-0000-0000-0000E86B0000}"/>
    <cellStyle name="Normal 5 2 2 2 2 6 5" xfId="27621" xr:uid="{00000000-0005-0000-0000-0000E96B0000}"/>
    <cellStyle name="Normal 5 2 2 2 2 6 6" xfId="27622" xr:uid="{00000000-0005-0000-0000-0000EA6B0000}"/>
    <cellStyle name="Normal 5 2 2 2 2 7" xfId="27623" xr:uid="{00000000-0005-0000-0000-0000EB6B0000}"/>
    <cellStyle name="Normal 5 2 2 2 2 7 2" xfId="27624" xr:uid="{00000000-0005-0000-0000-0000EC6B0000}"/>
    <cellStyle name="Normal 5 2 2 2 2 7 3" xfId="27625" xr:uid="{00000000-0005-0000-0000-0000ED6B0000}"/>
    <cellStyle name="Normal 5 2 2 2 2 7 4" xfId="27626" xr:uid="{00000000-0005-0000-0000-0000EE6B0000}"/>
    <cellStyle name="Normal 5 2 2 2 2 7 5" xfId="27627" xr:uid="{00000000-0005-0000-0000-0000EF6B0000}"/>
    <cellStyle name="Normal 5 2 2 2 2 7 6" xfId="27628" xr:uid="{00000000-0005-0000-0000-0000F06B0000}"/>
    <cellStyle name="Normal 5 2 2 2 2 8" xfId="27629" xr:uid="{00000000-0005-0000-0000-0000F16B0000}"/>
    <cellStyle name="Normal 5 2 2 2 2 8 2" xfId="27630" xr:uid="{00000000-0005-0000-0000-0000F26B0000}"/>
    <cellStyle name="Normal 5 2 2 2 2 8 3" xfId="27631" xr:uid="{00000000-0005-0000-0000-0000F36B0000}"/>
    <cellStyle name="Normal 5 2 2 2 2 8 4" xfId="27632" xr:uid="{00000000-0005-0000-0000-0000F46B0000}"/>
    <cellStyle name="Normal 5 2 2 2 2 8 5" xfId="27633" xr:uid="{00000000-0005-0000-0000-0000F56B0000}"/>
    <cellStyle name="Normal 5 2 2 2 2 8 6" xfId="27634" xr:uid="{00000000-0005-0000-0000-0000F66B0000}"/>
    <cellStyle name="Normal 5 2 2 2 2 9" xfId="27635" xr:uid="{00000000-0005-0000-0000-0000F76B0000}"/>
    <cellStyle name="Normal 5 2 2 2 2 9 2" xfId="27636" xr:uid="{00000000-0005-0000-0000-0000F86B0000}"/>
    <cellStyle name="Normal 5 2 2 2 2 9 3" xfId="27637" xr:uid="{00000000-0005-0000-0000-0000F96B0000}"/>
    <cellStyle name="Normal 5 2 2 2 2 9 4" xfId="27638" xr:uid="{00000000-0005-0000-0000-0000FA6B0000}"/>
    <cellStyle name="Normal 5 2 2 2 2 9 5" xfId="27639" xr:uid="{00000000-0005-0000-0000-0000FB6B0000}"/>
    <cellStyle name="Normal 5 2 2 2 2 9 6" xfId="27640" xr:uid="{00000000-0005-0000-0000-0000FC6B0000}"/>
    <cellStyle name="Normal 5 2 2 2 3" xfId="27641" xr:uid="{00000000-0005-0000-0000-0000FD6B0000}"/>
    <cellStyle name="Normal 5 2 2 2 3 2" xfId="27642" xr:uid="{00000000-0005-0000-0000-0000FE6B0000}"/>
    <cellStyle name="Normal 5 2 2 2 3 3" xfId="27643" xr:uid="{00000000-0005-0000-0000-0000FF6B0000}"/>
    <cellStyle name="Normal 5 2 2 2 3 4" xfId="27644" xr:uid="{00000000-0005-0000-0000-0000006C0000}"/>
    <cellStyle name="Normal 5 2 2 2 3 5" xfId="27645" xr:uid="{00000000-0005-0000-0000-0000016C0000}"/>
    <cellStyle name="Normal 5 2 2 2 3 6" xfId="27646" xr:uid="{00000000-0005-0000-0000-0000026C0000}"/>
    <cellStyle name="Normal 5 2 2 2 4" xfId="27647" xr:uid="{00000000-0005-0000-0000-0000036C0000}"/>
    <cellStyle name="Normal 5 2 2 2 4 2" xfId="27648" xr:uid="{00000000-0005-0000-0000-0000046C0000}"/>
    <cellStyle name="Normal 5 2 2 2 4 3" xfId="27649" xr:uid="{00000000-0005-0000-0000-0000056C0000}"/>
    <cellStyle name="Normal 5 2 2 2 4 4" xfId="27650" xr:uid="{00000000-0005-0000-0000-0000066C0000}"/>
    <cellStyle name="Normal 5 2 2 2 4 5" xfId="27651" xr:uid="{00000000-0005-0000-0000-0000076C0000}"/>
    <cellStyle name="Normal 5 2 2 2 4 6" xfId="27652" xr:uid="{00000000-0005-0000-0000-0000086C0000}"/>
    <cellStyle name="Normal 5 2 2 2 5" xfId="27653" xr:uid="{00000000-0005-0000-0000-0000096C0000}"/>
    <cellStyle name="Normal 5 2 2 2 5 2" xfId="27654" xr:uid="{00000000-0005-0000-0000-00000A6C0000}"/>
    <cellStyle name="Normal 5 2 2 2 5 3" xfId="27655" xr:uid="{00000000-0005-0000-0000-00000B6C0000}"/>
    <cellStyle name="Normal 5 2 2 2 5 4" xfId="27656" xr:uid="{00000000-0005-0000-0000-00000C6C0000}"/>
    <cellStyle name="Normal 5 2 2 2 5 5" xfId="27657" xr:uid="{00000000-0005-0000-0000-00000D6C0000}"/>
    <cellStyle name="Normal 5 2 2 2 5 6" xfId="27658" xr:uid="{00000000-0005-0000-0000-00000E6C0000}"/>
    <cellStyle name="Normal 5 2 2 2 6" xfId="27659" xr:uid="{00000000-0005-0000-0000-00000F6C0000}"/>
    <cellStyle name="Normal 5 2 2 2 6 2" xfId="27660" xr:uid="{00000000-0005-0000-0000-0000106C0000}"/>
    <cellStyle name="Normal 5 2 2 2 6 3" xfId="27661" xr:uid="{00000000-0005-0000-0000-0000116C0000}"/>
    <cellStyle name="Normal 5 2 2 2 6 4" xfId="27662" xr:uid="{00000000-0005-0000-0000-0000126C0000}"/>
    <cellStyle name="Normal 5 2 2 2 6 5" xfId="27663" xr:uid="{00000000-0005-0000-0000-0000136C0000}"/>
    <cellStyle name="Normal 5 2 2 2 6 6" xfId="27664" xr:uid="{00000000-0005-0000-0000-0000146C0000}"/>
    <cellStyle name="Normal 5 2 2 2 7" xfId="27665" xr:uid="{00000000-0005-0000-0000-0000156C0000}"/>
    <cellStyle name="Normal 5 2 2 2 7 2" xfId="27666" xr:uid="{00000000-0005-0000-0000-0000166C0000}"/>
    <cellStyle name="Normal 5 2 2 2 7 3" xfId="27667" xr:uid="{00000000-0005-0000-0000-0000176C0000}"/>
    <cellStyle name="Normal 5 2 2 2 7 4" xfId="27668" xr:uid="{00000000-0005-0000-0000-0000186C0000}"/>
    <cellStyle name="Normal 5 2 2 2 7 5" xfId="27669" xr:uid="{00000000-0005-0000-0000-0000196C0000}"/>
    <cellStyle name="Normal 5 2 2 2 7 6" xfId="27670" xr:uid="{00000000-0005-0000-0000-00001A6C0000}"/>
    <cellStyle name="Normal 5 2 2 2 8" xfId="27671" xr:uid="{00000000-0005-0000-0000-00001B6C0000}"/>
    <cellStyle name="Normal 5 2 2 2 8 2" xfId="27672" xr:uid="{00000000-0005-0000-0000-00001C6C0000}"/>
    <cellStyle name="Normal 5 2 2 2 8 3" xfId="27673" xr:uid="{00000000-0005-0000-0000-00001D6C0000}"/>
    <cellStyle name="Normal 5 2 2 2 8 4" xfId="27674" xr:uid="{00000000-0005-0000-0000-00001E6C0000}"/>
    <cellStyle name="Normal 5 2 2 2 8 5" xfId="27675" xr:uid="{00000000-0005-0000-0000-00001F6C0000}"/>
    <cellStyle name="Normal 5 2 2 2 8 6" xfId="27676" xr:uid="{00000000-0005-0000-0000-0000206C0000}"/>
    <cellStyle name="Normal 5 2 2 2 9" xfId="27677" xr:uid="{00000000-0005-0000-0000-0000216C0000}"/>
    <cellStyle name="Normal 5 2 2 2 9 2" xfId="27678" xr:uid="{00000000-0005-0000-0000-0000226C0000}"/>
    <cellStyle name="Normal 5 2 2 2 9 3" xfId="27679" xr:uid="{00000000-0005-0000-0000-0000236C0000}"/>
    <cellStyle name="Normal 5 2 2 2 9 4" xfId="27680" xr:uid="{00000000-0005-0000-0000-0000246C0000}"/>
    <cellStyle name="Normal 5 2 2 2 9 5" xfId="27681" xr:uid="{00000000-0005-0000-0000-0000256C0000}"/>
    <cellStyle name="Normal 5 2 2 2 9 6" xfId="27682" xr:uid="{00000000-0005-0000-0000-0000266C0000}"/>
    <cellStyle name="Normal 5 2 2 20" xfId="27683" xr:uid="{00000000-0005-0000-0000-0000276C0000}"/>
    <cellStyle name="Normal 5 2 2 21" xfId="27684" xr:uid="{00000000-0005-0000-0000-0000286C0000}"/>
    <cellStyle name="Normal 5 2 2 22" xfId="27685" xr:uid="{00000000-0005-0000-0000-0000296C0000}"/>
    <cellStyle name="Normal 5 2 2 23" xfId="27686" xr:uid="{00000000-0005-0000-0000-00002A6C0000}"/>
    <cellStyle name="Normal 5 2 2 24" xfId="27687" xr:uid="{00000000-0005-0000-0000-00002B6C0000}"/>
    <cellStyle name="Normal 5 2 2 25" xfId="27688" xr:uid="{00000000-0005-0000-0000-00002C6C0000}"/>
    <cellStyle name="Normal 5 2 2 26" xfId="27689" xr:uid="{00000000-0005-0000-0000-00002D6C0000}"/>
    <cellStyle name="Normal 5 2 2 27" xfId="27690" xr:uid="{00000000-0005-0000-0000-00002E6C0000}"/>
    <cellStyle name="Normal 5 2 2 28" xfId="27691" xr:uid="{00000000-0005-0000-0000-00002F6C0000}"/>
    <cellStyle name="Normal 5 2 2 29" xfId="27692" xr:uid="{00000000-0005-0000-0000-0000306C0000}"/>
    <cellStyle name="Normal 5 2 2 3" xfId="27693" xr:uid="{00000000-0005-0000-0000-0000316C0000}"/>
    <cellStyle name="Normal 5 2 2 3 10" xfId="27694" xr:uid="{00000000-0005-0000-0000-0000326C0000}"/>
    <cellStyle name="Normal 5 2 2 3 11" xfId="27695" xr:uid="{00000000-0005-0000-0000-0000336C0000}"/>
    <cellStyle name="Normal 5 2 2 3 12" xfId="27696" xr:uid="{00000000-0005-0000-0000-0000346C0000}"/>
    <cellStyle name="Normal 5 2 2 3 13" xfId="27697" xr:uid="{00000000-0005-0000-0000-0000356C0000}"/>
    <cellStyle name="Normal 5 2 2 3 14" xfId="27698" xr:uid="{00000000-0005-0000-0000-0000366C0000}"/>
    <cellStyle name="Normal 5 2 2 3 2" xfId="27699" xr:uid="{00000000-0005-0000-0000-0000376C0000}"/>
    <cellStyle name="Normal 5 2 2 3 2 2" xfId="27700" xr:uid="{00000000-0005-0000-0000-0000386C0000}"/>
    <cellStyle name="Normal 5 2 2 3 2 3" xfId="27701" xr:uid="{00000000-0005-0000-0000-0000396C0000}"/>
    <cellStyle name="Normal 5 2 2 3 2 4" xfId="27702" xr:uid="{00000000-0005-0000-0000-00003A6C0000}"/>
    <cellStyle name="Normal 5 2 2 3 2 5" xfId="27703" xr:uid="{00000000-0005-0000-0000-00003B6C0000}"/>
    <cellStyle name="Normal 5 2 2 3 2 6" xfId="27704" xr:uid="{00000000-0005-0000-0000-00003C6C0000}"/>
    <cellStyle name="Normal 5 2 2 3 3" xfId="27705" xr:uid="{00000000-0005-0000-0000-00003D6C0000}"/>
    <cellStyle name="Normal 5 2 2 3 3 2" xfId="27706" xr:uid="{00000000-0005-0000-0000-00003E6C0000}"/>
    <cellStyle name="Normal 5 2 2 3 3 3" xfId="27707" xr:uid="{00000000-0005-0000-0000-00003F6C0000}"/>
    <cellStyle name="Normal 5 2 2 3 3 4" xfId="27708" xr:uid="{00000000-0005-0000-0000-0000406C0000}"/>
    <cellStyle name="Normal 5 2 2 3 3 5" xfId="27709" xr:uid="{00000000-0005-0000-0000-0000416C0000}"/>
    <cellStyle name="Normal 5 2 2 3 3 6" xfId="27710" xr:uid="{00000000-0005-0000-0000-0000426C0000}"/>
    <cellStyle name="Normal 5 2 2 3 4" xfId="27711" xr:uid="{00000000-0005-0000-0000-0000436C0000}"/>
    <cellStyle name="Normal 5 2 2 3 4 2" xfId="27712" xr:uid="{00000000-0005-0000-0000-0000446C0000}"/>
    <cellStyle name="Normal 5 2 2 3 4 3" xfId="27713" xr:uid="{00000000-0005-0000-0000-0000456C0000}"/>
    <cellStyle name="Normal 5 2 2 3 4 4" xfId="27714" xr:uid="{00000000-0005-0000-0000-0000466C0000}"/>
    <cellStyle name="Normal 5 2 2 3 4 5" xfId="27715" xr:uid="{00000000-0005-0000-0000-0000476C0000}"/>
    <cellStyle name="Normal 5 2 2 3 4 6" xfId="27716" xr:uid="{00000000-0005-0000-0000-0000486C0000}"/>
    <cellStyle name="Normal 5 2 2 3 5" xfId="27717" xr:uid="{00000000-0005-0000-0000-0000496C0000}"/>
    <cellStyle name="Normal 5 2 2 3 5 2" xfId="27718" xr:uid="{00000000-0005-0000-0000-00004A6C0000}"/>
    <cellStyle name="Normal 5 2 2 3 5 3" xfId="27719" xr:uid="{00000000-0005-0000-0000-00004B6C0000}"/>
    <cellStyle name="Normal 5 2 2 3 5 4" xfId="27720" xr:uid="{00000000-0005-0000-0000-00004C6C0000}"/>
    <cellStyle name="Normal 5 2 2 3 5 5" xfId="27721" xr:uid="{00000000-0005-0000-0000-00004D6C0000}"/>
    <cellStyle name="Normal 5 2 2 3 5 6" xfId="27722" xr:uid="{00000000-0005-0000-0000-00004E6C0000}"/>
    <cellStyle name="Normal 5 2 2 3 6" xfId="27723" xr:uid="{00000000-0005-0000-0000-00004F6C0000}"/>
    <cellStyle name="Normal 5 2 2 3 6 2" xfId="27724" xr:uid="{00000000-0005-0000-0000-0000506C0000}"/>
    <cellStyle name="Normal 5 2 2 3 6 3" xfId="27725" xr:uid="{00000000-0005-0000-0000-0000516C0000}"/>
    <cellStyle name="Normal 5 2 2 3 6 4" xfId="27726" xr:uid="{00000000-0005-0000-0000-0000526C0000}"/>
    <cellStyle name="Normal 5 2 2 3 6 5" xfId="27727" xr:uid="{00000000-0005-0000-0000-0000536C0000}"/>
    <cellStyle name="Normal 5 2 2 3 6 6" xfId="27728" xr:uid="{00000000-0005-0000-0000-0000546C0000}"/>
    <cellStyle name="Normal 5 2 2 3 7" xfId="27729" xr:uid="{00000000-0005-0000-0000-0000556C0000}"/>
    <cellStyle name="Normal 5 2 2 3 7 2" xfId="27730" xr:uid="{00000000-0005-0000-0000-0000566C0000}"/>
    <cellStyle name="Normal 5 2 2 3 7 3" xfId="27731" xr:uid="{00000000-0005-0000-0000-0000576C0000}"/>
    <cellStyle name="Normal 5 2 2 3 7 4" xfId="27732" xr:uid="{00000000-0005-0000-0000-0000586C0000}"/>
    <cellStyle name="Normal 5 2 2 3 7 5" xfId="27733" xr:uid="{00000000-0005-0000-0000-0000596C0000}"/>
    <cellStyle name="Normal 5 2 2 3 7 6" xfId="27734" xr:uid="{00000000-0005-0000-0000-00005A6C0000}"/>
    <cellStyle name="Normal 5 2 2 3 8" xfId="27735" xr:uid="{00000000-0005-0000-0000-00005B6C0000}"/>
    <cellStyle name="Normal 5 2 2 3 8 2" xfId="27736" xr:uid="{00000000-0005-0000-0000-00005C6C0000}"/>
    <cellStyle name="Normal 5 2 2 3 8 3" xfId="27737" xr:uid="{00000000-0005-0000-0000-00005D6C0000}"/>
    <cellStyle name="Normal 5 2 2 3 8 4" xfId="27738" xr:uid="{00000000-0005-0000-0000-00005E6C0000}"/>
    <cellStyle name="Normal 5 2 2 3 8 5" xfId="27739" xr:uid="{00000000-0005-0000-0000-00005F6C0000}"/>
    <cellStyle name="Normal 5 2 2 3 8 6" xfId="27740" xr:uid="{00000000-0005-0000-0000-0000606C0000}"/>
    <cellStyle name="Normal 5 2 2 3 9" xfId="27741" xr:uid="{00000000-0005-0000-0000-0000616C0000}"/>
    <cellStyle name="Normal 5 2 2 3 9 2" xfId="27742" xr:uid="{00000000-0005-0000-0000-0000626C0000}"/>
    <cellStyle name="Normal 5 2 2 3 9 3" xfId="27743" xr:uid="{00000000-0005-0000-0000-0000636C0000}"/>
    <cellStyle name="Normal 5 2 2 3 9 4" xfId="27744" xr:uid="{00000000-0005-0000-0000-0000646C0000}"/>
    <cellStyle name="Normal 5 2 2 3 9 5" xfId="27745" xr:uid="{00000000-0005-0000-0000-0000656C0000}"/>
    <cellStyle name="Normal 5 2 2 3 9 6" xfId="27746" xr:uid="{00000000-0005-0000-0000-0000666C0000}"/>
    <cellStyle name="Normal 5 2 2 30" xfId="27747" xr:uid="{00000000-0005-0000-0000-0000676C0000}"/>
    <cellStyle name="Normal 5 2 2 31" xfId="27748" xr:uid="{00000000-0005-0000-0000-0000686C0000}"/>
    <cellStyle name="Normal 5 2 2 4" xfId="27749" xr:uid="{00000000-0005-0000-0000-0000696C0000}"/>
    <cellStyle name="Normal 5 2 2 4 2" xfId="27750" xr:uid="{00000000-0005-0000-0000-00006A6C0000}"/>
    <cellStyle name="Normal 5 2 2 4 3" xfId="27751" xr:uid="{00000000-0005-0000-0000-00006B6C0000}"/>
    <cellStyle name="Normal 5 2 2 4 4" xfId="27752" xr:uid="{00000000-0005-0000-0000-00006C6C0000}"/>
    <cellStyle name="Normal 5 2 2 4 5" xfId="27753" xr:uid="{00000000-0005-0000-0000-00006D6C0000}"/>
    <cellStyle name="Normal 5 2 2 4 6" xfId="27754" xr:uid="{00000000-0005-0000-0000-00006E6C0000}"/>
    <cellStyle name="Normal 5 2 2 5" xfId="27755" xr:uid="{00000000-0005-0000-0000-00006F6C0000}"/>
    <cellStyle name="Normal 5 2 2 5 2" xfId="27756" xr:uid="{00000000-0005-0000-0000-0000706C0000}"/>
    <cellStyle name="Normal 5 2 2 5 3" xfId="27757" xr:uid="{00000000-0005-0000-0000-0000716C0000}"/>
    <cellStyle name="Normal 5 2 2 5 4" xfId="27758" xr:uid="{00000000-0005-0000-0000-0000726C0000}"/>
    <cellStyle name="Normal 5 2 2 5 5" xfId="27759" xr:uid="{00000000-0005-0000-0000-0000736C0000}"/>
    <cellStyle name="Normal 5 2 2 5 6" xfId="27760" xr:uid="{00000000-0005-0000-0000-0000746C0000}"/>
    <cellStyle name="Normal 5 2 2 6" xfId="27761" xr:uid="{00000000-0005-0000-0000-0000756C0000}"/>
    <cellStyle name="Normal 5 2 2 6 2" xfId="27762" xr:uid="{00000000-0005-0000-0000-0000766C0000}"/>
    <cellStyle name="Normal 5 2 2 6 3" xfId="27763" xr:uid="{00000000-0005-0000-0000-0000776C0000}"/>
    <cellStyle name="Normal 5 2 2 6 4" xfId="27764" xr:uid="{00000000-0005-0000-0000-0000786C0000}"/>
    <cellStyle name="Normal 5 2 2 6 5" xfId="27765" xr:uid="{00000000-0005-0000-0000-0000796C0000}"/>
    <cellStyle name="Normal 5 2 2 6 6" xfId="27766" xr:uid="{00000000-0005-0000-0000-00007A6C0000}"/>
    <cellStyle name="Normal 5 2 2 7" xfId="27767" xr:uid="{00000000-0005-0000-0000-00007B6C0000}"/>
    <cellStyle name="Normal 5 2 2 7 2" xfId="27768" xr:uid="{00000000-0005-0000-0000-00007C6C0000}"/>
    <cellStyle name="Normal 5 2 2 7 3" xfId="27769" xr:uid="{00000000-0005-0000-0000-00007D6C0000}"/>
    <cellStyle name="Normal 5 2 2 7 4" xfId="27770" xr:uid="{00000000-0005-0000-0000-00007E6C0000}"/>
    <cellStyle name="Normal 5 2 2 7 5" xfId="27771" xr:uid="{00000000-0005-0000-0000-00007F6C0000}"/>
    <cellStyle name="Normal 5 2 2 7 6" xfId="27772" xr:uid="{00000000-0005-0000-0000-0000806C0000}"/>
    <cellStyle name="Normal 5 2 2 8" xfId="27773" xr:uid="{00000000-0005-0000-0000-0000816C0000}"/>
    <cellStyle name="Normal 5 2 2 8 2" xfId="27774" xr:uid="{00000000-0005-0000-0000-0000826C0000}"/>
    <cellStyle name="Normal 5 2 2 8 3" xfId="27775" xr:uid="{00000000-0005-0000-0000-0000836C0000}"/>
    <cellStyle name="Normal 5 2 2 8 4" xfId="27776" xr:uid="{00000000-0005-0000-0000-0000846C0000}"/>
    <cellStyle name="Normal 5 2 2 8 5" xfId="27777" xr:uid="{00000000-0005-0000-0000-0000856C0000}"/>
    <cellStyle name="Normal 5 2 2 8 6" xfId="27778" xr:uid="{00000000-0005-0000-0000-0000866C0000}"/>
    <cellStyle name="Normal 5 2 2 9" xfId="27779" xr:uid="{00000000-0005-0000-0000-0000876C0000}"/>
    <cellStyle name="Normal 5 2 2 9 2" xfId="27780" xr:uid="{00000000-0005-0000-0000-0000886C0000}"/>
    <cellStyle name="Normal 5 2 2 9 3" xfId="27781" xr:uid="{00000000-0005-0000-0000-0000896C0000}"/>
    <cellStyle name="Normal 5 2 2 9 4" xfId="27782" xr:uid="{00000000-0005-0000-0000-00008A6C0000}"/>
    <cellStyle name="Normal 5 2 2 9 5" xfId="27783" xr:uid="{00000000-0005-0000-0000-00008B6C0000}"/>
    <cellStyle name="Normal 5 2 2 9 6" xfId="27784" xr:uid="{00000000-0005-0000-0000-00008C6C0000}"/>
    <cellStyle name="Normal 5 2 20" xfId="27785" xr:uid="{00000000-0005-0000-0000-00008D6C0000}"/>
    <cellStyle name="Normal 5 2 21" xfId="27786" xr:uid="{00000000-0005-0000-0000-00008E6C0000}"/>
    <cellStyle name="Normal 5 2 22" xfId="27787" xr:uid="{00000000-0005-0000-0000-00008F6C0000}"/>
    <cellStyle name="Normal 5 2 23" xfId="27788" xr:uid="{00000000-0005-0000-0000-0000906C0000}"/>
    <cellStyle name="Normal 5 2 24" xfId="27789" xr:uid="{00000000-0005-0000-0000-0000916C0000}"/>
    <cellStyle name="Normal 5 2 25" xfId="27790" xr:uid="{00000000-0005-0000-0000-0000926C0000}"/>
    <cellStyle name="Normal 5 2 26" xfId="27791" xr:uid="{00000000-0005-0000-0000-0000936C0000}"/>
    <cellStyle name="Normal 5 2 27" xfId="27792" xr:uid="{00000000-0005-0000-0000-0000946C0000}"/>
    <cellStyle name="Normal 5 2 28" xfId="27793" xr:uid="{00000000-0005-0000-0000-0000956C0000}"/>
    <cellStyle name="Normal 5 2 29" xfId="27794" xr:uid="{00000000-0005-0000-0000-0000966C0000}"/>
    <cellStyle name="Normal 5 2 3" xfId="27795" xr:uid="{00000000-0005-0000-0000-0000976C0000}"/>
    <cellStyle name="Normal 5 2 3 10" xfId="27796" xr:uid="{00000000-0005-0000-0000-0000986C0000}"/>
    <cellStyle name="Normal 5 2 3 10 2" xfId="27797" xr:uid="{00000000-0005-0000-0000-0000996C0000}"/>
    <cellStyle name="Normal 5 2 3 10 3" xfId="27798" xr:uid="{00000000-0005-0000-0000-00009A6C0000}"/>
    <cellStyle name="Normal 5 2 3 10 4" xfId="27799" xr:uid="{00000000-0005-0000-0000-00009B6C0000}"/>
    <cellStyle name="Normal 5 2 3 10 5" xfId="27800" xr:uid="{00000000-0005-0000-0000-00009C6C0000}"/>
    <cellStyle name="Normal 5 2 3 10 6" xfId="27801" xr:uid="{00000000-0005-0000-0000-00009D6C0000}"/>
    <cellStyle name="Normal 5 2 3 11" xfId="27802" xr:uid="{00000000-0005-0000-0000-00009E6C0000}"/>
    <cellStyle name="Normal 5 2 3 11 2" xfId="27803" xr:uid="{00000000-0005-0000-0000-00009F6C0000}"/>
    <cellStyle name="Normal 5 2 3 11 3" xfId="27804" xr:uid="{00000000-0005-0000-0000-0000A06C0000}"/>
    <cellStyle name="Normal 5 2 3 11 4" xfId="27805" xr:uid="{00000000-0005-0000-0000-0000A16C0000}"/>
    <cellStyle name="Normal 5 2 3 11 5" xfId="27806" xr:uid="{00000000-0005-0000-0000-0000A26C0000}"/>
    <cellStyle name="Normal 5 2 3 11 6" xfId="27807" xr:uid="{00000000-0005-0000-0000-0000A36C0000}"/>
    <cellStyle name="Normal 5 2 3 12" xfId="27808" xr:uid="{00000000-0005-0000-0000-0000A46C0000}"/>
    <cellStyle name="Normal 5 2 3 13" xfId="27809" xr:uid="{00000000-0005-0000-0000-0000A56C0000}"/>
    <cellStyle name="Normal 5 2 3 14" xfId="27810" xr:uid="{00000000-0005-0000-0000-0000A66C0000}"/>
    <cellStyle name="Normal 5 2 3 15" xfId="27811" xr:uid="{00000000-0005-0000-0000-0000A76C0000}"/>
    <cellStyle name="Normal 5 2 3 16" xfId="27812" xr:uid="{00000000-0005-0000-0000-0000A86C0000}"/>
    <cellStyle name="Normal 5 2 3 17" xfId="27813" xr:uid="{00000000-0005-0000-0000-0000A96C0000}"/>
    <cellStyle name="Normal 5 2 3 18" xfId="27814" xr:uid="{00000000-0005-0000-0000-0000AA6C0000}"/>
    <cellStyle name="Normal 5 2 3 19" xfId="27815" xr:uid="{00000000-0005-0000-0000-0000AB6C0000}"/>
    <cellStyle name="Normal 5 2 3 2" xfId="27816" xr:uid="{00000000-0005-0000-0000-0000AC6C0000}"/>
    <cellStyle name="Normal 5 2 3 2 10" xfId="27817" xr:uid="{00000000-0005-0000-0000-0000AD6C0000}"/>
    <cellStyle name="Normal 5 2 3 2 10 2" xfId="27818" xr:uid="{00000000-0005-0000-0000-0000AE6C0000}"/>
    <cellStyle name="Normal 5 2 3 2 10 3" xfId="27819" xr:uid="{00000000-0005-0000-0000-0000AF6C0000}"/>
    <cellStyle name="Normal 5 2 3 2 10 4" xfId="27820" xr:uid="{00000000-0005-0000-0000-0000B06C0000}"/>
    <cellStyle name="Normal 5 2 3 2 10 5" xfId="27821" xr:uid="{00000000-0005-0000-0000-0000B16C0000}"/>
    <cellStyle name="Normal 5 2 3 2 10 6" xfId="27822" xr:uid="{00000000-0005-0000-0000-0000B26C0000}"/>
    <cellStyle name="Normal 5 2 3 2 11" xfId="27823" xr:uid="{00000000-0005-0000-0000-0000B36C0000}"/>
    <cellStyle name="Normal 5 2 3 2 12" xfId="27824" xr:uid="{00000000-0005-0000-0000-0000B46C0000}"/>
    <cellStyle name="Normal 5 2 3 2 13" xfId="27825" xr:uid="{00000000-0005-0000-0000-0000B56C0000}"/>
    <cellStyle name="Normal 5 2 3 2 14" xfId="27826" xr:uid="{00000000-0005-0000-0000-0000B66C0000}"/>
    <cellStyle name="Normal 5 2 3 2 15" xfId="27827" xr:uid="{00000000-0005-0000-0000-0000B76C0000}"/>
    <cellStyle name="Normal 5 2 3 2 2" xfId="27828" xr:uid="{00000000-0005-0000-0000-0000B86C0000}"/>
    <cellStyle name="Normal 5 2 3 2 2 10" xfId="27829" xr:uid="{00000000-0005-0000-0000-0000B96C0000}"/>
    <cellStyle name="Normal 5 2 3 2 2 11" xfId="27830" xr:uid="{00000000-0005-0000-0000-0000BA6C0000}"/>
    <cellStyle name="Normal 5 2 3 2 2 12" xfId="27831" xr:uid="{00000000-0005-0000-0000-0000BB6C0000}"/>
    <cellStyle name="Normal 5 2 3 2 2 13" xfId="27832" xr:uid="{00000000-0005-0000-0000-0000BC6C0000}"/>
    <cellStyle name="Normal 5 2 3 2 2 14" xfId="27833" xr:uid="{00000000-0005-0000-0000-0000BD6C0000}"/>
    <cellStyle name="Normal 5 2 3 2 2 2" xfId="27834" xr:uid="{00000000-0005-0000-0000-0000BE6C0000}"/>
    <cellStyle name="Normal 5 2 3 2 2 2 2" xfId="27835" xr:uid="{00000000-0005-0000-0000-0000BF6C0000}"/>
    <cellStyle name="Normal 5 2 3 2 2 2 3" xfId="27836" xr:uid="{00000000-0005-0000-0000-0000C06C0000}"/>
    <cellStyle name="Normal 5 2 3 2 2 2 4" xfId="27837" xr:uid="{00000000-0005-0000-0000-0000C16C0000}"/>
    <cellStyle name="Normal 5 2 3 2 2 2 5" xfId="27838" xr:uid="{00000000-0005-0000-0000-0000C26C0000}"/>
    <cellStyle name="Normal 5 2 3 2 2 2 6" xfId="27839" xr:uid="{00000000-0005-0000-0000-0000C36C0000}"/>
    <cellStyle name="Normal 5 2 3 2 2 3" xfId="27840" xr:uid="{00000000-0005-0000-0000-0000C46C0000}"/>
    <cellStyle name="Normal 5 2 3 2 2 3 2" xfId="27841" xr:uid="{00000000-0005-0000-0000-0000C56C0000}"/>
    <cellStyle name="Normal 5 2 3 2 2 3 3" xfId="27842" xr:uid="{00000000-0005-0000-0000-0000C66C0000}"/>
    <cellStyle name="Normal 5 2 3 2 2 3 4" xfId="27843" xr:uid="{00000000-0005-0000-0000-0000C76C0000}"/>
    <cellStyle name="Normal 5 2 3 2 2 3 5" xfId="27844" xr:uid="{00000000-0005-0000-0000-0000C86C0000}"/>
    <cellStyle name="Normal 5 2 3 2 2 3 6" xfId="27845" xr:uid="{00000000-0005-0000-0000-0000C96C0000}"/>
    <cellStyle name="Normal 5 2 3 2 2 4" xfId="27846" xr:uid="{00000000-0005-0000-0000-0000CA6C0000}"/>
    <cellStyle name="Normal 5 2 3 2 2 4 2" xfId="27847" xr:uid="{00000000-0005-0000-0000-0000CB6C0000}"/>
    <cellStyle name="Normal 5 2 3 2 2 4 3" xfId="27848" xr:uid="{00000000-0005-0000-0000-0000CC6C0000}"/>
    <cellStyle name="Normal 5 2 3 2 2 4 4" xfId="27849" xr:uid="{00000000-0005-0000-0000-0000CD6C0000}"/>
    <cellStyle name="Normal 5 2 3 2 2 4 5" xfId="27850" xr:uid="{00000000-0005-0000-0000-0000CE6C0000}"/>
    <cellStyle name="Normal 5 2 3 2 2 4 6" xfId="27851" xr:uid="{00000000-0005-0000-0000-0000CF6C0000}"/>
    <cellStyle name="Normal 5 2 3 2 2 5" xfId="27852" xr:uid="{00000000-0005-0000-0000-0000D06C0000}"/>
    <cellStyle name="Normal 5 2 3 2 2 5 2" xfId="27853" xr:uid="{00000000-0005-0000-0000-0000D16C0000}"/>
    <cellStyle name="Normal 5 2 3 2 2 5 3" xfId="27854" xr:uid="{00000000-0005-0000-0000-0000D26C0000}"/>
    <cellStyle name="Normal 5 2 3 2 2 5 4" xfId="27855" xr:uid="{00000000-0005-0000-0000-0000D36C0000}"/>
    <cellStyle name="Normal 5 2 3 2 2 5 5" xfId="27856" xr:uid="{00000000-0005-0000-0000-0000D46C0000}"/>
    <cellStyle name="Normal 5 2 3 2 2 5 6" xfId="27857" xr:uid="{00000000-0005-0000-0000-0000D56C0000}"/>
    <cellStyle name="Normal 5 2 3 2 2 6" xfId="27858" xr:uid="{00000000-0005-0000-0000-0000D66C0000}"/>
    <cellStyle name="Normal 5 2 3 2 2 6 2" xfId="27859" xr:uid="{00000000-0005-0000-0000-0000D76C0000}"/>
    <cellStyle name="Normal 5 2 3 2 2 6 3" xfId="27860" xr:uid="{00000000-0005-0000-0000-0000D86C0000}"/>
    <cellStyle name="Normal 5 2 3 2 2 6 4" xfId="27861" xr:uid="{00000000-0005-0000-0000-0000D96C0000}"/>
    <cellStyle name="Normal 5 2 3 2 2 6 5" xfId="27862" xr:uid="{00000000-0005-0000-0000-0000DA6C0000}"/>
    <cellStyle name="Normal 5 2 3 2 2 6 6" xfId="27863" xr:uid="{00000000-0005-0000-0000-0000DB6C0000}"/>
    <cellStyle name="Normal 5 2 3 2 2 7" xfId="27864" xr:uid="{00000000-0005-0000-0000-0000DC6C0000}"/>
    <cellStyle name="Normal 5 2 3 2 2 7 2" xfId="27865" xr:uid="{00000000-0005-0000-0000-0000DD6C0000}"/>
    <cellStyle name="Normal 5 2 3 2 2 7 3" xfId="27866" xr:uid="{00000000-0005-0000-0000-0000DE6C0000}"/>
    <cellStyle name="Normal 5 2 3 2 2 7 4" xfId="27867" xr:uid="{00000000-0005-0000-0000-0000DF6C0000}"/>
    <cellStyle name="Normal 5 2 3 2 2 7 5" xfId="27868" xr:uid="{00000000-0005-0000-0000-0000E06C0000}"/>
    <cellStyle name="Normal 5 2 3 2 2 7 6" xfId="27869" xr:uid="{00000000-0005-0000-0000-0000E16C0000}"/>
    <cellStyle name="Normal 5 2 3 2 2 8" xfId="27870" xr:uid="{00000000-0005-0000-0000-0000E26C0000}"/>
    <cellStyle name="Normal 5 2 3 2 2 8 2" xfId="27871" xr:uid="{00000000-0005-0000-0000-0000E36C0000}"/>
    <cellStyle name="Normal 5 2 3 2 2 8 3" xfId="27872" xr:uid="{00000000-0005-0000-0000-0000E46C0000}"/>
    <cellStyle name="Normal 5 2 3 2 2 8 4" xfId="27873" xr:uid="{00000000-0005-0000-0000-0000E56C0000}"/>
    <cellStyle name="Normal 5 2 3 2 2 8 5" xfId="27874" xr:uid="{00000000-0005-0000-0000-0000E66C0000}"/>
    <cellStyle name="Normal 5 2 3 2 2 8 6" xfId="27875" xr:uid="{00000000-0005-0000-0000-0000E76C0000}"/>
    <cellStyle name="Normal 5 2 3 2 2 9" xfId="27876" xr:uid="{00000000-0005-0000-0000-0000E86C0000}"/>
    <cellStyle name="Normal 5 2 3 2 2 9 2" xfId="27877" xr:uid="{00000000-0005-0000-0000-0000E96C0000}"/>
    <cellStyle name="Normal 5 2 3 2 2 9 3" xfId="27878" xr:uid="{00000000-0005-0000-0000-0000EA6C0000}"/>
    <cellStyle name="Normal 5 2 3 2 2 9 4" xfId="27879" xr:uid="{00000000-0005-0000-0000-0000EB6C0000}"/>
    <cellStyle name="Normal 5 2 3 2 2 9 5" xfId="27880" xr:uid="{00000000-0005-0000-0000-0000EC6C0000}"/>
    <cellStyle name="Normal 5 2 3 2 2 9 6" xfId="27881" xr:uid="{00000000-0005-0000-0000-0000ED6C0000}"/>
    <cellStyle name="Normal 5 2 3 2 3" xfId="27882" xr:uid="{00000000-0005-0000-0000-0000EE6C0000}"/>
    <cellStyle name="Normal 5 2 3 2 3 2" xfId="27883" xr:uid="{00000000-0005-0000-0000-0000EF6C0000}"/>
    <cellStyle name="Normal 5 2 3 2 3 3" xfId="27884" xr:uid="{00000000-0005-0000-0000-0000F06C0000}"/>
    <cellStyle name="Normal 5 2 3 2 3 4" xfId="27885" xr:uid="{00000000-0005-0000-0000-0000F16C0000}"/>
    <cellStyle name="Normal 5 2 3 2 3 5" xfId="27886" xr:uid="{00000000-0005-0000-0000-0000F26C0000}"/>
    <cellStyle name="Normal 5 2 3 2 3 6" xfId="27887" xr:uid="{00000000-0005-0000-0000-0000F36C0000}"/>
    <cellStyle name="Normal 5 2 3 2 4" xfId="27888" xr:uid="{00000000-0005-0000-0000-0000F46C0000}"/>
    <cellStyle name="Normal 5 2 3 2 4 2" xfId="27889" xr:uid="{00000000-0005-0000-0000-0000F56C0000}"/>
    <cellStyle name="Normal 5 2 3 2 4 3" xfId="27890" xr:uid="{00000000-0005-0000-0000-0000F66C0000}"/>
    <cellStyle name="Normal 5 2 3 2 4 4" xfId="27891" xr:uid="{00000000-0005-0000-0000-0000F76C0000}"/>
    <cellStyle name="Normal 5 2 3 2 4 5" xfId="27892" xr:uid="{00000000-0005-0000-0000-0000F86C0000}"/>
    <cellStyle name="Normal 5 2 3 2 4 6" xfId="27893" xr:uid="{00000000-0005-0000-0000-0000F96C0000}"/>
    <cellStyle name="Normal 5 2 3 2 5" xfId="27894" xr:uid="{00000000-0005-0000-0000-0000FA6C0000}"/>
    <cellStyle name="Normal 5 2 3 2 5 2" xfId="27895" xr:uid="{00000000-0005-0000-0000-0000FB6C0000}"/>
    <cellStyle name="Normal 5 2 3 2 5 3" xfId="27896" xr:uid="{00000000-0005-0000-0000-0000FC6C0000}"/>
    <cellStyle name="Normal 5 2 3 2 5 4" xfId="27897" xr:uid="{00000000-0005-0000-0000-0000FD6C0000}"/>
    <cellStyle name="Normal 5 2 3 2 5 5" xfId="27898" xr:uid="{00000000-0005-0000-0000-0000FE6C0000}"/>
    <cellStyle name="Normal 5 2 3 2 5 6" xfId="27899" xr:uid="{00000000-0005-0000-0000-0000FF6C0000}"/>
    <cellStyle name="Normal 5 2 3 2 6" xfId="27900" xr:uid="{00000000-0005-0000-0000-0000006D0000}"/>
    <cellStyle name="Normal 5 2 3 2 6 2" xfId="27901" xr:uid="{00000000-0005-0000-0000-0000016D0000}"/>
    <cellStyle name="Normal 5 2 3 2 6 3" xfId="27902" xr:uid="{00000000-0005-0000-0000-0000026D0000}"/>
    <cellStyle name="Normal 5 2 3 2 6 4" xfId="27903" xr:uid="{00000000-0005-0000-0000-0000036D0000}"/>
    <cellStyle name="Normal 5 2 3 2 6 5" xfId="27904" xr:uid="{00000000-0005-0000-0000-0000046D0000}"/>
    <cellStyle name="Normal 5 2 3 2 6 6" xfId="27905" xr:uid="{00000000-0005-0000-0000-0000056D0000}"/>
    <cellStyle name="Normal 5 2 3 2 7" xfId="27906" xr:uid="{00000000-0005-0000-0000-0000066D0000}"/>
    <cellStyle name="Normal 5 2 3 2 7 2" xfId="27907" xr:uid="{00000000-0005-0000-0000-0000076D0000}"/>
    <cellStyle name="Normal 5 2 3 2 7 3" xfId="27908" xr:uid="{00000000-0005-0000-0000-0000086D0000}"/>
    <cellStyle name="Normal 5 2 3 2 7 4" xfId="27909" xr:uid="{00000000-0005-0000-0000-0000096D0000}"/>
    <cellStyle name="Normal 5 2 3 2 7 5" xfId="27910" xr:uid="{00000000-0005-0000-0000-00000A6D0000}"/>
    <cellStyle name="Normal 5 2 3 2 7 6" xfId="27911" xr:uid="{00000000-0005-0000-0000-00000B6D0000}"/>
    <cellStyle name="Normal 5 2 3 2 8" xfId="27912" xr:uid="{00000000-0005-0000-0000-00000C6D0000}"/>
    <cellStyle name="Normal 5 2 3 2 8 2" xfId="27913" xr:uid="{00000000-0005-0000-0000-00000D6D0000}"/>
    <cellStyle name="Normal 5 2 3 2 8 3" xfId="27914" xr:uid="{00000000-0005-0000-0000-00000E6D0000}"/>
    <cellStyle name="Normal 5 2 3 2 8 4" xfId="27915" xr:uid="{00000000-0005-0000-0000-00000F6D0000}"/>
    <cellStyle name="Normal 5 2 3 2 8 5" xfId="27916" xr:uid="{00000000-0005-0000-0000-0000106D0000}"/>
    <cellStyle name="Normal 5 2 3 2 8 6" xfId="27917" xr:uid="{00000000-0005-0000-0000-0000116D0000}"/>
    <cellStyle name="Normal 5 2 3 2 9" xfId="27918" xr:uid="{00000000-0005-0000-0000-0000126D0000}"/>
    <cellStyle name="Normal 5 2 3 2 9 2" xfId="27919" xr:uid="{00000000-0005-0000-0000-0000136D0000}"/>
    <cellStyle name="Normal 5 2 3 2 9 3" xfId="27920" xr:uid="{00000000-0005-0000-0000-0000146D0000}"/>
    <cellStyle name="Normal 5 2 3 2 9 4" xfId="27921" xr:uid="{00000000-0005-0000-0000-0000156D0000}"/>
    <cellStyle name="Normal 5 2 3 2 9 5" xfId="27922" xr:uid="{00000000-0005-0000-0000-0000166D0000}"/>
    <cellStyle name="Normal 5 2 3 2 9 6" xfId="27923" xr:uid="{00000000-0005-0000-0000-0000176D0000}"/>
    <cellStyle name="Normal 5 2 3 20" xfId="27924" xr:uid="{00000000-0005-0000-0000-0000186D0000}"/>
    <cellStyle name="Normal 5 2 3 21" xfId="27925" xr:uid="{00000000-0005-0000-0000-0000196D0000}"/>
    <cellStyle name="Normal 5 2 3 22" xfId="27926" xr:uid="{00000000-0005-0000-0000-00001A6D0000}"/>
    <cellStyle name="Normal 5 2 3 23" xfId="27927" xr:uid="{00000000-0005-0000-0000-00001B6D0000}"/>
    <cellStyle name="Normal 5 2 3 24" xfId="27928" xr:uid="{00000000-0005-0000-0000-00001C6D0000}"/>
    <cellStyle name="Normal 5 2 3 25" xfId="27929" xr:uid="{00000000-0005-0000-0000-00001D6D0000}"/>
    <cellStyle name="Normal 5 2 3 26" xfId="27930" xr:uid="{00000000-0005-0000-0000-00001E6D0000}"/>
    <cellStyle name="Normal 5 2 3 27" xfId="27931" xr:uid="{00000000-0005-0000-0000-00001F6D0000}"/>
    <cellStyle name="Normal 5 2 3 28" xfId="27932" xr:uid="{00000000-0005-0000-0000-0000206D0000}"/>
    <cellStyle name="Normal 5 2 3 29" xfId="27933" xr:uid="{00000000-0005-0000-0000-0000216D0000}"/>
    <cellStyle name="Normal 5 2 3 3" xfId="27934" xr:uid="{00000000-0005-0000-0000-0000226D0000}"/>
    <cellStyle name="Normal 5 2 3 3 10" xfId="27935" xr:uid="{00000000-0005-0000-0000-0000236D0000}"/>
    <cellStyle name="Normal 5 2 3 3 11" xfId="27936" xr:uid="{00000000-0005-0000-0000-0000246D0000}"/>
    <cellStyle name="Normal 5 2 3 3 12" xfId="27937" xr:uid="{00000000-0005-0000-0000-0000256D0000}"/>
    <cellStyle name="Normal 5 2 3 3 13" xfId="27938" xr:uid="{00000000-0005-0000-0000-0000266D0000}"/>
    <cellStyle name="Normal 5 2 3 3 14" xfId="27939" xr:uid="{00000000-0005-0000-0000-0000276D0000}"/>
    <cellStyle name="Normal 5 2 3 3 2" xfId="27940" xr:uid="{00000000-0005-0000-0000-0000286D0000}"/>
    <cellStyle name="Normal 5 2 3 3 2 2" xfId="27941" xr:uid="{00000000-0005-0000-0000-0000296D0000}"/>
    <cellStyle name="Normal 5 2 3 3 2 3" xfId="27942" xr:uid="{00000000-0005-0000-0000-00002A6D0000}"/>
    <cellStyle name="Normal 5 2 3 3 2 4" xfId="27943" xr:uid="{00000000-0005-0000-0000-00002B6D0000}"/>
    <cellStyle name="Normal 5 2 3 3 2 5" xfId="27944" xr:uid="{00000000-0005-0000-0000-00002C6D0000}"/>
    <cellStyle name="Normal 5 2 3 3 2 6" xfId="27945" xr:uid="{00000000-0005-0000-0000-00002D6D0000}"/>
    <cellStyle name="Normal 5 2 3 3 3" xfId="27946" xr:uid="{00000000-0005-0000-0000-00002E6D0000}"/>
    <cellStyle name="Normal 5 2 3 3 3 2" xfId="27947" xr:uid="{00000000-0005-0000-0000-00002F6D0000}"/>
    <cellStyle name="Normal 5 2 3 3 3 3" xfId="27948" xr:uid="{00000000-0005-0000-0000-0000306D0000}"/>
    <cellStyle name="Normal 5 2 3 3 3 4" xfId="27949" xr:uid="{00000000-0005-0000-0000-0000316D0000}"/>
    <cellStyle name="Normal 5 2 3 3 3 5" xfId="27950" xr:uid="{00000000-0005-0000-0000-0000326D0000}"/>
    <cellStyle name="Normal 5 2 3 3 3 6" xfId="27951" xr:uid="{00000000-0005-0000-0000-0000336D0000}"/>
    <cellStyle name="Normal 5 2 3 3 4" xfId="27952" xr:uid="{00000000-0005-0000-0000-0000346D0000}"/>
    <cellStyle name="Normal 5 2 3 3 4 2" xfId="27953" xr:uid="{00000000-0005-0000-0000-0000356D0000}"/>
    <cellStyle name="Normal 5 2 3 3 4 3" xfId="27954" xr:uid="{00000000-0005-0000-0000-0000366D0000}"/>
    <cellStyle name="Normal 5 2 3 3 4 4" xfId="27955" xr:uid="{00000000-0005-0000-0000-0000376D0000}"/>
    <cellStyle name="Normal 5 2 3 3 4 5" xfId="27956" xr:uid="{00000000-0005-0000-0000-0000386D0000}"/>
    <cellStyle name="Normal 5 2 3 3 4 6" xfId="27957" xr:uid="{00000000-0005-0000-0000-0000396D0000}"/>
    <cellStyle name="Normal 5 2 3 3 5" xfId="27958" xr:uid="{00000000-0005-0000-0000-00003A6D0000}"/>
    <cellStyle name="Normal 5 2 3 3 5 2" xfId="27959" xr:uid="{00000000-0005-0000-0000-00003B6D0000}"/>
    <cellStyle name="Normal 5 2 3 3 5 3" xfId="27960" xr:uid="{00000000-0005-0000-0000-00003C6D0000}"/>
    <cellStyle name="Normal 5 2 3 3 5 4" xfId="27961" xr:uid="{00000000-0005-0000-0000-00003D6D0000}"/>
    <cellStyle name="Normal 5 2 3 3 5 5" xfId="27962" xr:uid="{00000000-0005-0000-0000-00003E6D0000}"/>
    <cellStyle name="Normal 5 2 3 3 5 6" xfId="27963" xr:uid="{00000000-0005-0000-0000-00003F6D0000}"/>
    <cellStyle name="Normal 5 2 3 3 6" xfId="27964" xr:uid="{00000000-0005-0000-0000-0000406D0000}"/>
    <cellStyle name="Normal 5 2 3 3 6 2" xfId="27965" xr:uid="{00000000-0005-0000-0000-0000416D0000}"/>
    <cellStyle name="Normal 5 2 3 3 6 3" xfId="27966" xr:uid="{00000000-0005-0000-0000-0000426D0000}"/>
    <cellStyle name="Normal 5 2 3 3 6 4" xfId="27967" xr:uid="{00000000-0005-0000-0000-0000436D0000}"/>
    <cellStyle name="Normal 5 2 3 3 6 5" xfId="27968" xr:uid="{00000000-0005-0000-0000-0000446D0000}"/>
    <cellStyle name="Normal 5 2 3 3 6 6" xfId="27969" xr:uid="{00000000-0005-0000-0000-0000456D0000}"/>
    <cellStyle name="Normal 5 2 3 3 7" xfId="27970" xr:uid="{00000000-0005-0000-0000-0000466D0000}"/>
    <cellStyle name="Normal 5 2 3 3 7 2" xfId="27971" xr:uid="{00000000-0005-0000-0000-0000476D0000}"/>
    <cellStyle name="Normal 5 2 3 3 7 3" xfId="27972" xr:uid="{00000000-0005-0000-0000-0000486D0000}"/>
    <cellStyle name="Normal 5 2 3 3 7 4" xfId="27973" xr:uid="{00000000-0005-0000-0000-0000496D0000}"/>
    <cellStyle name="Normal 5 2 3 3 7 5" xfId="27974" xr:uid="{00000000-0005-0000-0000-00004A6D0000}"/>
    <cellStyle name="Normal 5 2 3 3 7 6" xfId="27975" xr:uid="{00000000-0005-0000-0000-00004B6D0000}"/>
    <cellStyle name="Normal 5 2 3 3 8" xfId="27976" xr:uid="{00000000-0005-0000-0000-00004C6D0000}"/>
    <cellStyle name="Normal 5 2 3 3 8 2" xfId="27977" xr:uid="{00000000-0005-0000-0000-00004D6D0000}"/>
    <cellStyle name="Normal 5 2 3 3 8 3" xfId="27978" xr:uid="{00000000-0005-0000-0000-00004E6D0000}"/>
    <cellStyle name="Normal 5 2 3 3 8 4" xfId="27979" xr:uid="{00000000-0005-0000-0000-00004F6D0000}"/>
    <cellStyle name="Normal 5 2 3 3 8 5" xfId="27980" xr:uid="{00000000-0005-0000-0000-0000506D0000}"/>
    <cellStyle name="Normal 5 2 3 3 8 6" xfId="27981" xr:uid="{00000000-0005-0000-0000-0000516D0000}"/>
    <cellStyle name="Normal 5 2 3 3 9" xfId="27982" xr:uid="{00000000-0005-0000-0000-0000526D0000}"/>
    <cellStyle name="Normal 5 2 3 3 9 2" xfId="27983" xr:uid="{00000000-0005-0000-0000-0000536D0000}"/>
    <cellStyle name="Normal 5 2 3 3 9 3" xfId="27984" xr:uid="{00000000-0005-0000-0000-0000546D0000}"/>
    <cellStyle name="Normal 5 2 3 3 9 4" xfId="27985" xr:uid="{00000000-0005-0000-0000-0000556D0000}"/>
    <cellStyle name="Normal 5 2 3 3 9 5" xfId="27986" xr:uid="{00000000-0005-0000-0000-0000566D0000}"/>
    <cellStyle name="Normal 5 2 3 3 9 6" xfId="27987" xr:uid="{00000000-0005-0000-0000-0000576D0000}"/>
    <cellStyle name="Normal 5 2 3 30" xfId="27988" xr:uid="{00000000-0005-0000-0000-0000586D0000}"/>
    <cellStyle name="Normal 5 2 3 31" xfId="27989" xr:uid="{00000000-0005-0000-0000-0000596D0000}"/>
    <cellStyle name="Normal 5 2 3 4" xfId="27990" xr:uid="{00000000-0005-0000-0000-00005A6D0000}"/>
    <cellStyle name="Normal 5 2 3 4 2" xfId="27991" xr:uid="{00000000-0005-0000-0000-00005B6D0000}"/>
    <cellStyle name="Normal 5 2 3 4 3" xfId="27992" xr:uid="{00000000-0005-0000-0000-00005C6D0000}"/>
    <cellStyle name="Normal 5 2 3 4 4" xfId="27993" xr:uid="{00000000-0005-0000-0000-00005D6D0000}"/>
    <cellStyle name="Normal 5 2 3 4 5" xfId="27994" xr:uid="{00000000-0005-0000-0000-00005E6D0000}"/>
    <cellStyle name="Normal 5 2 3 4 6" xfId="27995" xr:uid="{00000000-0005-0000-0000-00005F6D0000}"/>
    <cellStyle name="Normal 5 2 3 5" xfId="27996" xr:uid="{00000000-0005-0000-0000-0000606D0000}"/>
    <cellStyle name="Normal 5 2 3 5 2" xfId="27997" xr:uid="{00000000-0005-0000-0000-0000616D0000}"/>
    <cellStyle name="Normal 5 2 3 5 3" xfId="27998" xr:uid="{00000000-0005-0000-0000-0000626D0000}"/>
    <cellStyle name="Normal 5 2 3 5 4" xfId="27999" xr:uid="{00000000-0005-0000-0000-0000636D0000}"/>
    <cellStyle name="Normal 5 2 3 5 5" xfId="28000" xr:uid="{00000000-0005-0000-0000-0000646D0000}"/>
    <cellStyle name="Normal 5 2 3 5 6" xfId="28001" xr:uid="{00000000-0005-0000-0000-0000656D0000}"/>
    <cellStyle name="Normal 5 2 3 6" xfId="28002" xr:uid="{00000000-0005-0000-0000-0000666D0000}"/>
    <cellStyle name="Normal 5 2 3 6 2" xfId="28003" xr:uid="{00000000-0005-0000-0000-0000676D0000}"/>
    <cellStyle name="Normal 5 2 3 6 3" xfId="28004" xr:uid="{00000000-0005-0000-0000-0000686D0000}"/>
    <cellStyle name="Normal 5 2 3 6 4" xfId="28005" xr:uid="{00000000-0005-0000-0000-0000696D0000}"/>
    <cellStyle name="Normal 5 2 3 6 5" xfId="28006" xr:uid="{00000000-0005-0000-0000-00006A6D0000}"/>
    <cellStyle name="Normal 5 2 3 6 6" xfId="28007" xr:uid="{00000000-0005-0000-0000-00006B6D0000}"/>
    <cellStyle name="Normal 5 2 3 7" xfId="28008" xr:uid="{00000000-0005-0000-0000-00006C6D0000}"/>
    <cellStyle name="Normal 5 2 3 7 2" xfId="28009" xr:uid="{00000000-0005-0000-0000-00006D6D0000}"/>
    <cellStyle name="Normal 5 2 3 7 3" xfId="28010" xr:uid="{00000000-0005-0000-0000-00006E6D0000}"/>
    <cellStyle name="Normal 5 2 3 7 4" xfId="28011" xr:uid="{00000000-0005-0000-0000-00006F6D0000}"/>
    <cellStyle name="Normal 5 2 3 7 5" xfId="28012" xr:uid="{00000000-0005-0000-0000-0000706D0000}"/>
    <cellStyle name="Normal 5 2 3 7 6" xfId="28013" xr:uid="{00000000-0005-0000-0000-0000716D0000}"/>
    <cellStyle name="Normal 5 2 3 8" xfId="28014" xr:uid="{00000000-0005-0000-0000-0000726D0000}"/>
    <cellStyle name="Normal 5 2 3 8 2" xfId="28015" xr:uid="{00000000-0005-0000-0000-0000736D0000}"/>
    <cellStyle name="Normal 5 2 3 8 3" xfId="28016" xr:uid="{00000000-0005-0000-0000-0000746D0000}"/>
    <cellStyle name="Normal 5 2 3 8 4" xfId="28017" xr:uid="{00000000-0005-0000-0000-0000756D0000}"/>
    <cellStyle name="Normal 5 2 3 8 5" xfId="28018" xr:uid="{00000000-0005-0000-0000-0000766D0000}"/>
    <cellStyle name="Normal 5 2 3 8 6" xfId="28019" xr:uid="{00000000-0005-0000-0000-0000776D0000}"/>
    <cellStyle name="Normal 5 2 3 9" xfId="28020" xr:uid="{00000000-0005-0000-0000-0000786D0000}"/>
    <cellStyle name="Normal 5 2 3 9 2" xfId="28021" xr:uid="{00000000-0005-0000-0000-0000796D0000}"/>
    <cellStyle name="Normal 5 2 3 9 3" xfId="28022" xr:uid="{00000000-0005-0000-0000-00007A6D0000}"/>
    <cellStyle name="Normal 5 2 3 9 4" xfId="28023" xr:uid="{00000000-0005-0000-0000-00007B6D0000}"/>
    <cellStyle name="Normal 5 2 3 9 5" xfId="28024" xr:uid="{00000000-0005-0000-0000-00007C6D0000}"/>
    <cellStyle name="Normal 5 2 3 9 6" xfId="28025" xr:uid="{00000000-0005-0000-0000-00007D6D0000}"/>
    <cellStyle name="Normal 5 2 30" xfId="28026" xr:uid="{00000000-0005-0000-0000-00007E6D0000}"/>
    <cellStyle name="Normal 5 2 31" xfId="28027" xr:uid="{00000000-0005-0000-0000-00007F6D0000}"/>
    <cellStyle name="Normal 5 2 32" xfId="28028" xr:uid="{00000000-0005-0000-0000-0000806D0000}"/>
    <cellStyle name="Normal 5 2 33" xfId="28029" xr:uid="{00000000-0005-0000-0000-0000816D0000}"/>
    <cellStyle name="Normal 5 2 34" xfId="28030" xr:uid="{00000000-0005-0000-0000-0000826D0000}"/>
    <cellStyle name="Normal 5 2 35" xfId="28031" xr:uid="{00000000-0005-0000-0000-0000836D0000}"/>
    <cellStyle name="Normal 5 2 36" xfId="28032" xr:uid="{00000000-0005-0000-0000-0000846D0000}"/>
    <cellStyle name="Normal 5 2 4" xfId="28033" xr:uid="{00000000-0005-0000-0000-0000856D0000}"/>
    <cellStyle name="Normal 5 2 4 2" xfId="28034" xr:uid="{00000000-0005-0000-0000-0000866D0000}"/>
    <cellStyle name="Normal 5 2 4 3" xfId="28035" xr:uid="{00000000-0005-0000-0000-0000876D0000}"/>
    <cellStyle name="Normal 5 2 5" xfId="28036" xr:uid="{00000000-0005-0000-0000-0000886D0000}"/>
    <cellStyle name="Normal 5 2 6" xfId="28037" xr:uid="{00000000-0005-0000-0000-0000896D0000}"/>
    <cellStyle name="Normal 5 2 7" xfId="28038" xr:uid="{00000000-0005-0000-0000-00008A6D0000}"/>
    <cellStyle name="Normal 5 2 8" xfId="28039" xr:uid="{00000000-0005-0000-0000-00008B6D0000}"/>
    <cellStyle name="Normal 5 2 9" xfId="28040" xr:uid="{00000000-0005-0000-0000-00008C6D0000}"/>
    <cellStyle name="Normal 5 20" xfId="28041" xr:uid="{00000000-0005-0000-0000-00008D6D0000}"/>
    <cellStyle name="Normal 5 21" xfId="28042" xr:uid="{00000000-0005-0000-0000-00008E6D0000}"/>
    <cellStyle name="Normal 5 22" xfId="28043" xr:uid="{00000000-0005-0000-0000-00008F6D0000}"/>
    <cellStyle name="Normal 5 23" xfId="28044" xr:uid="{00000000-0005-0000-0000-0000906D0000}"/>
    <cellStyle name="Normal 5 24" xfId="28045" xr:uid="{00000000-0005-0000-0000-0000916D0000}"/>
    <cellStyle name="Normal 5 25" xfId="28046" xr:uid="{00000000-0005-0000-0000-0000926D0000}"/>
    <cellStyle name="Normal 5 26" xfId="28047" xr:uid="{00000000-0005-0000-0000-0000936D0000}"/>
    <cellStyle name="Normal 5 27" xfId="28048" xr:uid="{00000000-0005-0000-0000-0000946D0000}"/>
    <cellStyle name="Normal 5 28" xfId="28049" xr:uid="{00000000-0005-0000-0000-0000956D0000}"/>
    <cellStyle name="Normal 5 29" xfId="28050" xr:uid="{00000000-0005-0000-0000-0000966D0000}"/>
    <cellStyle name="Normal 5 3" xfId="28051" xr:uid="{00000000-0005-0000-0000-0000976D0000}"/>
    <cellStyle name="Normal 5 3 10" xfId="28052" xr:uid="{00000000-0005-0000-0000-0000986D0000}"/>
    <cellStyle name="Normal 5 3 10 2" xfId="28053" xr:uid="{00000000-0005-0000-0000-0000996D0000}"/>
    <cellStyle name="Normal 5 3 10 3" xfId="28054" xr:uid="{00000000-0005-0000-0000-00009A6D0000}"/>
    <cellStyle name="Normal 5 3 10 4" xfId="28055" xr:uid="{00000000-0005-0000-0000-00009B6D0000}"/>
    <cellStyle name="Normal 5 3 10 5" xfId="28056" xr:uid="{00000000-0005-0000-0000-00009C6D0000}"/>
    <cellStyle name="Normal 5 3 10 6" xfId="28057" xr:uid="{00000000-0005-0000-0000-00009D6D0000}"/>
    <cellStyle name="Normal 5 3 11" xfId="28058" xr:uid="{00000000-0005-0000-0000-00009E6D0000}"/>
    <cellStyle name="Normal 5 3 11 2" xfId="28059" xr:uid="{00000000-0005-0000-0000-00009F6D0000}"/>
    <cellStyle name="Normal 5 3 11 3" xfId="28060" xr:uid="{00000000-0005-0000-0000-0000A06D0000}"/>
    <cellStyle name="Normal 5 3 11 4" xfId="28061" xr:uid="{00000000-0005-0000-0000-0000A16D0000}"/>
    <cellStyle name="Normal 5 3 11 5" xfId="28062" xr:uid="{00000000-0005-0000-0000-0000A26D0000}"/>
    <cellStyle name="Normal 5 3 11 6" xfId="28063" xr:uid="{00000000-0005-0000-0000-0000A36D0000}"/>
    <cellStyle name="Normal 5 3 12" xfId="28064" xr:uid="{00000000-0005-0000-0000-0000A46D0000}"/>
    <cellStyle name="Normal 5 3 13" xfId="28065" xr:uid="{00000000-0005-0000-0000-0000A56D0000}"/>
    <cellStyle name="Normal 5 3 14" xfId="28066" xr:uid="{00000000-0005-0000-0000-0000A66D0000}"/>
    <cellStyle name="Normal 5 3 15" xfId="28067" xr:uid="{00000000-0005-0000-0000-0000A76D0000}"/>
    <cellStyle name="Normal 5 3 16" xfId="28068" xr:uid="{00000000-0005-0000-0000-0000A86D0000}"/>
    <cellStyle name="Normal 5 3 17" xfId="28069" xr:uid="{00000000-0005-0000-0000-0000A96D0000}"/>
    <cellStyle name="Normal 5 3 18" xfId="28070" xr:uid="{00000000-0005-0000-0000-0000AA6D0000}"/>
    <cellStyle name="Normal 5 3 19" xfId="28071" xr:uid="{00000000-0005-0000-0000-0000AB6D0000}"/>
    <cellStyle name="Normal 5 3 2" xfId="28072" xr:uid="{00000000-0005-0000-0000-0000AC6D0000}"/>
    <cellStyle name="Normal 5 3 2 10" xfId="28073" xr:uid="{00000000-0005-0000-0000-0000AD6D0000}"/>
    <cellStyle name="Normal 5 3 2 10 2" xfId="28074" xr:uid="{00000000-0005-0000-0000-0000AE6D0000}"/>
    <cellStyle name="Normal 5 3 2 10 3" xfId="28075" xr:uid="{00000000-0005-0000-0000-0000AF6D0000}"/>
    <cellStyle name="Normal 5 3 2 10 4" xfId="28076" xr:uid="{00000000-0005-0000-0000-0000B06D0000}"/>
    <cellStyle name="Normal 5 3 2 10 5" xfId="28077" xr:uid="{00000000-0005-0000-0000-0000B16D0000}"/>
    <cellStyle name="Normal 5 3 2 10 6" xfId="28078" xr:uid="{00000000-0005-0000-0000-0000B26D0000}"/>
    <cellStyle name="Normal 5 3 2 11" xfId="28079" xr:uid="{00000000-0005-0000-0000-0000B36D0000}"/>
    <cellStyle name="Normal 5 3 2 12" xfId="28080" xr:uid="{00000000-0005-0000-0000-0000B46D0000}"/>
    <cellStyle name="Normal 5 3 2 13" xfId="28081" xr:uid="{00000000-0005-0000-0000-0000B56D0000}"/>
    <cellStyle name="Normal 5 3 2 14" xfId="28082" xr:uid="{00000000-0005-0000-0000-0000B66D0000}"/>
    <cellStyle name="Normal 5 3 2 15" xfId="28083" xr:uid="{00000000-0005-0000-0000-0000B76D0000}"/>
    <cellStyle name="Normal 5 3 2 2" xfId="28084" xr:uid="{00000000-0005-0000-0000-0000B86D0000}"/>
    <cellStyle name="Normal 5 3 2 2 10" xfId="28085" xr:uid="{00000000-0005-0000-0000-0000B96D0000}"/>
    <cellStyle name="Normal 5 3 2 2 11" xfId="28086" xr:uid="{00000000-0005-0000-0000-0000BA6D0000}"/>
    <cellStyle name="Normal 5 3 2 2 12" xfId="28087" xr:uid="{00000000-0005-0000-0000-0000BB6D0000}"/>
    <cellStyle name="Normal 5 3 2 2 13" xfId="28088" xr:uid="{00000000-0005-0000-0000-0000BC6D0000}"/>
    <cellStyle name="Normal 5 3 2 2 14" xfId="28089" xr:uid="{00000000-0005-0000-0000-0000BD6D0000}"/>
    <cellStyle name="Normal 5 3 2 2 2" xfId="28090" xr:uid="{00000000-0005-0000-0000-0000BE6D0000}"/>
    <cellStyle name="Normal 5 3 2 2 2 2" xfId="28091" xr:uid="{00000000-0005-0000-0000-0000BF6D0000}"/>
    <cellStyle name="Normal 5 3 2 2 2 3" xfId="28092" xr:uid="{00000000-0005-0000-0000-0000C06D0000}"/>
    <cellStyle name="Normal 5 3 2 2 2 4" xfId="28093" xr:uid="{00000000-0005-0000-0000-0000C16D0000}"/>
    <cellStyle name="Normal 5 3 2 2 2 5" xfId="28094" xr:uid="{00000000-0005-0000-0000-0000C26D0000}"/>
    <cellStyle name="Normal 5 3 2 2 2 6" xfId="28095" xr:uid="{00000000-0005-0000-0000-0000C36D0000}"/>
    <cellStyle name="Normal 5 3 2 2 3" xfId="28096" xr:uid="{00000000-0005-0000-0000-0000C46D0000}"/>
    <cellStyle name="Normal 5 3 2 2 3 2" xfId="28097" xr:uid="{00000000-0005-0000-0000-0000C56D0000}"/>
    <cellStyle name="Normal 5 3 2 2 3 3" xfId="28098" xr:uid="{00000000-0005-0000-0000-0000C66D0000}"/>
    <cellStyle name="Normal 5 3 2 2 3 4" xfId="28099" xr:uid="{00000000-0005-0000-0000-0000C76D0000}"/>
    <cellStyle name="Normal 5 3 2 2 3 5" xfId="28100" xr:uid="{00000000-0005-0000-0000-0000C86D0000}"/>
    <cellStyle name="Normal 5 3 2 2 3 6" xfId="28101" xr:uid="{00000000-0005-0000-0000-0000C96D0000}"/>
    <cellStyle name="Normal 5 3 2 2 4" xfId="28102" xr:uid="{00000000-0005-0000-0000-0000CA6D0000}"/>
    <cellStyle name="Normal 5 3 2 2 4 2" xfId="28103" xr:uid="{00000000-0005-0000-0000-0000CB6D0000}"/>
    <cellStyle name="Normal 5 3 2 2 4 3" xfId="28104" xr:uid="{00000000-0005-0000-0000-0000CC6D0000}"/>
    <cellStyle name="Normal 5 3 2 2 4 4" xfId="28105" xr:uid="{00000000-0005-0000-0000-0000CD6D0000}"/>
    <cellStyle name="Normal 5 3 2 2 4 5" xfId="28106" xr:uid="{00000000-0005-0000-0000-0000CE6D0000}"/>
    <cellStyle name="Normal 5 3 2 2 4 6" xfId="28107" xr:uid="{00000000-0005-0000-0000-0000CF6D0000}"/>
    <cellStyle name="Normal 5 3 2 2 5" xfId="28108" xr:uid="{00000000-0005-0000-0000-0000D06D0000}"/>
    <cellStyle name="Normal 5 3 2 2 5 2" xfId="28109" xr:uid="{00000000-0005-0000-0000-0000D16D0000}"/>
    <cellStyle name="Normal 5 3 2 2 5 3" xfId="28110" xr:uid="{00000000-0005-0000-0000-0000D26D0000}"/>
    <cellStyle name="Normal 5 3 2 2 5 4" xfId="28111" xr:uid="{00000000-0005-0000-0000-0000D36D0000}"/>
    <cellStyle name="Normal 5 3 2 2 5 5" xfId="28112" xr:uid="{00000000-0005-0000-0000-0000D46D0000}"/>
    <cellStyle name="Normal 5 3 2 2 5 6" xfId="28113" xr:uid="{00000000-0005-0000-0000-0000D56D0000}"/>
    <cellStyle name="Normal 5 3 2 2 6" xfId="28114" xr:uid="{00000000-0005-0000-0000-0000D66D0000}"/>
    <cellStyle name="Normal 5 3 2 2 6 2" xfId="28115" xr:uid="{00000000-0005-0000-0000-0000D76D0000}"/>
    <cellStyle name="Normal 5 3 2 2 6 3" xfId="28116" xr:uid="{00000000-0005-0000-0000-0000D86D0000}"/>
    <cellStyle name="Normal 5 3 2 2 6 4" xfId="28117" xr:uid="{00000000-0005-0000-0000-0000D96D0000}"/>
    <cellStyle name="Normal 5 3 2 2 6 5" xfId="28118" xr:uid="{00000000-0005-0000-0000-0000DA6D0000}"/>
    <cellStyle name="Normal 5 3 2 2 6 6" xfId="28119" xr:uid="{00000000-0005-0000-0000-0000DB6D0000}"/>
    <cellStyle name="Normal 5 3 2 2 7" xfId="28120" xr:uid="{00000000-0005-0000-0000-0000DC6D0000}"/>
    <cellStyle name="Normal 5 3 2 2 7 2" xfId="28121" xr:uid="{00000000-0005-0000-0000-0000DD6D0000}"/>
    <cellStyle name="Normal 5 3 2 2 7 3" xfId="28122" xr:uid="{00000000-0005-0000-0000-0000DE6D0000}"/>
    <cellStyle name="Normal 5 3 2 2 7 4" xfId="28123" xr:uid="{00000000-0005-0000-0000-0000DF6D0000}"/>
    <cellStyle name="Normal 5 3 2 2 7 5" xfId="28124" xr:uid="{00000000-0005-0000-0000-0000E06D0000}"/>
    <cellStyle name="Normal 5 3 2 2 7 6" xfId="28125" xr:uid="{00000000-0005-0000-0000-0000E16D0000}"/>
    <cellStyle name="Normal 5 3 2 2 8" xfId="28126" xr:uid="{00000000-0005-0000-0000-0000E26D0000}"/>
    <cellStyle name="Normal 5 3 2 2 8 2" xfId="28127" xr:uid="{00000000-0005-0000-0000-0000E36D0000}"/>
    <cellStyle name="Normal 5 3 2 2 8 3" xfId="28128" xr:uid="{00000000-0005-0000-0000-0000E46D0000}"/>
    <cellStyle name="Normal 5 3 2 2 8 4" xfId="28129" xr:uid="{00000000-0005-0000-0000-0000E56D0000}"/>
    <cellStyle name="Normal 5 3 2 2 8 5" xfId="28130" xr:uid="{00000000-0005-0000-0000-0000E66D0000}"/>
    <cellStyle name="Normal 5 3 2 2 8 6" xfId="28131" xr:uid="{00000000-0005-0000-0000-0000E76D0000}"/>
    <cellStyle name="Normal 5 3 2 2 9" xfId="28132" xr:uid="{00000000-0005-0000-0000-0000E86D0000}"/>
    <cellStyle name="Normal 5 3 2 2 9 2" xfId="28133" xr:uid="{00000000-0005-0000-0000-0000E96D0000}"/>
    <cellStyle name="Normal 5 3 2 2 9 3" xfId="28134" xr:uid="{00000000-0005-0000-0000-0000EA6D0000}"/>
    <cellStyle name="Normal 5 3 2 2 9 4" xfId="28135" xr:uid="{00000000-0005-0000-0000-0000EB6D0000}"/>
    <cellStyle name="Normal 5 3 2 2 9 5" xfId="28136" xr:uid="{00000000-0005-0000-0000-0000EC6D0000}"/>
    <cellStyle name="Normal 5 3 2 2 9 6" xfId="28137" xr:uid="{00000000-0005-0000-0000-0000ED6D0000}"/>
    <cellStyle name="Normal 5 3 2 3" xfId="28138" xr:uid="{00000000-0005-0000-0000-0000EE6D0000}"/>
    <cellStyle name="Normal 5 3 2 3 2" xfId="28139" xr:uid="{00000000-0005-0000-0000-0000EF6D0000}"/>
    <cellStyle name="Normal 5 3 2 3 3" xfId="28140" xr:uid="{00000000-0005-0000-0000-0000F06D0000}"/>
    <cellStyle name="Normal 5 3 2 3 4" xfId="28141" xr:uid="{00000000-0005-0000-0000-0000F16D0000}"/>
    <cellStyle name="Normal 5 3 2 3 5" xfId="28142" xr:uid="{00000000-0005-0000-0000-0000F26D0000}"/>
    <cellStyle name="Normal 5 3 2 3 6" xfId="28143" xr:uid="{00000000-0005-0000-0000-0000F36D0000}"/>
    <cellStyle name="Normal 5 3 2 4" xfId="28144" xr:uid="{00000000-0005-0000-0000-0000F46D0000}"/>
    <cellStyle name="Normal 5 3 2 4 2" xfId="28145" xr:uid="{00000000-0005-0000-0000-0000F56D0000}"/>
    <cellStyle name="Normal 5 3 2 4 3" xfId="28146" xr:uid="{00000000-0005-0000-0000-0000F66D0000}"/>
    <cellStyle name="Normal 5 3 2 4 4" xfId="28147" xr:uid="{00000000-0005-0000-0000-0000F76D0000}"/>
    <cellStyle name="Normal 5 3 2 4 5" xfId="28148" xr:uid="{00000000-0005-0000-0000-0000F86D0000}"/>
    <cellStyle name="Normal 5 3 2 4 6" xfId="28149" xr:uid="{00000000-0005-0000-0000-0000F96D0000}"/>
    <cellStyle name="Normal 5 3 2 5" xfId="28150" xr:uid="{00000000-0005-0000-0000-0000FA6D0000}"/>
    <cellStyle name="Normal 5 3 2 5 2" xfId="28151" xr:uid="{00000000-0005-0000-0000-0000FB6D0000}"/>
    <cellStyle name="Normal 5 3 2 5 3" xfId="28152" xr:uid="{00000000-0005-0000-0000-0000FC6D0000}"/>
    <cellStyle name="Normal 5 3 2 5 4" xfId="28153" xr:uid="{00000000-0005-0000-0000-0000FD6D0000}"/>
    <cellStyle name="Normal 5 3 2 5 5" xfId="28154" xr:uid="{00000000-0005-0000-0000-0000FE6D0000}"/>
    <cellStyle name="Normal 5 3 2 5 6" xfId="28155" xr:uid="{00000000-0005-0000-0000-0000FF6D0000}"/>
    <cellStyle name="Normal 5 3 2 6" xfId="28156" xr:uid="{00000000-0005-0000-0000-0000006E0000}"/>
    <cellStyle name="Normal 5 3 2 6 2" xfId="28157" xr:uid="{00000000-0005-0000-0000-0000016E0000}"/>
    <cellStyle name="Normal 5 3 2 6 3" xfId="28158" xr:uid="{00000000-0005-0000-0000-0000026E0000}"/>
    <cellStyle name="Normal 5 3 2 6 4" xfId="28159" xr:uid="{00000000-0005-0000-0000-0000036E0000}"/>
    <cellStyle name="Normal 5 3 2 6 5" xfId="28160" xr:uid="{00000000-0005-0000-0000-0000046E0000}"/>
    <cellStyle name="Normal 5 3 2 6 6" xfId="28161" xr:uid="{00000000-0005-0000-0000-0000056E0000}"/>
    <cellStyle name="Normal 5 3 2 7" xfId="28162" xr:uid="{00000000-0005-0000-0000-0000066E0000}"/>
    <cellStyle name="Normal 5 3 2 7 2" xfId="28163" xr:uid="{00000000-0005-0000-0000-0000076E0000}"/>
    <cellStyle name="Normal 5 3 2 7 3" xfId="28164" xr:uid="{00000000-0005-0000-0000-0000086E0000}"/>
    <cellStyle name="Normal 5 3 2 7 4" xfId="28165" xr:uid="{00000000-0005-0000-0000-0000096E0000}"/>
    <cellStyle name="Normal 5 3 2 7 5" xfId="28166" xr:uid="{00000000-0005-0000-0000-00000A6E0000}"/>
    <cellStyle name="Normal 5 3 2 7 6" xfId="28167" xr:uid="{00000000-0005-0000-0000-00000B6E0000}"/>
    <cellStyle name="Normal 5 3 2 8" xfId="28168" xr:uid="{00000000-0005-0000-0000-00000C6E0000}"/>
    <cellStyle name="Normal 5 3 2 8 2" xfId="28169" xr:uid="{00000000-0005-0000-0000-00000D6E0000}"/>
    <cellStyle name="Normal 5 3 2 8 3" xfId="28170" xr:uid="{00000000-0005-0000-0000-00000E6E0000}"/>
    <cellStyle name="Normal 5 3 2 8 4" xfId="28171" xr:uid="{00000000-0005-0000-0000-00000F6E0000}"/>
    <cellStyle name="Normal 5 3 2 8 5" xfId="28172" xr:uid="{00000000-0005-0000-0000-0000106E0000}"/>
    <cellStyle name="Normal 5 3 2 8 6" xfId="28173" xr:uid="{00000000-0005-0000-0000-0000116E0000}"/>
    <cellStyle name="Normal 5 3 2 9" xfId="28174" xr:uid="{00000000-0005-0000-0000-0000126E0000}"/>
    <cellStyle name="Normal 5 3 2 9 2" xfId="28175" xr:uid="{00000000-0005-0000-0000-0000136E0000}"/>
    <cellStyle name="Normal 5 3 2 9 3" xfId="28176" xr:uid="{00000000-0005-0000-0000-0000146E0000}"/>
    <cellStyle name="Normal 5 3 2 9 4" xfId="28177" xr:uid="{00000000-0005-0000-0000-0000156E0000}"/>
    <cellStyle name="Normal 5 3 2 9 5" xfId="28178" xr:uid="{00000000-0005-0000-0000-0000166E0000}"/>
    <cellStyle name="Normal 5 3 2 9 6" xfId="28179" xr:uid="{00000000-0005-0000-0000-0000176E0000}"/>
    <cellStyle name="Normal 5 3 20" xfId="28180" xr:uid="{00000000-0005-0000-0000-0000186E0000}"/>
    <cellStyle name="Normal 5 3 21" xfId="28181" xr:uid="{00000000-0005-0000-0000-0000196E0000}"/>
    <cellStyle name="Normal 5 3 22" xfId="28182" xr:uid="{00000000-0005-0000-0000-00001A6E0000}"/>
    <cellStyle name="Normal 5 3 23" xfId="28183" xr:uid="{00000000-0005-0000-0000-00001B6E0000}"/>
    <cellStyle name="Normal 5 3 24" xfId="28184" xr:uid="{00000000-0005-0000-0000-00001C6E0000}"/>
    <cellStyle name="Normal 5 3 25" xfId="28185" xr:uid="{00000000-0005-0000-0000-00001D6E0000}"/>
    <cellStyle name="Normal 5 3 26" xfId="28186" xr:uid="{00000000-0005-0000-0000-00001E6E0000}"/>
    <cellStyle name="Normal 5 3 27" xfId="28187" xr:uid="{00000000-0005-0000-0000-00001F6E0000}"/>
    <cellStyle name="Normal 5 3 28" xfId="28188" xr:uid="{00000000-0005-0000-0000-0000206E0000}"/>
    <cellStyle name="Normal 5 3 29" xfId="28189" xr:uid="{00000000-0005-0000-0000-0000216E0000}"/>
    <cellStyle name="Normal 5 3 3" xfId="28190" xr:uid="{00000000-0005-0000-0000-0000226E0000}"/>
    <cellStyle name="Normal 5 3 3 10" xfId="28191" xr:uid="{00000000-0005-0000-0000-0000236E0000}"/>
    <cellStyle name="Normal 5 3 3 11" xfId="28192" xr:uid="{00000000-0005-0000-0000-0000246E0000}"/>
    <cellStyle name="Normal 5 3 3 12" xfId="28193" xr:uid="{00000000-0005-0000-0000-0000256E0000}"/>
    <cellStyle name="Normal 5 3 3 13" xfId="28194" xr:uid="{00000000-0005-0000-0000-0000266E0000}"/>
    <cellStyle name="Normal 5 3 3 14" xfId="28195" xr:uid="{00000000-0005-0000-0000-0000276E0000}"/>
    <cellStyle name="Normal 5 3 3 2" xfId="28196" xr:uid="{00000000-0005-0000-0000-0000286E0000}"/>
    <cellStyle name="Normal 5 3 3 2 2" xfId="28197" xr:uid="{00000000-0005-0000-0000-0000296E0000}"/>
    <cellStyle name="Normal 5 3 3 2 3" xfId="28198" xr:uid="{00000000-0005-0000-0000-00002A6E0000}"/>
    <cellStyle name="Normal 5 3 3 2 4" xfId="28199" xr:uid="{00000000-0005-0000-0000-00002B6E0000}"/>
    <cellStyle name="Normal 5 3 3 2 5" xfId="28200" xr:uid="{00000000-0005-0000-0000-00002C6E0000}"/>
    <cellStyle name="Normal 5 3 3 2 6" xfId="28201" xr:uid="{00000000-0005-0000-0000-00002D6E0000}"/>
    <cellStyle name="Normal 5 3 3 3" xfId="28202" xr:uid="{00000000-0005-0000-0000-00002E6E0000}"/>
    <cellStyle name="Normal 5 3 3 3 2" xfId="28203" xr:uid="{00000000-0005-0000-0000-00002F6E0000}"/>
    <cellStyle name="Normal 5 3 3 3 3" xfId="28204" xr:uid="{00000000-0005-0000-0000-0000306E0000}"/>
    <cellStyle name="Normal 5 3 3 3 4" xfId="28205" xr:uid="{00000000-0005-0000-0000-0000316E0000}"/>
    <cellStyle name="Normal 5 3 3 3 5" xfId="28206" xr:uid="{00000000-0005-0000-0000-0000326E0000}"/>
    <cellStyle name="Normal 5 3 3 3 6" xfId="28207" xr:uid="{00000000-0005-0000-0000-0000336E0000}"/>
    <cellStyle name="Normal 5 3 3 4" xfId="28208" xr:uid="{00000000-0005-0000-0000-0000346E0000}"/>
    <cellStyle name="Normal 5 3 3 4 2" xfId="28209" xr:uid="{00000000-0005-0000-0000-0000356E0000}"/>
    <cellStyle name="Normal 5 3 3 4 3" xfId="28210" xr:uid="{00000000-0005-0000-0000-0000366E0000}"/>
    <cellStyle name="Normal 5 3 3 4 4" xfId="28211" xr:uid="{00000000-0005-0000-0000-0000376E0000}"/>
    <cellStyle name="Normal 5 3 3 4 5" xfId="28212" xr:uid="{00000000-0005-0000-0000-0000386E0000}"/>
    <cellStyle name="Normal 5 3 3 4 6" xfId="28213" xr:uid="{00000000-0005-0000-0000-0000396E0000}"/>
    <cellStyle name="Normal 5 3 3 5" xfId="28214" xr:uid="{00000000-0005-0000-0000-00003A6E0000}"/>
    <cellStyle name="Normal 5 3 3 5 2" xfId="28215" xr:uid="{00000000-0005-0000-0000-00003B6E0000}"/>
    <cellStyle name="Normal 5 3 3 5 3" xfId="28216" xr:uid="{00000000-0005-0000-0000-00003C6E0000}"/>
    <cellStyle name="Normal 5 3 3 5 4" xfId="28217" xr:uid="{00000000-0005-0000-0000-00003D6E0000}"/>
    <cellStyle name="Normal 5 3 3 5 5" xfId="28218" xr:uid="{00000000-0005-0000-0000-00003E6E0000}"/>
    <cellStyle name="Normal 5 3 3 5 6" xfId="28219" xr:uid="{00000000-0005-0000-0000-00003F6E0000}"/>
    <cellStyle name="Normal 5 3 3 6" xfId="28220" xr:uid="{00000000-0005-0000-0000-0000406E0000}"/>
    <cellStyle name="Normal 5 3 3 6 2" xfId="28221" xr:uid="{00000000-0005-0000-0000-0000416E0000}"/>
    <cellStyle name="Normal 5 3 3 6 3" xfId="28222" xr:uid="{00000000-0005-0000-0000-0000426E0000}"/>
    <cellStyle name="Normal 5 3 3 6 4" xfId="28223" xr:uid="{00000000-0005-0000-0000-0000436E0000}"/>
    <cellStyle name="Normal 5 3 3 6 5" xfId="28224" xr:uid="{00000000-0005-0000-0000-0000446E0000}"/>
    <cellStyle name="Normal 5 3 3 6 6" xfId="28225" xr:uid="{00000000-0005-0000-0000-0000456E0000}"/>
    <cellStyle name="Normal 5 3 3 7" xfId="28226" xr:uid="{00000000-0005-0000-0000-0000466E0000}"/>
    <cellStyle name="Normal 5 3 3 7 2" xfId="28227" xr:uid="{00000000-0005-0000-0000-0000476E0000}"/>
    <cellStyle name="Normal 5 3 3 7 3" xfId="28228" xr:uid="{00000000-0005-0000-0000-0000486E0000}"/>
    <cellStyle name="Normal 5 3 3 7 4" xfId="28229" xr:uid="{00000000-0005-0000-0000-0000496E0000}"/>
    <cellStyle name="Normal 5 3 3 7 5" xfId="28230" xr:uid="{00000000-0005-0000-0000-00004A6E0000}"/>
    <cellStyle name="Normal 5 3 3 7 6" xfId="28231" xr:uid="{00000000-0005-0000-0000-00004B6E0000}"/>
    <cellStyle name="Normal 5 3 3 8" xfId="28232" xr:uid="{00000000-0005-0000-0000-00004C6E0000}"/>
    <cellStyle name="Normal 5 3 3 8 2" xfId="28233" xr:uid="{00000000-0005-0000-0000-00004D6E0000}"/>
    <cellStyle name="Normal 5 3 3 8 3" xfId="28234" xr:uid="{00000000-0005-0000-0000-00004E6E0000}"/>
    <cellStyle name="Normal 5 3 3 8 4" xfId="28235" xr:uid="{00000000-0005-0000-0000-00004F6E0000}"/>
    <cellStyle name="Normal 5 3 3 8 5" xfId="28236" xr:uid="{00000000-0005-0000-0000-0000506E0000}"/>
    <cellStyle name="Normal 5 3 3 8 6" xfId="28237" xr:uid="{00000000-0005-0000-0000-0000516E0000}"/>
    <cellStyle name="Normal 5 3 3 9" xfId="28238" xr:uid="{00000000-0005-0000-0000-0000526E0000}"/>
    <cellStyle name="Normal 5 3 3 9 2" xfId="28239" xr:uid="{00000000-0005-0000-0000-0000536E0000}"/>
    <cellStyle name="Normal 5 3 3 9 3" xfId="28240" xr:uid="{00000000-0005-0000-0000-0000546E0000}"/>
    <cellStyle name="Normal 5 3 3 9 4" xfId="28241" xr:uid="{00000000-0005-0000-0000-0000556E0000}"/>
    <cellStyle name="Normal 5 3 3 9 5" xfId="28242" xr:uid="{00000000-0005-0000-0000-0000566E0000}"/>
    <cellStyle name="Normal 5 3 3 9 6" xfId="28243" xr:uid="{00000000-0005-0000-0000-0000576E0000}"/>
    <cellStyle name="Normal 5 3 30" xfId="28244" xr:uid="{00000000-0005-0000-0000-0000586E0000}"/>
    <cellStyle name="Normal 5 3 31" xfId="28245" xr:uid="{00000000-0005-0000-0000-0000596E0000}"/>
    <cellStyle name="Normal 5 3 32" xfId="28246" xr:uid="{00000000-0005-0000-0000-00005A6E0000}"/>
    <cellStyle name="Normal 5 3 4" xfId="28247" xr:uid="{00000000-0005-0000-0000-00005B6E0000}"/>
    <cellStyle name="Normal 5 3 4 2" xfId="28248" xr:uid="{00000000-0005-0000-0000-00005C6E0000}"/>
    <cellStyle name="Normal 5 3 4 3" xfId="28249" xr:uid="{00000000-0005-0000-0000-00005D6E0000}"/>
    <cellStyle name="Normal 5 3 4 4" xfId="28250" xr:uid="{00000000-0005-0000-0000-00005E6E0000}"/>
    <cellStyle name="Normal 5 3 4 5" xfId="28251" xr:uid="{00000000-0005-0000-0000-00005F6E0000}"/>
    <cellStyle name="Normal 5 3 4 6" xfId="28252" xr:uid="{00000000-0005-0000-0000-0000606E0000}"/>
    <cellStyle name="Normal 5 3 5" xfId="28253" xr:uid="{00000000-0005-0000-0000-0000616E0000}"/>
    <cellStyle name="Normal 5 3 5 2" xfId="28254" xr:uid="{00000000-0005-0000-0000-0000626E0000}"/>
    <cellStyle name="Normal 5 3 5 3" xfId="28255" xr:uid="{00000000-0005-0000-0000-0000636E0000}"/>
    <cellStyle name="Normal 5 3 5 4" xfId="28256" xr:uid="{00000000-0005-0000-0000-0000646E0000}"/>
    <cellStyle name="Normal 5 3 5 5" xfId="28257" xr:uid="{00000000-0005-0000-0000-0000656E0000}"/>
    <cellStyle name="Normal 5 3 5 6" xfId="28258" xr:uid="{00000000-0005-0000-0000-0000666E0000}"/>
    <cellStyle name="Normal 5 3 6" xfId="28259" xr:uid="{00000000-0005-0000-0000-0000676E0000}"/>
    <cellStyle name="Normal 5 3 6 2" xfId="28260" xr:uid="{00000000-0005-0000-0000-0000686E0000}"/>
    <cellStyle name="Normal 5 3 6 3" xfId="28261" xr:uid="{00000000-0005-0000-0000-0000696E0000}"/>
    <cellStyle name="Normal 5 3 6 4" xfId="28262" xr:uid="{00000000-0005-0000-0000-00006A6E0000}"/>
    <cellStyle name="Normal 5 3 6 5" xfId="28263" xr:uid="{00000000-0005-0000-0000-00006B6E0000}"/>
    <cellStyle name="Normal 5 3 6 6" xfId="28264" xr:uid="{00000000-0005-0000-0000-00006C6E0000}"/>
    <cellStyle name="Normal 5 3 7" xfId="28265" xr:uid="{00000000-0005-0000-0000-00006D6E0000}"/>
    <cellStyle name="Normal 5 3 7 2" xfId="28266" xr:uid="{00000000-0005-0000-0000-00006E6E0000}"/>
    <cellStyle name="Normal 5 3 7 3" xfId="28267" xr:uid="{00000000-0005-0000-0000-00006F6E0000}"/>
    <cellStyle name="Normal 5 3 7 4" xfId="28268" xr:uid="{00000000-0005-0000-0000-0000706E0000}"/>
    <cellStyle name="Normal 5 3 7 5" xfId="28269" xr:uid="{00000000-0005-0000-0000-0000716E0000}"/>
    <cellStyle name="Normal 5 3 7 6" xfId="28270" xr:uid="{00000000-0005-0000-0000-0000726E0000}"/>
    <cellStyle name="Normal 5 3 8" xfId="28271" xr:uid="{00000000-0005-0000-0000-0000736E0000}"/>
    <cellStyle name="Normal 5 3 8 2" xfId="28272" xr:uid="{00000000-0005-0000-0000-0000746E0000}"/>
    <cellStyle name="Normal 5 3 8 3" xfId="28273" xr:uid="{00000000-0005-0000-0000-0000756E0000}"/>
    <cellStyle name="Normal 5 3 8 4" xfId="28274" xr:uid="{00000000-0005-0000-0000-0000766E0000}"/>
    <cellStyle name="Normal 5 3 8 5" xfId="28275" xr:uid="{00000000-0005-0000-0000-0000776E0000}"/>
    <cellStyle name="Normal 5 3 8 6" xfId="28276" xr:uid="{00000000-0005-0000-0000-0000786E0000}"/>
    <cellStyle name="Normal 5 3 9" xfId="28277" xr:uid="{00000000-0005-0000-0000-0000796E0000}"/>
    <cellStyle name="Normal 5 3 9 2" xfId="28278" xr:uid="{00000000-0005-0000-0000-00007A6E0000}"/>
    <cellStyle name="Normal 5 3 9 3" xfId="28279" xr:uid="{00000000-0005-0000-0000-00007B6E0000}"/>
    <cellStyle name="Normal 5 3 9 4" xfId="28280" xr:uid="{00000000-0005-0000-0000-00007C6E0000}"/>
    <cellStyle name="Normal 5 3 9 5" xfId="28281" xr:uid="{00000000-0005-0000-0000-00007D6E0000}"/>
    <cellStyle name="Normal 5 3 9 6" xfId="28282" xr:uid="{00000000-0005-0000-0000-00007E6E0000}"/>
    <cellStyle name="Normal 5 30" xfId="28283" xr:uid="{00000000-0005-0000-0000-00007F6E0000}"/>
    <cellStyle name="Normal 5 31" xfId="28284" xr:uid="{00000000-0005-0000-0000-0000806E0000}"/>
    <cellStyle name="Normal 5 32" xfId="28285" xr:uid="{00000000-0005-0000-0000-0000816E0000}"/>
    <cellStyle name="Normal 5 33" xfId="28286" xr:uid="{00000000-0005-0000-0000-0000826E0000}"/>
    <cellStyle name="Normal 5 34" xfId="28287" xr:uid="{00000000-0005-0000-0000-0000836E0000}"/>
    <cellStyle name="Normal 5 35" xfId="28288" xr:uid="{00000000-0005-0000-0000-0000846E0000}"/>
    <cellStyle name="Normal 5 36" xfId="28289" xr:uid="{00000000-0005-0000-0000-0000856E0000}"/>
    <cellStyle name="Normal 5 37" xfId="28290" xr:uid="{00000000-0005-0000-0000-0000866E0000}"/>
    <cellStyle name="Normal 5 38" xfId="28291" xr:uid="{00000000-0005-0000-0000-0000876E0000}"/>
    <cellStyle name="Normal 5 4" xfId="28292" xr:uid="{00000000-0005-0000-0000-0000886E0000}"/>
    <cellStyle name="Normal 5 4 10" xfId="28293" xr:uid="{00000000-0005-0000-0000-0000896E0000}"/>
    <cellStyle name="Normal 5 4 10 2" xfId="28294" xr:uid="{00000000-0005-0000-0000-00008A6E0000}"/>
    <cellStyle name="Normal 5 4 10 3" xfId="28295" xr:uid="{00000000-0005-0000-0000-00008B6E0000}"/>
    <cellStyle name="Normal 5 4 10 4" xfId="28296" xr:uid="{00000000-0005-0000-0000-00008C6E0000}"/>
    <cellStyle name="Normal 5 4 10 5" xfId="28297" xr:uid="{00000000-0005-0000-0000-00008D6E0000}"/>
    <cellStyle name="Normal 5 4 10 6" xfId="28298" xr:uid="{00000000-0005-0000-0000-00008E6E0000}"/>
    <cellStyle name="Normal 5 4 11" xfId="28299" xr:uid="{00000000-0005-0000-0000-00008F6E0000}"/>
    <cellStyle name="Normal 5 4 11 2" xfId="28300" xr:uid="{00000000-0005-0000-0000-0000906E0000}"/>
    <cellStyle name="Normal 5 4 11 3" xfId="28301" xr:uid="{00000000-0005-0000-0000-0000916E0000}"/>
    <cellStyle name="Normal 5 4 11 4" xfId="28302" xr:uid="{00000000-0005-0000-0000-0000926E0000}"/>
    <cellStyle name="Normal 5 4 11 5" xfId="28303" xr:uid="{00000000-0005-0000-0000-0000936E0000}"/>
    <cellStyle name="Normal 5 4 11 6" xfId="28304" xr:uid="{00000000-0005-0000-0000-0000946E0000}"/>
    <cellStyle name="Normal 5 4 12" xfId="28305" xr:uid="{00000000-0005-0000-0000-0000956E0000}"/>
    <cellStyle name="Normal 5 4 13" xfId="28306" xr:uid="{00000000-0005-0000-0000-0000966E0000}"/>
    <cellStyle name="Normal 5 4 14" xfId="28307" xr:uid="{00000000-0005-0000-0000-0000976E0000}"/>
    <cellStyle name="Normal 5 4 15" xfId="28308" xr:uid="{00000000-0005-0000-0000-0000986E0000}"/>
    <cellStyle name="Normal 5 4 16" xfId="28309" xr:uid="{00000000-0005-0000-0000-0000996E0000}"/>
    <cellStyle name="Normal 5 4 17" xfId="28310" xr:uid="{00000000-0005-0000-0000-00009A6E0000}"/>
    <cellStyle name="Normal 5 4 18" xfId="28311" xr:uid="{00000000-0005-0000-0000-00009B6E0000}"/>
    <cellStyle name="Normal 5 4 19" xfId="28312" xr:uid="{00000000-0005-0000-0000-00009C6E0000}"/>
    <cellStyle name="Normal 5 4 2" xfId="28313" xr:uid="{00000000-0005-0000-0000-00009D6E0000}"/>
    <cellStyle name="Normal 5 4 2 10" xfId="28314" xr:uid="{00000000-0005-0000-0000-00009E6E0000}"/>
    <cellStyle name="Normal 5 4 2 10 2" xfId="28315" xr:uid="{00000000-0005-0000-0000-00009F6E0000}"/>
    <cellStyle name="Normal 5 4 2 10 3" xfId="28316" xr:uid="{00000000-0005-0000-0000-0000A06E0000}"/>
    <cellStyle name="Normal 5 4 2 10 4" xfId="28317" xr:uid="{00000000-0005-0000-0000-0000A16E0000}"/>
    <cellStyle name="Normal 5 4 2 10 5" xfId="28318" xr:uid="{00000000-0005-0000-0000-0000A26E0000}"/>
    <cellStyle name="Normal 5 4 2 10 6" xfId="28319" xr:uid="{00000000-0005-0000-0000-0000A36E0000}"/>
    <cellStyle name="Normal 5 4 2 11" xfId="28320" xr:uid="{00000000-0005-0000-0000-0000A46E0000}"/>
    <cellStyle name="Normal 5 4 2 12" xfId="28321" xr:uid="{00000000-0005-0000-0000-0000A56E0000}"/>
    <cellStyle name="Normal 5 4 2 13" xfId="28322" xr:uid="{00000000-0005-0000-0000-0000A66E0000}"/>
    <cellStyle name="Normal 5 4 2 14" xfId="28323" xr:uid="{00000000-0005-0000-0000-0000A76E0000}"/>
    <cellStyle name="Normal 5 4 2 15" xfId="28324" xr:uid="{00000000-0005-0000-0000-0000A86E0000}"/>
    <cellStyle name="Normal 5 4 2 2" xfId="28325" xr:uid="{00000000-0005-0000-0000-0000A96E0000}"/>
    <cellStyle name="Normal 5 4 2 2 10" xfId="28326" xr:uid="{00000000-0005-0000-0000-0000AA6E0000}"/>
    <cellStyle name="Normal 5 4 2 2 11" xfId="28327" xr:uid="{00000000-0005-0000-0000-0000AB6E0000}"/>
    <cellStyle name="Normal 5 4 2 2 12" xfId="28328" xr:uid="{00000000-0005-0000-0000-0000AC6E0000}"/>
    <cellStyle name="Normal 5 4 2 2 13" xfId="28329" xr:uid="{00000000-0005-0000-0000-0000AD6E0000}"/>
    <cellStyle name="Normal 5 4 2 2 14" xfId="28330" xr:uid="{00000000-0005-0000-0000-0000AE6E0000}"/>
    <cellStyle name="Normal 5 4 2 2 2" xfId="28331" xr:uid="{00000000-0005-0000-0000-0000AF6E0000}"/>
    <cellStyle name="Normal 5 4 2 2 2 2" xfId="28332" xr:uid="{00000000-0005-0000-0000-0000B06E0000}"/>
    <cellStyle name="Normal 5 4 2 2 2 3" xfId="28333" xr:uid="{00000000-0005-0000-0000-0000B16E0000}"/>
    <cellStyle name="Normal 5 4 2 2 2 4" xfId="28334" xr:uid="{00000000-0005-0000-0000-0000B26E0000}"/>
    <cellStyle name="Normal 5 4 2 2 2 5" xfId="28335" xr:uid="{00000000-0005-0000-0000-0000B36E0000}"/>
    <cellStyle name="Normal 5 4 2 2 2 6" xfId="28336" xr:uid="{00000000-0005-0000-0000-0000B46E0000}"/>
    <cellStyle name="Normal 5 4 2 2 3" xfId="28337" xr:uid="{00000000-0005-0000-0000-0000B56E0000}"/>
    <cellStyle name="Normal 5 4 2 2 3 2" xfId="28338" xr:uid="{00000000-0005-0000-0000-0000B66E0000}"/>
    <cellStyle name="Normal 5 4 2 2 3 3" xfId="28339" xr:uid="{00000000-0005-0000-0000-0000B76E0000}"/>
    <cellStyle name="Normal 5 4 2 2 3 4" xfId="28340" xr:uid="{00000000-0005-0000-0000-0000B86E0000}"/>
    <cellStyle name="Normal 5 4 2 2 3 5" xfId="28341" xr:uid="{00000000-0005-0000-0000-0000B96E0000}"/>
    <cellStyle name="Normal 5 4 2 2 3 6" xfId="28342" xr:uid="{00000000-0005-0000-0000-0000BA6E0000}"/>
    <cellStyle name="Normal 5 4 2 2 4" xfId="28343" xr:uid="{00000000-0005-0000-0000-0000BB6E0000}"/>
    <cellStyle name="Normal 5 4 2 2 4 2" xfId="28344" xr:uid="{00000000-0005-0000-0000-0000BC6E0000}"/>
    <cellStyle name="Normal 5 4 2 2 4 3" xfId="28345" xr:uid="{00000000-0005-0000-0000-0000BD6E0000}"/>
    <cellStyle name="Normal 5 4 2 2 4 4" xfId="28346" xr:uid="{00000000-0005-0000-0000-0000BE6E0000}"/>
    <cellStyle name="Normal 5 4 2 2 4 5" xfId="28347" xr:uid="{00000000-0005-0000-0000-0000BF6E0000}"/>
    <cellStyle name="Normal 5 4 2 2 4 6" xfId="28348" xr:uid="{00000000-0005-0000-0000-0000C06E0000}"/>
    <cellStyle name="Normal 5 4 2 2 5" xfId="28349" xr:uid="{00000000-0005-0000-0000-0000C16E0000}"/>
    <cellStyle name="Normal 5 4 2 2 5 2" xfId="28350" xr:uid="{00000000-0005-0000-0000-0000C26E0000}"/>
    <cellStyle name="Normal 5 4 2 2 5 3" xfId="28351" xr:uid="{00000000-0005-0000-0000-0000C36E0000}"/>
    <cellStyle name="Normal 5 4 2 2 5 4" xfId="28352" xr:uid="{00000000-0005-0000-0000-0000C46E0000}"/>
    <cellStyle name="Normal 5 4 2 2 5 5" xfId="28353" xr:uid="{00000000-0005-0000-0000-0000C56E0000}"/>
    <cellStyle name="Normal 5 4 2 2 5 6" xfId="28354" xr:uid="{00000000-0005-0000-0000-0000C66E0000}"/>
    <cellStyle name="Normal 5 4 2 2 6" xfId="28355" xr:uid="{00000000-0005-0000-0000-0000C76E0000}"/>
    <cellStyle name="Normal 5 4 2 2 6 2" xfId="28356" xr:uid="{00000000-0005-0000-0000-0000C86E0000}"/>
    <cellStyle name="Normal 5 4 2 2 6 3" xfId="28357" xr:uid="{00000000-0005-0000-0000-0000C96E0000}"/>
    <cellStyle name="Normal 5 4 2 2 6 4" xfId="28358" xr:uid="{00000000-0005-0000-0000-0000CA6E0000}"/>
    <cellStyle name="Normal 5 4 2 2 6 5" xfId="28359" xr:uid="{00000000-0005-0000-0000-0000CB6E0000}"/>
    <cellStyle name="Normal 5 4 2 2 6 6" xfId="28360" xr:uid="{00000000-0005-0000-0000-0000CC6E0000}"/>
    <cellStyle name="Normal 5 4 2 2 7" xfId="28361" xr:uid="{00000000-0005-0000-0000-0000CD6E0000}"/>
    <cellStyle name="Normal 5 4 2 2 7 2" xfId="28362" xr:uid="{00000000-0005-0000-0000-0000CE6E0000}"/>
    <cellStyle name="Normal 5 4 2 2 7 3" xfId="28363" xr:uid="{00000000-0005-0000-0000-0000CF6E0000}"/>
    <cellStyle name="Normal 5 4 2 2 7 4" xfId="28364" xr:uid="{00000000-0005-0000-0000-0000D06E0000}"/>
    <cellStyle name="Normal 5 4 2 2 7 5" xfId="28365" xr:uid="{00000000-0005-0000-0000-0000D16E0000}"/>
    <cellStyle name="Normal 5 4 2 2 7 6" xfId="28366" xr:uid="{00000000-0005-0000-0000-0000D26E0000}"/>
    <cellStyle name="Normal 5 4 2 2 8" xfId="28367" xr:uid="{00000000-0005-0000-0000-0000D36E0000}"/>
    <cellStyle name="Normal 5 4 2 2 8 2" xfId="28368" xr:uid="{00000000-0005-0000-0000-0000D46E0000}"/>
    <cellStyle name="Normal 5 4 2 2 8 3" xfId="28369" xr:uid="{00000000-0005-0000-0000-0000D56E0000}"/>
    <cellStyle name="Normal 5 4 2 2 8 4" xfId="28370" xr:uid="{00000000-0005-0000-0000-0000D66E0000}"/>
    <cellStyle name="Normal 5 4 2 2 8 5" xfId="28371" xr:uid="{00000000-0005-0000-0000-0000D76E0000}"/>
    <cellStyle name="Normal 5 4 2 2 8 6" xfId="28372" xr:uid="{00000000-0005-0000-0000-0000D86E0000}"/>
    <cellStyle name="Normal 5 4 2 2 9" xfId="28373" xr:uid="{00000000-0005-0000-0000-0000D96E0000}"/>
    <cellStyle name="Normal 5 4 2 2 9 2" xfId="28374" xr:uid="{00000000-0005-0000-0000-0000DA6E0000}"/>
    <cellStyle name="Normal 5 4 2 2 9 3" xfId="28375" xr:uid="{00000000-0005-0000-0000-0000DB6E0000}"/>
    <cellStyle name="Normal 5 4 2 2 9 4" xfId="28376" xr:uid="{00000000-0005-0000-0000-0000DC6E0000}"/>
    <cellStyle name="Normal 5 4 2 2 9 5" xfId="28377" xr:uid="{00000000-0005-0000-0000-0000DD6E0000}"/>
    <cellStyle name="Normal 5 4 2 2 9 6" xfId="28378" xr:uid="{00000000-0005-0000-0000-0000DE6E0000}"/>
    <cellStyle name="Normal 5 4 2 3" xfId="28379" xr:uid="{00000000-0005-0000-0000-0000DF6E0000}"/>
    <cellStyle name="Normal 5 4 2 3 2" xfId="28380" xr:uid="{00000000-0005-0000-0000-0000E06E0000}"/>
    <cellStyle name="Normal 5 4 2 3 3" xfId="28381" xr:uid="{00000000-0005-0000-0000-0000E16E0000}"/>
    <cellStyle name="Normal 5 4 2 3 4" xfId="28382" xr:uid="{00000000-0005-0000-0000-0000E26E0000}"/>
    <cellStyle name="Normal 5 4 2 3 5" xfId="28383" xr:uid="{00000000-0005-0000-0000-0000E36E0000}"/>
    <cellStyle name="Normal 5 4 2 3 6" xfId="28384" xr:uid="{00000000-0005-0000-0000-0000E46E0000}"/>
    <cellStyle name="Normal 5 4 2 4" xfId="28385" xr:uid="{00000000-0005-0000-0000-0000E56E0000}"/>
    <cellStyle name="Normal 5 4 2 4 2" xfId="28386" xr:uid="{00000000-0005-0000-0000-0000E66E0000}"/>
    <cellStyle name="Normal 5 4 2 4 3" xfId="28387" xr:uid="{00000000-0005-0000-0000-0000E76E0000}"/>
    <cellStyle name="Normal 5 4 2 4 4" xfId="28388" xr:uid="{00000000-0005-0000-0000-0000E86E0000}"/>
    <cellStyle name="Normal 5 4 2 4 5" xfId="28389" xr:uid="{00000000-0005-0000-0000-0000E96E0000}"/>
    <cellStyle name="Normal 5 4 2 4 6" xfId="28390" xr:uid="{00000000-0005-0000-0000-0000EA6E0000}"/>
    <cellStyle name="Normal 5 4 2 5" xfId="28391" xr:uid="{00000000-0005-0000-0000-0000EB6E0000}"/>
    <cellStyle name="Normal 5 4 2 5 2" xfId="28392" xr:uid="{00000000-0005-0000-0000-0000EC6E0000}"/>
    <cellStyle name="Normal 5 4 2 5 3" xfId="28393" xr:uid="{00000000-0005-0000-0000-0000ED6E0000}"/>
    <cellStyle name="Normal 5 4 2 5 4" xfId="28394" xr:uid="{00000000-0005-0000-0000-0000EE6E0000}"/>
    <cellStyle name="Normal 5 4 2 5 5" xfId="28395" xr:uid="{00000000-0005-0000-0000-0000EF6E0000}"/>
    <cellStyle name="Normal 5 4 2 5 6" xfId="28396" xr:uid="{00000000-0005-0000-0000-0000F06E0000}"/>
    <cellStyle name="Normal 5 4 2 6" xfId="28397" xr:uid="{00000000-0005-0000-0000-0000F16E0000}"/>
    <cellStyle name="Normal 5 4 2 6 2" xfId="28398" xr:uid="{00000000-0005-0000-0000-0000F26E0000}"/>
    <cellStyle name="Normal 5 4 2 6 3" xfId="28399" xr:uid="{00000000-0005-0000-0000-0000F36E0000}"/>
    <cellStyle name="Normal 5 4 2 6 4" xfId="28400" xr:uid="{00000000-0005-0000-0000-0000F46E0000}"/>
    <cellStyle name="Normal 5 4 2 6 5" xfId="28401" xr:uid="{00000000-0005-0000-0000-0000F56E0000}"/>
    <cellStyle name="Normal 5 4 2 6 6" xfId="28402" xr:uid="{00000000-0005-0000-0000-0000F66E0000}"/>
    <cellStyle name="Normal 5 4 2 7" xfId="28403" xr:uid="{00000000-0005-0000-0000-0000F76E0000}"/>
    <cellStyle name="Normal 5 4 2 7 2" xfId="28404" xr:uid="{00000000-0005-0000-0000-0000F86E0000}"/>
    <cellStyle name="Normal 5 4 2 7 3" xfId="28405" xr:uid="{00000000-0005-0000-0000-0000F96E0000}"/>
    <cellStyle name="Normal 5 4 2 7 4" xfId="28406" xr:uid="{00000000-0005-0000-0000-0000FA6E0000}"/>
    <cellStyle name="Normal 5 4 2 7 5" xfId="28407" xr:uid="{00000000-0005-0000-0000-0000FB6E0000}"/>
    <cellStyle name="Normal 5 4 2 7 6" xfId="28408" xr:uid="{00000000-0005-0000-0000-0000FC6E0000}"/>
    <cellStyle name="Normal 5 4 2 8" xfId="28409" xr:uid="{00000000-0005-0000-0000-0000FD6E0000}"/>
    <cellStyle name="Normal 5 4 2 8 2" xfId="28410" xr:uid="{00000000-0005-0000-0000-0000FE6E0000}"/>
    <cellStyle name="Normal 5 4 2 8 3" xfId="28411" xr:uid="{00000000-0005-0000-0000-0000FF6E0000}"/>
    <cellStyle name="Normal 5 4 2 8 4" xfId="28412" xr:uid="{00000000-0005-0000-0000-0000006F0000}"/>
    <cellStyle name="Normal 5 4 2 8 5" xfId="28413" xr:uid="{00000000-0005-0000-0000-0000016F0000}"/>
    <cellStyle name="Normal 5 4 2 8 6" xfId="28414" xr:uid="{00000000-0005-0000-0000-0000026F0000}"/>
    <cellStyle name="Normal 5 4 2 9" xfId="28415" xr:uid="{00000000-0005-0000-0000-0000036F0000}"/>
    <cellStyle name="Normal 5 4 2 9 2" xfId="28416" xr:uid="{00000000-0005-0000-0000-0000046F0000}"/>
    <cellStyle name="Normal 5 4 2 9 3" xfId="28417" xr:uid="{00000000-0005-0000-0000-0000056F0000}"/>
    <cellStyle name="Normal 5 4 2 9 4" xfId="28418" xr:uid="{00000000-0005-0000-0000-0000066F0000}"/>
    <cellStyle name="Normal 5 4 2 9 5" xfId="28419" xr:uid="{00000000-0005-0000-0000-0000076F0000}"/>
    <cellStyle name="Normal 5 4 2 9 6" xfId="28420" xr:uid="{00000000-0005-0000-0000-0000086F0000}"/>
    <cellStyle name="Normal 5 4 20" xfId="28421" xr:uid="{00000000-0005-0000-0000-0000096F0000}"/>
    <cellStyle name="Normal 5 4 21" xfId="28422" xr:uid="{00000000-0005-0000-0000-00000A6F0000}"/>
    <cellStyle name="Normal 5 4 22" xfId="28423" xr:uid="{00000000-0005-0000-0000-00000B6F0000}"/>
    <cellStyle name="Normal 5 4 23" xfId="28424" xr:uid="{00000000-0005-0000-0000-00000C6F0000}"/>
    <cellStyle name="Normal 5 4 24" xfId="28425" xr:uid="{00000000-0005-0000-0000-00000D6F0000}"/>
    <cellStyle name="Normal 5 4 25" xfId="28426" xr:uid="{00000000-0005-0000-0000-00000E6F0000}"/>
    <cellStyle name="Normal 5 4 26" xfId="28427" xr:uid="{00000000-0005-0000-0000-00000F6F0000}"/>
    <cellStyle name="Normal 5 4 27" xfId="28428" xr:uid="{00000000-0005-0000-0000-0000106F0000}"/>
    <cellStyle name="Normal 5 4 28" xfId="28429" xr:uid="{00000000-0005-0000-0000-0000116F0000}"/>
    <cellStyle name="Normal 5 4 29" xfId="28430" xr:uid="{00000000-0005-0000-0000-0000126F0000}"/>
    <cellStyle name="Normal 5 4 3" xfId="28431" xr:uid="{00000000-0005-0000-0000-0000136F0000}"/>
    <cellStyle name="Normal 5 4 3 10" xfId="28432" xr:uid="{00000000-0005-0000-0000-0000146F0000}"/>
    <cellStyle name="Normal 5 4 3 11" xfId="28433" xr:uid="{00000000-0005-0000-0000-0000156F0000}"/>
    <cellStyle name="Normal 5 4 3 12" xfId="28434" xr:uid="{00000000-0005-0000-0000-0000166F0000}"/>
    <cellStyle name="Normal 5 4 3 13" xfId="28435" xr:uid="{00000000-0005-0000-0000-0000176F0000}"/>
    <cellStyle name="Normal 5 4 3 14" xfId="28436" xr:uid="{00000000-0005-0000-0000-0000186F0000}"/>
    <cellStyle name="Normal 5 4 3 2" xfId="28437" xr:uid="{00000000-0005-0000-0000-0000196F0000}"/>
    <cellStyle name="Normal 5 4 3 2 2" xfId="28438" xr:uid="{00000000-0005-0000-0000-00001A6F0000}"/>
    <cellStyle name="Normal 5 4 3 2 3" xfId="28439" xr:uid="{00000000-0005-0000-0000-00001B6F0000}"/>
    <cellStyle name="Normal 5 4 3 2 4" xfId="28440" xr:uid="{00000000-0005-0000-0000-00001C6F0000}"/>
    <cellStyle name="Normal 5 4 3 2 5" xfId="28441" xr:uid="{00000000-0005-0000-0000-00001D6F0000}"/>
    <cellStyle name="Normal 5 4 3 2 6" xfId="28442" xr:uid="{00000000-0005-0000-0000-00001E6F0000}"/>
    <cellStyle name="Normal 5 4 3 3" xfId="28443" xr:uid="{00000000-0005-0000-0000-00001F6F0000}"/>
    <cellStyle name="Normal 5 4 3 3 2" xfId="28444" xr:uid="{00000000-0005-0000-0000-0000206F0000}"/>
    <cellStyle name="Normal 5 4 3 3 3" xfId="28445" xr:uid="{00000000-0005-0000-0000-0000216F0000}"/>
    <cellStyle name="Normal 5 4 3 3 4" xfId="28446" xr:uid="{00000000-0005-0000-0000-0000226F0000}"/>
    <cellStyle name="Normal 5 4 3 3 5" xfId="28447" xr:uid="{00000000-0005-0000-0000-0000236F0000}"/>
    <cellStyle name="Normal 5 4 3 3 6" xfId="28448" xr:uid="{00000000-0005-0000-0000-0000246F0000}"/>
    <cellStyle name="Normal 5 4 3 4" xfId="28449" xr:uid="{00000000-0005-0000-0000-0000256F0000}"/>
    <cellStyle name="Normal 5 4 3 4 2" xfId="28450" xr:uid="{00000000-0005-0000-0000-0000266F0000}"/>
    <cellStyle name="Normal 5 4 3 4 3" xfId="28451" xr:uid="{00000000-0005-0000-0000-0000276F0000}"/>
    <cellStyle name="Normal 5 4 3 4 4" xfId="28452" xr:uid="{00000000-0005-0000-0000-0000286F0000}"/>
    <cellStyle name="Normal 5 4 3 4 5" xfId="28453" xr:uid="{00000000-0005-0000-0000-0000296F0000}"/>
    <cellStyle name="Normal 5 4 3 4 6" xfId="28454" xr:uid="{00000000-0005-0000-0000-00002A6F0000}"/>
    <cellStyle name="Normal 5 4 3 5" xfId="28455" xr:uid="{00000000-0005-0000-0000-00002B6F0000}"/>
    <cellStyle name="Normal 5 4 3 5 2" xfId="28456" xr:uid="{00000000-0005-0000-0000-00002C6F0000}"/>
    <cellStyle name="Normal 5 4 3 5 3" xfId="28457" xr:uid="{00000000-0005-0000-0000-00002D6F0000}"/>
    <cellStyle name="Normal 5 4 3 5 4" xfId="28458" xr:uid="{00000000-0005-0000-0000-00002E6F0000}"/>
    <cellStyle name="Normal 5 4 3 5 5" xfId="28459" xr:uid="{00000000-0005-0000-0000-00002F6F0000}"/>
    <cellStyle name="Normal 5 4 3 5 6" xfId="28460" xr:uid="{00000000-0005-0000-0000-0000306F0000}"/>
    <cellStyle name="Normal 5 4 3 6" xfId="28461" xr:uid="{00000000-0005-0000-0000-0000316F0000}"/>
    <cellStyle name="Normal 5 4 3 6 2" xfId="28462" xr:uid="{00000000-0005-0000-0000-0000326F0000}"/>
    <cellStyle name="Normal 5 4 3 6 3" xfId="28463" xr:uid="{00000000-0005-0000-0000-0000336F0000}"/>
    <cellStyle name="Normal 5 4 3 6 4" xfId="28464" xr:uid="{00000000-0005-0000-0000-0000346F0000}"/>
    <cellStyle name="Normal 5 4 3 6 5" xfId="28465" xr:uid="{00000000-0005-0000-0000-0000356F0000}"/>
    <cellStyle name="Normal 5 4 3 6 6" xfId="28466" xr:uid="{00000000-0005-0000-0000-0000366F0000}"/>
    <cellStyle name="Normal 5 4 3 7" xfId="28467" xr:uid="{00000000-0005-0000-0000-0000376F0000}"/>
    <cellStyle name="Normal 5 4 3 7 2" xfId="28468" xr:uid="{00000000-0005-0000-0000-0000386F0000}"/>
    <cellStyle name="Normal 5 4 3 7 3" xfId="28469" xr:uid="{00000000-0005-0000-0000-0000396F0000}"/>
    <cellStyle name="Normal 5 4 3 7 4" xfId="28470" xr:uid="{00000000-0005-0000-0000-00003A6F0000}"/>
    <cellStyle name="Normal 5 4 3 7 5" xfId="28471" xr:uid="{00000000-0005-0000-0000-00003B6F0000}"/>
    <cellStyle name="Normal 5 4 3 7 6" xfId="28472" xr:uid="{00000000-0005-0000-0000-00003C6F0000}"/>
    <cellStyle name="Normal 5 4 3 8" xfId="28473" xr:uid="{00000000-0005-0000-0000-00003D6F0000}"/>
    <cellStyle name="Normal 5 4 3 8 2" xfId="28474" xr:uid="{00000000-0005-0000-0000-00003E6F0000}"/>
    <cellStyle name="Normal 5 4 3 8 3" xfId="28475" xr:uid="{00000000-0005-0000-0000-00003F6F0000}"/>
    <cellStyle name="Normal 5 4 3 8 4" xfId="28476" xr:uid="{00000000-0005-0000-0000-0000406F0000}"/>
    <cellStyle name="Normal 5 4 3 8 5" xfId="28477" xr:uid="{00000000-0005-0000-0000-0000416F0000}"/>
    <cellStyle name="Normal 5 4 3 8 6" xfId="28478" xr:uid="{00000000-0005-0000-0000-0000426F0000}"/>
    <cellStyle name="Normal 5 4 3 9" xfId="28479" xr:uid="{00000000-0005-0000-0000-0000436F0000}"/>
    <cellStyle name="Normal 5 4 3 9 2" xfId="28480" xr:uid="{00000000-0005-0000-0000-0000446F0000}"/>
    <cellStyle name="Normal 5 4 3 9 3" xfId="28481" xr:uid="{00000000-0005-0000-0000-0000456F0000}"/>
    <cellStyle name="Normal 5 4 3 9 4" xfId="28482" xr:uid="{00000000-0005-0000-0000-0000466F0000}"/>
    <cellStyle name="Normal 5 4 3 9 5" xfId="28483" xr:uid="{00000000-0005-0000-0000-0000476F0000}"/>
    <cellStyle name="Normal 5 4 3 9 6" xfId="28484" xr:uid="{00000000-0005-0000-0000-0000486F0000}"/>
    <cellStyle name="Normal 5 4 30" xfId="28485" xr:uid="{00000000-0005-0000-0000-0000496F0000}"/>
    <cellStyle name="Normal 5 4 31" xfId="28486" xr:uid="{00000000-0005-0000-0000-00004A6F0000}"/>
    <cellStyle name="Normal 5 4 32" xfId="28487" xr:uid="{00000000-0005-0000-0000-00004B6F0000}"/>
    <cellStyle name="Normal 5 4 4" xfId="28488" xr:uid="{00000000-0005-0000-0000-00004C6F0000}"/>
    <cellStyle name="Normal 5 4 4 2" xfId="28489" xr:uid="{00000000-0005-0000-0000-00004D6F0000}"/>
    <cellStyle name="Normal 5 4 4 3" xfId="28490" xr:uid="{00000000-0005-0000-0000-00004E6F0000}"/>
    <cellStyle name="Normal 5 4 4 4" xfId="28491" xr:uid="{00000000-0005-0000-0000-00004F6F0000}"/>
    <cellStyle name="Normal 5 4 4 5" xfId="28492" xr:uid="{00000000-0005-0000-0000-0000506F0000}"/>
    <cellStyle name="Normal 5 4 4 6" xfId="28493" xr:uid="{00000000-0005-0000-0000-0000516F0000}"/>
    <cellStyle name="Normal 5 4 5" xfId="28494" xr:uid="{00000000-0005-0000-0000-0000526F0000}"/>
    <cellStyle name="Normal 5 4 5 2" xfId="28495" xr:uid="{00000000-0005-0000-0000-0000536F0000}"/>
    <cellStyle name="Normal 5 4 5 3" xfId="28496" xr:uid="{00000000-0005-0000-0000-0000546F0000}"/>
    <cellStyle name="Normal 5 4 5 4" xfId="28497" xr:uid="{00000000-0005-0000-0000-0000556F0000}"/>
    <cellStyle name="Normal 5 4 5 5" xfId="28498" xr:uid="{00000000-0005-0000-0000-0000566F0000}"/>
    <cellStyle name="Normal 5 4 5 6" xfId="28499" xr:uid="{00000000-0005-0000-0000-0000576F0000}"/>
    <cellStyle name="Normal 5 4 6" xfId="28500" xr:uid="{00000000-0005-0000-0000-0000586F0000}"/>
    <cellStyle name="Normal 5 4 6 2" xfId="28501" xr:uid="{00000000-0005-0000-0000-0000596F0000}"/>
    <cellStyle name="Normal 5 4 6 3" xfId="28502" xr:uid="{00000000-0005-0000-0000-00005A6F0000}"/>
    <cellStyle name="Normal 5 4 6 4" xfId="28503" xr:uid="{00000000-0005-0000-0000-00005B6F0000}"/>
    <cellStyle name="Normal 5 4 6 5" xfId="28504" xr:uid="{00000000-0005-0000-0000-00005C6F0000}"/>
    <cellStyle name="Normal 5 4 6 6" xfId="28505" xr:uid="{00000000-0005-0000-0000-00005D6F0000}"/>
    <cellStyle name="Normal 5 4 7" xfId="28506" xr:uid="{00000000-0005-0000-0000-00005E6F0000}"/>
    <cellStyle name="Normal 5 4 7 2" xfId="28507" xr:uid="{00000000-0005-0000-0000-00005F6F0000}"/>
    <cellStyle name="Normal 5 4 7 3" xfId="28508" xr:uid="{00000000-0005-0000-0000-0000606F0000}"/>
    <cellStyle name="Normal 5 4 7 4" xfId="28509" xr:uid="{00000000-0005-0000-0000-0000616F0000}"/>
    <cellStyle name="Normal 5 4 7 5" xfId="28510" xr:uid="{00000000-0005-0000-0000-0000626F0000}"/>
    <cellStyle name="Normal 5 4 7 6" xfId="28511" xr:uid="{00000000-0005-0000-0000-0000636F0000}"/>
    <cellStyle name="Normal 5 4 8" xfId="28512" xr:uid="{00000000-0005-0000-0000-0000646F0000}"/>
    <cellStyle name="Normal 5 4 8 2" xfId="28513" xr:uid="{00000000-0005-0000-0000-0000656F0000}"/>
    <cellStyle name="Normal 5 4 8 3" xfId="28514" xr:uid="{00000000-0005-0000-0000-0000666F0000}"/>
    <cellStyle name="Normal 5 4 8 4" xfId="28515" xr:uid="{00000000-0005-0000-0000-0000676F0000}"/>
    <cellStyle name="Normal 5 4 8 5" xfId="28516" xr:uid="{00000000-0005-0000-0000-0000686F0000}"/>
    <cellStyle name="Normal 5 4 8 6" xfId="28517" xr:uid="{00000000-0005-0000-0000-0000696F0000}"/>
    <cellStyle name="Normal 5 4 9" xfId="28518" xr:uid="{00000000-0005-0000-0000-00006A6F0000}"/>
    <cellStyle name="Normal 5 4 9 2" xfId="28519" xr:uid="{00000000-0005-0000-0000-00006B6F0000}"/>
    <cellStyle name="Normal 5 4 9 3" xfId="28520" xr:uid="{00000000-0005-0000-0000-00006C6F0000}"/>
    <cellStyle name="Normal 5 4 9 4" xfId="28521" xr:uid="{00000000-0005-0000-0000-00006D6F0000}"/>
    <cellStyle name="Normal 5 4 9 5" xfId="28522" xr:uid="{00000000-0005-0000-0000-00006E6F0000}"/>
    <cellStyle name="Normal 5 4 9 6" xfId="28523" xr:uid="{00000000-0005-0000-0000-00006F6F0000}"/>
    <cellStyle name="Normal 5 5" xfId="28524" xr:uid="{00000000-0005-0000-0000-0000706F0000}"/>
    <cellStyle name="Normal 5 5 2" xfId="28525" xr:uid="{00000000-0005-0000-0000-0000716F0000}"/>
    <cellStyle name="Normal 5 5 3" xfId="28526" xr:uid="{00000000-0005-0000-0000-0000726F0000}"/>
    <cellStyle name="Normal 5 6" xfId="28527" xr:uid="{00000000-0005-0000-0000-0000736F0000}"/>
    <cellStyle name="Normal 5 7" xfId="28528" xr:uid="{00000000-0005-0000-0000-0000746F0000}"/>
    <cellStyle name="Normal 5 8" xfId="28529" xr:uid="{00000000-0005-0000-0000-0000756F0000}"/>
    <cellStyle name="Normal 5 9" xfId="28530" xr:uid="{00000000-0005-0000-0000-0000766F0000}"/>
    <cellStyle name="Normal 5_Copy of Neelam DPR1" xfId="29274" xr:uid="{00000000-0005-0000-0000-0000776F0000}"/>
    <cellStyle name="Normal 50" xfId="28531" xr:uid="{00000000-0005-0000-0000-0000786F0000}"/>
    <cellStyle name="Normal 50 10" xfId="28532" xr:uid="{00000000-0005-0000-0000-0000796F0000}"/>
    <cellStyle name="Normal 50 11" xfId="28533" xr:uid="{00000000-0005-0000-0000-00007A6F0000}"/>
    <cellStyle name="Normal 50 11 2" xfId="28534" xr:uid="{00000000-0005-0000-0000-00007B6F0000}"/>
    <cellStyle name="Normal 50 11 3" xfId="28535" xr:uid="{00000000-0005-0000-0000-00007C6F0000}"/>
    <cellStyle name="Normal 50 11 4" xfId="28536" xr:uid="{00000000-0005-0000-0000-00007D6F0000}"/>
    <cellStyle name="Normal 50 11 5" xfId="28537" xr:uid="{00000000-0005-0000-0000-00007E6F0000}"/>
    <cellStyle name="Normal 50 11 6" xfId="28538" xr:uid="{00000000-0005-0000-0000-00007F6F0000}"/>
    <cellStyle name="Normal 50 12" xfId="28539" xr:uid="{00000000-0005-0000-0000-0000806F0000}"/>
    <cellStyle name="Normal 50 13" xfId="28540" xr:uid="{00000000-0005-0000-0000-0000816F0000}"/>
    <cellStyle name="Normal 50 14" xfId="28541" xr:uid="{00000000-0005-0000-0000-0000826F0000}"/>
    <cellStyle name="Normal 50 15" xfId="28542" xr:uid="{00000000-0005-0000-0000-0000836F0000}"/>
    <cellStyle name="Normal 50 16" xfId="28543" xr:uid="{00000000-0005-0000-0000-0000846F0000}"/>
    <cellStyle name="Normal 50 17" xfId="28544" xr:uid="{00000000-0005-0000-0000-0000856F0000}"/>
    <cellStyle name="Normal 50 18" xfId="28545" xr:uid="{00000000-0005-0000-0000-0000866F0000}"/>
    <cellStyle name="Normal 50 19" xfId="28546" xr:uid="{00000000-0005-0000-0000-0000876F0000}"/>
    <cellStyle name="Normal 50 2" xfId="28547" xr:uid="{00000000-0005-0000-0000-0000886F0000}"/>
    <cellStyle name="Normal 50 2 10" xfId="28548" xr:uid="{00000000-0005-0000-0000-0000896F0000}"/>
    <cellStyle name="Normal 50 2 10 2" xfId="28549" xr:uid="{00000000-0005-0000-0000-00008A6F0000}"/>
    <cellStyle name="Normal 50 2 10 3" xfId="28550" xr:uid="{00000000-0005-0000-0000-00008B6F0000}"/>
    <cellStyle name="Normal 50 2 10 4" xfId="28551" xr:uid="{00000000-0005-0000-0000-00008C6F0000}"/>
    <cellStyle name="Normal 50 2 10 5" xfId="28552" xr:uid="{00000000-0005-0000-0000-00008D6F0000}"/>
    <cellStyle name="Normal 50 2 10 6" xfId="28553" xr:uid="{00000000-0005-0000-0000-00008E6F0000}"/>
    <cellStyle name="Normal 50 2 11" xfId="28554" xr:uid="{00000000-0005-0000-0000-00008F6F0000}"/>
    <cellStyle name="Normal 50 2 12" xfId="28555" xr:uid="{00000000-0005-0000-0000-0000906F0000}"/>
    <cellStyle name="Normal 50 2 13" xfId="28556" xr:uid="{00000000-0005-0000-0000-0000916F0000}"/>
    <cellStyle name="Normal 50 2 14" xfId="28557" xr:uid="{00000000-0005-0000-0000-0000926F0000}"/>
    <cellStyle name="Normal 50 2 15" xfId="28558" xr:uid="{00000000-0005-0000-0000-0000936F0000}"/>
    <cellStyle name="Normal 50 2 16" xfId="28559" xr:uid="{00000000-0005-0000-0000-0000946F0000}"/>
    <cellStyle name="Normal 50 2 17" xfId="28560" xr:uid="{00000000-0005-0000-0000-0000956F0000}"/>
    <cellStyle name="Normal 50 2 18" xfId="28561" xr:uid="{00000000-0005-0000-0000-0000966F0000}"/>
    <cellStyle name="Normal 50 2 19" xfId="28562" xr:uid="{00000000-0005-0000-0000-0000976F0000}"/>
    <cellStyle name="Normal 50 2 2" xfId="28563" xr:uid="{00000000-0005-0000-0000-0000986F0000}"/>
    <cellStyle name="Normal 50 2 2 10" xfId="28564" xr:uid="{00000000-0005-0000-0000-0000996F0000}"/>
    <cellStyle name="Normal 50 2 2 11" xfId="28565" xr:uid="{00000000-0005-0000-0000-00009A6F0000}"/>
    <cellStyle name="Normal 50 2 2 12" xfId="28566" xr:uid="{00000000-0005-0000-0000-00009B6F0000}"/>
    <cellStyle name="Normal 50 2 2 13" xfId="28567" xr:uid="{00000000-0005-0000-0000-00009C6F0000}"/>
    <cellStyle name="Normal 50 2 2 14" xfId="28568" xr:uid="{00000000-0005-0000-0000-00009D6F0000}"/>
    <cellStyle name="Normal 50 2 2 15" xfId="28569" xr:uid="{00000000-0005-0000-0000-00009E6F0000}"/>
    <cellStyle name="Normal 50 2 2 16" xfId="28570" xr:uid="{00000000-0005-0000-0000-00009F6F0000}"/>
    <cellStyle name="Normal 50 2 2 17" xfId="28571" xr:uid="{00000000-0005-0000-0000-0000A06F0000}"/>
    <cellStyle name="Normal 50 2 2 18" xfId="28572" xr:uid="{00000000-0005-0000-0000-0000A16F0000}"/>
    <cellStyle name="Normal 50 2 2 19" xfId="28573" xr:uid="{00000000-0005-0000-0000-0000A26F0000}"/>
    <cellStyle name="Normal 50 2 2 2" xfId="28574" xr:uid="{00000000-0005-0000-0000-0000A36F0000}"/>
    <cellStyle name="Normal 50 2 2 2 2" xfId="28575" xr:uid="{00000000-0005-0000-0000-0000A46F0000}"/>
    <cellStyle name="Normal 50 2 2 2 3" xfId="28576" xr:uid="{00000000-0005-0000-0000-0000A56F0000}"/>
    <cellStyle name="Normal 50 2 2 2 4" xfId="28577" xr:uid="{00000000-0005-0000-0000-0000A66F0000}"/>
    <cellStyle name="Normal 50 2 2 2 5" xfId="28578" xr:uid="{00000000-0005-0000-0000-0000A76F0000}"/>
    <cellStyle name="Normal 50 2 2 2 6" xfId="28579" xr:uid="{00000000-0005-0000-0000-0000A86F0000}"/>
    <cellStyle name="Normal 50 2 2 20" xfId="28580" xr:uid="{00000000-0005-0000-0000-0000A96F0000}"/>
    <cellStyle name="Normal 50 2 2 21" xfId="28581" xr:uid="{00000000-0005-0000-0000-0000AA6F0000}"/>
    <cellStyle name="Normal 50 2 2 22" xfId="28582" xr:uid="{00000000-0005-0000-0000-0000AB6F0000}"/>
    <cellStyle name="Normal 50 2 2 23" xfId="28583" xr:uid="{00000000-0005-0000-0000-0000AC6F0000}"/>
    <cellStyle name="Normal 50 2 2 24" xfId="28584" xr:uid="{00000000-0005-0000-0000-0000AD6F0000}"/>
    <cellStyle name="Normal 50 2 2 25" xfId="28585" xr:uid="{00000000-0005-0000-0000-0000AE6F0000}"/>
    <cellStyle name="Normal 50 2 2 26" xfId="28586" xr:uid="{00000000-0005-0000-0000-0000AF6F0000}"/>
    <cellStyle name="Normal 50 2 2 27" xfId="28587" xr:uid="{00000000-0005-0000-0000-0000B06F0000}"/>
    <cellStyle name="Normal 50 2 2 28" xfId="28588" xr:uid="{00000000-0005-0000-0000-0000B16F0000}"/>
    <cellStyle name="Normal 50 2 2 29" xfId="28589" xr:uid="{00000000-0005-0000-0000-0000B26F0000}"/>
    <cellStyle name="Normal 50 2 2 3" xfId="28590" xr:uid="{00000000-0005-0000-0000-0000B36F0000}"/>
    <cellStyle name="Normal 50 2 2 30" xfId="28591" xr:uid="{00000000-0005-0000-0000-0000B46F0000}"/>
    <cellStyle name="Normal 50 2 2 31" xfId="28592" xr:uid="{00000000-0005-0000-0000-0000B56F0000}"/>
    <cellStyle name="Normal 50 2 2 32" xfId="28593" xr:uid="{00000000-0005-0000-0000-0000B66F0000}"/>
    <cellStyle name="Normal 50 2 2 33" xfId="28594" xr:uid="{00000000-0005-0000-0000-0000B76F0000}"/>
    <cellStyle name="Normal 50 2 2 4" xfId="28595" xr:uid="{00000000-0005-0000-0000-0000B86F0000}"/>
    <cellStyle name="Normal 50 2 2 5" xfId="28596" xr:uid="{00000000-0005-0000-0000-0000B96F0000}"/>
    <cellStyle name="Normal 50 2 2 6" xfId="28597" xr:uid="{00000000-0005-0000-0000-0000BA6F0000}"/>
    <cellStyle name="Normal 50 2 2 7" xfId="28598" xr:uid="{00000000-0005-0000-0000-0000BB6F0000}"/>
    <cellStyle name="Normal 50 2 2 8" xfId="28599" xr:uid="{00000000-0005-0000-0000-0000BC6F0000}"/>
    <cellStyle name="Normal 50 2 2 9" xfId="28600" xr:uid="{00000000-0005-0000-0000-0000BD6F0000}"/>
    <cellStyle name="Normal 50 2 20" xfId="28601" xr:uid="{00000000-0005-0000-0000-0000BE6F0000}"/>
    <cellStyle name="Normal 50 2 21" xfId="28602" xr:uid="{00000000-0005-0000-0000-0000BF6F0000}"/>
    <cellStyle name="Normal 50 2 22" xfId="28603" xr:uid="{00000000-0005-0000-0000-0000C06F0000}"/>
    <cellStyle name="Normal 50 2 23" xfId="28604" xr:uid="{00000000-0005-0000-0000-0000C16F0000}"/>
    <cellStyle name="Normal 50 2 24" xfId="28605" xr:uid="{00000000-0005-0000-0000-0000C26F0000}"/>
    <cellStyle name="Normal 50 2 25" xfId="28606" xr:uid="{00000000-0005-0000-0000-0000C36F0000}"/>
    <cellStyle name="Normal 50 2 26" xfId="28607" xr:uid="{00000000-0005-0000-0000-0000C46F0000}"/>
    <cellStyle name="Normal 50 2 27" xfId="28608" xr:uid="{00000000-0005-0000-0000-0000C56F0000}"/>
    <cellStyle name="Normal 50 2 28" xfId="28609" xr:uid="{00000000-0005-0000-0000-0000C66F0000}"/>
    <cellStyle name="Normal 50 2 29" xfId="28610" xr:uid="{00000000-0005-0000-0000-0000C76F0000}"/>
    <cellStyle name="Normal 50 2 3" xfId="28611" xr:uid="{00000000-0005-0000-0000-0000C86F0000}"/>
    <cellStyle name="Normal 50 2 3 2" xfId="28612" xr:uid="{00000000-0005-0000-0000-0000C96F0000}"/>
    <cellStyle name="Normal 50 2 3 3" xfId="28613" xr:uid="{00000000-0005-0000-0000-0000CA6F0000}"/>
    <cellStyle name="Normal 50 2 3 4" xfId="28614" xr:uid="{00000000-0005-0000-0000-0000CB6F0000}"/>
    <cellStyle name="Normal 50 2 3 5" xfId="28615" xr:uid="{00000000-0005-0000-0000-0000CC6F0000}"/>
    <cellStyle name="Normal 50 2 3 6" xfId="28616" xr:uid="{00000000-0005-0000-0000-0000CD6F0000}"/>
    <cellStyle name="Normal 50 2 30" xfId="28617" xr:uid="{00000000-0005-0000-0000-0000CE6F0000}"/>
    <cellStyle name="Normal 50 2 31" xfId="28618" xr:uid="{00000000-0005-0000-0000-0000CF6F0000}"/>
    <cellStyle name="Normal 50 2 32" xfId="28619" xr:uid="{00000000-0005-0000-0000-0000D06F0000}"/>
    <cellStyle name="Normal 50 2 33" xfId="28620" xr:uid="{00000000-0005-0000-0000-0000D16F0000}"/>
    <cellStyle name="Normal 50 2 34" xfId="28621" xr:uid="{00000000-0005-0000-0000-0000D26F0000}"/>
    <cellStyle name="Normal 50 2 35" xfId="28622" xr:uid="{00000000-0005-0000-0000-0000D36F0000}"/>
    <cellStyle name="Normal 50 2 36" xfId="28623" xr:uid="{00000000-0005-0000-0000-0000D46F0000}"/>
    <cellStyle name="Normal 50 2 37" xfId="28624" xr:uid="{00000000-0005-0000-0000-0000D56F0000}"/>
    <cellStyle name="Normal 50 2 38" xfId="28625" xr:uid="{00000000-0005-0000-0000-0000D66F0000}"/>
    <cellStyle name="Normal 50 2 39" xfId="28626" xr:uid="{00000000-0005-0000-0000-0000D76F0000}"/>
    <cellStyle name="Normal 50 2 4" xfId="28627" xr:uid="{00000000-0005-0000-0000-0000D86F0000}"/>
    <cellStyle name="Normal 50 2 4 2" xfId="28628" xr:uid="{00000000-0005-0000-0000-0000D96F0000}"/>
    <cellStyle name="Normal 50 2 4 3" xfId="28629" xr:uid="{00000000-0005-0000-0000-0000DA6F0000}"/>
    <cellStyle name="Normal 50 2 4 4" xfId="28630" xr:uid="{00000000-0005-0000-0000-0000DB6F0000}"/>
    <cellStyle name="Normal 50 2 4 5" xfId="28631" xr:uid="{00000000-0005-0000-0000-0000DC6F0000}"/>
    <cellStyle name="Normal 50 2 4 6" xfId="28632" xr:uid="{00000000-0005-0000-0000-0000DD6F0000}"/>
    <cellStyle name="Normal 50 2 40" xfId="28633" xr:uid="{00000000-0005-0000-0000-0000DE6F0000}"/>
    <cellStyle name="Normal 50 2 5" xfId="28634" xr:uid="{00000000-0005-0000-0000-0000DF6F0000}"/>
    <cellStyle name="Normal 50 2 5 2" xfId="28635" xr:uid="{00000000-0005-0000-0000-0000E06F0000}"/>
    <cellStyle name="Normal 50 2 5 3" xfId="28636" xr:uid="{00000000-0005-0000-0000-0000E16F0000}"/>
    <cellStyle name="Normal 50 2 5 4" xfId="28637" xr:uid="{00000000-0005-0000-0000-0000E26F0000}"/>
    <cellStyle name="Normal 50 2 5 5" xfId="28638" xr:uid="{00000000-0005-0000-0000-0000E36F0000}"/>
    <cellStyle name="Normal 50 2 5 6" xfId="28639" xr:uid="{00000000-0005-0000-0000-0000E46F0000}"/>
    <cellStyle name="Normal 50 2 6" xfId="28640" xr:uid="{00000000-0005-0000-0000-0000E56F0000}"/>
    <cellStyle name="Normal 50 2 6 2" xfId="28641" xr:uid="{00000000-0005-0000-0000-0000E66F0000}"/>
    <cellStyle name="Normal 50 2 6 3" xfId="28642" xr:uid="{00000000-0005-0000-0000-0000E76F0000}"/>
    <cellStyle name="Normal 50 2 6 4" xfId="28643" xr:uid="{00000000-0005-0000-0000-0000E86F0000}"/>
    <cellStyle name="Normal 50 2 6 5" xfId="28644" xr:uid="{00000000-0005-0000-0000-0000E96F0000}"/>
    <cellStyle name="Normal 50 2 6 6" xfId="28645" xr:uid="{00000000-0005-0000-0000-0000EA6F0000}"/>
    <cellStyle name="Normal 50 2 7" xfId="28646" xr:uid="{00000000-0005-0000-0000-0000EB6F0000}"/>
    <cellStyle name="Normal 50 2 7 2" xfId="28647" xr:uid="{00000000-0005-0000-0000-0000EC6F0000}"/>
    <cellStyle name="Normal 50 2 7 3" xfId="28648" xr:uid="{00000000-0005-0000-0000-0000ED6F0000}"/>
    <cellStyle name="Normal 50 2 7 4" xfId="28649" xr:uid="{00000000-0005-0000-0000-0000EE6F0000}"/>
    <cellStyle name="Normal 50 2 7 5" xfId="28650" xr:uid="{00000000-0005-0000-0000-0000EF6F0000}"/>
    <cellStyle name="Normal 50 2 7 6" xfId="28651" xr:uid="{00000000-0005-0000-0000-0000F06F0000}"/>
    <cellStyle name="Normal 50 2 8" xfId="28652" xr:uid="{00000000-0005-0000-0000-0000F16F0000}"/>
    <cellStyle name="Normal 50 2 8 2" xfId="28653" xr:uid="{00000000-0005-0000-0000-0000F26F0000}"/>
    <cellStyle name="Normal 50 2 8 3" xfId="28654" xr:uid="{00000000-0005-0000-0000-0000F36F0000}"/>
    <cellStyle name="Normal 50 2 8 4" xfId="28655" xr:uid="{00000000-0005-0000-0000-0000F46F0000}"/>
    <cellStyle name="Normal 50 2 8 5" xfId="28656" xr:uid="{00000000-0005-0000-0000-0000F56F0000}"/>
    <cellStyle name="Normal 50 2 8 6" xfId="28657" xr:uid="{00000000-0005-0000-0000-0000F66F0000}"/>
    <cellStyle name="Normal 50 2 9" xfId="28658" xr:uid="{00000000-0005-0000-0000-0000F76F0000}"/>
    <cellStyle name="Normal 50 2 9 2" xfId="28659" xr:uid="{00000000-0005-0000-0000-0000F86F0000}"/>
    <cellStyle name="Normal 50 2 9 3" xfId="28660" xr:uid="{00000000-0005-0000-0000-0000F96F0000}"/>
    <cellStyle name="Normal 50 2 9 4" xfId="28661" xr:uid="{00000000-0005-0000-0000-0000FA6F0000}"/>
    <cellStyle name="Normal 50 2 9 5" xfId="28662" xr:uid="{00000000-0005-0000-0000-0000FB6F0000}"/>
    <cellStyle name="Normal 50 2 9 6" xfId="28663" xr:uid="{00000000-0005-0000-0000-0000FC6F0000}"/>
    <cellStyle name="Normal 50 20" xfId="28664" xr:uid="{00000000-0005-0000-0000-0000FD6F0000}"/>
    <cellStyle name="Normal 50 21" xfId="28665" xr:uid="{00000000-0005-0000-0000-0000FE6F0000}"/>
    <cellStyle name="Normal 50 22" xfId="28666" xr:uid="{00000000-0005-0000-0000-0000FF6F0000}"/>
    <cellStyle name="Normal 50 23" xfId="28667" xr:uid="{00000000-0005-0000-0000-000000700000}"/>
    <cellStyle name="Normal 50 24" xfId="28668" xr:uid="{00000000-0005-0000-0000-000001700000}"/>
    <cellStyle name="Normal 50 25" xfId="28669" xr:uid="{00000000-0005-0000-0000-000002700000}"/>
    <cellStyle name="Normal 50 26" xfId="28670" xr:uid="{00000000-0005-0000-0000-000003700000}"/>
    <cellStyle name="Normal 50 27" xfId="28671" xr:uid="{00000000-0005-0000-0000-000004700000}"/>
    <cellStyle name="Normal 50 28" xfId="28672" xr:uid="{00000000-0005-0000-0000-000005700000}"/>
    <cellStyle name="Normal 50 29" xfId="28673" xr:uid="{00000000-0005-0000-0000-000006700000}"/>
    <cellStyle name="Normal 50 3" xfId="28674" xr:uid="{00000000-0005-0000-0000-000007700000}"/>
    <cellStyle name="Normal 50 3 10" xfId="28675" xr:uid="{00000000-0005-0000-0000-000008700000}"/>
    <cellStyle name="Normal 50 3 2" xfId="28676" xr:uid="{00000000-0005-0000-0000-000009700000}"/>
    <cellStyle name="Normal 50 3 2 2" xfId="28677" xr:uid="{00000000-0005-0000-0000-00000A700000}"/>
    <cellStyle name="Normal 50 3 2 3" xfId="28678" xr:uid="{00000000-0005-0000-0000-00000B700000}"/>
    <cellStyle name="Normal 50 3 2 4" xfId="28679" xr:uid="{00000000-0005-0000-0000-00000C700000}"/>
    <cellStyle name="Normal 50 3 2 5" xfId="28680" xr:uid="{00000000-0005-0000-0000-00000D700000}"/>
    <cellStyle name="Normal 50 3 2 6" xfId="28681" xr:uid="{00000000-0005-0000-0000-00000E700000}"/>
    <cellStyle name="Normal 50 3 3" xfId="28682" xr:uid="{00000000-0005-0000-0000-00000F700000}"/>
    <cellStyle name="Normal 50 3 3 2" xfId="28683" xr:uid="{00000000-0005-0000-0000-000010700000}"/>
    <cellStyle name="Normal 50 3 3 3" xfId="28684" xr:uid="{00000000-0005-0000-0000-000011700000}"/>
    <cellStyle name="Normal 50 3 3 4" xfId="28685" xr:uid="{00000000-0005-0000-0000-000012700000}"/>
    <cellStyle name="Normal 50 3 3 5" xfId="28686" xr:uid="{00000000-0005-0000-0000-000013700000}"/>
    <cellStyle name="Normal 50 3 3 6" xfId="28687" xr:uid="{00000000-0005-0000-0000-000014700000}"/>
    <cellStyle name="Normal 50 3 4" xfId="28688" xr:uid="{00000000-0005-0000-0000-000015700000}"/>
    <cellStyle name="Normal 50 3 4 2" xfId="28689" xr:uid="{00000000-0005-0000-0000-000016700000}"/>
    <cellStyle name="Normal 50 3 4 3" xfId="28690" xr:uid="{00000000-0005-0000-0000-000017700000}"/>
    <cellStyle name="Normal 50 3 4 4" xfId="28691" xr:uid="{00000000-0005-0000-0000-000018700000}"/>
    <cellStyle name="Normal 50 3 4 5" xfId="28692" xr:uid="{00000000-0005-0000-0000-000019700000}"/>
    <cellStyle name="Normal 50 3 4 6" xfId="28693" xr:uid="{00000000-0005-0000-0000-00001A700000}"/>
    <cellStyle name="Normal 50 3 5" xfId="28694" xr:uid="{00000000-0005-0000-0000-00001B700000}"/>
    <cellStyle name="Normal 50 3 5 2" xfId="28695" xr:uid="{00000000-0005-0000-0000-00001C700000}"/>
    <cellStyle name="Normal 50 3 5 3" xfId="28696" xr:uid="{00000000-0005-0000-0000-00001D700000}"/>
    <cellStyle name="Normal 50 3 5 4" xfId="28697" xr:uid="{00000000-0005-0000-0000-00001E700000}"/>
    <cellStyle name="Normal 50 3 5 5" xfId="28698" xr:uid="{00000000-0005-0000-0000-00001F700000}"/>
    <cellStyle name="Normal 50 3 5 6" xfId="28699" xr:uid="{00000000-0005-0000-0000-000020700000}"/>
    <cellStyle name="Normal 50 3 6" xfId="28700" xr:uid="{00000000-0005-0000-0000-000021700000}"/>
    <cellStyle name="Normal 50 3 7" xfId="28701" xr:uid="{00000000-0005-0000-0000-000022700000}"/>
    <cellStyle name="Normal 50 3 8" xfId="28702" xr:uid="{00000000-0005-0000-0000-000023700000}"/>
    <cellStyle name="Normal 50 3 9" xfId="28703" xr:uid="{00000000-0005-0000-0000-000024700000}"/>
    <cellStyle name="Normal 50 30" xfId="28704" xr:uid="{00000000-0005-0000-0000-000025700000}"/>
    <cellStyle name="Normal 50 31" xfId="28705" xr:uid="{00000000-0005-0000-0000-000026700000}"/>
    <cellStyle name="Normal 50 32" xfId="28706" xr:uid="{00000000-0005-0000-0000-000027700000}"/>
    <cellStyle name="Normal 50 33" xfId="28707" xr:uid="{00000000-0005-0000-0000-000028700000}"/>
    <cellStyle name="Normal 50 34" xfId="28708" xr:uid="{00000000-0005-0000-0000-000029700000}"/>
    <cellStyle name="Normal 50 35" xfId="28709" xr:uid="{00000000-0005-0000-0000-00002A700000}"/>
    <cellStyle name="Normal 50 36" xfId="28710" xr:uid="{00000000-0005-0000-0000-00002B700000}"/>
    <cellStyle name="Normal 50 37" xfId="28711" xr:uid="{00000000-0005-0000-0000-00002C700000}"/>
    <cellStyle name="Normal 50 38" xfId="28712" xr:uid="{00000000-0005-0000-0000-00002D700000}"/>
    <cellStyle name="Normal 50 39" xfId="28713" xr:uid="{00000000-0005-0000-0000-00002E700000}"/>
    <cellStyle name="Normal 50 4" xfId="28714" xr:uid="{00000000-0005-0000-0000-00002F700000}"/>
    <cellStyle name="Normal 50 4 10" xfId="28715" xr:uid="{00000000-0005-0000-0000-000030700000}"/>
    <cellStyle name="Normal 50 4 11" xfId="28716" xr:uid="{00000000-0005-0000-0000-000031700000}"/>
    <cellStyle name="Normal 50 4 12" xfId="28717" xr:uid="{00000000-0005-0000-0000-000032700000}"/>
    <cellStyle name="Normal 50 4 13" xfId="28718" xr:uid="{00000000-0005-0000-0000-000033700000}"/>
    <cellStyle name="Normal 50 4 14" xfId="28719" xr:uid="{00000000-0005-0000-0000-000034700000}"/>
    <cellStyle name="Normal 50 4 15" xfId="28720" xr:uid="{00000000-0005-0000-0000-000035700000}"/>
    <cellStyle name="Normal 50 4 16" xfId="28721" xr:uid="{00000000-0005-0000-0000-000036700000}"/>
    <cellStyle name="Normal 50 4 17" xfId="28722" xr:uid="{00000000-0005-0000-0000-000037700000}"/>
    <cellStyle name="Normal 50 4 18" xfId="28723" xr:uid="{00000000-0005-0000-0000-000038700000}"/>
    <cellStyle name="Normal 50 4 19" xfId="28724" xr:uid="{00000000-0005-0000-0000-000039700000}"/>
    <cellStyle name="Normal 50 4 2" xfId="28725" xr:uid="{00000000-0005-0000-0000-00003A700000}"/>
    <cellStyle name="Normal 50 4 2 2" xfId="28726" xr:uid="{00000000-0005-0000-0000-00003B700000}"/>
    <cellStyle name="Normal 50 4 2 3" xfId="28727" xr:uid="{00000000-0005-0000-0000-00003C700000}"/>
    <cellStyle name="Normal 50 4 2 4" xfId="28728" xr:uid="{00000000-0005-0000-0000-00003D700000}"/>
    <cellStyle name="Normal 50 4 2 5" xfId="28729" xr:uid="{00000000-0005-0000-0000-00003E700000}"/>
    <cellStyle name="Normal 50 4 2 6" xfId="28730" xr:uid="{00000000-0005-0000-0000-00003F700000}"/>
    <cellStyle name="Normal 50 4 20" xfId="28731" xr:uid="{00000000-0005-0000-0000-000040700000}"/>
    <cellStyle name="Normal 50 4 21" xfId="28732" xr:uid="{00000000-0005-0000-0000-000041700000}"/>
    <cellStyle name="Normal 50 4 22" xfId="28733" xr:uid="{00000000-0005-0000-0000-000042700000}"/>
    <cellStyle name="Normal 50 4 23" xfId="28734" xr:uid="{00000000-0005-0000-0000-000043700000}"/>
    <cellStyle name="Normal 50 4 24" xfId="28735" xr:uid="{00000000-0005-0000-0000-000044700000}"/>
    <cellStyle name="Normal 50 4 25" xfId="28736" xr:uid="{00000000-0005-0000-0000-000045700000}"/>
    <cellStyle name="Normal 50 4 26" xfId="28737" xr:uid="{00000000-0005-0000-0000-000046700000}"/>
    <cellStyle name="Normal 50 4 27" xfId="28738" xr:uid="{00000000-0005-0000-0000-000047700000}"/>
    <cellStyle name="Normal 50 4 28" xfId="28739" xr:uid="{00000000-0005-0000-0000-000048700000}"/>
    <cellStyle name="Normal 50 4 29" xfId="28740" xr:uid="{00000000-0005-0000-0000-000049700000}"/>
    <cellStyle name="Normal 50 4 3" xfId="28741" xr:uid="{00000000-0005-0000-0000-00004A700000}"/>
    <cellStyle name="Normal 50 4 30" xfId="28742" xr:uid="{00000000-0005-0000-0000-00004B700000}"/>
    <cellStyle name="Normal 50 4 31" xfId="28743" xr:uid="{00000000-0005-0000-0000-00004C700000}"/>
    <cellStyle name="Normal 50 4 32" xfId="28744" xr:uid="{00000000-0005-0000-0000-00004D700000}"/>
    <cellStyle name="Normal 50 4 33" xfId="28745" xr:uid="{00000000-0005-0000-0000-00004E700000}"/>
    <cellStyle name="Normal 50 4 4" xfId="28746" xr:uid="{00000000-0005-0000-0000-00004F700000}"/>
    <cellStyle name="Normal 50 4 5" xfId="28747" xr:uid="{00000000-0005-0000-0000-000050700000}"/>
    <cellStyle name="Normal 50 4 6" xfId="28748" xr:uid="{00000000-0005-0000-0000-000051700000}"/>
    <cellStyle name="Normal 50 4 7" xfId="28749" xr:uid="{00000000-0005-0000-0000-000052700000}"/>
    <cellStyle name="Normal 50 4 8" xfId="28750" xr:uid="{00000000-0005-0000-0000-000053700000}"/>
    <cellStyle name="Normal 50 4 9" xfId="28751" xr:uid="{00000000-0005-0000-0000-000054700000}"/>
    <cellStyle name="Normal 50 40" xfId="28752" xr:uid="{00000000-0005-0000-0000-000055700000}"/>
    <cellStyle name="Normal 50 41" xfId="28753" xr:uid="{00000000-0005-0000-0000-000056700000}"/>
    <cellStyle name="Normal 50 5" xfId="28754" xr:uid="{00000000-0005-0000-0000-000057700000}"/>
    <cellStyle name="Normal 50 6" xfId="28755" xr:uid="{00000000-0005-0000-0000-000058700000}"/>
    <cellStyle name="Normal 50 7" xfId="28756" xr:uid="{00000000-0005-0000-0000-000059700000}"/>
    <cellStyle name="Normal 50 8" xfId="28757" xr:uid="{00000000-0005-0000-0000-00005A700000}"/>
    <cellStyle name="Normal 50 9" xfId="28758" xr:uid="{00000000-0005-0000-0000-00005B700000}"/>
    <cellStyle name="Normal 51" xfId="28759" xr:uid="{00000000-0005-0000-0000-00005C700000}"/>
    <cellStyle name="Normal 51 10" xfId="28760" xr:uid="{00000000-0005-0000-0000-00005D700000}"/>
    <cellStyle name="Normal 51 11" xfId="28761" xr:uid="{00000000-0005-0000-0000-00005E700000}"/>
    <cellStyle name="Normal 51 11 2" xfId="28762" xr:uid="{00000000-0005-0000-0000-00005F700000}"/>
    <cellStyle name="Normal 51 11 3" xfId="28763" xr:uid="{00000000-0005-0000-0000-000060700000}"/>
    <cellStyle name="Normal 51 11 4" xfId="28764" xr:uid="{00000000-0005-0000-0000-000061700000}"/>
    <cellStyle name="Normal 51 11 5" xfId="28765" xr:uid="{00000000-0005-0000-0000-000062700000}"/>
    <cellStyle name="Normal 51 11 6" xfId="28766" xr:uid="{00000000-0005-0000-0000-000063700000}"/>
    <cellStyle name="Normal 51 12" xfId="28767" xr:uid="{00000000-0005-0000-0000-000064700000}"/>
    <cellStyle name="Normal 51 13" xfId="28768" xr:uid="{00000000-0005-0000-0000-000065700000}"/>
    <cellStyle name="Normal 51 14" xfId="28769" xr:uid="{00000000-0005-0000-0000-000066700000}"/>
    <cellStyle name="Normal 51 15" xfId="28770" xr:uid="{00000000-0005-0000-0000-000067700000}"/>
    <cellStyle name="Normal 51 16" xfId="28771" xr:uid="{00000000-0005-0000-0000-000068700000}"/>
    <cellStyle name="Normal 51 17" xfId="28772" xr:uid="{00000000-0005-0000-0000-000069700000}"/>
    <cellStyle name="Normal 51 18" xfId="28773" xr:uid="{00000000-0005-0000-0000-00006A700000}"/>
    <cellStyle name="Normal 51 19" xfId="28774" xr:uid="{00000000-0005-0000-0000-00006B700000}"/>
    <cellStyle name="Normal 51 2" xfId="28775" xr:uid="{00000000-0005-0000-0000-00006C700000}"/>
    <cellStyle name="Normal 51 2 10" xfId="28776" xr:uid="{00000000-0005-0000-0000-00006D700000}"/>
    <cellStyle name="Normal 51 2 10 2" xfId="28777" xr:uid="{00000000-0005-0000-0000-00006E700000}"/>
    <cellStyle name="Normal 51 2 10 3" xfId="28778" xr:uid="{00000000-0005-0000-0000-00006F700000}"/>
    <cellStyle name="Normal 51 2 10 4" xfId="28779" xr:uid="{00000000-0005-0000-0000-000070700000}"/>
    <cellStyle name="Normal 51 2 10 5" xfId="28780" xr:uid="{00000000-0005-0000-0000-000071700000}"/>
    <cellStyle name="Normal 51 2 10 6" xfId="28781" xr:uid="{00000000-0005-0000-0000-000072700000}"/>
    <cellStyle name="Normal 51 2 11" xfId="28782" xr:uid="{00000000-0005-0000-0000-000073700000}"/>
    <cellStyle name="Normal 51 2 12" xfId="28783" xr:uid="{00000000-0005-0000-0000-000074700000}"/>
    <cellStyle name="Normal 51 2 13" xfId="28784" xr:uid="{00000000-0005-0000-0000-000075700000}"/>
    <cellStyle name="Normal 51 2 14" xfId="28785" xr:uid="{00000000-0005-0000-0000-000076700000}"/>
    <cellStyle name="Normal 51 2 15" xfId="28786" xr:uid="{00000000-0005-0000-0000-000077700000}"/>
    <cellStyle name="Normal 51 2 16" xfId="28787" xr:uid="{00000000-0005-0000-0000-000078700000}"/>
    <cellStyle name="Normal 51 2 17" xfId="28788" xr:uid="{00000000-0005-0000-0000-000079700000}"/>
    <cellStyle name="Normal 51 2 18" xfId="28789" xr:uid="{00000000-0005-0000-0000-00007A700000}"/>
    <cellStyle name="Normal 51 2 19" xfId="28790" xr:uid="{00000000-0005-0000-0000-00007B700000}"/>
    <cellStyle name="Normal 51 2 2" xfId="28791" xr:uid="{00000000-0005-0000-0000-00007C700000}"/>
    <cellStyle name="Normal 51 2 2 10" xfId="28792" xr:uid="{00000000-0005-0000-0000-00007D700000}"/>
    <cellStyle name="Normal 51 2 2 11" xfId="28793" xr:uid="{00000000-0005-0000-0000-00007E700000}"/>
    <cellStyle name="Normal 51 2 2 12" xfId="28794" xr:uid="{00000000-0005-0000-0000-00007F700000}"/>
    <cellStyle name="Normal 51 2 2 13" xfId="28795" xr:uid="{00000000-0005-0000-0000-000080700000}"/>
    <cellStyle name="Normal 51 2 2 14" xfId="28796" xr:uid="{00000000-0005-0000-0000-000081700000}"/>
    <cellStyle name="Normal 51 2 2 15" xfId="28797" xr:uid="{00000000-0005-0000-0000-000082700000}"/>
    <cellStyle name="Normal 51 2 2 16" xfId="28798" xr:uid="{00000000-0005-0000-0000-000083700000}"/>
    <cellStyle name="Normal 51 2 2 17" xfId="28799" xr:uid="{00000000-0005-0000-0000-000084700000}"/>
    <cellStyle name="Normal 51 2 2 18" xfId="28800" xr:uid="{00000000-0005-0000-0000-000085700000}"/>
    <cellStyle name="Normal 51 2 2 19" xfId="28801" xr:uid="{00000000-0005-0000-0000-000086700000}"/>
    <cellStyle name="Normal 51 2 2 2" xfId="28802" xr:uid="{00000000-0005-0000-0000-000087700000}"/>
    <cellStyle name="Normal 51 2 2 2 2" xfId="28803" xr:uid="{00000000-0005-0000-0000-000088700000}"/>
    <cellStyle name="Normal 51 2 2 2 3" xfId="28804" xr:uid="{00000000-0005-0000-0000-000089700000}"/>
    <cellStyle name="Normal 51 2 2 2 4" xfId="28805" xr:uid="{00000000-0005-0000-0000-00008A700000}"/>
    <cellStyle name="Normal 51 2 2 2 5" xfId="28806" xr:uid="{00000000-0005-0000-0000-00008B700000}"/>
    <cellStyle name="Normal 51 2 2 2 6" xfId="28807" xr:uid="{00000000-0005-0000-0000-00008C700000}"/>
    <cellStyle name="Normal 51 2 2 20" xfId="28808" xr:uid="{00000000-0005-0000-0000-00008D700000}"/>
    <cellStyle name="Normal 51 2 2 21" xfId="28809" xr:uid="{00000000-0005-0000-0000-00008E700000}"/>
    <cellStyle name="Normal 51 2 2 22" xfId="28810" xr:uid="{00000000-0005-0000-0000-00008F700000}"/>
    <cellStyle name="Normal 51 2 2 23" xfId="28811" xr:uid="{00000000-0005-0000-0000-000090700000}"/>
    <cellStyle name="Normal 51 2 2 24" xfId="28812" xr:uid="{00000000-0005-0000-0000-000091700000}"/>
    <cellStyle name="Normal 51 2 2 25" xfId="28813" xr:uid="{00000000-0005-0000-0000-000092700000}"/>
    <cellStyle name="Normal 51 2 2 26" xfId="28814" xr:uid="{00000000-0005-0000-0000-000093700000}"/>
    <cellStyle name="Normal 51 2 2 27" xfId="28815" xr:uid="{00000000-0005-0000-0000-000094700000}"/>
    <cellStyle name="Normal 51 2 2 28" xfId="28816" xr:uid="{00000000-0005-0000-0000-000095700000}"/>
    <cellStyle name="Normal 51 2 2 29" xfId="28817" xr:uid="{00000000-0005-0000-0000-000096700000}"/>
    <cellStyle name="Normal 51 2 2 3" xfId="28818" xr:uid="{00000000-0005-0000-0000-000097700000}"/>
    <cellStyle name="Normal 51 2 2 30" xfId="28819" xr:uid="{00000000-0005-0000-0000-000098700000}"/>
    <cellStyle name="Normal 51 2 2 31" xfId="28820" xr:uid="{00000000-0005-0000-0000-000099700000}"/>
    <cellStyle name="Normal 51 2 2 32" xfId="28821" xr:uid="{00000000-0005-0000-0000-00009A700000}"/>
    <cellStyle name="Normal 51 2 2 33" xfId="28822" xr:uid="{00000000-0005-0000-0000-00009B700000}"/>
    <cellStyle name="Normal 51 2 2 4" xfId="28823" xr:uid="{00000000-0005-0000-0000-00009C700000}"/>
    <cellStyle name="Normal 51 2 2 5" xfId="28824" xr:uid="{00000000-0005-0000-0000-00009D700000}"/>
    <cellStyle name="Normal 51 2 2 6" xfId="28825" xr:uid="{00000000-0005-0000-0000-00009E700000}"/>
    <cellStyle name="Normal 51 2 2 7" xfId="28826" xr:uid="{00000000-0005-0000-0000-00009F700000}"/>
    <cellStyle name="Normal 51 2 2 8" xfId="28827" xr:uid="{00000000-0005-0000-0000-0000A0700000}"/>
    <cellStyle name="Normal 51 2 2 9" xfId="28828" xr:uid="{00000000-0005-0000-0000-0000A1700000}"/>
    <cellStyle name="Normal 51 2 20" xfId="28829" xr:uid="{00000000-0005-0000-0000-0000A2700000}"/>
    <cellStyle name="Normal 51 2 21" xfId="28830" xr:uid="{00000000-0005-0000-0000-0000A3700000}"/>
    <cellStyle name="Normal 51 2 22" xfId="28831" xr:uid="{00000000-0005-0000-0000-0000A4700000}"/>
    <cellStyle name="Normal 51 2 23" xfId="28832" xr:uid="{00000000-0005-0000-0000-0000A5700000}"/>
    <cellStyle name="Normal 51 2 24" xfId="28833" xr:uid="{00000000-0005-0000-0000-0000A6700000}"/>
    <cellStyle name="Normal 51 2 25" xfId="28834" xr:uid="{00000000-0005-0000-0000-0000A7700000}"/>
    <cellStyle name="Normal 51 2 26" xfId="28835" xr:uid="{00000000-0005-0000-0000-0000A8700000}"/>
    <cellStyle name="Normal 51 2 27" xfId="28836" xr:uid="{00000000-0005-0000-0000-0000A9700000}"/>
    <cellStyle name="Normal 51 2 28" xfId="28837" xr:uid="{00000000-0005-0000-0000-0000AA700000}"/>
    <cellStyle name="Normal 51 2 29" xfId="28838" xr:uid="{00000000-0005-0000-0000-0000AB700000}"/>
    <cellStyle name="Normal 51 2 3" xfId="28839" xr:uid="{00000000-0005-0000-0000-0000AC700000}"/>
    <cellStyle name="Normal 51 2 3 2" xfId="28840" xr:uid="{00000000-0005-0000-0000-0000AD700000}"/>
    <cellStyle name="Normal 51 2 3 3" xfId="28841" xr:uid="{00000000-0005-0000-0000-0000AE700000}"/>
    <cellStyle name="Normal 51 2 3 4" xfId="28842" xr:uid="{00000000-0005-0000-0000-0000AF700000}"/>
    <cellStyle name="Normal 51 2 3 5" xfId="28843" xr:uid="{00000000-0005-0000-0000-0000B0700000}"/>
    <cellStyle name="Normal 51 2 3 6" xfId="28844" xr:uid="{00000000-0005-0000-0000-0000B1700000}"/>
    <cellStyle name="Normal 51 2 30" xfId="28845" xr:uid="{00000000-0005-0000-0000-0000B2700000}"/>
    <cellStyle name="Normal 51 2 31" xfId="28846" xr:uid="{00000000-0005-0000-0000-0000B3700000}"/>
    <cellStyle name="Normal 51 2 32" xfId="28847" xr:uid="{00000000-0005-0000-0000-0000B4700000}"/>
    <cellStyle name="Normal 51 2 33" xfId="28848" xr:uid="{00000000-0005-0000-0000-0000B5700000}"/>
    <cellStyle name="Normal 51 2 34" xfId="28849" xr:uid="{00000000-0005-0000-0000-0000B6700000}"/>
    <cellStyle name="Normal 51 2 35" xfId="28850" xr:uid="{00000000-0005-0000-0000-0000B7700000}"/>
    <cellStyle name="Normal 51 2 36" xfId="28851" xr:uid="{00000000-0005-0000-0000-0000B8700000}"/>
    <cellStyle name="Normal 51 2 37" xfId="28852" xr:uid="{00000000-0005-0000-0000-0000B9700000}"/>
    <cellStyle name="Normal 51 2 38" xfId="28853" xr:uid="{00000000-0005-0000-0000-0000BA700000}"/>
    <cellStyle name="Normal 51 2 39" xfId="28854" xr:uid="{00000000-0005-0000-0000-0000BB700000}"/>
    <cellStyle name="Normal 51 2 4" xfId="28855" xr:uid="{00000000-0005-0000-0000-0000BC700000}"/>
    <cellStyle name="Normal 51 2 4 2" xfId="28856" xr:uid="{00000000-0005-0000-0000-0000BD700000}"/>
    <cellStyle name="Normal 51 2 4 3" xfId="28857" xr:uid="{00000000-0005-0000-0000-0000BE700000}"/>
    <cellStyle name="Normal 51 2 4 4" xfId="28858" xr:uid="{00000000-0005-0000-0000-0000BF700000}"/>
    <cellStyle name="Normal 51 2 4 5" xfId="28859" xr:uid="{00000000-0005-0000-0000-0000C0700000}"/>
    <cellStyle name="Normal 51 2 4 6" xfId="28860" xr:uid="{00000000-0005-0000-0000-0000C1700000}"/>
    <cellStyle name="Normal 51 2 40" xfId="28861" xr:uid="{00000000-0005-0000-0000-0000C2700000}"/>
    <cellStyle name="Normal 51 2 5" xfId="28862" xr:uid="{00000000-0005-0000-0000-0000C3700000}"/>
    <cellStyle name="Normal 51 2 5 2" xfId="28863" xr:uid="{00000000-0005-0000-0000-0000C4700000}"/>
    <cellStyle name="Normal 51 2 5 3" xfId="28864" xr:uid="{00000000-0005-0000-0000-0000C5700000}"/>
    <cellStyle name="Normal 51 2 5 4" xfId="28865" xr:uid="{00000000-0005-0000-0000-0000C6700000}"/>
    <cellStyle name="Normal 51 2 5 5" xfId="28866" xr:uid="{00000000-0005-0000-0000-0000C7700000}"/>
    <cellStyle name="Normal 51 2 5 6" xfId="28867" xr:uid="{00000000-0005-0000-0000-0000C8700000}"/>
    <cellStyle name="Normal 51 2 6" xfId="28868" xr:uid="{00000000-0005-0000-0000-0000C9700000}"/>
    <cellStyle name="Normal 51 2 6 2" xfId="28869" xr:uid="{00000000-0005-0000-0000-0000CA700000}"/>
    <cellStyle name="Normal 51 2 6 3" xfId="28870" xr:uid="{00000000-0005-0000-0000-0000CB700000}"/>
    <cellStyle name="Normal 51 2 6 4" xfId="28871" xr:uid="{00000000-0005-0000-0000-0000CC700000}"/>
    <cellStyle name="Normal 51 2 6 5" xfId="28872" xr:uid="{00000000-0005-0000-0000-0000CD700000}"/>
    <cellStyle name="Normal 51 2 6 6" xfId="28873" xr:uid="{00000000-0005-0000-0000-0000CE700000}"/>
    <cellStyle name="Normal 51 2 7" xfId="28874" xr:uid="{00000000-0005-0000-0000-0000CF700000}"/>
    <cellStyle name="Normal 51 2 7 2" xfId="28875" xr:uid="{00000000-0005-0000-0000-0000D0700000}"/>
    <cellStyle name="Normal 51 2 7 3" xfId="28876" xr:uid="{00000000-0005-0000-0000-0000D1700000}"/>
    <cellStyle name="Normal 51 2 7 4" xfId="28877" xr:uid="{00000000-0005-0000-0000-0000D2700000}"/>
    <cellStyle name="Normal 51 2 7 5" xfId="28878" xr:uid="{00000000-0005-0000-0000-0000D3700000}"/>
    <cellStyle name="Normal 51 2 7 6" xfId="28879" xr:uid="{00000000-0005-0000-0000-0000D4700000}"/>
    <cellStyle name="Normal 51 2 8" xfId="28880" xr:uid="{00000000-0005-0000-0000-0000D5700000}"/>
    <cellStyle name="Normal 51 2 8 2" xfId="28881" xr:uid="{00000000-0005-0000-0000-0000D6700000}"/>
    <cellStyle name="Normal 51 2 8 3" xfId="28882" xr:uid="{00000000-0005-0000-0000-0000D7700000}"/>
    <cellStyle name="Normal 51 2 8 4" xfId="28883" xr:uid="{00000000-0005-0000-0000-0000D8700000}"/>
    <cellStyle name="Normal 51 2 8 5" xfId="28884" xr:uid="{00000000-0005-0000-0000-0000D9700000}"/>
    <cellStyle name="Normal 51 2 8 6" xfId="28885" xr:uid="{00000000-0005-0000-0000-0000DA700000}"/>
    <cellStyle name="Normal 51 2 9" xfId="28886" xr:uid="{00000000-0005-0000-0000-0000DB700000}"/>
    <cellStyle name="Normal 51 2 9 2" xfId="28887" xr:uid="{00000000-0005-0000-0000-0000DC700000}"/>
    <cellStyle name="Normal 51 2 9 3" xfId="28888" xr:uid="{00000000-0005-0000-0000-0000DD700000}"/>
    <cellStyle name="Normal 51 2 9 4" xfId="28889" xr:uid="{00000000-0005-0000-0000-0000DE700000}"/>
    <cellStyle name="Normal 51 2 9 5" xfId="28890" xr:uid="{00000000-0005-0000-0000-0000DF700000}"/>
    <cellStyle name="Normal 51 2 9 6" xfId="28891" xr:uid="{00000000-0005-0000-0000-0000E0700000}"/>
    <cellStyle name="Normal 51 20" xfId="28892" xr:uid="{00000000-0005-0000-0000-0000E1700000}"/>
    <cellStyle name="Normal 51 21" xfId="28893" xr:uid="{00000000-0005-0000-0000-0000E2700000}"/>
    <cellStyle name="Normal 51 22" xfId="28894" xr:uid="{00000000-0005-0000-0000-0000E3700000}"/>
    <cellStyle name="Normal 51 23" xfId="28895" xr:uid="{00000000-0005-0000-0000-0000E4700000}"/>
    <cellStyle name="Normal 51 24" xfId="28896" xr:uid="{00000000-0005-0000-0000-0000E5700000}"/>
    <cellStyle name="Normal 51 25" xfId="28897" xr:uid="{00000000-0005-0000-0000-0000E6700000}"/>
    <cellStyle name="Normal 51 26" xfId="28898" xr:uid="{00000000-0005-0000-0000-0000E7700000}"/>
    <cellStyle name="Normal 51 27" xfId="28899" xr:uid="{00000000-0005-0000-0000-0000E8700000}"/>
    <cellStyle name="Normal 51 28" xfId="28900" xr:uid="{00000000-0005-0000-0000-0000E9700000}"/>
    <cellStyle name="Normal 51 29" xfId="28901" xr:uid="{00000000-0005-0000-0000-0000EA700000}"/>
    <cellStyle name="Normal 51 3" xfId="28902" xr:uid="{00000000-0005-0000-0000-0000EB700000}"/>
    <cellStyle name="Normal 51 3 10" xfId="28903" xr:uid="{00000000-0005-0000-0000-0000EC700000}"/>
    <cellStyle name="Normal 51 3 2" xfId="28904" xr:uid="{00000000-0005-0000-0000-0000ED700000}"/>
    <cellStyle name="Normal 51 3 2 2" xfId="28905" xr:uid="{00000000-0005-0000-0000-0000EE700000}"/>
    <cellStyle name="Normal 51 3 2 3" xfId="28906" xr:uid="{00000000-0005-0000-0000-0000EF700000}"/>
    <cellStyle name="Normal 51 3 2 4" xfId="28907" xr:uid="{00000000-0005-0000-0000-0000F0700000}"/>
    <cellStyle name="Normal 51 3 2 5" xfId="28908" xr:uid="{00000000-0005-0000-0000-0000F1700000}"/>
    <cellStyle name="Normal 51 3 2 6" xfId="28909" xr:uid="{00000000-0005-0000-0000-0000F2700000}"/>
    <cellStyle name="Normal 51 3 3" xfId="28910" xr:uid="{00000000-0005-0000-0000-0000F3700000}"/>
    <cellStyle name="Normal 51 3 3 2" xfId="28911" xr:uid="{00000000-0005-0000-0000-0000F4700000}"/>
    <cellStyle name="Normal 51 3 3 3" xfId="28912" xr:uid="{00000000-0005-0000-0000-0000F5700000}"/>
    <cellStyle name="Normal 51 3 3 4" xfId="28913" xr:uid="{00000000-0005-0000-0000-0000F6700000}"/>
    <cellStyle name="Normal 51 3 3 5" xfId="28914" xr:uid="{00000000-0005-0000-0000-0000F7700000}"/>
    <cellStyle name="Normal 51 3 3 6" xfId="28915" xr:uid="{00000000-0005-0000-0000-0000F8700000}"/>
    <cellStyle name="Normal 51 3 4" xfId="28916" xr:uid="{00000000-0005-0000-0000-0000F9700000}"/>
    <cellStyle name="Normal 51 3 4 2" xfId="28917" xr:uid="{00000000-0005-0000-0000-0000FA700000}"/>
    <cellStyle name="Normal 51 3 4 3" xfId="28918" xr:uid="{00000000-0005-0000-0000-0000FB700000}"/>
    <cellStyle name="Normal 51 3 4 4" xfId="28919" xr:uid="{00000000-0005-0000-0000-0000FC700000}"/>
    <cellStyle name="Normal 51 3 4 5" xfId="28920" xr:uid="{00000000-0005-0000-0000-0000FD700000}"/>
    <cellStyle name="Normal 51 3 4 6" xfId="28921" xr:uid="{00000000-0005-0000-0000-0000FE700000}"/>
    <cellStyle name="Normal 51 3 5" xfId="28922" xr:uid="{00000000-0005-0000-0000-0000FF700000}"/>
    <cellStyle name="Normal 51 3 5 2" xfId="28923" xr:uid="{00000000-0005-0000-0000-000000710000}"/>
    <cellStyle name="Normal 51 3 5 3" xfId="28924" xr:uid="{00000000-0005-0000-0000-000001710000}"/>
    <cellStyle name="Normal 51 3 5 4" xfId="28925" xr:uid="{00000000-0005-0000-0000-000002710000}"/>
    <cellStyle name="Normal 51 3 5 5" xfId="28926" xr:uid="{00000000-0005-0000-0000-000003710000}"/>
    <cellStyle name="Normal 51 3 5 6" xfId="28927" xr:uid="{00000000-0005-0000-0000-000004710000}"/>
    <cellStyle name="Normal 51 3 6" xfId="28928" xr:uid="{00000000-0005-0000-0000-000005710000}"/>
    <cellStyle name="Normal 51 3 7" xfId="28929" xr:uid="{00000000-0005-0000-0000-000006710000}"/>
    <cellStyle name="Normal 51 3 8" xfId="28930" xr:uid="{00000000-0005-0000-0000-000007710000}"/>
    <cellStyle name="Normal 51 3 9" xfId="28931" xr:uid="{00000000-0005-0000-0000-000008710000}"/>
    <cellStyle name="Normal 51 30" xfId="28932" xr:uid="{00000000-0005-0000-0000-000009710000}"/>
    <cellStyle name="Normal 51 31" xfId="28933" xr:uid="{00000000-0005-0000-0000-00000A710000}"/>
    <cellStyle name="Normal 51 32" xfId="28934" xr:uid="{00000000-0005-0000-0000-00000B710000}"/>
    <cellStyle name="Normal 51 33" xfId="28935" xr:uid="{00000000-0005-0000-0000-00000C710000}"/>
    <cellStyle name="Normal 51 34" xfId="28936" xr:uid="{00000000-0005-0000-0000-00000D710000}"/>
    <cellStyle name="Normal 51 35" xfId="28937" xr:uid="{00000000-0005-0000-0000-00000E710000}"/>
    <cellStyle name="Normal 51 36" xfId="28938" xr:uid="{00000000-0005-0000-0000-00000F710000}"/>
    <cellStyle name="Normal 51 37" xfId="28939" xr:uid="{00000000-0005-0000-0000-000010710000}"/>
    <cellStyle name="Normal 51 38" xfId="28940" xr:uid="{00000000-0005-0000-0000-000011710000}"/>
    <cellStyle name="Normal 51 39" xfId="28941" xr:uid="{00000000-0005-0000-0000-000012710000}"/>
    <cellStyle name="Normal 51 4" xfId="28942" xr:uid="{00000000-0005-0000-0000-000013710000}"/>
    <cellStyle name="Normal 51 4 10" xfId="28943" xr:uid="{00000000-0005-0000-0000-000014710000}"/>
    <cellStyle name="Normal 51 4 11" xfId="28944" xr:uid="{00000000-0005-0000-0000-000015710000}"/>
    <cellStyle name="Normal 51 4 12" xfId="28945" xr:uid="{00000000-0005-0000-0000-000016710000}"/>
    <cellStyle name="Normal 51 4 13" xfId="28946" xr:uid="{00000000-0005-0000-0000-000017710000}"/>
    <cellStyle name="Normal 51 4 14" xfId="28947" xr:uid="{00000000-0005-0000-0000-000018710000}"/>
    <cellStyle name="Normal 51 4 15" xfId="28948" xr:uid="{00000000-0005-0000-0000-000019710000}"/>
    <cellStyle name="Normal 51 4 16" xfId="28949" xr:uid="{00000000-0005-0000-0000-00001A710000}"/>
    <cellStyle name="Normal 51 4 17" xfId="28950" xr:uid="{00000000-0005-0000-0000-00001B710000}"/>
    <cellStyle name="Normal 51 4 18" xfId="28951" xr:uid="{00000000-0005-0000-0000-00001C710000}"/>
    <cellStyle name="Normal 51 4 19" xfId="28952" xr:uid="{00000000-0005-0000-0000-00001D710000}"/>
    <cellStyle name="Normal 51 4 2" xfId="28953" xr:uid="{00000000-0005-0000-0000-00001E710000}"/>
    <cellStyle name="Normal 51 4 2 2" xfId="28954" xr:uid="{00000000-0005-0000-0000-00001F710000}"/>
    <cellStyle name="Normal 51 4 2 3" xfId="28955" xr:uid="{00000000-0005-0000-0000-000020710000}"/>
    <cellStyle name="Normal 51 4 2 4" xfId="28956" xr:uid="{00000000-0005-0000-0000-000021710000}"/>
    <cellStyle name="Normal 51 4 2 5" xfId="28957" xr:uid="{00000000-0005-0000-0000-000022710000}"/>
    <cellStyle name="Normal 51 4 2 6" xfId="28958" xr:uid="{00000000-0005-0000-0000-000023710000}"/>
    <cellStyle name="Normal 51 4 20" xfId="28959" xr:uid="{00000000-0005-0000-0000-000024710000}"/>
    <cellStyle name="Normal 51 4 21" xfId="28960" xr:uid="{00000000-0005-0000-0000-000025710000}"/>
    <cellStyle name="Normal 51 4 22" xfId="28961" xr:uid="{00000000-0005-0000-0000-000026710000}"/>
    <cellStyle name="Normal 51 4 23" xfId="28962" xr:uid="{00000000-0005-0000-0000-000027710000}"/>
    <cellStyle name="Normal 51 4 24" xfId="28963" xr:uid="{00000000-0005-0000-0000-000028710000}"/>
    <cellStyle name="Normal 51 4 25" xfId="28964" xr:uid="{00000000-0005-0000-0000-000029710000}"/>
    <cellStyle name="Normal 51 4 26" xfId="28965" xr:uid="{00000000-0005-0000-0000-00002A710000}"/>
    <cellStyle name="Normal 51 4 27" xfId="28966" xr:uid="{00000000-0005-0000-0000-00002B710000}"/>
    <cellStyle name="Normal 51 4 28" xfId="28967" xr:uid="{00000000-0005-0000-0000-00002C710000}"/>
    <cellStyle name="Normal 51 4 29" xfId="28968" xr:uid="{00000000-0005-0000-0000-00002D710000}"/>
    <cellStyle name="Normal 51 4 3" xfId="28969" xr:uid="{00000000-0005-0000-0000-00002E710000}"/>
    <cellStyle name="Normal 51 4 30" xfId="28970" xr:uid="{00000000-0005-0000-0000-00002F710000}"/>
    <cellStyle name="Normal 51 4 31" xfId="28971" xr:uid="{00000000-0005-0000-0000-000030710000}"/>
    <cellStyle name="Normal 51 4 32" xfId="28972" xr:uid="{00000000-0005-0000-0000-000031710000}"/>
    <cellStyle name="Normal 51 4 33" xfId="28973" xr:uid="{00000000-0005-0000-0000-000032710000}"/>
    <cellStyle name="Normal 51 4 4" xfId="28974" xr:uid="{00000000-0005-0000-0000-000033710000}"/>
    <cellStyle name="Normal 51 4 5" xfId="28975" xr:uid="{00000000-0005-0000-0000-000034710000}"/>
    <cellStyle name="Normal 51 4 6" xfId="28976" xr:uid="{00000000-0005-0000-0000-000035710000}"/>
    <cellStyle name="Normal 51 4 7" xfId="28977" xr:uid="{00000000-0005-0000-0000-000036710000}"/>
    <cellStyle name="Normal 51 4 8" xfId="28978" xr:uid="{00000000-0005-0000-0000-000037710000}"/>
    <cellStyle name="Normal 51 4 9" xfId="28979" xr:uid="{00000000-0005-0000-0000-000038710000}"/>
    <cellStyle name="Normal 51 40" xfId="28980" xr:uid="{00000000-0005-0000-0000-000039710000}"/>
    <cellStyle name="Normal 51 41" xfId="28981" xr:uid="{00000000-0005-0000-0000-00003A710000}"/>
    <cellStyle name="Normal 51 5" xfId="28982" xr:uid="{00000000-0005-0000-0000-00003B710000}"/>
    <cellStyle name="Normal 51 5 2" xfId="28983" xr:uid="{00000000-0005-0000-0000-00003C710000}"/>
    <cellStyle name="Normal 51 5 3" xfId="28984" xr:uid="{00000000-0005-0000-0000-00003D710000}"/>
    <cellStyle name="Normal 51 5 4" xfId="28985" xr:uid="{00000000-0005-0000-0000-00003E710000}"/>
    <cellStyle name="Normal 51 5 5" xfId="28986" xr:uid="{00000000-0005-0000-0000-00003F710000}"/>
    <cellStyle name="Normal 51 5 6" xfId="28987" xr:uid="{00000000-0005-0000-0000-000040710000}"/>
    <cellStyle name="Normal 51 6" xfId="28988" xr:uid="{00000000-0005-0000-0000-000041710000}"/>
    <cellStyle name="Normal 51 6 2" xfId="28989" xr:uid="{00000000-0005-0000-0000-000042710000}"/>
    <cellStyle name="Normal 51 6 3" xfId="28990" xr:uid="{00000000-0005-0000-0000-000043710000}"/>
    <cellStyle name="Normal 51 6 4" xfId="28991" xr:uid="{00000000-0005-0000-0000-000044710000}"/>
    <cellStyle name="Normal 51 6 5" xfId="28992" xr:uid="{00000000-0005-0000-0000-000045710000}"/>
    <cellStyle name="Normal 51 6 6" xfId="28993" xr:uid="{00000000-0005-0000-0000-000046710000}"/>
    <cellStyle name="Normal 51 7" xfId="28994" xr:uid="{00000000-0005-0000-0000-000047710000}"/>
    <cellStyle name="Normal 51 7 2" xfId="28995" xr:uid="{00000000-0005-0000-0000-000048710000}"/>
    <cellStyle name="Normal 51 7 3" xfId="28996" xr:uid="{00000000-0005-0000-0000-000049710000}"/>
    <cellStyle name="Normal 51 7 4" xfId="28997" xr:uid="{00000000-0005-0000-0000-00004A710000}"/>
    <cellStyle name="Normal 51 7 5" xfId="28998" xr:uid="{00000000-0005-0000-0000-00004B710000}"/>
    <cellStyle name="Normal 51 7 6" xfId="28999" xr:uid="{00000000-0005-0000-0000-00004C710000}"/>
    <cellStyle name="Normal 51 8" xfId="29000" xr:uid="{00000000-0005-0000-0000-00004D710000}"/>
    <cellStyle name="Normal 51 9" xfId="29001" xr:uid="{00000000-0005-0000-0000-00004E710000}"/>
    <cellStyle name="Normal 52" xfId="29002" xr:uid="{00000000-0005-0000-0000-00004F710000}"/>
    <cellStyle name="Normal 52 10" xfId="29003" xr:uid="{00000000-0005-0000-0000-000050710000}"/>
    <cellStyle name="Normal 52 11" xfId="29004" xr:uid="{00000000-0005-0000-0000-000051710000}"/>
    <cellStyle name="Normal 52 12" xfId="29005" xr:uid="{00000000-0005-0000-0000-000052710000}"/>
    <cellStyle name="Normal 52 13" xfId="29006" xr:uid="{00000000-0005-0000-0000-000053710000}"/>
    <cellStyle name="Normal 52 14" xfId="29007" xr:uid="{00000000-0005-0000-0000-000054710000}"/>
    <cellStyle name="Normal 52 2" xfId="29008" xr:uid="{00000000-0005-0000-0000-000055710000}"/>
    <cellStyle name="Normal 52 2 2" xfId="29009" xr:uid="{00000000-0005-0000-0000-000056710000}"/>
    <cellStyle name="Normal 52 2 3" xfId="29010" xr:uid="{00000000-0005-0000-0000-000057710000}"/>
    <cellStyle name="Normal 52 2 4" xfId="29011" xr:uid="{00000000-0005-0000-0000-000058710000}"/>
    <cellStyle name="Normal 52 2 5" xfId="29012" xr:uid="{00000000-0005-0000-0000-000059710000}"/>
    <cellStyle name="Normal 52 2 6" xfId="29013" xr:uid="{00000000-0005-0000-0000-00005A710000}"/>
    <cellStyle name="Normal 52 3" xfId="29014" xr:uid="{00000000-0005-0000-0000-00005B710000}"/>
    <cellStyle name="Normal 52 3 2" xfId="29015" xr:uid="{00000000-0005-0000-0000-00005C710000}"/>
    <cellStyle name="Normal 52 3 3" xfId="29016" xr:uid="{00000000-0005-0000-0000-00005D710000}"/>
    <cellStyle name="Normal 52 3 4" xfId="29017" xr:uid="{00000000-0005-0000-0000-00005E710000}"/>
    <cellStyle name="Normal 52 3 5" xfId="29018" xr:uid="{00000000-0005-0000-0000-00005F710000}"/>
    <cellStyle name="Normal 52 3 6" xfId="29019" xr:uid="{00000000-0005-0000-0000-000060710000}"/>
    <cellStyle name="Normal 52 4" xfId="29020" xr:uid="{00000000-0005-0000-0000-000061710000}"/>
    <cellStyle name="Normal 52 4 2" xfId="29021" xr:uid="{00000000-0005-0000-0000-000062710000}"/>
    <cellStyle name="Normal 52 4 3" xfId="29022" xr:uid="{00000000-0005-0000-0000-000063710000}"/>
    <cellStyle name="Normal 52 4 4" xfId="29023" xr:uid="{00000000-0005-0000-0000-000064710000}"/>
    <cellStyle name="Normal 52 4 5" xfId="29024" xr:uid="{00000000-0005-0000-0000-000065710000}"/>
    <cellStyle name="Normal 52 4 6" xfId="29025" xr:uid="{00000000-0005-0000-0000-000066710000}"/>
    <cellStyle name="Normal 52 5" xfId="29026" xr:uid="{00000000-0005-0000-0000-000067710000}"/>
    <cellStyle name="Normal 52 5 2" xfId="29027" xr:uid="{00000000-0005-0000-0000-000068710000}"/>
    <cellStyle name="Normal 52 5 3" xfId="29028" xr:uid="{00000000-0005-0000-0000-000069710000}"/>
    <cellStyle name="Normal 52 5 4" xfId="29029" xr:uid="{00000000-0005-0000-0000-00006A710000}"/>
    <cellStyle name="Normal 52 5 5" xfId="29030" xr:uid="{00000000-0005-0000-0000-00006B710000}"/>
    <cellStyle name="Normal 52 5 6" xfId="29031" xr:uid="{00000000-0005-0000-0000-00006C710000}"/>
    <cellStyle name="Normal 52 6" xfId="29032" xr:uid="{00000000-0005-0000-0000-00006D710000}"/>
    <cellStyle name="Normal 52 6 2" xfId="29033" xr:uid="{00000000-0005-0000-0000-00006E710000}"/>
    <cellStyle name="Normal 52 6 3" xfId="29034" xr:uid="{00000000-0005-0000-0000-00006F710000}"/>
    <cellStyle name="Normal 52 6 4" xfId="29035" xr:uid="{00000000-0005-0000-0000-000070710000}"/>
    <cellStyle name="Normal 52 6 5" xfId="29036" xr:uid="{00000000-0005-0000-0000-000071710000}"/>
    <cellStyle name="Normal 52 6 6" xfId="29037" xr:uid="{00000000-0005-0000-0000-000072710000}"/>
    <cellStyle name="Normal 52 7" xfId="29038" xr:uid="{00000000-0005-0000-0000-000073710000}"/>
    <cellStyle name="Normal 52 7 2" xfId="29039" xr:uid="{00000000-0005-0000-0000-000074710000}"/>
    <cellStyle name="Normal 52 7 3" xfId="29040" xr:uid="{00000000-0005-0000-0000-000075710000}"/>
    <cellStyle name="Normal 52 7 4" xfId="29041" xr:uid="{00000000-0005-0000-0000-000076710000}"/>
    <cellStyle name="Normal 52 7 5" xfId="29042" xr:uid="{00000000-0005-0000-0000-000077710000}"/>
    <cellStyle name="Normal 52 7 6" xfId="29043" xr:uid="{00000000-0005-0000-0000-000078710000}"/>
    <cellStyle name="Normal 52 8" xfId="29044" xr:uid="{00000000-0005-0000-0000-000079710000}"/>
    <cellStyle name="Normal 52 8 2" xfId="29045" xr:uid="{00000000-0005-0000-0000-00007A710000}"/>
    <cellStyle name="Normal 52 8 3" xfId="29046" xr:uid="{00000000-0005-0000-0000-00007B710000}"/>
    <cellStyle name="Normal 52 8 4" xfId="29047" xr:uid="{00000000-0005-0000-0000-00007C710000}"/>
    <cellStyle name="Normal 52 8 5" xfId="29048" xr:uid="{00000000-0005-0000-0000-00007D710000}"/>
    <cellStyle name="Normal 52 8 6" xfId="29049" xr:uid="{00000000-0005-0000-0000-00007E710000}"/>
    <cellStyle name="Normal 52 9" xfId="29050" xr:uid="{00000000-0005-0000-0000-00007F710000}"/>
    <cellStyle name="Normal 52 9 2" xfId="29051" xr:uid="{00000000-0005-0000-0000-000080710000}"/>
    <cellStyle name="Normal 52 9 3" xfId="29052" xr:uid="{00000000-0005-0000-0000-000081710000}"/>
    <cellStyle name="Normal 52 9 4" xfId="29053" xr:uid="{00000000-0005-0000-0000-000082710000}"/>
    <cellStyle name="Normal 52 9 5" xfId="29054" xr:uid="{00000000-0005-0000-0000-000083710000}"/>
    <cellStyle name="Normal 52 9 6" xfId="29055" xr:uid="{00000000-0005-0000-0000-000084710000}"/>
    <cellStyle name="Normal 53" xfId="29056" xr:uid="{00000000-0005-0000-0000-000085710000}"/>
    <cellStyle name="Normal 53 10" xfId="29057" xr:uid="{00000000-0005-0000-0000-000086710000}"/>
    <cellStyle name="Normal 53 11" xfId="29058" xr:uid="{00000000-0005-0000-0000-000087710000}"/>
    <cellStyle name="Normal 53 12" xfId="29059" xr:uid="{00000000-0005-0000-0000-000088710000}"/>
    <cellStyle name="Normal 53 13" xfId="29060" xr:uid="{00000000-0005-0000-0000-000089710000}"/>
    <cellStyle name="Normal 53 14" xfId="29061" xr:uid="{00000000-0005-0000-0000-00008A710000}"/>
    <cellStyle name="Normal 53 2" xfId="29062" xr:uid="{00000000-0005-0000-0000-00008B710000}"/>
    <cellStyle name="Normal 53 2 2" xfId="29063" xr:uid="{00000000-0005-0000-0000-00008C710000}"/>
    <cellStyle name="Normal 53 2 3" xfId="29064" xr:uid="{00000000-0005-0000-0000-00008D710000}"/>
    <cellStyle name="Normal 53 2 4" xfId="29065" xr:uid="{00000000-0005-0000-0000-00008E710000}"/>
    <cellStyle name="Normal 53 2 5" xfId="29066" xr:uid="{00000000-0005-0000-0000-00008F710000}"/>
    <cellStyle name="Normal 53 2 6" xfId="29067" xr:uid="{00000000-0005-0000-0000-000090710000}"/>
    <cellStyle name="Normal 53 3" xfId="29068" xr:uid="{00000000-0005-0000-0000-000091710000}"/>
    <cellStyle name="Normal 53 3 2" xfId="29069" xr:uid="{00000000-0005-0000-0000-000092710000}"/>
    <cellStyle name="Normal 53 3 3" xfId="29070" xr:uid="{00000000-0005-0000-0000-000093710000}"/>
    <cellStyle name="Normal 53 3 4" xfId="29071" xr:uid="{00000000-0005-0000-0000-000094710000}"/>
    <cellStyle name="Normal 53 3 5" xfId="29072" xr:uid="{00000000-0005-0000-0000-000095710000}"/>
    <cellStyle name="Normal 53 3 6" xfId="29073" xr:uid="{00000000-0005-0000-0000-000096710000}"/>
    <cellStyle name="Normal 53 4" xfId="29074" xr:uid="{00000000-0005-0000-0000-000097710000}"/>
    <cellStyle name="Normal 53 4 2" xfId="29075" xr:uid="{00000000-0005-0000-0000-000098710000}"/>
    <cellStyle name="Normal 53 4 3" xfId="29076" xr:uid="{00000000-0005-0000-0000-000099710000}"/>
    <cellStyle name="Normal 53 4 4" xfId="29077" xr:uid="{00000000-0005-0000-0000-00009A710000}"/>
    <cellStyle name="Normal 53 4 5" xfId="29078" xr:uid="{00000000-0005-0000-0000-00009B710000}"/>
    <cellStyle name="Normal 53 4 6" xfId="29079" xr:uid="{00000000-0005-0000-0000-00009C710000}"/>
    <cellStyle name="Normal 53 5" xfId="29080" xr:uid="{00000000-0005-0000-0000-00009D710000}"/>
    <cellStyle name="Normal 53 5 2" xfId="29081" xr:uid="{00000000-0005-0000-0000-00009E710000}"/>
    <cellStyle name="Normal 53 5 3" xfId="29082" xr:uid="{00000000-0005-0000-0000-00009F710000}"/>
    <cellStyle name="Normal 53 5 4" xfId="29083" xr:uid="{00000000-0005-0000-0000-0000A0710000}"/>
    <cellStyle name="Normal 53 5 5" xfId="29084" xr:uid="{00000000-0005-0000-0000-0000A1710000}"/>
    <cellStyle name="Normal 53 5 6" xfId="29085" xr:uid="{00000000-0005-0000-0000-0000A2710000}"/>
    <cellStyle name="Normal 53 6" xfId="29086" xr:uid="{00000000-0005-0000-0000-0000A3710000}"/>
    <cellStyle name="Normal 53 6 2" xfId="29087" xr:uid="{00000000-0005-0000-0000-0000A4710000}"/>
    <cellStyle name="Normal 53 6 3" xfId="29088" xr:uid="{00000000-0005-0000-0000-0000A5710000}"/>
    <cellStyle name="Normal 53 6 4" xfId="29089" xr:uid="{00000000-0005-0000-0000-0000A6710000}"/>
    <cellStyle name="Normal 53 6 5" xfId="29090" xr:uid="{00000000-0005-0000-0000-0000A7710000}"/>
    <cellStyle name="Normal 53 6 6" xfId="29091" xr:uid="{00000000-0005-0000-0000-0000A8710000}"/>
    <cellStyle name="Normal 53 7" xfId="29092" xr:uid="{00000000-0005-0000-0000-0000A9710000}"/>
    <cellStyle name="Normal 53 7 2" xfId="29093" xr:uid="{00000000-0005-0000-0000-0000AA710000}"/>
    <cellStyle name="Normal 53 7 3" xfId="29094" xr:uid="{00000000-0005-0000-0000-0000AB710000}"/>
    <cellStyle name="Normal 53 7 4" xfId="29095" xr:uid="{00000000-0005-0000-0000-0000AC710000}"/>
    <cellStyle name="Normal 53 7 5" xfId="29096" xr:uid="{00000000-0005-0000-0000-0000AD710000}"/>
    <cellStyle name="Normal 53 7 6" xfId="29097" xr:uid="{00000000-0005-0000-0000-0000AE710000}"/>
    <cellStyle name="Normal 53 8" xfId="29098" xr:uid="{00000000-0005-0000-0000-0000AF710000}"/>
    <cellStyle name="Normal 53 8 2" xfId="29099" xr:uid="{00000000-0005-0000-0000-0000B0710000}"/>
    <cellStyle name="Normal 53 8 3" xfId="29100" xr:uid="{00000000-0005-0000-0000-0000B1710000}"/>
    <cellStyle name="Normal 53 8 4" xfId="29101" xr:uid="{00000000-0005-0000-0000-0000B2710000}"/>
    <cellStyle name="Normal 53 8 5" xfId="29102" xr:uid="{00000000-0005-0000-0000-0000B3710000}"/>
    <cellStyle name="Normal 53 8 6" xfId="29103" xr:uid="{00000000-0005-0000-0000-0000B4710000}"/>
    <cellStyle name="Normal 53 9" xfId="29104" xr:uid="{00000000-0005-0000-0000-0000B5710000}"/>
    <cellStyle name="Normal 53 9 2" xfId="29105" xr:uid="{00000000-0005-0000-0000-0000B6710000}"/>
    <cellStyle name="Normal 53 9 3" xfId="29106" xr:uid="{00000000-0005-0000-0000-0000B7710000}"/>
    <cellStyle name="Normal 53 9 4" xfId="29107" xr:uid="{00000000-0005-0000-0000-0000B8710000}"/>
    <cellStyle name="Normal 53 9 5" xfId="29108" xr:uid="{00000000-0005-0000-0000-0000B9710000}"/>
    <cellStyle name="Normal 53 9 6" xfId="29109" xr:uid="{00000000-0005-0000-0000-0000BA710000}"/>
    <cellStyle name="Normal 54" xfId="29110" xr:uid="{00000000-0005-0000-0000-0000BB710000}"/>
    <cellStyle name="Normal 54 10" xfId="29111" xr:uid="{00000000-0005-0000-0000-0000BC710000}"/>
    <cellStyle name="Normal 54 10 2" xfId="29112" xr:uid="{00000000-0005-0000-0000-0000BD710000}"/>
    <cellStyle name="Normal 54 10 3" xfId="29113" xr:uid="{00000000-0005-0000-0000-0000BE710000}"/>
    <cellStyle name="Normal 54 10 4" xfId="29114" xr:uid="{00000000-0005-0000-0000-0000BF710000}"/>
    <cellStyle name="Normal 54 10 5" xfId="29115" xr:uid="{00000000-0005-0000-0000-0000C0710000}"/>
    <cellStyle name="Normal 54 10 6" xfId="29116" xr:uid="{00000000-0005-0000-0000-0000C1710000}"/>
    <cellStyle name="Normal 54 11" xfId="29117" xr:uid="{00000000-0005-0000-0000-0000C2710000}"/>
    <cellStyle name="Normal 54 12" xfId="29118" xr:uid="{00000000-0005-0000-0000-0000C3710000}"/>
    <cellStyle name="Normal 54 13" xfId="29119" xr:uid="{00000000-0005-0000-0000-0000C4710000}"/>
    <cellStyle name="Normal 54 14" xfId="29120" xr:uid="{00000000-0005-0000-0000-0000C5710000}"/>
    <cellStyle name="Normal 54 15" xfId="29121" xr:uid="{00000000-0005-0000-0000-0000C6710000}"/>
    <cellStyle name="Normal 54 16" xfId="29122" xr:uid="{00000000-0005-0000-0000-0000C7710000}"/>
    <cellStyle name="Normal 54 17" xfId="29123" xr:uid="{00000000-0005-0000-0000-0000C8710000}"/>
    <cellStyle name="Normal 54 18" xfId="29124" xr:uid="{00000000-0005-0000-0000-0000C9710000}"/>
    <cellStyle name="Normal 54 19" xfId="29125" xr:uid="{00000000-0005-0000-0000-0000CA710000}"/>
    <cellStyle name="Normal 54 2" xfId="29126" xr:uid="{00000000-0005-0000-0000-0000CB710000}"/>
    <cellStyle name="Normal 54 2 10" xfId="29127" xr:uid="{00000000-0005-0000-0000-0000CC710000}"/>
    <cellStyle name="Normal 54 2 11" xfId="29128" xr:uid="{00000000-0005-0000-0000-0000CD710000}"/>
    <cellStyle name="Normal 54 2 12" xfId="29129" xr:uid="{00000000-0005-0000-0000-0000CE710000}"/>
    <cellStyle name="Normal 54 2 13" xfId="29130" xr:uid="{00000000-0005-0000-0000-0000CF710000}"/>
    <cellStyle name="Normal 54 2 14" xfId="29131" xr:uid="{00000000-0005-0000-0000-0000D0710000}"/>
    <cellStyle name="Normal 54 2 15" xfId="29132" xr:uid="{00000000-0005-0000-0000-0000D1710000}"/>
    <cellStyle name="Normal 54 2 16" xfId="29133" xr:uid="{00000000-0005-0000-0000-0000D2710000}"/>
    <cellStyle name="Normal 54 2 17" xfId="29134" xr:uid="{00000000-0005-0000-0000-0000D3710000}"/>
    <cellStyle name="Normal 54 2 18" xfId="29135" xr:uid="{00000000-0005-0000-0000-0000D4710000}"/>
    <cellStyle name="Normal 54 2 19" xfId="29136" xr:uid="{00000000-0005-0000-0000-0000D5710000}"/>
    <cellStyle name="Normal 54 2 2" xfId="29137" xr:uid="{00000000-0005-0000-0000-0000D6710000}"/>
    <cellStyle name="Normal 54 2 2 2" xfId="29138" xr:uid="{00000000-0005-0000-0000-0000D7710000}"/>
    <cellStyle name="Normal 54 2 2 3" xfId="29139" xr:uid="{00000000-0005-0000-0000-0000D8710000}"/>
    <cellStyle name="Normal 54 2 2 4" xfId="29140" xr:uid="{00000000-0005-0000-0000-0000D9710000}"/>
    <cellStyle name="Normal 54 2 2 5" xfId="29141" xr:uid="{00000000-0005-0000-0000-0000DA710000}"/>
    <cellStyle name="Normal 54 2 2 6" xfId="29142" xr:uid="{00000000-0005-0000-0000-0000DB710000}"/>
    <cellStyle name="Normal 54 2 20" xfId="29143" xr:uid="{00000000-0005-0000-0000-0000DC710000}"/>
    <cellStyle name="Normal 54 2 21" xfId="29144" xr:uid="{00000000-0005-0000-0000-0000DD710000}"/>
    <cellStyle name="Normal 54 2 22" xfId="29145" xr:uid="{00000000-0005-0000-0000-0000DE710000}"/>
    <cellStyle name="Normal 54 2 23" xfId="29146" xr:uid="{00000000-0005-0000-0000-0000DF710000}"/>
    <cellStyle name="Normal 54 2 24" xfId="29147" xr:uid="{00000000-0005-0000-0000-0000E0710000}"/>
    <cellStyle name="Normal 54 2 25" xfId="29148" xr:uid="{00000000-0005-0000-0000-0000E1710000}"/>
    <cellStyle name="Normal 54 2 26" xfId="29149" xr:uid="{00000000-0005-0000-0000-0000E2710000}"/>
    <cellStyle name="Normal 54 2 27" xfId="29150" xr:uid="{00000000-0005-0000-0000-0000E3710000}"/>
    <cellStyle name="Normal 54 2 28" xfId="29151" xr:uid="{00000000-0005-0000-0000-0000E4710000}"/>
    <cellStyle name="Normal 54 2 29" xfId="29152" xr:uid="{00000000-0005-0000-0000-0000E5710000}"/>
    <cellStyle name="Normal 54 2 3" xfId="29153" xr:uid="{00000000-0005-0000-0000-0000E6710000}"/>
    <cellStyle name="Normal 54 2 30" xfId="29154" xr:uid="{00000000-0005-0000-0000-0000E7710000}"/>
    <cellStyle name="Normal 54 2 31" xfId="29155" xr:uid="{00000000-0005-0000-0000-0000E8710000}"/>
    <cellStyle name="Normal 54 2 32" xfId="29156" xr:uid="{00000000-0005-0000-0000-0000E9710000}"/>
    <cellStyle name="Normal 54 2 33" xfId="29157" xr:uid="{00000000-0005-0000-0000-0000EA710000}"/>
    <cellStyle name="Normal 54 2 4" xfId="29158" xr:uid="{00000000-0005-0000-0000-0000EB710000}"/>
    <cellStyle name="Normal 54 2 5" xfId="29159" xr:uid="{00000000-0005-0000-0000-0000EC710000}"/>
    <cellStyle name="Normal 54 2 6" xfId="29160" xr:uid="{00000000-0005-0000-0000-0000ED710000}"/>
    <cellStyle name="Normal 54 2 7" xfId="29161" xr:uid="{00000000-0005-0000-0000-0000EE710000}"/>
    <cellStyle name="Normal 54 2 8" xfId="29162" xr:uid="{00000000-0005-0000-0000-0000EF710000}"/>
    <cellStyle name="Normal 54 2 9" xfId="29163" xr:uid="{00000000-0005-0000-0000-0000F0710000}"/>
    <cellStyle name="Normal 54 20" xfId="29164" xr:uid="{00000000-0005-0000-0000-0000F1710000}"/>
    <cellStyle name="Normal 54 21" xfId="29165" xr:uid="{00000000-0005-0000-0000-0000F2710000}"/>
    <cellStyle name="Normal 54 22" xfId="29166" xr:uid="{00000000-0005-0000-0000-0000F3710000}"/>
    <cellStyle name="Normal 54 23" xfId="29167" xr:uid="{00000000-0005-0000-0000-0000F4710000}"/>
    <cellStyle name="Normal 54 24" xfId="29168" xr:uid="{00000000-0005-0000-0000-0000F5710000}"/>
    <cellStyle name="Normal 54 25" xfId="29169" xr:uid="{00000000-0005-0000-0000-0000F6710000}"/>
    <cellStyle name="Normal 54 26" xfId="29170" xr:uid="{00000000-0005-0000-0000-0000F7710000}"/>
    <cellStyle name="Normal 54 27" xfId="29171" xr:uid="{00000000-0005-0000-0000-0000F8710000}"/>
    <cellStyle name="Normal 54 28" xfId="29172" xr:uid="{00000000-0005-0000-0000-0000F9710000}"/>
    <cellStyle name="Normal 54 29" xfId="29173" xr:uid="{00000000-0005-0000-0000-0000FA710000}"/>
    <cellStyle name="Normal 54 3" xfId="29174" xr:uid="{00000000-0005-0000-0000-0000FB710000}"/>
    <cellStyle name="Normal 54 3 2" xfId="29175" xr:uid="{00000000-0005-0000-0000-0000FC710000}"/>
    <cellStyle name="Normal 54 3 3" xfId="29176" xr:uid="{00000000-0005-0000-0000-0000FD710000}"/>
    <cellStyle name="Normal 54 3 4" xfId="29177" xr:uid="{00000000-0005-0000-0000-0000FE710000}"/>
    <cellStyle name="Normal 54 3 5" xfId="29178" xr:uid="{00000000-0005-0000-0000-0000FF710000}"/>
    <cellStyle name="Normal 54 3 6" xfId="29179" xr:uid="{00000000-0005-0000-0000-000000720000}"/>
    <cellStyle name="Normal 54 30" xfId="29180" xr:uid="{00000000-0005-0000-0000-000001720000}"/>
    <cellStyle name="Normal 54 31" xfId="29181" xr:uid="{00000000-0005-0000-0000-000002720000}"/>
    <cellStyle name="Normal 54 32" xfId="29182" xr:uid="{00000000-0005-0000-0000-000003720000}"/>
    <cellStyle name="Normal 54 33" xfId="29183" xr:uid="{00000000-0005-0000-0000-000004720000}"/>
    <cellStyle name="Normal 54 34" xfId="29184" xr:uid="{00000000-0005-0000-0000-000005720000}"/>
    <cellStyle name="Normal 54 35" xfId="29185" xr:uid="{00000000-0005-0000-0000-000006720000}"/>
    <cellStyle name="Normal 54 36" xfId="29186" xr:uid="{00000000-0005-0000-0000-000007720000}"/>
    <cellStyle name="Normal 54 37" xfId="29187" xr:uid="{00000000-0005-0000-0000-000008720000}"/>
    <cellStyle name="Normal 54 38" xfId="29188" xr:uid="{00000000-0005-0000-0000-000009720000}"/>
    <cellStyle name="Normal 54 39" xfId="29189" xr:uid="{00000000-0005-0000-0000-00000A720000}"/>
    <cellStyle name="Normal 54 4" xfId="29190" xr:uid="{00000000-0005-0000-0000-00000B720000}"/>
    <cellStyle name="Normal 54 4 2" xfId="29191" xr:uid="{00000000-0005-0000-0000-00000C720000}"/>
    <cellStyle name="Normal 54 4 3" xfId="29192" xr:uid="{00000000-0005-0000-0000-00000D720000}"/>
    <cellStyle name="Normal 54 4 4" xfId="29193" xr:uid="{00000000-0005-0000-0000-00000E720000}"/>
    <cellStyle name="Normal 54 4 5" xfId="29194" xr:uid="{00000000-0005-0000-0000-00000F720000}"/>
    <cellStyle name="Normal 54 4 6" xfId="29195" xr:uid="{00000000-0005-0000-0000-000010720000}"/>
    <cellStyle name="Normal 54 40" xfId="29196" xr:uid="{00000000-0005-0000-0000-000011720000}"/>
    <cellStyle name="Normal 54 5" xfId="29197" xr:uid="{00000000-0005-0000-0000-000012720000}"/>
    <cellStyle name="Normal 54 5 2" xfId="29198" xr:uid="{00000000-0005-0000-0000-000013720000}"/>
    <cellStyle name="Normal 54 5 3" xfId="29199" xr:uid="{00000000-0005-0000-0000-000014720000}"/>
    <cellStyle name="Normal 54 5 4" xfId="29200" xr:uid="{00000000-0005-0000-0000-000015720000}"/>
    <cellStyle name="Normal 54 5 5" xfId="29201" xr:uid="{00000000-0005-0000-0000-000016720000}"/>
    <cellStyle name="Normal 54 5 6" xfId="29202" xr:uid="{00000000-0005-0000-0000-000017720000}"/>
    <cellStyle name="Normal 54 6" xfId="29203" xr:uid="{00000000-0005-0000-0000-000018720000}"/>
    <cellStyle name="Normal 54 6 2" xfId="29204" xr:uid="{00000000-0005-0000-0000-000019720000}"/>
    <cellStyle name="Normal 54 6 3" xfId="29205" xr:uid="{00000000-0005-0000-0000-00001A720000}"/>
    <cellStyle name="Normal 54 6 4" xfId="29206" xr:uid="{00000000-0005-0000-0000-00001B720000}"/>
    <cellStyle name="Normal 54 6 5" xfId="29207" xr:uid="{00000000-0005-0000-0000-00001C720000}"/>
    <cellStyle name="Normal 54 6 6" xfId="29208" xr:uid="{00000000-0005-0000-0000-00001D720000}"/>
    <cellStyle name="Normal 54 7" xfId="29209" xr:uid="{00000000-0005-0000-0000-00001E720000}"/>
    <cellStyle name="Normal 54 8" xfId="29210" xr:uid="{00000000-0005-0000-0000-00001F720000}"/>
    <cellStyle name="Normal 54 9" xfId="29211" xr:uid="{00000000-0005-0000-0000-000020720000}"/>
    <cellStyle name="Normal 55" xfId="29212" xr:uid="{00000000-0005-0000-0000-000021720000}"/>
    <cellStyle name="Normal 55 10" xfId="29213" xr:uid="{00000000-0005-0000-0000-000022720000}"/>
    <cellStyle name="Normal 55 11" xfId="29214" xr:uid="{00000000-0005-0000-0000-000023720000}"/>
    <cellStyle name="Normal 55 12" xfId="29215" xr:uid="{00000000-0005-0000-0000-000024720000}"/>
    <cellStyle name="Normal 55 13" xfId="29216" xr:uid="{00000000-0005-0000-0000-000025720000}"/>
    <cellStyle name="Normal 55 14" xfId="29217" xr:uid="{00000000-0005-0000-0000-000026720000}"/>
    <cellStyle name="Normal 55 15" xfId="29218" xr:uid="{00000000-0005-0000-0000-000027720000}"/>
    <cellStyle name="Normal 55 16" xfId="29219" xr:uid="{00000000-0005-0000-0000-000028720000}"/>
    <cellStyle name="Normal 55 17" xfId="29220" xr:uid="{00000000-0005-0000-0000-000029720000}"/>
    <cellStyle name="Normal 55 18" xfId="29221" xr:uid="{00000000-0005-0000-0000-00002A720000}"/>
    <cellStyle name="Normal 55 19" xfId="29222" xr:uid="{00000000-0005-0000-0000-00002B720000}"/>
    <cellStyle name="Normal 55 2" xfId="29223" xr:uid="{00000000-0005-0000-0000-00002C720000}"/>
    <cellStyle name="Normal 55 2 2" xfId="29224" xr:uid="{00000000-0005-0000-0000-00002D720000}"/>
    <cellStyle name="Normal 55 2 3" xfId="29225" xr:uid="{00000000-0005-0000-0000-00002E720000}"/>
    <cellStyle name="Normal 55 2 4" xfId="29226" xr:uid="{00000000-0005-0000-0000-00002F720000}"/>
    <cellStyle name="Normal 55 2 5" xfId="29227" xr:uid="{00000000-0005-0000-0000-000030720000}"/>
    <cellStyle name="Normal 55 2 6" xfId="29228" xr:uid="{00000000-0005-0000-0000-000031720000}"/>
    <cellStyle name="Normal 55 20" xfId="29229" xr:uid="{00000000-0005-0000-0000-000032720000}"/>
    <cellStyle name="Normal 55 21" xfId="29230" xr:uid="{00000000-0005-0000-0000-000033720000}"/>
    <cellStyle name="Normal 55 22" xfId="29231" xr:uid="{00000000-0005-0000-0000-000034720000}"/>
    <cellStyle name="Normal 55 23" xfId="29232" xr:uid="{00000000-0005-0000-0000-000035720000}"/>
    <cellStyle name="Normal 55 24" xfId="29233" xr:uid="{00000000-0005-0000-0000-000036720000}"/>
    <cellStyle name="Normal 55 25" xfId="29234" xr:uid="{00000000-0005-0000-0000-000037720000}"/>
    <cellStyle name="Normal 55 26" xfId="29235" xr:uid="{00000000-0005-0000-0000-000038720000}"/>
    <cellStyle name="Normal 55 27" xfId="29236" xr:uid="{00000000-0005-0000-0000-000039720000}"/>
    <cellStyle name="Normal 55 28" xfId="29237" xr:uid="{00000000-0005-0000-0000-00003A720000}"/>
    <cellStyle name="Normal 55 29" xfId="29238" xr:uid="{00000000-0005-0000-0000-00003B720000}"/>
    <cellStyle name="Normal 55 3" xfId="29239" xr:uid="{00000000-0005-0000-0000-00003C720000}"/>
    <cellStyle name="Normal 55 30" xfId="29240" xr:uid="{00000000-0005-0000-0000-00003D720000}"/>
    <cellStyle name="Normal 55 31" xfId="29241" xr:uid="{00000000-0005-0000-0000-00003E720000}"/>
    <cellStyle name="Normal 55 32" xfId="29242" xr:uid="{00000000-0005-0000-0000-00003F720000}"/>
    <cellStyle name="Normal 55 33" xfId="29243" xr:uid="{00000000-0005-0000-0000-000040720000}"/>
    <cellStyle name="Normal 55 4" xfId="29244" xr:uid="{00000000-0005-0000-0000-000041720000}"/>
    <cellStyle name="Normal 55 5" xfId="29245" xr:uid="{00000000-0005-0000-0000-000042720000}"/>
    <cellStyle name="Normal 55 6" xfId="29246" xr:uid="{00000000-0005-0000-0000-000043720000}"/>
    <cellStyle name="Normal 55 7" xfId="29247" xr:uid="{00000000-0005-0000-0000-000044720000}"/>
    <cellStyle name="Normal 55 8" xfId="29248" xr:uid="{00000000-0005-0000-0000-000045720000}"/>
    <cellStyle name="Normal 55 9" xfId="29249" xr:uid="{00000000-0005-0000-0000-000046720000}"/>
    <cellStyle name="Normal 56" xfId="29250" xr:uid="{00000000-0005-0000-0000-000047720000}"/>
    <cellStyle name="Normal 56 2" xfId="29251" xr:uid="{00000000-0005-0000-0000-000048720000}"/>
    <cellStyle name="Normal 56 3" xfId="29252" xr:uid="{00000000-0005-0000-0000-000049720000}"/>
    <cellStyle name="Normal 56 4" xfId="29253" xr:uid="{00000000-0005-0000-0000-00004A720000}"/>
    <cellStyle name="Normal 56 5" xfId="29254" xr:uid="{00000000-0005-0000-0000-00004B720000}"/>
    <cellStyle name="Normal 56 6" xfId="29255" xr:uid="{00000000-0005-0000-0000-00004C720000}"/>
    <cellStyle name="Normal 57" xfId="29256" xr:uid="{00000000-0005-0000-0000-00004D720000}"/>
    <cellStyle name="Normal 57 2" xfId="29257" xr:uid="{00000000-0005-0000-0000-00004E720000}"/>
    <cellStyle name="Normal 57 3" xfId="29258" xr:uid="{00000000-0005-0000-0000-00004F720000}"/>
    <cellStyle name="Normal 57 4" xfId="29259" xr:uid="{00000000-0005-0000-0000-000050720000}"/>
    <cellStyle name="Normal 57 5" xfId="29260" xr:uid="{00000000-0005-0000-0000-000051720000}"/>
    <cellStyle name="Normal 57 6" xfId="29261" xr:uid="{00000000-0005-0000-0000-000052720000}"/>
    <cellStyle name="Normal 58" xfId="29262" xr:uid="{00000000-0005-0000-0000-000053720000}"/>
    <cellStyle name="Normal 58 2" xfId="29263" xr:uid="{00000000-0005-0000-0000-000054720000}"/>
    <cellStyle name="Normal 58 3" xfId="29264" xr:uid="{00000000-0005-0000-0000-000055720000}"/>
    <cellStyle name="Normal 58 4" xfId="29265" xr:uid="{00000000-0005-0000-0000-000056720000}"/>
    <cellStyle name="Normal 58 5" xfId="29266" xr:uid="{00000000-0005-0000-0000-000057720000}"/>
    <cellStyle name="Normal 58 6" xfId="29267" xr:uid="{00000000-0005-0000-0000-000058720000}"/>
    <cellStyle name="Normal 59" xfId="29268" xr:uid="{00000000-0005-0000-0000-000059720000}"/>
    <cellStyle name="Normal 59 2" xfId="29269" xr:uid="{00000000-0005-0000-0000-00005A720000}"/>
    <cellStyle name="Normal 59 3" xfId="29270" xr:uid="{00000000-0005-0000-0000-00005B720000}"/>
    <cellStyle name="Normal 59 4" xfId="29271" xr:uid="{00000000-0005-0000-0000-00005C720000}"/>
    <cellStyle name="Normal 59 5" xfId="29272" xr:uid="{00000000-0005-0000-0000-00005D720000}"/>
    <cellStyle name="Normal 59 6" xfId="29273" xr:uid="{00000000-0005-0000-0000-00005E720000}"/>
    <cellStyle name="Normal 6" xfId="29275" xr:uid="{00000000-0005-0000-0000-00005F720000}"/>
    <cellStyle name="Normal 6 10" xfId="29276" xr:uid="{00000000-0005-0000-0000-000060720000}"/>
    <cellStyle name="Normal 6 11" xfId="29277" xr:uid="{00000000-0005-0000-0000-000061720000}"/>
    <cellStyle name="Normal 6 12" xfId="29278" xr:uid="{00000000-0005-0000-0000-000062720000}"/>
    <cellStyle name="Normal 6 13" xfId="29279" xr:uid="{00000000-0005-0000-0000-000063720000}"/>
    <cellStyle name="Normal 6 14" xfId="29280" xr:uid="{00000000-0005-0000-0000-000064720000}"/>
    <cellStyle name="Normal 6 15" xfId="29281" xr:uid="{00000000-0005-0000-0000-000065720000}"/>
    <cellStyle name="Normal 6 16" xfId="29282" xr:uid="{00000000-0005-0000-0000-000066720000}"/>
    <cellStyle name="Normal 6 17" xfId="29283" xr:uid="{00000000-0005-0000-0000-000067720000}"/>
    <cellStyle name="Normal 6 18" xfId="29284" xr:uid="{00000000-0005-0000-0000-000068720000}"/>
    <cellStyle name="Normal 6 19" xfId="29285" xr:uid="{00000000-0005-0000-0000-000069720000}"/>
    <cellStyle name="Normal 6 2" xfId="29286" xr:uid="{00000000-0005-0000-0000-00006A720000}"/>
    <cellStyle name="Normal 6 2 10" xfId="29287" xr:uid="{00000000-0005-0000-0000-00006B720000}"/>
    <cellStyle name="Normal 6 2 11" xfId="29288" xr:uid="{00000000-0005-0000-0000-00006C720000}"/>
    <cellStyle name="Normal 6 2 12" xfId="29289" xr:uid="{00000000-0005-0000-0000-00006D720000}"/>
    <cellStyle name="Normal 6 2 13" xfId="29290" xr:uid="{00000000-0005-0000-0000-00006E720000}"/>
    <cellStyle name="Normal 6 2 14" xfId="29291" xr:uid="{00000000-0005-0000-0000-00006F720000}"/>
    <cellStyle name="Normal 6 2 15" xfId="29292" xr:uid="{00000000-0005-0000-0000-000070720000}"/>
    <cellStyle name="Normal 6 2 16" xfId="29293" xr:uid="{00000000-0005-0000-0000-000071720000}"/>
    <cellStyle name="Normal 6 2 17" xfId="29294" xr:uid="{00000000-0005-0000-0000-000072720000}"/>
    <cellStyle name="Normal 6 2 18" xfId="29295" xr:uid="{00000000-0005-0000-0000-000073720000}"/>
    <cellStyle name="Normal 6 2 19" xfId="29296" xr:uid="{00000000-0005-0000-0000-000074720000}"/>
    <cellStyle name="Normal 6 2 2" xfId="29297" xr:uid="{00000000-0005-0000-0000-000075720000}"/>
    <cellStyle name="Normal 6 2 2 2" xfId="29298" xr:uid="{00000000-0005-0000-0000-000076720000}"/>
    <cellStyle name="Normal 6 2 2 2 10" xfId="29299" xr:uid="{00000000-0005-0000-0000-000077720000}"/>
    <cellStyle name="Normal 6 2 2 2 10 2" xfId="29300" xr:uid="{00000000-0005-0000-0000-000078720000}"/>
    <cellStyle name="Normal 6 2 2 2 10 3" xfId="29301" xr:uid="{00000000-0005-0000-0000-000079720000}"/>
    <cellStyle name="Normal 6 2 2 2 10 4" xfId="29302" xr:uid="{00000000-0005-0000-0000-00007A720000}"/>
    <cellStyle name="Normal 6 2 2 2 10 5" xfId="29303" xr:uid="{00000000-0005-0000-0000-00007B720000}"/>
    <cellStyle name="Normal 6 2 2 2 10 6" xfId="29304" xr:uid="{00000000-0005-0000-0000-00007C720000}"/>
    <cellStyle name="Normal 6 2 2 2 11" xfId="29305" xr:uid="{00000000-0005-0000-0000-00007D720000}"/>
    <cellStyle name="Normal 6 2 2 2 11 2" xfId="29306" xr:uid="{00000000-0005-0000-0000-00007E720000}"/>
    <cellStyle name="Normal 6 2 2 2 11 3" xfId="29307" xr:uid="{00000000-0005-0000-0000-00007F720000}"/>
    <cellStyle name="Normal 6 2 2 2 11 4" xfId="29308" xr:uid="{00000000-0005-0000-0000-000080720000}"/>
    <cellStyle name="Normal 6 2 2 2 11 5" xfId="29309" xr:uid="{00000000-0005-0000-0000-000081720000}"/>
    <cellStyle name="Normal 6 2 2 2 11 6" xfId="29310" xr:uid="{00000000-0005-0000-0000-000082720000}"/>
    <cellStyle name="Normal 6 2 2 2 12" xfId="29311" xr:uid="{00000000-0005-0000-0000-000083720000}"/>
    <cellStyle name="Normal 6 2 2 2 13" xfId="29312" xr:uid="{00000000-0005-0000-0000-000084720000}"/>
    <cellStyle name="Normal 6 2 2 2 14" xfId="29313" xr:uid="{00000000-0005-0000-0000-000085720000}"/>
    <cellStyle name="Normal 6 2 2 2 15" xfId="29314" xr:uid="{00000000-0005-0000-0000-000086720000}"/>
    <cellStyle name="Normal 6 2 2 2 16" xfId="29315" xr:uid="{00000000-0005-0000-0000-000087720000}"/>
    <cellStyle name="Normal 6 2 2 2 17" xfId="29316" xr:uid="{00000000-0005-0000-0000-000088720000}"/>
    <cellStyle name="Normal 6 2 2 2 18" xfId="29317" xr:uid="{00000000-0005-0000-0000-000089720000}"/>
    <cellStyle name="Normal 6 2 2 2 19" xfId="29318" xr:uid="{00000000-0005-0000-0000-00008A720000}"/>
    <cellStyle name="Normal 6 2 2 2 2" xfId="29319" xr:uid="{00000000-0005-0000-0000-00008B720000}"/>
    <cellStyle name="Normal 6 2 2 2 2 10" xfId="29320" xr:uid="{00000000-0005-0000-0000-00008C720000}"/>
    <cellStyle name="Normal 6 2 2 2 2 10 2" xfId="29321" xr:uid="{00000000-0005-0000-0000-00008D720000}"/>
    <cellStyle name="Normal 6 2 2 2 2 10 3" xfId="29322" xr:uid="{00000000-0005-0000-0000-00008E720000}"/>
    <cellStyle name="Normal 6 2 2 2 2 10 4" xfId="29323" xr:uid="{00000000-0005-0000-0000-00008F720000}"/>
    <cellStyle name="Normal 6 2 2 2 2 10 5" xfId="29324" xr:uid="{00000000-0005-0000-0000-000090720000}"/>
    <cellStyle name="Normal 6 2 2 2 2 10 6" xfId="29325" xr:uid="{00000000-0005-0000-0000-000091720000}"/>
    <cellStyle name="Normal 6 2 2 2 2 11" xfId="29326" xr:uid="{00000000-0005-0000-0000-000092720000}"/>
    <cellStyle name="Normal 6 2 2 2 2 12" xfId="29327" xr:uid="{00000000-0005-0000-0000-000093720000}"/>
    <cellStyle name="Normal 6 2 2 2 2 13" xfId="29328" xr:uid="{00000000-0005-0000-0000-000094720000}"/>
    <cellStyle name="Normal 6 2 2 2 2 14" xfId="29329" xr:uid="{00000000-0005-0000-0000-000095720000}"/>
    <cellStyle name="Normal 6 2 2 2 2 15" xfId="29330" xr:uid="{00000000-0005-0000-0000-000096720000}"/>
    <cellStyle name="Normal 6 2 2 2 2 2" xfId="29331" xr:uid="{00000000-0005-0000-0000-000097720000}"/>
    <cellStyle name="Normal 6 2 2 2 2 2 10" xfId="29332" xr:uid="{00000000-0005-0000-0000-000098720000}"/>
    <cellStyle name="Normal 6 2 2 2 2 2 11" xfId="29333" xr:uid="{00000000-0005-0000-0000-000099720000}"/>
    <cellStyle name="Normal 6 2 2 2 2 2 12" xfId="29334" xr:uid="{00000000-0005-0000-0000-00009A720000}"/>
    <cellStyle name="Normal 6 2 2 2 2 2 13" xfId="29335" xr:uid="{00000000-0005-0000-0000-00009B720000}"/>
    <cellStyle name="Normal 6 2 2 2 2 2 14" xfId="29336" xr:uid="{00000000-0005-0000-0000-00009C720000}"/>
    <cellStyle name="Normal 6 2 2 2 2 2 2" xfId="29337" xr:uid="{00000000-0005-0000-0000-00009D720000}"/>
    <cellStyle name="Normal 6 2 2 2 2 2 2 2" xfId="29338" xr:uid="{00000000-0005-0000-0000-00009E720000}"/>
    <cellStyle name="Normal 6 2 2 2 2 2 2 3" xfId="29339" xr:uid="{00000000-0005-0000-0000-00009F720000}"/>
    <cellStyle name="Normal 6 2 2 2 2 2 2 4" xfId="29340" xr:uid="{00000000-0005-0000-0000-0000A0720000}"/>
    <cellStyle name="Normal 6 2 2 2 2 2 2 5" xfId="29341" xr:uid="{00000000-0005-0000-0000-0000A1720000}"/>
    <cellStyle name="Normal 6 2 2 2 2 2 2 6" xfId="29342" xr:uid="{00000000-0005-0000-0000-0000A2720000}"/>
    <cellStyle name="Normal 6 2 2 2 2 2 3" xfId="29343" xr:uid="{00000000-0005-0000-0000-0000A3720000}"/>
    <cellStyle name="Normal 6 2 2 2 2 2 3 2" xfId="29344" xr:uid="{00000000-0005-0000-0000-0000A4720000}"/>
    <cellStyle name="Normal 6 2 2 2 2 2 3 3" xfId="29345" xr:uid="{00000000-0005-0000-0000-0000A5720000}"/>
    <cellStyle name="Normal 6 2 2 2 2 2 3 4" xfId="29346" xr:uid="{00000000-0005-0000-0000-0000A6720000}"/>
    <cellStyle name="Normal 6 2 2 2 2 2 3 5" xfId="29347" xr:uid="{00000000-0005-0000-0000-0000A7720000}"/>
    <cellStyle name="Normal 6 2 2 2 2 2 3 6" xfId="29348" xr:uid="{00000000-0005-0000-0000-0000A8720000}"/>
    <cellStyle name="Normal 6 2 2 2 2 2 4" xfId="29349" xr:uid="{00000000-0005-0000-0000-0000A9720000}"/>
    <cellStyle name="Normal 6 2 2 2 2 2 4 2" xfId="29350" xr:uid="{00000000-0005-0000-0000-0000AA720000}"/>
    <cellStyle name="Normal 6 2 2 2 2 2 4 3" xfId="29351" xr:uid="{00000000-0005-0000-0000-0000AB720000}"/>
    <cellStyle name="Normal 6 2 2 2 2 2 4 4" xfId="29352" xr:uid="{00000000-0005-0000-0000-0000AC720000}"/>
    <cellStyle name="Normal 6 2 2 2 2 2 4 5" xfId="29353" xr:uid="{00000000-0005-0000-0000-0000AD720000}"/>
    <cellStyle name="Normal 6 2 2 2 2 2 4 6" xfId="29354" xr:uid="{00000000-0005-0000-0000-0000AE720000}"/>
    <cellStyle name="Normal 6 2 2 2 2 2 5" xfId="29355" xr:uid="{00000000-0005-0000-0000-0000AF720000}"/>
    <cellStyle name="Normal 6 2 2 2 2 2 5 2" xfId="29356" xr:uid="{00000000-0005-0000-0000-0000B0720000}"/>
    <cellStyle name="Normal 6 2 2 2 2 2 5 3" xfId="29357" xr:uid="{00000000-0005-0000-0000-0000B1720000}"/>
    <cellStyle name="Normal 6 2 2 2 2 2 5 4" xfId="29358" xr:uid="{00000000-0005-0000-0000-0000B2720000}"/>
    <cellStyle name="Normal 6 2 2 2 2 2 5 5" xfId="29359" xr:uid="{00000000-0005-0000-0000-0000B3720000}"/>
    <cellStyle name="Normal 6 2 2 2 2 2 5 6" xfId="29360" xr:uid="{00000000-0005-0000-0000-0000B4720000}"/>
    <cellStyle name="Normal 6 2 2 2 2 2 6" xfId="29361" xr:uid="{00000000-0005-0000-0000-0000B5720000}"/>
    <cellStyle name="Normal 6 2 2 2 2 2 6 2" xfId="29362" xr:uid="{00000000-0005-0000-0000-0000B6720000}"/>
    <cellStyle name="Normal 6 2 2 2 2 2 6 3" xfId="29363" xr:uid="{00000000-0005-0000-0000-0000B7720000}"/>
    <cellStyle name="Normal 6 2 2 2 2 2 6 4" xfId="29364" xr:uid="{00000000-0005-0000-0000-0000B8720000}"/>
    <cellStyle name="Normal 6 2 2 2 2 2 6 5" xfId="29365" xr:uid="{00000000-0005-0000-0000-0000B9720000}"/>
    <cellStyle name="Normal 6 2 2 2 2 2 6 6" xfId="29366" xr:uid="{00000000-0005-0000-0000-0000BA720000}"/>
    <cellStyle name="Normal 6 2 2 2 2 2 7" xfId="29367" xr:uid="{00000000-0005-0000-0000-0000BB720000}"/>
    <cellStyle name="Normal 6 2 2 2 2 2 7 2" xfId="29368" xr:uid="{00000000-0005-0000-0000-0000BC720000}"/>
    <cellStyle name="Normal 6 2 2 2 2 2 7 3" xfId="29369" xr:uid="{00000000-0005-0000-0000-0000BD720000}"/>
    <cellStyle name="Normal 6 2 2 2 2 2 7 4" xfId="29370" xr:uid="{00000000-0005-0000-0000-0000BE720000}"/>
    <cellStyle name="Normal 6 2 2 2 2 2 7 5" xfId="29371" xr:uid="{00000000-0005-0000-0000-0000BF720000}"/>
    <cellStyle name="Normal 6 2 2 2 2 2 7 6" xfId="29372" xr:uid="{00000000-0005-0000-0000-0000C0720000}"/>
    <cellStyle name="Normal 6 2 2 2 2 2 8" xfId="29373" xr:uid="{00000000-0005-0000-0000-0000C1720000}"/>
    <cellStyle name="Normal 6 2 2 2 2 2 8 2" xfId="29374" xr:uid="{00000000-0005-0000-0000-0000C2720000}"/>
    <cellStyle name="Normal 6 2 2 2 2 2 8 3" xfId="29375" xr:uid="{00000000-0005-0000-0000-0000C3720000}"/>
    <cellStyle name="Normal 6 2 2 2 2 2 8 4" xfId="29376" xr:uid="{00000000-0005-0000-0000-0000C4720000}"/>
    <cellStyle name="Normal 6 2 2 2 2 2 8 5" xfId="29377" xr:uid="{00000000-0005-0000-0000-0000C5720000}"/>
    <cellStyle name="Normal 6 2 2 2 2 2 8 6" xfId="29378" xr:uid="{00000000-0005-0000-0000-0000C6720000}"/>
    <cellStyle name="Normal 6 2 2 2 2 2 9" xfId="29379" xr:uid="{00000000-0005-0000-0000-0000C7720000}"/>
    <cellStyle name="Normal 6 2 2 2 2 2 9 2" xfId="29380" xr:uid="{00000000-0005-0000-0000-0000C8720000}"/>
    <cellStyle name="Normal 6 2 2 2 2 2 9 3" xfId="29381" xr:uid="{00000000-0005-0000-0000-0000C9720000}"/>
    <cellStyle name="Normal 6 2 2 2 2 2 9 4" xfId="29382" xr:uid="{00000000-0005-0000-0000-0000CA720000}"/>
    <cellStyle name="Normal 6 2 2 2 2 2 9 5" xfId="29383" xr:uid="{00000000-0005-0000-0000-0000CB720000}"/>
    <cellStyle name="Normal 6 2 2 2 2 2 9 6" xfId="29384" xr:uid="{00000000-0005-0000-0000-0000CC720000}"/>
    <cellStyle name="Normal 6 2 2 2 2 3" xfId="29385" xr:uid="{00000000-0005-0000-0000-0000CD720000}"/>
    <cellStyle name="Normal 6 2 2 2 2 3 2" xfId="29386" xr:uid="{00000000-0005-0000-0000-0000CE720000}"/>
    <cellStyle name="Normal 6 2 2 2 2 3 3" xfId="29387" xr:uid="{00000000-0005-0000-0000-0000CF720000}"/>
    <cellStyle name="Normal 6 2 2 2 2 3 4" xfId="29388" xr:uid="{00000000-0005-0000-0000-0000D0720000}"/>
    <cellStyle name="Normal 6 2 2 2 2 3 5" xfId="29389" xr:uid="{00000000-0005-0000-0000-0000D1720000}"/>
    <cellStyle name="Normal 6 2 2 2 2 3 6" xfId="29390" xr:uid="{00000000-0005-0000-0000-0000D2720000}"/>
    <cellStyle name="Normal 6 2 2 2 2 4" xfId="29391" xr:uid="{00000000-0005-0000-0000-0000D3720000}"/>
    <cellStyle name="Normal 6 2 2 2 2 4 2" xfId="29392" xr:uid="{00000000-0005-0000-0000-0000D4720000}"/>
    <cellStyle name="Normal 6 2 2 2 2 4 3" xfId="29393" xr:uid="{00000000-0005-0000-0000-0000D5720000}"/>
    <cellStyle name="Normal 6 2 2 2 2 4 4" xfId="29394" xr:uid="{00000000-0005-0000-0000-0000D6720000}"/>
    <cellStyle name="Normal 6 2 2 2 2 4 5" xfId="29395" xr:uid="{00000000-0005-0000-0000-0000D7720000}"/>
    <cellStyle name="Normal 6 2 2 2 2 4 6" xfId="29396" xr:uid="{00000000-0005-0000-0000-0000D8720000}"/>
    <cellStyle name="Normal 6 2 2 2 2 5" xfId="29397" xr:uid="{00000000-0005-0000-0000-0000D9720000}"/>
    <cellStyle name="Normal 6 2 2 2 2 5 2" xfId="29398" xr:uid="{00000000-0005-0000-0000-0000DA720000}"/>
    <cellStyle name="Normal 6 2 2 2 2 5 3" xfId="29399" xr:uid="{00000000-0005-0000-0000-0000DB720000}"/>
    <cellStyle name="Normal 6 2 2 2 2 5 4" xfId="29400" xr:uid="{00000000-0005-0000-0000-0000DC720000}"/>
    <cellStyle name="Normal 6 2 2 2 2 5 5" xfId="29401" xr:uid="{00000000-0005-0000-0000-0000DD720000}"/>
    <cellStyle name="Normal 6 2 2 2 2 5 6" xfId="29402" xr:uid="{00000000-0005-0000-0000-0000DE720000}"/>
    <cellStyle name="Normal 6 2 2 2 2 6" xfId="29403" xr:uid="{00000000-0005-0000-0000-0000DF720000}"/>
    <cellStyle name="Normal 6 2 2 2 2 6 2" xfId="29404" xr:uid="{00000000-0005-0000-0000-0000E0720000}"/>
    <cellStyle name="Normal 6 2 2 2 2 6 3" xfId="29405" xr:uid="{00000000-0005-0000-0000-0000E1720000}"/>
    <cellStyle name="Normal 6 2 2 2 2 6 4" xfId="29406" xr:uid="{00000000-0005-0000-0000-0000E2720000}"/>
    <cellStyle name="Normal 6 2 2 2 2 6 5" xfId="29407" xr:uid="{00000000-0005-0000-0000-0000E3720000}"/>
    <cellStyle name="Normal 6 2 2 2 2 6 6" xfId="29408" xr:uid="{00000000-0005-0000-0000-0000E4720000}"/>
    <cellStyle name="Normal 6 2 2 2 2 7" xfId="29409" xr:uid="{00000000-0005-0000-0000-0000E5720000}"/>
    <cellStyle name="Normal 6 2 2 2 2 7 2" xfId="29410" xr:uid="{00000000-0005-0000-0000-0000E6720000}"/>
    <cellStyle name="Normal 6 2 2 2 2 7 3" xfId="29411" xr:uid="{00000000-0005-0000-0000-0000E7720000}"/>
    <cellStyle name="Normal 6 2 2 2 2 7 4" xfId="29412" xr:uid="{00000000-0005-0000-0000-0000E8720000}"/>
    <cellStyle name="Normal 6 2 2 2 2 7 5" xfId="29413" xr:uid="{00000000-0005-0000-0000-0000E9720000}"/>
    <cellStyle name="Normal 6 2 2 2 2 7 6" xfId="29414" xr:uid="{00000000-0005-0000-0000-0000EA720000}"/>
    <cellStyle name="Normal 6 2 2 2 2 8" xfId="29415" xr:uid="{00000000-0005-0000-0000-0000EB720000}"/>
    <cellStyle name="Normal 6 2 2 2 2 8 2" xfId="29416" xr:uid="{00000000-0005-0000-0000-0000EC720000}"/>
    <cellStyle name="Normal 6 2 2 2 2 8 3" xfId="29417" xr:uid="{00000000-0005-0000-0000-0000ED720000}"/>
    <cellStyle name="Normal 6 2 2 2 2 8 4" xfId="29418" xr:uid="{00000000-0005-0000-0000-0000EE720000}"/>
    <cellStyle name="Normal 6 2 2 2 2 8 5" xfId="29419" xr:uid="{00000000-0005-0000-0000-0000EF720000}"/>
    <cellStyle name="Normal 6 2 2 2 2 8 6" xfId="29420" xr:uid="{00000000-0005-0000-0000-0000F0720000}"/>
    <cellStyle name="Normal 6 2 2 2 2 9" xfId="29421" xr:uid="{00000000-0005-0000-0000-0000F1720000}"/>
    <cellStyle name="Normal 6 2 2 2 2 9 2" xfId="29422" xr:uid="{00000000-0005-0000-0000-0000F2720000}"/>
    <cellStyle name="Normal 6 2 2 2 2 9 3" xfId="29423" xr:uid="{00000000-0005-0000-0000-0000F3720000}"/>
    <cellStyle name="Normal 6 2 2 2 2 9 4" xfId="29424" xr:uid="{00000000-0005-0000-0000-0000F4720000}"/>
    <cellStyle name="Normal 6 2 2 2 2 9 5" xfId="29425" xr:uid="{00000000-0005-0000-0000-0000F5720000}"/>
    <cellStyle name="Normal 6 2 2 2 2 9 6" xfId="29426" xr:uid="{00000000-0005-0000-0000-0000F6720000}"/>
    <cellStyle name="Normal 6 2 2 2 20" xfId="29427" xr:uid="{00000000-0005-0000-0000-0000F7720000}"/>
    <cellStyle name="Normal 6 2 2 2 21" xfId="29428" xr:uid="{00000000-0005-0000-0000-0000F8720000}"/>
    <cellStyle name="Normal 6 2 2 2 22" xfId="29429" xr:uid="{00000000-0005-0000-0000-0000F9720000}"/>
    <cellStyle name="Normal 6 2 2 2 23" xfId="29430" xr:uid="{00000000-0005-0000-0000-0000FA720000}"/>
    <cellStyle name="Normal 6 2 2 2 24" xfId="29431" xr:uid="{00000000-0005-0000-0000-0000FB720000}"/>
    <cellStyle name="Normal 6 2 2 2 25" xfId="29432" xr:uid="{00000000-0005-0000-0000-0000FC720000}"/>
    <cellStyle name="Normal 6 2 2 2 26" xfId="29433" xr:uid="{00000000-0005-0000-0000-0000FD720000}"/>
    <cellStyle name="Normal 6 2 2 2 27" xfId="29434" xr:uid="{00000000-0005-0000-0000-0000FE720000}"/>
    <cellStyle name="Normal 6 2 2 2 28" xfId="29435" xr:uid="{00000000-0005-0000-0000-0000FF720000}"/>
    <cellStyle name="Normal 6 2 2 2 29" xfId="29436" xr:uid="{00000000-0005-0000-0000-000000730000}"/>
    <cellStyle name="Normal 6 2 2 2 3" xfId="29437" xr:uid="{00000000-0005-0000-0000-000001730000}"/>
    <cellStyle name="Normal 6 2 2 2 3 10" xfId="29438" xr:uid="{00000000-0005-0000-0000-000002730000}"/>
    <cellStyle name="Normal 6 2 2 2 3 11" xfId="29439" xr:uid="{00000000-0005-0000-0000-000003730000}"/>
    <cellStyle name="Normal 6 2 2 2 3 12" xfId="29440" xr:uid="{00000000-0005-0000-0000-000004730000}"/>
    <cellStyle name="Normal 6 2 2 2 3 13" xfId="29441" xr:uid="{00000000-0005-0000-0000-000005730000}"/>
    <cellStyle name="Normal 6 2 2 2 3 14" xfId="29442" xr:uid="{00000000-0005-0000-0000-000006730000}"/>
    <cellStyle name="Normal 6 2 2 2 3 2" xfId="29443" xr:uid="{00000000-0005-0000-0000-000007730000}"/>
    <cellStyle name="Normal 6 2 2 2 3 2 2" xfId="29444" xr:uid="{00000000-0005-0000-0000-000008730000}"/>
    <cellStyle name="Normal 6 2 2 2 3 2 3" xfId="29445" xr:uid="{00000000-0005-0000-0000-000009730000}"/>
    <cellStyle name="Normal 6 2 2 2 3 2 4" xfId="29446" xr:uid="{00000000-0005-0000-0000-00000A730000}"/>
    <cellStyle name="Normal 6 2 2 2 3 2 5" xfId="29447" xr:uid="{00000000-0005-0000-0000-00000B730000}"/>
    <cellStyle name="Normal 6 2 2 2 3 2 6" xfId="29448" xr:uid="{00000000-0005-0000-0000-00000C730000}"/>
    <cellStyle name="Normal 6 2 2 2 3 3" xfId="29449" xr:uid="{00000000-0005-0000-0000-00000D730000}"/>
    <cellStyle name="Normal 6 2 2 2 3 3 2" xfId="29450" xr:uid="{00000000-0005-0000-0000-00000E730000}"/>
    <cellStyle name="Normal 6 2 2 2 3 3 3" xfId="29451" xr:uid="{00000000-0005-0000-0000-00000F730000}"/>
    <cellStyle name="Normal 6 2 2 2 3 3 4" xfId="29452" xr:uid="{00000000-0005-0000-0000-000010730000}"/>
    <cellStyle name="Normal 6 2 2 2 3 3 5" xfId="29453" xr:uid="{00000000-0005-0000-0000-000011730000}"/>
    <cellStyle name="Normal 6 2 2 2 3 3 6" xfId="29454" xr:uid="{00000000-0005-0000-0000-000012730000}"/>
    <cellStyle name="Normal 6 2 2 2 3 4" xfId="29455" xr:uid="{00000000-0005-0000-0000-000013730000}"/>
    <cellStyle name="Normal 6 2 2 2 3 4 2" xfId="29456" xr:uid="{00000000-0005-0000-0000-000014730000}"/>
    <cellStyle name="Normal 6 2 2 2 3 4 3" xfId="29457" xr:uid="{00000000-0005-0000-0000-000015730000}"/>
    <cellStyle name="Normal 6 2 2 2 3 4 4" xfId="29458" xr:uid="{00000000-0005-0000-0000-000016730000}"/>
    <cellStyle name="Normal 6 2 2 2 3 4 5" xfId="29459" xr:uid="{00000000-0005-0000-0000-000017730000}"/>
    <cellStyle name="Normal 6 2 2 2 3 4 6" xfId="29460" xr:uid="{00000000-0005-0000-0000-000018730000}"/>
    <cellStyle name="Normal 6 2 2 2 3 5" xfId="29461" xr:uid="{00000000-0005-0000-0000-000019730000}"/>
    <cellStyle name="Normal 6 2 2 2 3 5 2" xfId="29462" xr:uid="{00000000-0005-0000-0000-00001A730000}"/>
    <cellStyle name="Normal 6 2 2 2 3 5 3" xfId="29463" xr:uid="{00000000-0005-0000-0000-00001B730000}"/>
    <cellStyle name="Normal 6 2 2 2 3 5 4" xfId="29464" xr:uid="{00000000-0005-0000-0000-00001C730000}"/>
    <cellStyle name="Normal 6 2 2 2 3 5 5" xfId="29465" xr:uid="{00000000-0005-0000-0000-00001D730000}"/>
    <cellStyle name="Normal 6 2 2 2 3 5 6" xfId="29466" xr:uid="{00000000-0005-0000-0000-00001E730000}"/>
    <cellStyle name="Normal 6 2 2 2 3 6" xfId="29467" xr:uid="{00000000-0005-0000-0000-00001F730000}"/>
    <cellStyle name="Normal 6 2 2 2 3 6 2" xfId="29468" xr:uid="{00000000-0005-0000-0000-000020730000}"/>
    <cellStyle name="Normal 6 2 2 2 3 6 3" xfId="29469" xr:uid="{00000000-0005-0000-0000-000021730000}"/>
    <cellStyle name="Normal 6 2 2 2 3 6 4" xfId="29470" xr:uid="{00000000-0005-0000-0000-000022730000}"/>
    <cellStyle name="Normal 6 2 2 2 3 6 5" xfId="29471" xr:uid="{00000000-0005-0000-0000-000023730000}"/>
    <cellStyle name="Normal 6 2 2 2 3 6 6" xfId="29472" xr:uid="{00000000-0005-0000-0000-000024730000}"/>
    <cellStyle name="Normal 6 2 2 2 3 7" xfId="29473" xr:uid="{00000000-0005-0000-0000-000025730000}"/>
    <cellStyle name="Normal 6 2 2 2 3 7 2" xfId="29474" xr:uid="{00000000-0005-0000-0000-000026730000}"/>
    <cellStyle name="Normal 6 2 2 2 3 7 3" xfId="29475" xr:uid="{00000000-0005-0000-0000-000027730000}"/>
    <cellStyle name="Normal 6 2 2 2 3 7 4" xfId="29476" xr:uid="{00000000-0005-0000-0000-000028730000}"/>
    <cellStyle name="Normal 6 2 2 2 3 7 5" xfId="29477" xr:uid="{00000000-0005-0000-0000-000029730000}"/>
    <cellStyle name="Normal 6 2 2 2 3 7 6" xfId="29478" xr:uid="{00000000-0005-0000-0000-00002A730000}"/>
    <cellStyle name="Normal 6 2 2 2 3 8" xfId="29479" xr:uid="{00000000-0005-0000-0000-00002B730000}"/>
    <cellStyle name="Normal 6 2 2 2 3 8 2" xfId="29480" xr:uid="{00000000-0005-0000-0000-00002C730000}"/>
    <cellStyle name="Normal 6 2 2 2 3 8 3" xfId="29481" xr:uid="{00000000-0005-0000-0000-00002D730000}"/>
    <cellStyle name="Normal 6 2 2 2 3 8 4" xfId="29482" xr:uid="{00000000-0005-0000-0000-00002E730000}"/>
    <cellStyle name="Normal 6 2 2 2 3 8 5" xfId="29483" xr:uid="{00000000-0005-0000-0000-00002F730000}"/>
    <cellStyle name="Normal 6 2 2 2 3 8 6" xfId="29484" xr:uid="{00000000-0005-0000-0000-000030730000}"/>
    <cellStyle name="Normal 6 2 2 2 3 9" xfId="29485" xr:uid="{00000000-0005-0000-0000-000031730000}"/>
    <cellStyle name="Normal 6 2 2 2 3 9 2" xfId="29486" xr:uid="{00000000-0005-0000-0000-000032730000}"/>
    <cellStyle name="Normal 6 2 2 2 3 9 3" xfId="29487" xr:uid="{00000000-0005-0000-0000-000033730000}"/>
    <cellStyle name="Normal 6 2 2 2 3 9 4" xfId="29488" xr:uid="{00000000-0005-0000-0000-000034730000}"/>
    <cellStyle name="Normal 6 2 2 2 3 9 5" xfId="29489" xr:uid="{00000000-0005-0000-0000-000035730000}"/>
    <cellStyle name="Normal 6 2 2 2 3 9 6" xfId="29490" xr:uid="{00000000-0005-0000-0000-000036730000}"/>
    <cellStyle name="Normal 6 2 2 2 30" xfId="29491" xr:uid="{00000000-0005-0000-0000-000037730000}"/>
    <cellStyle name="Normal 6 2 2 2 31" xfId="29492" xr:uid="{00000000-0005-0000-0000-000038730000}"/>
    <cellStyle name="Normal 6 2 2 2 4" xfId="29493" xr:uid="{00000000-0005-0000-0000-000039730000}"/>
    <cellStyle name="Normal 6 2 2 2 4 2" xfId="29494" xr:uid="{00000000-0005-0000-0000-00003A730000}"/>
    <cellStyle name="Normal 6 2 2 2 4 3" xfId="29495" xr:uid="{00000000-0005-0000-0000-00003B730000}"/>
    <cellStyle name="Normal 6 2 2 2 4 4" xfId="29496" xr:uid="{00000000-0005-0000-0000-00003C730000}"/>
    <cellStyle name="Normal 6 2 2 2 4 5" xfId="29497" xr:uid="{00000000-0005-0000-0000-00003D730000}"/>
    <cellStyle name="Normal 6 2 2 2 4 6" xfId="29498" xr:uid="{00000000-0005-0000-0000-00003E730000}"/>
    <cellStyle name="Normal 6 2 2 2 5" xfId="29499" xr:uid="{00000000-0005-0000-0000-00003F730000}"/>
    <cellStyle name="Normal 6 2 2 2 5 2" xfId="29500" xr:uid="{00000000-0005-0000-0000-000040730000}"/>
    <cellStyle name="Normal 6 2 2 2 5 3" xfId="29501" xr:uid="{00000000-0005-0000-0000-000041730000}"/>
    <cellStyle name="Normal 6 2 2 2 5 4" xfId="29502" xr:uid="{00000000-0005-0000-0000-000042730000}"/>
    <cellStyle name="Normal 6 2 2 2 5 5" xfId="29503" xr:uid="{00000000-0005-0000-0000-000043730000}"/>
    <cellStyle name="Normal 6 2 2 2 5 6" xfId="29504" xr:uid="{00000000-0005-0000-0000-000044730000}"/>
    <cellStyle name="Normal 6 2 2 2 6" xfId="29505" xr:uid="{00000000-0005-0000-0000-000045730000}"/>
    <cellStyle name="Normal 6 2 2 2 6 2" xfId="29506" xr:uid="{00000000-0005-0000-0000-000046730000}"/>
    <cellStyle name="Normal 6 2 2 2 6 3" xfId="29507" xr:uid="{00000000-0005-0000-0000-000047730000}"/>
    <cellStyle name="Normal 6 2 2 2 6 4" xfId="29508" xr:uid="{00000000-0005-0000-0000-000048730000}"/>
    <cellStyle name="Normal 6 2 2 2 6 5" xfId="29509" xr:uid="{00000000-0005-0000-0000-000049730000}"/>
    <cellStyle name="Normal 6 2 2 2 6 6" xfId="29510" xr:uid="{00000000-0005-0000-0000-00004A730000}"/>
    <cellStyle name="Normal 6 2 2 2 7" xfId="29511" xr:uid="{00000000-0005-0000-0000-00004B730000}"/>
    <cellStyle name="Normal 6 2 2 2 7 2" xfId="29512" xr:uid="{00000000-0005-0000-0000-00004C730000}"/>
    <cellStyle name="Normal 6 2 2 2 7 3" xfId="29513" xr:uid="{00000000-0005-0000-0000-00004D730000}"/>
    <cellStyle name="Normal 6 2 2 2 7 4" xfId="29514" xr:uid="{00000000-0005-0000-0000-00004E730000}"/>
    <cellStyle name="Normal 6 2 2 2 7 5" xfId="29515" xr:uid="{00000000-0005-0000-0000-00004F730000}"/>
    <cellStyle name="Normal 6 2 2 2 7 6" xfId="29516" xr:uid="{00000000-0005-0000-0000-000050730000}"/>
    <cellStyle name="Normal 6 2 2 2 8" xfId="29517" xr:uid="{00000000-0005-0000-0000-000051730000}"/>
    <cellStyle name="Normal 6 2 2 2 8 2" xfId="29518" xr:uid="{00000000-0005-0000-0000-000052730000}"/>
    <cellStyle name="Normal 6 2 2 2 8 3" xfId="29519" xr:uid="{00000000-0005-0000-0000-000053730000}"/>
    <cellStyle name="Normal 6 2 2 2 8 4" xfId="29520" xr:uid="{00000000-0005-0000-0000-000054730000}"/>
    <cellStyle name="Normal 6 2 2 2 8 5" xfId="29521" xr:uid="{00000000-0005-0000-0000-000055730000}"/>
    <cellStyle name="Normal 6 2 2 2 8 6" xfId="29522" xr:uid="{00000000-0005-0000-0000-000056730000}"/>
    <cellStyle name="Normal 6 2 2 2 9" xfId="29523" xr:uid="{00000000-0005-0000-0000-000057730000}"/>
    <cellStyle name="Normal 6 2 2 2 9 2" xfId="29524" xr:uid="{00000000-0005-0000-0000-000058730000}"/>
    <cellStyle name="Normal 6 2 2 2 9 3" xfId="29525" xr:uid="{00000000-0005-0000-0000-000059730000}"/>
    <cellStyle name="Normal 6 2 2 2 9 4" xfId="29526" xr:uid="{00000000-0005-0000-0000-00005A730000}"/>
    <cellStyle name="Normal 6 2 2 2 9 5" xfId="29527" xr:uid="{00000000-0005-0000-0000-00005B730000}"/>
    <cellStyle name="Normal 6 2 2 2 9 6" xfId="29528" xr:uid="{00000000-0005-0000-0000-00005C730000}"/>
    <cellStyle name="Normal 6 2 2 3" xfId="29529" xr:uid="{00000000-0005-0000-0000-00005D730000}"/>
    <cellStyle name="Normal 6 2 2 3 10" xfId="29530" xr:uid="{00000000-0005-0000-0000-00005E730000}"/>
    <cellStyle name="Normal 6 2 2 3 10 2" xfId="29531" xr:uid="{00000000-0005-0000-0000-00005F730000}"/>
    <cellStyle name="Normal 6 2 2 3 10 3" xfId="29532" xr:uid="{00000000-0005-0000-0000-000060730000}"/>
    <cellStyle name="Normal 6 2 2 3 10 4" xfId="29533" xr:uid="{00000000-0005-0000-0000-000061730000}"/>
    <cellStyle name="Normal 6 2 2 3 10 5" xfId="29534" xr:uid="{00000000-0005-0000-0000-000062730000}"/>
    <cellStyle name="Normal 6 2 2 3 10 6" xfId="29535" xr:uid="{00000000-0005-0000-0000-000063730000}"/>
    <cellStyle name="Normal 6 2 2 3 11" xfId="29536" xr:uid="{00000000-0005-0000-0000-000064730000}"/>
    <cellStyle name="Normal 6 2 2 3 11 2" xfId="29537" xr:uid="{00000000-0005-0000-0000-000065730000}"/>
    <cellStyle name="Normal 6 2 2 3 11 3" xfId="29538" xr:uid="{00000000-0005-0000-0000-000066730000}"/>
    <cellStyle name="Normal 6 2 2 3 11 4" xfId="29539" xr:uid="{00000000-0005-0000-0000-000067730000}"/>
    <cellStyle name="Normal 6 2 2 3 11 5" xfId="29540" xr:uid="{00000000-0005-0000-0000-000068730000}"/>
    <cellStyle name="Normal 6 2 2 3 11 6" xfId="29541" xr:uid="{00000000-0005-0000-0000-000069730000}"/>
    <cellStyle name="Normal 6 2 2 3 12" xfId="29542" xr:uid="{00000000-0005-0000-0000-00006A730000}"/>
    <cellStyle name="Normal 6 2 2 3 13" xfId="29543" xr:uid="{00000000-0005-0000-0000-00006B730000}"/>
    <cellStyle name="Normal 6 2 2 3 14" xfId="29544" xr:uid="{00000000-0005-0000-0000-00006C730000}"/>
    <cellStyle name="Normal 6 2 2 3 15" xfId="29545" xr:uid="{00000000-0005-0000-0000-00006D730000}"/>
    <cellStyle name="Normal 6 2 2 3 16" xfId="29546" xr:uid="{00000000-0005-0000-0000-00006E730000}"/>
    <cellStyle name="Normal 6 2 2 3 17" xfId="29547" xr:uid="{00000000-0005-0000-0000-00006F730000}"/>
    <cellStyle name="Normal 6 2 2 3 18" xfId="29548" xr:uid="{00000000-0005-0000-0000-000070730000}"/>
    <cellStyle name="Normal 6 2 2 3 19" xfId="29549" xr:uid="{00000000-0005-0000-0000-000071730000}"/>
    <cellStyle name="Normal 6 2 2 3 2" xfId="29550" xr:uid="{00000000-0005-0000-0000-000072730000}"/>
    <cellStyle name="Normal 6 2 2 3 2 10" xfId="29551" xr:uid="{00000000-0005-0000-0000-000073730000}"/>
    <cellStyle name="Normal 6 2 2 3 2 10 2" xfId="29552" xr:uid="{00000000-0005-0000-0000-000074730000}"/>
    <cellStyle name="Normal 6 2 2 3 2 10 3" xfId="29553" xr:uid="{00000000-0005-0000-0000-000075730000}"/>
    <cellStyle name="Normal 6 2 2 3 2 10 4" xfId="29554" xr:uid="{00000000-0005-0000-0000-000076730000}"/>
    <cellStyle name="Normal 6 2 2 3 2 10 5" xfId="29555" xr:uid="{00000000-0005-0000-0000-000077730000}"/>
    <cellStyle name="Normal 6 2 2 3 2 10 6" xfId="29556" xr:uid="{00000000-0005-0000-0000-000078730000}"/>
    <cellStyle name="Normal 6 2 2 3 2 11" xfId="29557" xr:uid="{00000000-0005-0000-0000-000079730000}"/>
    <cellStyle name="Normal 6 2 2 3 2 12" xfId="29558" xr:uid="{00000000-0005-0000-0000-00007A730000}"/>
    <cellStyle name="Normal 6 2 2 3 2 13" xfId="29559" xr:uid="{00000000-0005-0000-0000-00007B730000}"/>
    <cellStyle name="Normal 6 2 2 3 2 14" xfId="29560" xr:uid="{00000000-0005-0000-0000-00007C730000}"/>
    <cellStyle name="Normal 6 2 2 3 2 15" xfId="29561" xr:uid="{00000000-0005-0000-0000-00007D730000}"/>
    <cellStyle name="Normal 6 2 2 3 2 2" xfId="29562" xr:uid="{00000000-0005-0000-0000-00007E730000}"/>
    <cellStyle name="Normal 6 2 2 3 2 2 10" xfId="29563" xr:uid="{00000000-0005-0000-0000-00007F730000}"/>
    <cellStyle name="Normal 6 2 2 3 2 2 11" xfId="29564" xr:uid="{00000000-0005-0000-0000-000080730000}"/>
    <cellStyle name="Normal 6 2 2 3 2 2 12" xfId="29565" xr:uid="{00000000-0005-0000-0000-000081730000}"/>
    <cellStyle name="Normal 6 2 2 3 2 2 13" xfId="29566" xr:uid="{00000000-0005-0000-0000-000082730000}"/>
    <cellStyle name="Normal 6 2 2 3 2 2 14" xfId="29567" xr:uid="{00000000-0005-0000-0000-000083730000}"/>
    <cellStyle name="Normal 6 2 2 3 2 2 2" xfId="29568" xr:uid="{00000000-0005-0000-0000-000084730000}"/>
    <cellStyle name="Normal 6 2 2 3 2 2 2 2" xfId="29569" xr:uid="{00000000-0005-0000-0000-000085730000}"/>
    <cellStyle name="Normal 6 2 2 3 2 2 2 3" xfId="29570" xr:uid="{00000000-0005-0000-0000-000086730000}"/>
    <cellStyle name="Normal 6 2 2 3 2 2 2 4" xfId="29571" xr:uid="{00000000-0005-0000-0000-000087730000}"/>
    <cellStyle name="Normal 6 2 2 3 2 2 2 5" xfId="29572" xr:uid="{00000000-0005-0000-0000-000088730000}"/>
    <cellStyle name="Normal 6 2 2 3 2 2 2 6" xfId="29573" xr:uid="{00000000-0005-0000-0000-000089730000}"/>
    <cellStyle name="Normal 6 2 2 3 2 2 3" xfId="29574" xr:uid="{00000000-0005-0000-0000-00008A730000}"/>
    <cellStyle name="Normal 6 2 2 3 2 2 3 2" xfId="29575" xr:uid="{00000000-0005-0000-0000-00008B730000}"/>
    <cellStyle name="Normal 6 2 2 3 2 2 3 3" xfId="29576" xr:uid="{00000000-0005-0000-0000-00008C730000}"/>
    <cellStyle name="Normal 6 2 2 3 2 2 3 4" xfId="29577" xr:uid="{00000000-0005-0000-0000-00008D730000}"/>
    <cellStyle name="Normal 6 2 2 3 2 2 3 5" xfId="29578" xr:uid="{00000000-0005-0000-0000-00008E730000}"/>
    <cellStyle name="Normal 6 2 2 3 2 2 3 6" xfId="29579" xr:uid="{00000000-0005-0000-0000-00008F730000}"/>
    <cellStyle name="Normal 6 2 2 3 2 2 4" xfId="29580" xr:uid="{00000000-0005-0000-0000-000090730000}"/>
    <cellStyle name="Normal 6 2 2 3 2 2 4 2" xfId="29581" xr:uid="{00000000-0005-0000-0000-000091730000}"/>
    <cellStyle name="Normal 6 2 2 3 2 2 4 3" xfId="29582" xr:uid="{00000000-0005-0000-0000-000092730000}"/>
    <cellStyle name="Normal 6 2 2 3 2 2 4 4" xfId="29583" xr:uid="{00000000-0005-0000-0000-000093730000}"/>
    <cellStyle name="Normal 6 2 2 3 2 2 4 5" xfId="29584" xr:uid="{00000000-0005-0000-0000-000094730000}"/>
    <cellStyle name="Normal 6 2 2 3 2 2 4 6" xfId="29585" xr:uid="{00000000-0005-0000-0000-000095730000}"/>
    <cellStyle name="Normal 6 2 2 3 2 2 5" xfId="29586" xr:uid="{00000000-0005-0000-0000-000096730000}"/>
    <cellStyle name="Normal 6 2 2 3 2 2 5 2" xfId="29587" xr:uid="{00000000-0005-0000-0000-000097730000}"/>
    <cellStyle name="Normal 6 2 2 3 2 2 5 3" xfId="29588" xr:uid="{00000000-0005-0000-0000-000098730000}"/>
    <cellStyle name="Normal 6 2 2 3 2 2 5 4" xfId="29589" xr:uid="{00000000-0005-0000-0000-000099730000}"/>
    <cellStyle name="Normal 6 2 2 3 2 2 5 5" xfId="29590" xr:uid="{00000000-0005-0000-0000-00009A730000}"/>
    <cellStyle name="Normal 6 2 2 3 2 2 5 6" xfId="29591" xr:uid="{00000000-0005-0000-0000-00009B730000}"/>
    <cellStyle name="Normal 6 2 2 3 2 2 6" xfId="29592" xr:uid="{00000000-0005-0000-0000-00009C730000}"/>
    <cellStyle name="Normal 6 2 2 3 2 2 6 2" xfId="29593" xr:uid="{00000000-0005-0000-0000-00009D730000}"/>
    <cellStyle name="Normal 6 2 2 3 2 2 6 3" xfId="29594" xr:uid="{00000000-0005-0000-0000-00009E730000}"/>
    <cellStyle name="Normal 6 2 2 3 2 2 6 4" xfId="29595" xr:uid="{00000000-0005-0000-0000-00009F730000}"/>
    <cellStyle name="Normal 6 2 2 3 2 2 6 5" xfId="29596" xr:uid="{00000000-0005-0000-0000-0000A0730000}"/>
    <cellStyle name="Normal 6 2 2 3 2 2 6 6" xfId="29597" xr:uid="{00000000-0005-0000-0000-0000A1730000}"/>
    <cellStyle name="Normal 6 2 2 3 2 2 7" xfId="29598" xr:uid="{00000000-0005-0000-0000-0000A2730000}"/>
    <cellStyle name="Normal 6 2 2 3 2 2 7 2" xfId="29599" xr:uid="{00000000-0005-0000-0000-0000A3730000}"/>
    <cellStyle name="Normal 6 2 2 3 2 2 7 3" xfId="29600" xr:uid="{00000000-0005-0000-0000-0000A4730000}"/>
    <cellStyle name="Normal 6 2 2 3 2 2 7 4" xfId="29601" xr:uid="{00000000-0005-0000-0000-0000A5730000}"/>
    <cellStyle name="Normal 6 2 2 3 2 2 7 5" xfId="29602" xr:uid="{00000000-0005-0000-0000-0000A6730000}"/>
    <cellStyle name="Normal 6 2 2 3 2 2 7 6" xfId="29603" xr:uid="{00000000-0005-0000-0000-0000A7730000}"/>
    <cellStyle name="Normal 6 2 2 3 2 2 8" xfId="29604" xr:uid="{00000000-0005-0000-0000-0000A8730000}"/>
    <cellStyle name="Normal 6 2 2 3 2 2 8 2" xfId="29605" xr:uid="{00000000-0005-0000-0000-0000A9730000}"/>
    <cellStyle name="Normal 6 2 2 3 2 2 8 3" xfId="29606" xr:uid="{00000000-0005-0000-0000-0000AA730000}"/>
    <cellStyle name="Normal 6 2 2 3 2 2 8 4" xfId="29607" xr:uid="{00000000-0005-0000-0000-0000AB730000}"/>
    <cellStyle name="Normal 6 2 2 3 2 2 8 5" xfId="29608" xr:uid="{00000000-0005-0000-0000-0000AC730000}"/>
    <cellStyle name="Normal 6 2 2 3 2 2 8 6" xfId="29609" xr:uid="{00000000-0005-0000-0000-0000AD730000}"/>
    <cellStyle name="Normal 6 2 2 3 2 2 9" xfId="29610" xr:uid="{00000000-0005-0000-0000-0000AE730000}"/>
    <cellStyle name="Normal 6 2 2 3 2 2 9 2" xfId="29611" xr:uid="{00000000-0005-0000-0000-0000AF730000}"/>
    <cellStyle name="Normal 6 2 2 3 2 2 9 3" xfId="29612" xr:uid="{00000000-0005-0000-0000-0000B0730000}"/>
    <cellStyle name="Normal 6 2 2 3 2 2 9 4" xfId="29613" xr:uid="{00000000-0005-0000-0000-0000B1730000}"/>
    <cellStyle name="Normal 6 2 2 3 2 2 9 5" xfId="29614" xr:uid="{00000000-0005-0000-0000-0000B2730000}"/>
    <cellStyle name="Normal 6 2 2 3 2 2 9 6" xfId="29615" xr:uid="{00000000-0005-0000-0000-0000B3730000}"/>
    <cellStyle name="Normal 6 2 2 3 2 3" xfId="29616" xr:uid="{00000000-0005-0000-0000-0000B4730000}"/>
    <cellStyle name="Normal 6 2 2 3 2 3 2" xfId="29617" xr:uid="{00000000-0005-0000-0000-0000B5730000}"/>
    <cellStyle name="Normal 6 2 2 3 2 3 3" xfId="29618" xr:uid="{00000000-0005-0000-0000-0000B6730000}"/>
    <cellStyle name="Normal 6 2 2 3 2 3 4" xfId="29619" xr:uid="{00000000-0005-0000-0000-0000B7730000}"/>
    <cellStyle name="Normal 6 2 2 3 2 3 5" xfId="29620" xr:uid="{00000000-0005-0000-0000-0000B8730000}"/>
    <cellStyle name="Normal 6 2 2 3 2 3 6" xfId="29621" xr:uid="{00000000-0005-0000-0000-0000B9730000}"/>
    <cellStyle name="Normal 6 2 2 3 2 4" xfId="29622" xr:uid="{00000000-0005-0000-0000-0000BA730000}"/>
    <cellStyle name="Normal 6 2 2 3 2 4 2" xfId="29623" xr:uid="{00000000-0005-0000-0000-0000BB730000}"/>
    <cellStyle name="Normal 6 2 2 3 2 4 3" xfId="29624" xr:uid="{00000000-0005-0000-0000-0000BC730000}"/>
    <cellStyle name="Normal 6 2 2 3 2 4 4" xfId="29625" xr:uid="{00000000-0005-0000-0000-0000BD730000}"/>
    <cellStyle name="Normal 6 2 2 3 2 4 5" xfId="29626" xr:uid="{00000000-0005-0000-0000-0000BE730000}"/>
    <cellStyle name="Normal 6 2 2 3 2 4 6" xfId="29627" xr:uid="{00000000-0005-0000-0000-0000BF730000}"/>
    <cellStyle name="Normal 6 2 2 3 2 5" xfId="29628" xr:uid="{00000000-0005-0000-0000-0000C0730000}"/>
    <cellStyle name="Normal 6 2 2 3 2 5 2" xfId="29629" xr:uid="{00000000-0005-0000-0000-0000C1730000}"/>
    <cellStyle name="Normal 6 2 2 3 2 5 3" xfId="29630" xr:uid="{00000000-0005-0000-0000-0000C2730000}"/>
    <cellStyle name="Normal 6 2 2 3 2 5 4" xfId="29631" xr:uid="{00000000-0005-0000-0000-0000C3730000}"/>
    <cellStyle name="Normal 6 2 2 3 2 5 5" xfId="29632" xr:uid="{00000000-0005-0000-0000-0000C4730000}"/>
    <cellStyle name="Normal 6 2 2 3 2 5 6" xfId="29633" xr:uid="{00000000-0005-0000-0000-0000C5730000}"/>
    <cellStyle name="Normal 6 2 2 3 2 6" xfId="29634" xr:uid="{00000000-0005-0000-0000-0000C6730000}"/>
    <cellStyle name="Normal 6 2 2 3 2 6 2" xfId="29635" xr:uid="{00000000-0005-0000-0000-0000C7730000}"/>
    <cellStyle name="Normal 6 2 2 3 2 6 3" xfId="29636" xr:uid="{00000000-0005-0000-0000-0000C8730000}"/>
    <cellStyle name="Normal 6 2 2 3 2 6 4" xfId="29637" xr:uid="{00000000-0005-0000-0000-0000C9730000}"/>
    <cellStyle name="Normal 6 2 2 3 2 6 5" xfId="29638" xr:uid="{00000000-0005-0000-0000-0000CA730000}"/>
    <cellStyle name="Normal 6 2 2 3 2 6 6" xfId="29639" xr:uid="{00000000-0005-0000-0000-0000CB730000}"/>
    <cellStyle name="Normal 6 2 2 3 2 7" xfId="29640" xr:uid="{00000000-0005-0000-0000-0000CC730000}"/>
    <cellStyle name="Normal 6 2 2 3 2 7 2" xfId="29641" xr:uid="{00000000-0005-0000-0000-0000CD730000}"/>
    <cellStyle name="Normal 6 2 2 3 2 7 3" xfId="29642" xr:uid="{00000000-0005-0000-0000-0000CE730000}"/>
    <cellStyle name="Normal 6 2 2 3 2 7 4" xfId="29643" xr:uid="{00000000-0005-0000-0000-0000CF730000}"/>
    <cellStyle name="Normal 6 2 2 3 2 7 5" xfId="29644" xr:uid="{00000000-0005-0000-0000-0000D0730000}"/>
    <cellStyle name="Normal 6 2 2 3 2 7 6" xfId="29645" xr:uid="{00000000-0005-0000-0000-0000D1730000}"/>
    <cellStyle name="Normal 6 2 2 3 2 8" xfId="29646" xr:uid="{00000000-0005-0000-0000-0000D2730000}"/>
    <cellStyle name="Normal 6 2 2 3 2 8 2" xfId="29647" xr:uid="{00000000-0005-0000-0000-0000D3730000}"/>
    <cellStyle name="Normal 6 2 2 3 2 8 3" xfId="29648" xr:uid="{00000000-0005-0000-0000-0000D4730000}"/>
    <cellStyle name="Normal 6 2 2 3 2 8 4" xfId="29649" xr:uid="{00000000-0005-0000-0000-0000D5730000}"/>
    <cellStyle name="Normal 6 2 2 3 2 8 5" xfId="29650" xr:uid="{00000000-0005-0000-0000-0000D6730000}"/>
    <cellStyle name="Normal 6 2 2 3 2 8 6" xfId="29651" xr:uid="{00000000-0005-0000-0000-0000D7730000}"/>
    <cellStyle name="Normal 6 2 2 3 2 9" xfId="29652" xr:uid="{00000000-0005-0000-0000-0000D8730000}"/>
    <cellStyle name="Normal 6 2 2 3 2 9 2" xfId="29653" xr:uid="{00000000-0005-0000-0000-0000D9730000}"/>
    <cellStyle name="Normal 6 2 2 3 2 9 3" xfId="29654" xr:uid="{00000000-0005-0000-0000-0000DA730000}"/>
    <cellStyle name="Normal 6 2 2 3 2 9 4" xfId="29655" xr:uid="{00000000-0005-0000-0000-0000DB730000}"/>
    <cellStyle name="Normal 6 2 2 3 2 9 5" xfId="29656" xr:uid="{00000000-0005-0000-0000-0000DC730000}"/>
    <cellStyle name="Normal 6 2 2 3 2 9 6" xfId="29657" xr:uid="{00000000-0005-0000-0000-0000DD730000}"/>
    <cellStyle name="Normal 6 2 2 3 20" xfId="29658" xr:uid="{00000000-0005-0000-0000-0000DE730000}"/>
    <cellStyle name="Normal 6 2 2 3 21" xfId="29659" xr:uid="{00000000-0005-0000-0000-0000DF730000}"/>
    <cellStyle name="Normal 6 2 2 3 22" xfId="29660" xr:uid="{00000000-0005-0000-0000-0000E0730000}"/>
    <cellStyle name="Normal 6 2 2 3 23" xfId="29661" xr:uid="{00000000-0005-0000-0000-0000E1730000}"/>
    <cellStyle name="Normal 6 2 2 3 24" xfId="29662" xr:uid="{00000000-0005-0000-0000-0000E2730000}"/>
    <cellStyle name="Normal 6 2 2 3 25" xfId="29663" xr:uid="{00000000-0005-0000-0000-0000E3730000}"/>
    <cellStyle name="Normal 6 2 2 3 26" xfId="29664" xr:uid="{00000000-0005-0000-0000-0000E4730000}"/>
    <cellStyle name="Normal 6 2 2 3 27" xfId="29665" xr:uid="{00000000-0005-0000-0000-0000E5730000}"/>
    <cellStyle name="Normal 6 2 2 3 28" xfId="29666" xr:uid="{00000000-0005-0000-0000-0000E6730000}"/>
    <cellStyle name="Normal 6 2 2 3 29" xfId="29667" xr:uid="{00000000-0005-0000-0000-0000E7730000}"/>
    <cellStyle name="Normal 6 2 2 3 3" xfId="29668" xr:uid="{00000000-0005-0000-0000-0000E8730000}"/>
    <cellStyle name="Normal 6 2 2 3 3 10" xfId="29669" xr:uid="{00000000-0005-0000-0000-0000E9730000}"/>
    <cellStyle name="Normal 6 2 2 3 3 11" xfId="29670" xr:uid="{00000000-0005-0000-0000-0000EA730000}"/>
    <cellStyle name="Normal 6 2 2 3 3 12" xfId="29671" xr:uid="{00000000-0005-0000-0000-0000EB730000}"/>
    <cellStyle name="Normal 6 2 2 3 3 13" xfId="29672" xr:uid="{00000000-0005-0000-0000-0000EC730000}"/>
    <cellStyle name="Normal 6 2 2 3 3 14" xfId="29673" xr:uid="{00000000-0005-0000-0000-0000ED730000}"/>
    <cellStyle name="Normal 6 2 2 3 3 2" xfId="29674" xr:uid="{00000000-0005-0000-0000-0000EE730000}"/>
    <cellStyle name="Normal 6 2 2 3 3 2 2" xfId="29675" xr:uid="{00000000-0005-0000-0000-0000EF730000}"/>
    <cellStyle name="Normal 6 2 2 3 3 2 3" xfId="29676" xr:uid="{00000000-0005-0000-0000-0000F0730000}"/>
    <cellStyle name="Normal 6 2 2 3 3 2 4" xfId="29677" xr:uid="{00000000-0005-0000-0000-0000F1730000}"/>
    <cellStyle name="Normal 6 2 2 3 3 2 5" xfId="29678" xr:uid="{00000000-0005-0000-0000-0000F2730000}"/>
    <cellStyle name="Normal 6 2 2 3 3 2 6" xfId="29679" xr:uid="{00000000-0005-0000-0000-0000F3730000}"/>
    <cellStyle name="Normal 6 2 2 3 3 3" xfId="29680" xr:uid="{00000000-0005-0000-0000-0000F4730000}"/>
    <cellStyle name="Normal 6 2 2 3 3 3 2" xfId="29681" xr:uid="{00000000-0005-0000-0000-0000F5730000}"/>
    <cellStyle name="Normal 6 2 2 3 3 3 3" xfId="29682" xr:uid="{00000000-0005-0000-0000-0000F6730000}"/>
    <cellStyle name="Normal 6 2 2 3 3 3 4" xfId="29683" xr:uid="{00000000-0005-0000-0000-0000F7730000}"/>
    <cellStyle name="Normal 6 2 2 3 3 3 5" xfId="29684" xr:uid="{00000000-0005-0000-0000-0000F8730000}"/>
    <cellStyle name="Normal 6 2 2 3 3 3 6" xfId="29685" xr:uid="{00000000-0005-0000-0000-0000F9730000}"/>
    <cellStyle name="Normal 6 2 2 3 3 4" xfId="29686" xr:uid="{00000000-0005-0000-0000-0000FA730000}"/>
    <cellStyle name="Normal 6 2 2 3 3 4 2" xfId="29687" xr:uid="{00000000-0005-0000-0000-0000FB730000}"/>
    <cellStyle name="Normal 6 2 2 3 3 4 3" xfId="29688" xr:uid="{00000000-0005-0000-0000-0000FC730000}"/>
    <cellStyle name="Normal 6 2 2 3 3 4 4" xfId="29689" xr:uid="{00000000-0005-0000-0000-0000FD730000}"/>
    <cellStyle name="Normal 6 2 2 3 3 4 5" xfId="29690" xr:uid="{00000000-0005-0000-0000-0000FE730000}"/>
    <cellStyle name="Normal 6 2 2 3 3 4 6" xfId="29691" xr:uid="{00000000-0005-0000-0000-0000FF730000}"/>
    <cellStyle name="Normal 6 2 2 3 3 5" xfId="29692" xr:uid="{00000000-0005-0000-0000-000000740000}"/>
    <cellStyle name="Normal 6 2 2 3 3 5 2" xfId="29693" xr:uid="{00000000-0005-0000-0000-000001740000}"/>
    <cellStyle name="Normal 6 2 2 3 3 5 3" xfId="29694" xr:uid="{00000000-0005-0000-0000-000002740000}"/>
    <cellStyle name="Normal 6 2 2 3 3 5 4" xfId="29695" xr:uid="{00000000-0005-0000-0000-000003740000}"/>
    <cellStyle name="Normal 6 2 2 3 3 5 5" xfId="29696" xr:uid="{00000000-0005-0000-0000-000004740000}"/>
    <cellStyle name="Normal 6 2 2 3 3 5 6" xfId="29697" xr:uid="{00000000-0005-0000-0000-000005740000}"/>
    <cellStyle name="Normal 6 2 2 3 3 6" xfId="29698" xr:uid="{00000000-0005-0000-0000-000006740000}"/>
    <cellStyle name="Normal 6 2 2 3 3 6 2" xfId="29699" xr:uid="{00000000-0005-0000-0000-000007740000}"/>
    <cellStyle name="Normal 6 2 2 3 3 6 3" xfId="29700" xr:uid="{00000000-0005-0000-0000-000008740000}"/>
    <cellStyle name="Normal 6 2 2 3 3 6 4" xfId="29701" xr:uid="{00000000-0005-0000-0000-000009740000}"/>
    <cellStyle name="Normal 6 2 2 3 3 6 5" xfId="29702" xr:uid="{00000000-0005-0000-0000-00000A740000}"/>
    <cellStyle name="Normal 6 2 2 3 3 6 6" xfId="29703" xr:uid="{00000000-0005-0000-0000-00000B740000}"/>
    <cellStyle name="Normal 6 2 2 3 3 7" xfId="29704" xr:uid="{00000000-0005-0000-0000-00000C740000}"/>
    <cellStyle name="Normal 6 2 2 3 3 7 2" xfId="29705" xr:uid="{00000000-0005-0000-0000-00000D740000}"/>
    <cellStyle name="Normal 6 2 2 3 3 7 3" xfId="29706" xr:uid="{00000000-0005-0000-0000-00000E740000}"/>
    <cellStyle name="Normal 6 2 2 3 3 7 4" xfId="29707" xr:uid="{00000000-0005-0000-0000-00000F740000}"/>
    <cellStyle name="Normal 6 2 2 3 3 7 5" xfId="29708" xr:uid="{00000000-0005-0000-0000-000010740000}"/>
    <cellStyle name="Normal 6 2 2 3 3 7 6" xfId="29709" xr:uid="{00000000-0005-0000-0000-000011740000}"/>
    <cellStyle name="Normal 6 2 2 3 3 8" xfId="29710" xr:uid="{00000000-0005-0000-0000-000012740000}"/>
    <cellStyle name="Normal 6 2 2 3 3 8 2" xfId="29711" xr:uid="{00000000-0005-0000-0000-000013740000}"/>
    <cellStyle name="Normal 6 2 2 3 3 8 3" xfId="29712" xr:uid="{00000000-0005-0000-0000-000014740000}"/>
    <cellStyle name="Normal 6 2 2 3 3 8 4" xfId="29713" xr:uid="{00000000-0005-0000-0000-000015740000}"/>
    <cellStyle name="Normal 6 2 2 3 3 8 5" xfId="29714" xr:uid="{00000000-0005-0000-0000-000016740000}"/>
    <cellStyle name="Normal 6 2 2 3 3 8 6" xfId="29715" xr:uid="{00000000-0005-0000-0000-000017740000}"/>
    <cellStyle name="Normal 6 2 2 3 3 9" xfId="29716" xr:uid="{00000000-0005-0000-0000-000018740000}"/>
    <cellStyle name="Normal 6 2 2 3 3 9 2" xfId="29717" xr:uid="{00000000-0005-0000-0000-000019740000}"/>
    <cellStyle name="Normal 6 2 2 3 3 9 3" xfId="29718" xr:uid="{00000000-0005-0000-0000-00001A740000}"/>
    <cellStyle name="Normal 6 2 2 3 3 9 4" xfId="29719" xr:uid="{00000000-0005-0000-0000-00001B740000}"/>
    <cellStyle name="Normal 6 2 2 3 3 9 5" xfId="29720" xr:uid="{00000000-0005-0000-0000-00001C740000}"/>
    <cellStyle name="Normal 6 2 2 3 3 9 6" xfId="29721" xr:uid="{00000000-0005-0000-0000-00001D740000}"/>
    <cellStyle name="Normal 6 2 2 3 30" xfId="29722" xr:uid="{00000000-0005-0000-0000-00001E740000}"/>
    <cellStyle name="Normal 6 2 2 3 31" xfId="29723" xr:uid="{00000000-0005-0000-0000-00001F740000}"/>
    <cellStyle name="Normal 6 2 2 3 4" xfId="29724" xr:uid="{00000000-0005-0000-0000-000020740000}"/>
    <cellStyle name="Normal 6 2 2 3 4 2" xfId="29725" xr:uid="{00000000-0005-0000-0000-000021740000}"/>
    <cellStyle name="Normal 6 2 2 3 4 3" xfId="29726" xr:uid="{00000000-0005-0000-0000-000022740000}"/>
    <cellStyle name="Normal 6 2 2 3 4 4" xfId="29727" xr:uid="{00000000-0005-0000-0000-000023740000}"/>
    <cellStyle name="Normal 6 2 2 3 4 5" xfId="29728" xr:uid="{00000000-0005-0000-0000-000024740000}"/>
    <cellStyle name="Normal 6 2 2 3 4 6" xfId="29729" xr:uid="{00000000-0005-0000-0000-000025740000}"/>
    <cellStyle name="Normal 6 2 2 3 5" xfId="29730" xr:uid="{00000000-0005-0000-0000-000026740000}"/>
    <cellStyle name="Normal 6 2 2 3 5 2" xfId="29731" xr:uid="{00000000-0005-0000-0000-000027740000}"/>
    <cellStyle name="Normal 6 2 2 3 5 3" xfId="29732" xr:uid="{00000000-0005-0000-0000-000028740000}"/>
    <cellStyle name="Normal 6 2 2 3 5 4" xfId="29733" xr:uid="{00000000-0005-0000-0000-000029740000}"/>
    <cellStyle name="Normal 6 2 2 3 5 5" xfId="29734" xr:uid="{00000000-0005-0000-0000-00002A740000}"/>
    <cellStyle name="Normal 6 2 2 3 5 6" xfId="29735" xr:uid="{00000000-0005-0000-0000-00002B740000}"/>
    <cellStyle name="Normal 6 2 2 3 6" xfId="29736" xr:uid="{00000000-0005-0000-0000-00002C740000}"/>
    <cellStyle name="Normal 6 2 2 3 6 2" xfId="29737" xr:uid="{00000000-0005-0000-0000-00002D740000}"/>
    <cellStyle name="Normal 6 2 2 3 6 3" xfId="29738" xr:uid="{00000000-0005-0000-0000-00002E740000}"/>
    <cellStyle name="Normal 6 2 2 3 6 4" xfId="29739" xr:uid="{00000000-0005-0000-0000-00002F740000}"/>
    <cellStyle name="Normal 6 2 2 3 6 5" xfId="29740" xr:uid="{00000000-0005-0000-0000-000030740000}"/>
    <cellStyle name="Normal 6 2 2 3 6 6" xfId="29741" xr:uid="{00000000-0005-0000-0000-000031740000}"/>
    <cellStyle name="Normal 6 2 2 3 7" xfId="29742" xr:uid="{00000000-0005-0000-0000-000032740000}"/>
    <cellStyle name="Normal 6 2 2 3 7 2" xfId="29743" xr:uid="{00000000-0005-0000-0000-000033740000}"/>
    <cellStyle name="Normal 6 2 2 3 7 3" xfId="29744" xr:uid="{00000000-0005-0000-0000-000034740000}"/>
    <cellStyle name="Normal 6 2 2 3 7 4" xfId="29745" xr:uid="{00000000-0005-0000-0000-000035740000}"/>
    <cellStyle name="Normal 6 2 2 3 7 5" xfId="29746" xr:uid="{00000000-0005-0000-0000-000036740000}"/>
    <cellStyle name="Normal 6 2 2 3 7 6" xfId="29747" xr:uid="{00000000-0005-0000-0000-000037740000}"/>
    <cellStyle name="Normal 6 2 2 3 8" xfId="29748" xr:uid="{00000000-0005-0000-0000-000038740000}"/>
    <cellStyle name="Normal 6 2 2 3 8 2" xfId="29749" xr:uid="{00000000-0005-0000-0000-000039740000}"/>
    <cellStyle name="Normal 6 2 2 3 8 3" xfId="29750" xr:uid="{00000000-0005-0000-0000-00003A740000}"/>
    <cellStyle name="Normal 6 2 2 3 8 4" xfId="29751" xr:uid="{00000000-0005-0000-0000-00003B740000}"/>
    <cellStyle name="Normal 6 2 2 3 8 5" xfId="29752" xr:uid="{00000000-0005-0000-0000-00003C740000}"/>
    <cellStyle name="Normal 6 2 2 3 8 6" xfId="29753" xr:uid="{00000000-0005-0000-0000-00003D740000}"/>
    <cellStyle name="Normal 6 2 2 3 9" xfId="29754" xr:uid="{00000000-0005-0000-0000-00003E740000}"/>
    <cellStyle name="Normal 6 2 2 3 9 2" xfId="29755" xr:uid="{00000000-0005-0000-0000-00003F740000}"/>
    <cellStyle name="Normal 6 2 2 3 9 3" xfId="29756" xr:uid="{00000000-0005-0000-0000-000040740000}"/>
    <cellStyle name="Normal 6 2 2 3 9 4" xfId="29757" xr:uid="{00000000-0005-0000-0000-000041740000}"/>
    <cellStyle name="Normal 6 2 2 3 9 5" xfId="29758" xr:uid="{00000000-0005-0000-0000-000042740000}"/>
    <cellStyle name="Normal 6 2 2 3 9 6" xfId="29759" xr:uid="{00000000-0005-0000-0000-000043740000}"/>
    <cellStyle name="Normal 6 2 2 4" xfId="29760" xr:uid="{00000000-0005-0000-0000-000044740000}"/>
    <cellStyle name="Normal 6 2 2 4 10" xfId="29761" xr:uid="{00000000-0005-0000-0000-000045740000}"/>
    <cellStyle name="Normal 6 2 2 4 10 2" xfId="29762" xr:uid="{00000000-0005-0000-0000-000046740000}"/>
    <cellStyle name="Normal 6 2 2 4 10 3" xfId="29763" xr:uid="{00000000-0005-0000-0000-000047740000}"/>
    <cellStyle name="Normal 6 2 2 4 10 4" xfId="29764" xr:uid="{00000000-0005-0000-0000-000048740000}"/>
    <cellStyle name="Normal 6 2 2 4 10 5" xfId="29765" xr:uid="{00000000-0005-0000-0000-000049740000}"/>
    <cellStyle name="Normal 6 2 2 4 10 6" xfId="29766" xr:uid="{00000000-0005-0000-0000-00004A740000}"/>
    <cellStyle name="Normal 6 2 2 4 11" xfId="29767" xr:uid="{00000000-0005-0000-0000-00004B740000}"/>
    <cellStyle name="Normal 6 2 2 4 11 2" xfId="29768" xr:uid="{00000000-0005-0000-0000-00004C740000}"/>
    <cellStyle name="Normal 6 2 2 4 11 3" xfId="29769" xr:uid="{00000000-0005-0000-0000-00004D740000}"/>
    <cellStyle name="Normal 6 2 2 4 11 4" xfId="29770" xr:uid="{00000000-0005-0000-0000-00004E740000}"/>
    <cellStyle name="Normal 6 2 2 4 11 5" xfId="29771" xr:uid="{00000000-0005-0000-0000-00004F740000}"/>
    <cellStyle name="Normal 6 2 2 4 11 6" xfId="29772" xr:uid="{00000000-0005-0000-0000-000050740000}"/>
    <cellStyle name="Normal 6 2 2 4 12" xfId="29773" xr:uid="{00000000-0005-0000-0000-000051740000}"/>
    <cellStyle name="Normal 6 2 2 4 13" xfId="29774" xr:uid="{00000000-0005-0000-0000-000052740000}"/>
    <cellStyle name="Normal 6 2 2 4 14" xfId="29775" xr:uid="{00000000-0005-0000-0000-000053740000}"/>
    <cellStyle name="Normal 6 2 2 4 15" xfId="29776" xr:uid="{00000000-0005-0000-0000-000054740000}"/>
    <cellStyle name="Normal 6 2 2 4 16" xfId="29777" xr:uid="{00000000-0005-0000-0000-000055740000}"/>
    <cellStyle name="Normal 6 2 2 4 17" xfId="29778" xr:uid="{00000000-0005-0000-0000-000056740000}"/>
    <cellStyle name="Normal 6 2 2 4 18" xfId="29779" xr:uid="{00000000-0005-0000-0000-000057740000}"/>
    <cellStyle name="Normal 6 2 2 4 19" xfId="29780" xr:uid="{00000000-0005-0000-0000-000058740000}"/>
    <cellStyle name="Normal 6 2 2 4 2" xfId="29781" xr:uid="{00000000-0005-0000-0000-000059740000}"/>
    <cellStyle name="Normal 6 2 2 4 2 10" xfId="29782" xr:uid="{00000000-0005-0000-0000-00005A740000}"/>
    <cellStyle name="Normal 6 2 2 4 2 10 2" xfId="29783" xr:uid="{00000000-0005-0000-0000-00005B740000}"/>
    <cellStyle name="Normal 6 2 2 4 2 10 3" xfId="29784" xr:uid="{00000000-0005-0000-0000-00005C740000}"/>
    <cellStyle name="Normal 6 2 2 4 2 10 4" xfId="29785" xr:uid="{00000000-0005-0000-0000-00005D740000}"/>
    <cellStyle name="Normal 6 2 2 4 2 10 5" xfId="29786" xr:uid="{00000000-0005-0000-0000-00005E740000}"/>
    <cellStyle name="Normal 6 2 2 4 2 10 6" xfId="29787" xr:uid="{00000000-0005-0000-0000-00005F740000}"/>
    <cellStyle name="Normal 6 2 2 4 2 11" xfId="29788" xr:uid="{00000000-0005-0000-0000-000060740000}"/>
    <cellStyle name="Normal 6 2 2 4 2 12" xfId="29789" xr:uid="{00000000-0005-0000-0000-000061740000}"/>
    <cellStyle name="Normal 6 2 2 4 2 13" xfId="29790" xr:uid="{00000000-0005-0000-0000-000062740000}"/>
    <cellStyle name="Normal 6 2 2 4 2 14" xfId="29791" xr:uid="{00000000-0005-0000-0000-000063740000}"/>
    <cellStyle name="Normal 6 2 2 4 2 15" xfId="29792" xr:uid="{00000000-0005-0000-0000-000064740000}"/>
    <cellStyle name="Normal 6 2 2 4 2 2" xfId="29793" xr:uid="{00000000-0005-0000-0000-000065740000}"/>
    <cellStyle name="Normal 6 2 2 4 2 2 10" xfId="29794" xr:uid="{00000000-0005-0000-0000-000066740000}"/>
    <cellStyle name="Normal 6 2 2 4 2 2 11" xfId="29795" xr:uid="{00000000-0005-0000-0000-000067740000}"/>
    <cellStyle name="Normal 6 2 2 4 2 2 12" xfId="29796" xr:uid="{00000000-0005-0000-0000-000068740000}"/>
    <cellStyle name="Normal 6 2 2 4 2 2 13" xfId="29797" xr:uid="{00000000-0005-0000-0000-000069740000}"/>
    <cellStyle name="Normal 6 2 2 4 2 2 14" xfId="29798" xr:uid="{00000000-0005-0000-0000-00006A740000}"/>
    <cellStyle name="Normal 6 2 2 4 2 2 2" xfId="29799" xr:uid="{00000000-0005-0000-0000-00006B740000}"/>
    <cellStyle name="Normal 6 2 2 4 2 2 2 2" xfId="29800" xr:uid="{00000000-0005-0000-0000-00006C740000}"/>
    <cellStyle name="Normal 6 2 2 4 2 2 2 3" xfId="29801" xr:uid="{00000000-0005-0000-0000-00006D740000}"/>
    <cellStyle name="Normal 6 2 2 4 2 2 2 4" xfId="29802" xr:uid="{00000000-0005-0000-0000-00006E740000}"/>
    <cellStyle name="Normal 6 2 2 4 2 2 2 5" xfId="29803" xr:uid="{00000000-0005-0000-0000-00006F740000}"/>
    <cellStyle name="Normal 6 2 2 4 2 2 2 6" xfId="29804" xr:uid="{00000000-0005-0000-0000-000070740000}"/>
    <cellStyle name="Normal 6 2 2 4 2 2 3" xfId="29805" xr:uid="{00000000-0005-0000-0000-000071740000}"/>
    <cellStyle name="Normal 6 2 2 4 2 2 3 2" xfId="29806" xr:uid="{00000000-0005-0000-0000-000072740000}"/>
    <cellStyle name="Normal 6 2 2 4 2 2 3 3" xfId="29807" xr:uid="{00000000-0005-0000-0000-000073740000}"/>
    <cellStyle name="Normal 6 2 2 4 2 2 3 4" xfId="29808" xr:uid="{00000000-0005-0000-0000-000074740000}"/>
    <cellStyle name="Normal 6 2 2 4 2 2 3 5" xfId="29809" xr:uid="{00000000-0005-0000-0000-000075740000}"/>
    <cellStyle name="Normal 6 2 2 4 2 2 3 6" xfId="29810" xr:uid="{00000000-0005-0000-0000-000076740000}"/>
    <cellStyle name="Normal 6 2 2 4 2 2 4" xfId="29811" xr:uid="{00000000-0005-0000-0000-000077740000}"/>
    <cellStyle name="Normal 6 2 2 4 2 2 4 2" xfId="29812" xr:uid="{00000000-0005-0000-0000-000078740000}"/>
    <cellStyle name="Normal 6 2 2 4 2 2 4 3" xfId="29813" xr:uid="{00000000-0005-0000-0000-000079740000}"/>
    <cellStyle name="Normal 6 2 2 4 2 2 4 4" xfId="29814" xr:uid="{00000000-0005-0000-0000-00007A740000}"/>
    <cellStyle name="Normal 6 2 2 4 2 2 4 5" xfId="29815" xr:uid="{00000000-0005-0000-0000-00007B740000}"/>
    <cellStyle name="Normal 6 2 2 4 2 2 4 6" xfId="29816" xr:uid="{00000000-0005-0000-0000-00007C740000}"/>
    <cellStyle name="Normal 6 2 2 4 2 2 5" xfId="29817" xr:uid="{00000000-0005-0000-0000-00007D740000}"/>
    <cellStyle name="Normal 6 2 2 4 2 2 5 2" xfId="29818" xr:uid="{00000000-0005-0000-0000-00007E740000}"/>
    <cellStyle name="Normal 6 2 2 4 2 2 5 3" xfId="29819" xr:uid="{00000000-0005-0000-0000-00007F740000}"/>
    <cellStyle name="Normal 6 2 2 4 2 2 5 4" xfId="29820" xr:uid="{00000000-0005-0000-0000-000080740000}"/>
    <cellStyle name="Normal 6 2 2 4 2 2 5 5" xfId="29821" xr:uid="{00000000-0005-0000-0000-000081740000}"/>
    <cellStyle name="Normal 6 2 2 4 2 2 5 6" xfId="29822" xr:uid="{00000000-0005-0000-0000-000082740000}"/>
    <cellStyle name="Normal 6 2 2 4 2 2 6" xfId="29823" xr:uid="{00000000-0005-0000-0000-000083740000}"/>
    <cellStyle name="Normal 6 2 2 4 2 2 6 2" xfId="29824" xr:uid="{00000000-0005-0000-0000-000084740000}"/>
    <cellStyle name="Normal 6 2 2 4 2 2 6 3" xfId="29825" xr:uid="{00000000-0005-0000-0000-000085740000}"/>
    <cellStyle name="Normal 6 2 2 4 2 2 6 4" xfId="29826" xr:uid="{00000000-0005-0000-0000-000086740000}"/>
    <cellStyle name="Normal 6 2 2 4 2 2 6 5" xfId="29827" xr:uid="{00000000-0005-0000-0000-000087740000}"/>
    <cellStyle name="Normal 6 2 2 4 2 2 6 6" xfId="29828" xr:uid="{00000000-0005-0000-0000-000088740000}"/>
    <cellStyle name="Normal 6 2 2 4 2 2 7" xfId="29829" xr:uid="{00000000-0005-0000-0000-000089740000}"/>
    <cellStyle name="Normal 6 2 2 4 2 2 7 2" xfId="29830" xr:uid="{00000000-0005-0000-0000-00008A740000}"/>
    <cellStyle name="Normal 6 2 2 4 2 2 7 3" xfId="29831" xr:uid="{00000000-0005-0000-0000-00008B740000}"/>
    <cellStyle name="Normal 6 2 2 4 2 2 7 4" xfId="29832" xr:uid="{00000000-0005-0000-0000-00008C740000}"/>
    <cellStyle name="Normal 6 2 2 4 2 2 7 5" xfId="29833" xr:uid="{00000000-0005-0000-0000-00008D740000}"/>
    <cellStyle name="Normal 6 2 2 4 2 2 7 6" xfId="29834" xr:uid="{00000000-0005-0000-0000-00008E740000}"/>
    <cellStyle name="Normal 6 2 2 4 2 2 8" xfId="29835" xr:uid="{00000000-0005-0000-0000-00008F740000}"/>
    <cellStyle name="Normal 6 2 2 4 2 2 8 2" xfId="29836" xr:uid="{00000000-0005-0000-0000-000090740000}"/>
    <cellStyle name="Normal 6 2 2 4 2 2 8 3" xfId="29837" xr:uid="{00000000-0005-0000-0000-000091740000}"/>
    <cellStyle name="Normal 6 2 2 4 2 2 8 4" xfId="29838" xr:uid="{00000000-0005-0000-0000-000092740000}"/>
    <cellStyle name="Normal 6 2 2 4 2 2 8 5" xfId="29839" xr:uid="{00000000-0005-0000-0000-000093740000}"/>
    <cellStyle name="Normal 6 2 2 4 2 2 8 6" xfId="29840" xr:uid="{00000000-0005-0000-0000-000094740000}"/>
    <cellStyle name="Normal 6 2 2 4 2 2 9" xfId="29841" xr:uid="{00000000-0005-0000-0000-000095740000}"/>
    <cellStyle name="Normal 6 2 2 4 2 2 9 2" xfId="29842" xr:uid="{00000000-0005-0000-0000-000096740000}"/>
    <cellStyle name="Normal 6 2 2 4 2 2 9 3" xfId="29843" xr:uid="{00000000-0005-0000-0000-000097740000}"/>
    <cellStyle name="Normal 6 2 2 4 2 2 9 4" xfId="29844" xr:uid="{00000000-0005-0000-0000-000098740000}"/>
    <cellStyle name="Normal 6 2 2 4 2 2 9 5" xfId="29845" xr:uid="{00000000-0005-0000-0000-000099740000}"/>
    <cellStyle name="Normal 6 2 2 4 2 2 9 6" xfId="29846" xr:uid="{00000000-0005-0000-0000-00009A740000}"/>
    <cellStyle name="Normal 6 2 2 4 2 3" xfId="29847" xr:uid="{00000000-0005-0000-0000-00009B740000}"/>
    <cellStyle name="Normal 6 2 2 4 2 3 2" xfId="29848" xr:uid="{00000000-0005-0000-0000-00009C740000}"/>
    <cellStyle name="Normal 6 2 2 4 2 3 3" xfId="29849" xr:uid="{00000000-0005-0000-0000-00009D740000}"/>
    <cellStyle name="Normal 6 2 2 4 2 3 4" xfId="29850" xr:uid="{00000000-0005-0000-0000-00009E740000}"/>
    <cellStyle name="Normal 6 2 2 4 2 3 5" xfId="29851" xr:uid="{00000000-0005-0000-0000-00009F740000}"/>
    <cellStyle name="Normal 6 2 2 4 2 3 6" xfId="29852" xr:uid="{00000000-0005-0000-0000-0000A0740000}"/>
    <cellStyle name="Normal 6 2 2 4 2 4" xfId="29853" xr:uid="{00000000-0005-0000-0000-0000A1740000}"/>
    <cellStyle name="Normal 6 2 2 4 2 4 2" xfId="29854" xr:uid="{00000000-0005-0000-0000-0000A2740000}"/>
    <cellStyle name="Normal 6 2 2 4 2 4 3" xfId="29855" xr:uid="{00000000-0005-0000-0000-0000A3740000}"/>
    <cellStyle name="Normal 6 2 2 4 2 4 4" xfId="29856" xr:uid="{00000000-0005-0000-0000-0000A4740000}"/>
    <cellStyle name="Normal 6 2 2 4 2 4 5" xfId="29857" xr:uid="{00000000-0005-0000-0000-0000A5740000}"/>
    <cellStyle name="Normal 6 2 2 4 2 4 6" xfId="29858" xr:uid="{00000000-0005-0000-0000-0000A6740000}"/>
    <cellStyle name="Normal 6 2 2 4 2 5" xfId="29859" xr:uid="{00000000-0005-0000-0000-0000A7740000}"/>
    <cellStyle name="Normal 6 2 2 4 2 5 2" xfId="29860" xr:uid="{00000000-0005-0000-0000-0000A8740000}"/>
    <cellStyle name="Normal 6 2 2 4 2 5 3" xfId="29861" xr:uid="{00000000-0005-0000-0000-0000A9740000}"/>
    <cellStyle name="Normal 6 2 2 4 2 5 4" xfId="29862" xr:uid="{00000000-0005-0000-0000-0000AA740000}"/>
    <cellStyle name="Normal 6 2 2 4 2 5 5" xfId="29863" xr:uid="{00000000-0005-0000-0000-0000AB740000}"/>
    <cellStyle name="Normal 6 2 2 4 2 5 6" xfId="29864" xr:uid="{00000000-0005-0000-0000-0000AC740000}"/>
    <cellStyle name="Normal 6 2 2 4 2 6" xfId="29865" xr:uid="{00000000-0005-0000-0000-0000AD740000}"/>
    <cellStyle name="Normal 6 2 2 4 2 6 2" xfId="29866" xr:uid="{00000000-0005-0000-0000-0000AE740000}"/>
    <cellStyle name="Normal 6 2 2 4 2 6 3" xfId="29867" xr:uid="{00000000-0005-0000-0000-0000AF740000}"/>
    <cellStyle name="Normal 6 2 2 4 2 6 4" xfId="29868" xr:uid="{00000000-0005-0000-0000-0000B0740000}"/>
    <cellStyle name="Normal 6 2 2 4 2 6 5" xfId="29869" xr:uid="{00000000-0005-0000-0000-0000B1740000}"/>
    <cellStyle name="Normal 6 2 2 4 2 6 6" xfId="29870" xr:uid="{00000000-0005-0000-0000-0000B2740000}"/>
    <cellStyle name="Normal 6 2 2 4 2 7" xfId="29871" xr:uid="{00000000-0005-0000-0000-0000B3740000}"/>
    <cellStyle name="Normal 6 2 2 4 2 7 2" xfId="29872" xr:uid="{00000000-0005-0000-0000-0000B4740000}"/>
    <cellStyle name="Normal 6 2 2 4 2 7 3" xfId="29873" xr:uid="{00000000-0005-0000-0000-0000B5740000}"/>
    <cellStyle name="Normal 6 2 2 4 2 7 4" xfId="29874" xr:uid="{00000000-0005-0000-0000-0000B6740000}"/>
    <cellStyle name="Normal 6 2 2 4 2 7 5" xfId="29875" xr:uid="{00000000-0005-0000-0000-0000B7740000}"/>
    <cellStyle name="Normal 6 2 2 4 2 7 6" xfId="29876" xr:uid="{00000000-0005-0000-0000-0000B8740000}"/>
    <cellStyle name="Normal 6 2 2 4 2 8" xfId="29877" xr:uid="{00000000-0005-0000-0000-0000B9740000}"/>
    <cellStyle name="Normal 6 2 2 4 2 8 2" xfId="29878" xr:uid="{00000000-0005-0000-0000-0000BA740000}"/>
    <cellStyle name="Normal 6 2 2 4 2 8 3" xfId="29879" xr:uid="{00000000-0005-0000-0000-0000BB740000}"/>
    <cellStyle name="Normal 6 2 2 4 2 8 4" xfId="29880" xr:uid="{00000000-0005-0000-0000-0000BC740000}"/>
    <cellStyle name="Normal 6 2 2 4 2 8 5" xfId="29881" xr:uid="{00000000-0005-0000-0000-0000BD740000}"/>
    <cellStyle name="Normal 6 2 2 4 2 8 6" xfId="29882" xr:uid="{00000000-0005-0000-0000-0000BE740000}"/>
    <cellStyle name="Normal 6 2 2 4 2 9" xfId="29883" xr:uid="{00000000-0005-0000-0000-0000BF740000}"/>
    <cellStyle name="Normal 6 2 2 4 2 9 2" xfId="29884" xr:uid="{00000000-0005-0000-0000-0000C0740000}"/>
    <cellStyle name="Normal 6 2 2 4 2 9 3" xfId="29885" xr:uid="{00000000-0005-0000-0000-0000C1740000}"/>
    <cellStyle name="Normal 6 2 2 4 2 9 4" xfId="29886" xr:uid="{00000000-0005-0000-0000-0000C2740000}"/>
    <cellStyle name="Normal 6 2 2 4 2 9 5" xfId="29887" xr:uid="{00000000-0005-0000-0000-0000C3740000}"/>
    <cellStyle name="Normal 6 2 2 4 2 9 6" xfId="29888" xr:uid="{00000000-0005-0000-0000-0000C4740000}"/>
    <cellStyle name="Normal 6 2 2 4 20" xfId="29889" xr:uid="{00000000-0005-0000-0000-0000C5740000}"/>
    <cellStyle name="Normal 6 2 2 4 21" xfId="29890" xr:uid="{00000000-0005-0000-0000-0000C6740000}"/>
    <cellStyle name="Normal 6 2 2 4 22" xfId="29891" xr:uid="{00000000-0005-0000-0000-0000C7740000}"/>
    <cellStyle name="Normal 6 2 2 4 23" xfId="29892" xr:uid="{00000000-0005-0000-0000-0000C8740000}"/>
    <cellStyle name="Normal 6 2 2 4 24" xfId="29893" xr:uid="{00000000-0005-0000-0000-0000C9740000}"/>
    <cellStyle name="Normal 6 2 2 4 25" xfId="29894" xr:uid="{00000000-0005-0000-0000-0000CA740000}"/>
    <cellStyle name="Normal 6 2 2 4 26" xfId="29895" xr:uid="{00000000-0005-0000-0000-0000CB740000}"/>
    <cellStyle name="Normal 6 2 2 4 27" xfId="29896" xr:uid="{00000000-0005-0000-0000-0000CC740000}"/>
    <cellStyle name="Normal 6 2 2 4 28" xfId="29897" xr:uid="{00000000-0005-0000-0000-0000CD740000}"/>
    <cellStyle name="Normal 6 2 2 4 29" xfId="29898" xr:uid="{00000000-0005-0000-0000-0000CE740000}"/>
    <cellStyle name="Normal 6 2 2 4 3" xfId="29899" xr:uid="{00000000-0005-0000-0000-0000CF740000}"/>
    <cellStyle name="Normal 6 2 2 4 3 10" xfId="29900" xr:uid="{00000000-0005-0000-0000-0000D0740000}"/>
    <cellStyle name="Normal 6 2 2 4 3 11" xfId="29901" xr:uid="{00000000-0005-0000-0000-0000D1740000}"/>
    <cellStyle name="Normal 6 2 2 4 3 12" xfId="29902" xr:uid="{00000000-0005-0000-0000-0000D2740000}"/>
    <cellStyle name="Normal 6 2 2 4 3 13" xfId="29903" xr:uid="{00000000-0005-0000-0000-0000D3740000}"/>
    <cellStyle name="Normal 6 2 2 4 3 14" xfId="29904" xr:uid="{00000000-0005-0000-0000-0000D4740000}"/>
    <cellStyle name="Normal 6 2 2 4 3 2" xfId="29905" xr:uid="{00000000-0005-0000-0000-0000D5740000}"/>
    <cellStyle name="Normal 6 2 2 4 3 2 2" xfId="29906" xr:uid="{00000000-0005-0000-0000-0000D6740000}"/>
    <cellStyle name="Normal 6 2 2 4 3 2 3" xfId="29907" xr:uid="{00000000-0005-0000-0000-0000D7740000}"/>
    <cellStyle name="Normal 6 2 2 4 3 2 4" xfId="29908" xr:uid="{00000000-0005-0000-0000-0000D8740000}"/>
    <cellStyle name="Normal 6 2 2 4 3 2 5" xfId="29909" xr:uid="{00000000-0005-0000-0000-0000D9740000}"/>
    <cellStyle name="Normal 6 2 2 4 3 2 6" xfId="29910" xr:uid="{00000000-0005-0000-0000-0000DA740000}"/>
    <cellStyle name="Normal 6 2 2 4 3 3" xfId="29911" xr:uid="{00000000-0005-0000-0000-0000DB740000}"/>
    <cellStyle name="Normal 6 2 2 4 3 3 2" xfId="29912" xr:uid="{00000000-0005-0000-0000-0000DC740000}"/>
    <cellStyle name="Normal 6 2 2 4 3 3 3" xfId="29913" xr:uid="{00000000-0005-0000-0000-0000DD740000}"/>
    <cellStyle name="Normal 6 2 2 4 3 3 4" xfId="29914" xr:uid="{00000000-0005-0000-0000-0000DE740000}"/>
    <cellStyle name="Normal 6 2 2 4 3 3 5" xfId="29915" xr:uid="{00000000-0005-0000-0000-0000DF740000}"/>
    <cellStyle name="Normal 6 2 2 4 3 3 6" xfId="29916" xr:uid="{00000000-0005-0000-0000-0000E0740000}"/>
    <cellStyle name="Normal 6 2 2 4 3 4" xfId="29917" xr:uid="{00000000-0005-0000-0000-0000E1740000}"/>
    <cellStyle name="Normal 6 2 2 4 3 4 2" xfId="29918" xr:uid="{00000000-0005-0000-0000-0000E2740000}"/>
    <cellStyle name="Normal 6 2 2 4 3 4 3" xfId="29919" xr:uid="{00000000-0005-0000-0000-0000E3740000}"/>
    <cellStyle name="Normal 6 2 2 4 3 4 4" xfId="29920" xr:uid="{00000000-0005-0000-0000-0000E4740000}"/>
    <cellStyle name="Normal 6 2 2 4 3 4 5" xfId="29921" xr:uid="{00000000-0005-0000-0000-0000E5740000}"/>
    <cellStyle name="Normal 6 2 2 4 3 4 6" xfId="29922" xr:uid="{00000000-0005-0000-0000-0000E6740000}"/>
    <cellStyle name="Normal 6 2 2 4 3 5" xfId="29923" xr:uid="{00000000-0005-0000-0000-0000E7740000}"/>
    <cellStyle name="Normal 6 2 2 4 3 5 2" xfId="29924" xr:uid="{00000000-0005-0000-0000-0000E8740000}"/>
    <cellStyle name="Normal 6 2 2 4 3 5 3" xfId="29925" xr:uid="{00000000-0005-0000-0000-0000E9740000}"/>
    <cellStyle name="Normal 6 2 2 4 3 5 4" xfId="29926" xr:uid="{00000000-0005-0000-0000-0000EA740000}"/>
    <cellStyle name="Normal 6 2 2 4 3 5 5" xfId="29927" xr:uid="{00000000-0005-0000-0000-0000EB740000}"/>
    <cellStyle name="Normal 6 2 2 4 3 5 6" xfId="29928" xr:uid="{00000000-0005-0000-0000-0000EC740000}"/>
    <cellStyle name="Normal 6 2 2 4 3 6" xfId="29929" xr:uid="{00000000-0005-0000-0000-0000ED740000}"/>
    <cellStyle name="Normal 6 2 2 4 3 6 2" xfId="29930" xr:uid="{00000000-0005-0000-0000-0000EE740000}"/>
    <cellStyle name="Normal 6 2 2 4 3 6 3" xfId="29931" xr:uid="{00000000-0005-0000-0000-0000EF740000}"/>
    <cellStyle name="Normal 6 2 2 4 3 6 4" xfId="29932" xr:uid="{00000000-0005-0000-0000-0000F0740000}"/>
    <cellStyle name="Normal 6 2 2 4 3 6 5" xfId="29933" xr:uid="{00000000-0005-0000-0000-0000F1740000}"/>
    <cellStyle name="Normal 6 2 2 4 3 6 6" xfId="29934" xr:uid="{00000000-0005-0000-0000-0000F2740000}"/>
    <cellStyle name="Normal 6 2 2 4 3 7" xfId="29935" xr:uid="{00000000-0005-0000-0000-0000F3740000}"/>
    <cellStyle name="Normal 6 2 2 4 3 7 2" xfId="29936" xr:uid="{00000000-0005-0000-0000-0000F4740000}"/>
    <cellStyle name="Normal 6 2 2 4 3 7 3" xfId="29937" xr:uid="{00000000-0005-0000-0000-0000F5740000}"/>
    <cellStyle name="Normal 6 2 2 4 3 7 4" xfId="29938" xr:uid="{00000000-0005-0000-0000-0000F6740000}"/>
    <cellStyle name="Normal 6 2 2 4 3 7 5" xfId="29939" xr:uid="{00000000-0005-0000-0000-0000F7740000}"/>
    <cellStyle name="Normal 6 2 2 4 3 7 6" xfId="29940" xr:uid="{00000000-0005-0000-0000-0000F8740000}"/>
    <cellStyle name="Normal 6 2 2 4 3 8" xfId="29941" xr:uid="{00000000-0005-0000-0000-0000F9740000}"/>
    <cellStyle name="Normal 6 2 2 4 3 8 2" xfId="29942" xr:uid="{00000000-0005-0000-0000-0000FA740000}"/>
    <cellStyle name="Normal 6 2 2 4 3 8 3" xfId="29943" xr:uid="{00000000-0005-0000-0000-0000FB740000}"/>
    <cellStyle name="Normal 6 2 2 4 3 8 4" xfId="29944" xr:uid="{00000000-0005-0000-0000-0000FC740000}"/>
    <cellStyle name="Normal 6 2 2 4 3 8 5" xfId="29945" xr:uid="{00000000-0005-0000-0000-0000FD740000}"/>
    <cellStyle name="Normal 6 2 2 4 3 8 6" xfId="29946" xr:uid="{00000000-0005-0000-0000-0000FE740000}"/>
    <cellStyle name="Normal 6 2 2 4 3 9" xfId="29947" xr:uid="{00000000-0005-0000-0000-0000FF740000}"/>
    <cellStyle name="Normal 6 2 2 4 3 9 2" xfId="29948" xr:uid="{00000000-0005-0000-0000-000000750000}"/>
    <cellStyle name="Normal 6 2 2 4 3 9 3" xfId="29949" xr:uid="{00000000-0005-0000-0000-000001750000}"/>
    <cellStyle name="Normal 6 2 2 4 3 9 4" xfId="29950" xr:uid="{00000000-0005-0000-0000-000002750000}"/>
    <cellStyle name="Normal 6 2 2 4 3 9 5" xfId="29951" xr:uid="{00000000-0005-0000-0000-000003750000}"/>
    <cellStyle name="Normal 6 2 2 4 3 9 6" xfId="29952" xr:uid="{00000000-0005-0000-0000-000004750000}"/>
    <cellStyle name="Normal 6 2 2 4 30" xfId="29953" xr:uid="{00000000-0005-0000-0000-000005750000}"/>
    <cellStyle name="Normal 6 2 2 4 31" xfId="29954" xr:uid="{00000000-0005-0000-0000-000006750000}"/>
    <cellStyle name="Normal 6 2 2 4 4" xfId="29955" xr:uid="{00000000-0005-0000-0000-000007750000}"/>
    <cellStyle name="Normal 6 2 2 4 4 2" xfId="29956" xr:uid="{00000000-0005-0000-0000-000008750000}"/>
    <cellStyle name="Normal 6 2 2 4 4 3" xfId="29957" xr:uid="{00000000-0005-0000-0000-000009750000}"/>
    <cellStyle name="Normal 6 2 2 4 4 4" xfId="29958" xr:uid="{00000000-0005-0000-0000-00000A750000}"/>
    <cellStyle name="Normal 6 2 2 4 4 5" xfId="29959" xr:uid="{00000000-0005-0000-0000-00000B750000}"/>
    <cellStyle name="Normal 6 2 2 4 4 6" xfId="29960" xr:uid="{00000000-0005-0000-0000-00000C750000}"/>
    <cellStyle name="Normal 6 2 2 4 5" xfId="29961" xr:uid="{00000000-0005-0000-0000-00000D750000}"/>
    <cellStyle name="Normal 6 2 2 4 5 2" xfId="29962" xr:uid="{00000000-0005-0000-0000-00000E750000}"/>
    <cellStyle name="Normal 6 2 2 4 5 3" xfId="29963" xr:uid="{00000000-0005-0000-0000-00000F750000}"/>
    <cellStyle name="Normal 6 2 2 4 5 4" xfId="29964" xr:uid="{00000000-0005-0000-0000-000010750000}"/>
    <cellStyle name="Normal 6 2 2 4 5 5" xfId="29965" xr:uid="{00000000-0005-0000-0000-000011750000}"/>
    <cellStyle name="Normal 6 2 2 4 5 6" xfId="29966" xr:uid="{00000000-0005-0000-0000-000012750000}"/>
    <cellStyle name="Normal 6 2 2 4 6" xfId="29967" xr:uid="{00000000-0005-0000-0000-000013750000}"/>
    <cellStyle name="Normal 6 2 2 4 6 2" xfId="29968" xr:uid="{00000000-0005-0000-0000-000014750000}"/>
    <cellStyle name="Normal 6 2 2 4 6 3" xfId="29969" xr:uid="{00000000-0005-0000-0000-000015750000}"/>
    <cellStyle name="Normal 6 2 2 4 6 4" xfId="29970" xr:uid="{00000000-0005-0000-0000-000016750000}"/>
    <cellStyle name="Normal 6 2 2 4 6 5" xfId="29971" xr:uid="{00000000-0005-0000-0000-000017750000}"/>
    <cellStyle name="Normal 6 2 2 4 6 6" xfId="29972" xr:uid="{00000000-0005-0000-0000-000018750000}"/>
    <cellStyle name="Normal 6 2 2 4 7" xfId="29973" xr:uid="{00000000-0005-0000-0000-000019750000}"/>
    <cellStyle name="Normal 6 2 2 4 7 2" xfId="29974" xr:uid="{00000000-0005-0000-0000-00001A750000}"/>
    <cellStyle name="Normal 6 2 2 4 7 3" xfId="29975" xr:uid="{00000000-0005-0000-0000-00001B750000}"/>
    <cellStyle name="Normal 6 2 2 4 7 4" xfId="29976" xr:uid="{00000000-0005-0000-0000-00001C750000}"/>
    <cellStyle name="Normal 6 2 2 4 7 5" xfId="29977" xr:uid="{00000000-0005-0000-0000-00001D750000}"/>
    <cellStyle name="Normal 6 2 2 4 7 6" xfId="29978" xr:uid="{00000000-0005-0000-0000-00001E750000}"/>
    <cellStyle name="Normal 6 2 2 4 8" xfId="29979" xr:uid="{00000000-0005-0000-0000-00001F750000}"/>
    <cellStyle name="Normal 6 2 2 4 8 2" xfId="29980" xr:uid="{00000000-0005-0000-0000-000020750000}"/>
    <cellStyle name="Normal 6 2 2 4 8 3" xfId="29981" xr:uid="{00000000-0005-0000-0000-000021750000}"/>
    <cellStyle name="Normal 6 2 2 4 8 4" xfId="29982" xr:uid="{00000000-0005-0000-0000-000022750000}"/>
    <cellStyle name="Normal 6 2 2 4 8 5" xfId="29983" xr:uid="{00000000-0005-0000-0000-000023750000}"/>
    <cellStyle name="Normal 6 2 2 4 8 6" xfId="29984" xr:uid="{00000000-0005-0000-0000-000024750000}"/>
    <cellStyle name="Normal 6 2 2 4 9" xfId="29985" xr:uid="{00000000-0005-0000-0000-000025750000}"/>
    <cellStyle name="Normal 6 2 2 4 9 2" xfId="29986" xr:uid="{00000000-0005-0000-0000-000026750000}"/>
    <cellStyle name="Normal 6 2 2 4 9 3" xfId="29987" xr:uid="{00000000-0005-0000-0000-000027750000}"/>
    <cellStyle name="Normal 6 2 2 4 9 4" xfId="29988" xr:uid="{00000000-0005-0000-0000-000028750000}"/>
    <cellStyle name="Normal 6 2 2 4 9 5" xfId="29989" xr:uid="{00000000-0005-0000-0000-000029750000}"/>
    <cellStyle name="Normal 6 2 2 4 9 6" xfId="29990" xr:uid="{00000000-0005-0000-0000-00002A750000}"/>
    <cellStyle name="Normal 6 2 20" xfId="29991" xr:uid="{00000000-0005-0000-0000-00002B750000}"/>
    <cellStyle name="Normal 6 2 21" xfId="29992" xr:uid="{00000000-0005-0000-0000-00002C750000}"/>
    <cellStyle name="Normal 6 2 22" xfId="29993" xr:uid="{00000000-0005-0000-0000-00002D750000}"/>
    <cellStyle name="Normal 6 2 23" xfId="29994" xr:uid="{00000000-0005-0000-0000-00002E750000}"/>
    <cellStyle name="Normal 6 2 24" xfId="29995" xr:uid="{00000000-0005-0000-0000-00002F750000}"/>
    <cellStyle name="Normal 6 2 25" xfId="29996" xr:uid="{00000000-0005-0000-0000-000030750000}"/>
    <cellStyle name="Normal 6 2 26" xfId="29997" xr:uid="{00000000-0005-0000-0000-000031750000}"/>
    <cellStyle name="Normal 6 2 27" xfId="29998" xr:uid="{00000000-0005-0000-0000-000032750000}"/>
    <cellStyle name="Normal 6 2 28" xfId="29999" xr:uid="{00000000-0005-0000-0000-000033750000}"/>
    <cellStyle name="Normal 6 2 29" xfId="30000" xr:uid="{00000000-0005-0000-0000-000034750000}"/>
    <cellStyle name="Normal 6 2 3" xfId="30001" xr:uid="{00000000-0005-0000-0000-000035750000}"/>
    <cellStyle name="Normal 6 2 30" xfId="30002" xr:uid="{00000000-0005-0000-0000-000036750000}"/>
    <cellStyle name="Normal 6 2 31" xfId="30003" xr:uid="{00000000-0005-0000-0000-000037750000}"/>
    <cellStyle name="Normal 6 2 32" xfId="30004" xr:uid="{00000000-0005-0000-0000-000038750000}"/>
    <cellStyle name="Normal 6 2 33" xfId="30005" xr:uid="{00000000-0005-0000-0000-000039750000}"/>
    <cellStyle name="Normal 6 2 34" xfId="30006" xr:uid="{00000000-0005-0000-0000-00003A750000}"/>
    <cellStyle name="Normal 6 2 35" xfId="30007" xr:uid="{00000000-0005-0000-0000-00003B750000}"/>
    <cellStyle name="Normal 6 2 4" xfId="30008" xr:uid="{00000000-0005-0000-0000-00003C750000}"/>
    <cellStyle name="Normal 6 2 5" xfId="30009" xr:uid="{00000000-0005-0000-0000-00003D750000}"/>
    <cellStyle name="Normal 6 2 6" xfId="30010" xr:uid="{00000000-0005-0000-0000-00003E750000}"/>
    <cellStyle name="Normal 6 2 7" xfId="30011" xr:uid="{00000000-0005-0000-0000-00003F750000}"/>
    <cellStyle name="Normal 6 2 8" xfId="30012" xr:uid="{00000000-0005-0000-0000-000040750000}"/>
    <cellStyle name="Normal 6 2 9" xfId="30013" xr:uid="{00000000-0005-0000-0000-000041750000}"/>
    <cellStyle name="Normal 6 3" xfId="30014" xr:uid="{00000000-0005-0000-0000-000042750000}"/>
    <cellStyle name="Normal 6 3 10" xfId="30015" xr:uid="{00000000-0005-0000-0000-000043750000}"/>
    <cellStyle name="Normal 6 3 10 2" xfId="30016" xr:uid="{00000000-0005-0000-0000-000044750000}"/>
    <cellStyle name="Normal 6 3 10 3" xfId="30017" xr:uid="{00000000-0005-0000-0000-000045750000}"/>
    <cellStyle name="Normal 6 3 10 4" xfId="30018" xr:uid="{00000000-0005-0000-0000-000046750000}"/>
    <cellStyle name="Normal 6 3 10 5" xfId="30019" xr:uid="{00000000-0005-0000-0000-000047750000}"/>
    <cellStyle name="Normal 6 3 10 6" xfId="30020" xr:uid="{00000000-0005-0000-0000-000048750000}"/>
    <cellStyle name="Normal 6 3 11" xfId="30021" xr:uid="{00000000-0005-0000-0000-000049750000}"/>
    <cellStyle name="Normal 6 3 11 2" xfId="30022" xr:uid="{00000000-0005-0000-0000-00004A750000}"/>
    <cellStyle name="Normal 6 3 11 3" xfId="30023" xr:uid="{00000000-0005-0000-0000-00004B750000}"/>
    <cellStyle name="Normal 6 3 11 4" xfId="30024" xr:uid="{00000000-0005-0000-0000-00004C750000}"/>
    <cellStyle name="Normal 6 3 11 5" xfId="30025" xr:uid="{00000000-0005-0000-0000-00004D750000}"/>
    <cellStyle name="Normal 6 3 11 6" xfId="30026" xr:uid="{00000000-0005-0000-0000-00004E750000}"/>
    <cellStyle name="Normal 6 3 12" xfId="30027" xr:uid="{00000000-0005-0000-0000-00004F750000}"/>
    <cellStyle name="Normal 6 3 13" xfId="30028" xr:uid="{00000000-0005-0000-0000-000050750000}"/>
    <cellStyle name="Normal 6 3 14" xfId="30029" xr:uid="{00000000-0005-0000-0000-000051750000}"/>
    <cellStyle name="Normal 6 3 15" xfId="30030" xr:uid="{00000000-0005-0000-0000-000052750000}"/>
    <cellStyle name="Normal 6 3 16" xfId="30031" xr:uid="{00000000-0005-0000-0000-000053750000}"/>
    <cellStyle name="Normal 6 3 17" xfId="30032" xr:uid="{00000000-0005-0000-0000-000054750000}"/>
    <cellStyle name="Normal 6 3 18" xfId="30033" xr:uid="{00000000-0005-0000-0000-000055750000}"/>
    <cellStyle name="Normal 6 3 19" xfId="30034" xr:uid="{00000000-0005-0000-0000-000056750000}"/>
    <cellStyle name="Normal 6 3 2" xfId="30035" xr:uid="{00000000-0005-0000-0000-000057750000}"/>
    <cellStyle name="Normal 6 3 2 10" xfId="30036" xr:uid="{00000000-0005-0000-0000-000058750000}"/>
    <cellStyle name="Normal 6 3 2 10 2" xfId="30037" xr:uid="{00000000-0005-0000-0000-000059750000}"/>
    <cellStyle name="Normal 6 3 2 10 3" xfId="30038" xr:uid="{00000000-0005-0000-0000-00005A750000}"/>
    <cellStyle name="Normal 6 3 2 10 4" xfId="30039" xr:uid="{00000000-0005-0000-0000-00005B750000}"/>
    <cellStyle name="Normal 6 3 2 10 5" xfId="30040" xr:uid="{00000000-0005-0000-0000-00005C750000}"/>
    <cellStyle name="Normal 6 3 2 10 6" xfId="30041" xr:uid="{00000000-0005-0000-0000-00005D750000}"/>
    <cellStyle name="Normal 6 3 2 11" xfId="30042" xr:uid="{00000000-0005-0000-0000-00005E750000}"/>
    <cellStyle name="Normal 6 3 2 12" xfId="30043" xr:uid="{00000000-0005-0000-0000-00005F750000}"/>
    <cellStyle name="Normal 6 3 2 13" xfId="30044" xr:uid="{00000000-0005-0000-0000-000060750000}"/>
    <cellStyle name="Normal 6 3 2 14" xfId="30045" xr:uid="{00000000-0005-0000-0000-000061750000}"/>
    <cellStyle name="Normal 6 3 2 15" xfId="30046" xr:uid="{00000000-0005-0000-0000-000062750000}"/>
    <cellStyle name="Normal 6 3 2 2" xfId="30047" xr:uid="{00000000-0005-0000-0000-000063750000}"/>
    <cellStyle name="Normal 6 3 2 2 10" xfId="30048" xr:uid="{00000000-0005-0000-0000-000064750000}"/>
    <cellStyle name="Normal 6 3 2 2 11" xfId="30049" xr:uid="{00000000-0005-0000-0000-000065750000}"/>
    <cellStyle name="Normal 6 3 2 2 12" xfId="30050" xr:uid="{00000000-0005-0000-0000-000066750000}"/>
    <cellStyle name="Normal 6 3 2 2 13" xfId="30051" xr:uid="{00000000-0005-0000-0000-000067750000}"/>
    <cellStyle name="Normal 6 3 2 2 14" xfId="30052" xr:uid="{00000000-0005-0000-0000-000068750000}"/>
    <cellStyle name="Normal 6 3 2 2 2" xfId="30053" xr:uid="{00000000-0005-0000-0000-000069750000}"/>
    <cellStyle name="Normal 6 3 2 2 2 2" xfId="30054" xr:uid="{00000000-0005-0000-0000-00006A750000}"/>
    <cellStyle name="Normal 6 3 2 2 2 3" xfId="30055" xr:uid="{00000000-0005-0000-0000-00006B750000}"/>
    <cellStyle name="Normal 6 3 2 2 2 4" xfId="30056" xr:uid="{00000000-0005-0000-0000-00006C750000}"/>
    <cellStyle name="Normal 6 3 2 2 2 5" xfId="30057" xr:uid="{00000000-0005-0000-0000-00006D750000}"/>
    <cellStyle name="Normal 6 3 2 2 2 6" xfId="30058" xr:uid="{00000000-0005-0000-0000-00006E750000}"/>
    <cellStyle name="Normal 6 3 2 2 3" xfId="30059" xr:uid="{00000000-0005-0000-0000-00006F750000}"/>
    <cellStyle name="Normal 6 3 2 2 3 2" xfId="30060" xr:uid="{00000000-0005-0000-0000-000070750000}"/>
    <cellStyle name="Normal 6 3 2 2 3 3" xfId="30061" xr:uid="{00000000-0005-0000-0000-000071750000}"/>
    <cellStyle name="Normal 6 3 2 2 3 4" xfId="30062" xr:uid="{00000000-0005-0000-0000-000072750000}"/>
    <cellStyle name="Normal 6 3 2 2 3 5" xfId="30063" xr:uid="{00000000-0005-0000-0000-000073750000}"/>
    <cellStyle name="Normal 6 3 2 2 3 6" xfId="30064" xr:uid="{00000000-0005-0000-0000-000074750000}"/>
    <cellStyle name="Normal 6 3 2 2 4" xfId="30065" xr:uid="{00000000-0005-0000-0000-000075750000}"/>
    <cellStyle name="Normal 6 3 2 2 4 2" xfId="30066" xr:uid="{00000000-0005-0000-0000-000076750000}"/>
    <cellStyle name="Normal 6 3 2 2 4 3" xfId="30067" xr:uid="{00000000-0005-0000-0000-000077750000}"/>
    <cellStyle name="Normal 6 3 2 2 4 4" xfId="30068" xr:uid="{00000000-0005-0000-0000-000078750000}"/>
    <cellStyle name="Normal 6 3 2 2 4 5" xfId="30069" xr:uid="{00000000-0005-0000-0000-000079750000}"/>
    <cellStyle name="Normal 6 3 2 2 4 6" xfId="30070" xr:uid="{00000000-0005-0000-0000-00007A750000}"/>
    <cellStyle name="Normal 6 3 2 2 5" xfId="30071" xr:uid="{00000000-0005-0000-0000-00007B750000}"/>
    <cellStyle name="Normal 6 3 2 2 5 2" xfId="30072" xr:uid="{00000000-0005-0000-0000-00007C750000}"/>
    <cellStyle name="Normal 6 3 2 2 5 3" xfId="30073" xr:uid="{00000000-0005-0000-0000-00007D750000}"/>
    <cellStyle name="Normal 6 3 2 2 5 4" xfId="30074" xr:uid="{00000000-0005-0000-0000-00007E750000}"/>
    <cellStyle name="Normal 6 3 2 2 5 5" xfId="30075" xr:uid="{00000000-0005-0000-0000-00007F750000}"/>
    <cellStyle name="Normal 6 3 2 2 5 6" xfId="30076" xr:uid="{00000000-0005-0000-0000-000080750000}"/>
    <cellStyle name="Normal 6 3 2 2 6" xfId="30077" xr:uid="{00000000-0005-0000-0000-000081750000}"/>
    <cellStyle name="Normal 6 3 2 2 6 2" xfId="30078" xr:uid="{00000000-0005-0000-0000-000082750000}"/>
    <cellStyle name="Normal 6 3 2 2 6 3" xfId="30079" xr:uid="{00000000-0005-0000-0000-000083750000}"/>
    <cellStyle name="Normal 6 3 2 2 6 4" xfId="30080" xr:uid="{00000000-0005-0000-0000-000084750000}"/>
    <cellStyle name="Normal 6 3 2 2 6 5" xfId="30081" xr:uid="{00000000-0005-0000-0000-000085750000}"/>
    <cellStyle name="Normal 6 3 2 2 6 6" xfId="30082" xr:uid="{00000000-0005-0000-0000-000086750000}"/>
    <cellStyle name="Normal 6 3 2 2 7" xfId="30083" xr:uid="{00000000-0005-0000-0000-000087750000}"/>
    <cellStyle name="Normal 6 3 2 2 7 2" xfId="30084" xr:uid="{00000000-0005-0000-0000-000088750000}"/>
    <cellStyle name="Normal 6 3 2 2 7 3" xfId="30085" xr:uid="{00000000-0005-0000-0000-000089750000}"/>
    <cellStyle name="Normal 6 3 2 2 7 4" xfId="30086" xr:uid="{00000000-0005-0000-0000-00008A750000}"/>
    <cellStyle name="Normal 6 3 2 2 7 5" xfId="30087" xr:uid="{00000000-0005-0000-0000-00008B750000}"/>
    <cellStyle name="Normal 6 3 2 2 7 6" xfId="30088" xr:uid="{00000000-0005-0000-0000-00008C750000}"/>
    <cellStyle name="Normal 6 3 2 2 8" xfId="30089" xr:uid="{00000000-0005-0000-0000-00008D750000}"/>
    <cellStyle name="Normal 6 3 2 2 8 2" xfId="30090" xr:uid="{00000000-0005-0000-0000-00008E750000}"/>
    <cellStyle name="Normal 6 3 2 2 8 3" xfId="30091" xr:uid="{00000000-0005-0000-0000-00008F750000}"/>
    <cellStyle name="Normal 6 3 2 2 8 4" xfId="30092" xr:uid="{00000000-0005-0000-0000-000090750000}"/>
    <cellStyle name="Normal 6 3 2 2 8 5" xfId="30093" xr:uid="{00000000-0005-0000-0000-000091750000}"/>
    <cellStyle name="Normal 6 3 2 2 8 6" xfId="30094" xr:uid="{00000000-0005-0000-0000-000092750000}"/>
    <cellStyle name="Normal 6 3 2 2 9" xfId="30095" xr:uid="{00000000-0005-0000-0000-000093750000}"/>
    <cellStyle name="Normal 6 3 2 2 9 2" xfId="30096" xr:uid="{00000000-0005-0000-0000-000094750000}"/>
    <cellStyle name="Normal 6 3 2 2 9 3" xfId="30097" xr:uid="{00000000-0005-0000-0000-000095750000}"/>
    <cellStyle name="Normal 6 3 2 2 9 4" xfId="30098" xr:uid="{00000000-0005-0000-0000-000096750000}"/>
    <cellStyle name="Normal 6 3 2 2 9 5" xfId="30099" xr:uid="{00000000-0005-0000-0000-000097750000}"/>
    <cellStyle name="Normal 6 3 2 2 9 6" xfId="30100" xr:uid="{00000000-0005-0000-0000-000098750000}"/>
    <cellStyle name="Normal 6 3 2 3" xfId="30101" xr:uid="{00000000-0005-0000-0000-000099750000}"/>
    <cellStyle name="Normal 6 3 2 3 2" xfId="30102" xr:uid="{00000000-0005-0000-0000-00009A750000}"/>
    <cellStyle name="Normal 6 3 2 3 3" xfId="30103" xr:uid="{00000000-0005-0000-0000-00009B750000}"/>
    <cellStyle name="Normal 6 3 2 3 4" xfId="30104" xr:uid="{00000000-0005-0000-0000-00009C750000}"/>
    <cellStyle name="Normal 6 3 2 3 5" xfId="30105" xr:uid="{00000000-0005-0000-0000-00009D750000}"/>
    <cellStyle name="Normal 6 3 2 3 6" xfId="30106" xr:uid="{00000000-0005-0000-0000-00009E750000}"/>
    <cellStyle name="Normal 6 3 2 4" xfId="30107" xr:uid="{00000000-0005-0000-0000-00009F750000}"/>
    <cellStyle name="Normal 6 3 2 4 2" xfId="30108" xr:uid="{00000000-0005-0000-0000-0000A0750000}"/>
    <cellStyle name="Normal 6 3 2 4 3" xfId="30109" xr:uid="{00000000-0005-0000-0000-0000A1750000}"/>
    <cellStyle name="Normal 6 3 2 4 4" xfId="30110" xr:uid="{00000000-0005-0000-0000-0000A2750000}"/>
    <cellStyle name="Normal 6 3 2 4 5" xfId="30111" xr:uid="{00000000-0005-0000-0000-0000A3750000}"/>
    <cellStyle name="Normal 6 3 2 4 6" xfId="30112" xr:uid="{00000000-0005-0000-0000-0000A4750000}"/>
    <cellStyle name="Normal 6 3 2 5" xfId="30113" xr:uid="{00000000-0005-0000-0000-0000A5750000}"/>
    <cellStyle name="Normal 6 3 2 5 2" xfId="30114" xr:uid="{00000000-0005-0000-0000-0000A6750000}"/>
    <cellStyle name="Normal 6 3 2 5 3" xfId="30115" xr:uid="{00000000-0005-0000-0000-0000A7750000}"/>
    <cellStyle name="Normal 6 3 2 5 4" xfId="30116" xr:uid="{00000000-0005-0000-0000-0000A8750000}"/>
    <cellStyle name="Normal 6 3 2 5 5" xfId="30117" xr:uid="{00000000-0005-0000-0000-0000A9750000}"/>
    <cellStyle name="Normal 6 3 2 5 6" xfId="30118" xr:uid="{00000000-0005-0000-0000-0000AA750000}"/>
    <cellStyle name="Normal 6 3 2 6" xfId="30119" xr:uid="{00000000-0005-0000-0000-0000AB750000}"/>
    <cellStyle name="Normal 6 3 2 6 2" xfId="30120" xr:uid="{00000000-0005-0000-0000-0000AC750000}"/>
    <cellStyle name="Normal 6 3 2 6 3" xfId="30121" xr:uid="{00000000-0005-0000-0000-0000AD750000}"/>
    <cellStyle name="Normal 6 3 2 6 4" xfId="30122" xr:uid="{00000000-0005-0000-0000-0000AE750000}"/>
    <cellStyle name="Normal 6 3 2 6 5" xfId="30123" xr:uid="{00000000-0005-0000-0000-0000AF750000}"/>
    <cellStyle name="Normal 6 3 2 6 6" xfId="30124" xr:uid="{00000000-0005-0000-0000-0000B0750000}"/>
    <cellStyle name="Normal 6 3 2 7" xfId="30125" xr:uid="{00000000-0005-0000-0000-0000B1750000}"/>
    <cellStyle name="Normal 6 3 2 7 2" xfId="30126" xr:uid="{00000000-0005-0000-0000-0000B2750000}"/>
    <cellStyle name="Normal 6 3 2 7 3" xfId="30127" xr:uid="{00000000-0005-0000-0000-0000B3750000}"/>
    <cellStyle name="Normal 6 3 2 7 4" xfId="30128" xr:uid="{00000000-0005-0000-0000-0000B4750000}"/>
    <cellStyle name="Normal 6 3 2 7 5" xfId="30129" xr:uid="{00000000-0005-0000-0000-0000B5750000}"/>
    <cellStyle name="Normal 6 3 2 7 6" xfId="30130" xr:uid="{00000000-0005-0000-0000-0000B6750000}"/>
    <cellStyle name="Normal 6 3 2 8" xfId="30131" xr:uid="{00000000-0005-0000-0000-0000B7750000}"/>
    <cellStyle name="Normal 6 3 2 8 2" xfId="30132" xr:uid="{00000000-0005-0000-0000-0000B8750000}"/>
    <cellStyle name="Normal 6 3 2 8 3" xfId="30133" xr:uid="{00000000-0005-0000-0000-0000B9750000}"/>
    <cellStyle name="Normal 6 3 2 8 4" xfId="30134" xr:uid="{00000000-0005-0000-0000-0000BA750000}"/>
    <cellStyle name="Normal 6 3 2 8 5" xfId="30135" xr:uid="{00000000-0005-0000-0000-0000BB750000}"/>
    <cellStyle name="Normal 6 3 2 8 6" xfId="30136" xr:uid="{00000000-0005-0000-0000-0000BC750000}"/>
    <cellStyle name="Normal 6 3 2 9" xfId="30137" xr:uid="{00000000-0005-0000-0000-0000BD750000}"/>
    <cellStyle name="Normal 6 3 2 9 2" xfId="30138" xr:uid="{00000000-0005-0000-0000-0000BE750000}"/>
    <cellStyle name="Normal 6 3 2 9 3" xfId="30139" xr:uid="{00000000-0005-0000-0000-0000BF750000}"/>
    <cellStyle name="Normal 6 3 2 9 4" xfId="30140" xr:uid="{00000000-0005-0000-0000-0000C0750000}"/>
    <cellStyle name="Normal 6 3 2 9 5" xfId="30141" xr:uid="{00000000-0005-0000-0000-0000C1750000}"/>
    <cellStyle name="Normal 6 3 2 9 6" xfId="30142" xr:uid="{00000000-0005-0000-0000-0000C2750000}"/>
    <cellStyle name="Normal 6 3 20" xfId="30143" xr:uid="{00000000-0005-0000-0000-0000C3750000}"/>
    <cellStyle name="Normal 6 3 21" xfId="30144" xr:uid="{00000000-0005-0000-0000-0000C4750000}"/>
    <cellStyle name="Normal 6 3 22" xfId="30145" xr:uid="{00000000-0005-0000-0000-0000C5750000}"/>
    <cellStyle name="Normal 6 3 23" xfId="30146" xr:uid="{00000000-0005-0000-0000-0000C6750000}"/>
    <cellStyle name="Normal 6 3 24" xfId="30147" xr:uid="{00000000-0005-0000-0000-0000C7750000}"/>
    <cellStyle name="Normal 6 3 25" xfId="30148" xr:uid="{00000000-0005-0000-0000-0000C8750000}"/>
    <cellStyle name="Normal 6 3 26" xfId="30149" xr:uid="{00000000-0005-0000-0000-0000C9750000}"/>
    <cellStyle name="Normal 6 3 27" xfId="30150" xr:uid="{00000000-0005-0000-0000-0000CA750000}"/>
    <cellStyle name="Normal 6 3 28" xfId="30151" xr:uid="{00000000-0005-0000-0000-0000CB750000}"/>
    <cellStyle name="Normal 6 3 29" xfId="30152" xr:uid="{00000000-0005-0000-0000-0000CC750000}"/>
    <cellStyle name="Normal 6 3 3" xfId="30153" xr:uid="{00000000-0005-0000-0000-0000CD750000}"/>
    <cellStyle name="Normal 6 3 3 10" xfId="30154" xr:uid="{00000000-0005-0000-0000-0000CE750000}"/>
    <cellStyle name="Normal 6 3 3 11" xfId="30155" xr:uid="{00000000-0005-0000-0000-0000CF750000}"/>
    <cellStyle name="Normal 6 3 3 12" xfId="30156" xr:uid="{00000000-0005-0000-0000-0000D0750000}"/>
    <cellStyle name="Normal 6 3 3 13" xfId="30157" xr:uid="{00000000-0005-0000-0000-0000D1750000}"/>
    <cellStyle name="Normal 6 3 3 14" xfId="30158" xr:uid="{00000000-0005-0000-0000-0000D2750000}"/>
    <cellStyle name="Normal 6 3 3 2" xfId="30159" xr:uid="{00000000-0005-0000-0000-0000D3750000}"/>
    <cellStyle name="Normal 6 3 3 2 2" xfId="30160" xr:uid="{00000000-0005-0000-0000-0000D4750000}"/>
    <cellStyle name="Normal 6 3 3 2 3" xfId="30161" xr:uid="{00000000-0005-0000-0000-0000D5750000}"/>
    <cellStyle name="Normal 6 3 3 2 4" xfId="30162" xr:uid="{00000000-0005-0000-0000-0000D6750000}"/>
    <cellStyle name="Normal 6 3 3 2 5" xfId="30163" xr:uid="{00000000-0005-0000-0000-0000D7750000}"/>
    <cellStyle name="Normal 6 3 3 2 6" xfId="30164" xr:uid="{00000000-0005-0000-0000-0000D8750000}"/>
    <cellStyle name="Normal 6 3 3 3" xfId="30165" xr:uid="{00000000-0005-0000-0000-0000D9750000}"/>
    <cellStyle name="Normal 6 3 3 3 2" xfId="30166" xr:uid="{00000000-0005-0000-0000-0000DA750000}"/>
    <cellStyle name="Normal 6 3 3 3 3" xfId="30167" xr:uid="{00000000-0005-0000-0000-0000DB750000}"/>
    <cellStyle name="Normal 6 3 3 3 4" xfId="30168" xr:uid="{00000000-0005-0000-0000-0000DC750000}"/>
    <cellStyle name="Normal 6 3 3 3 5" xfId="30169" xr:uid="{00000000-0005-0000-0000-0000DD750000}"/>
    <cellStyle name="Normal 6 3 3 3 6" xfId="30170" xr:uid="{00000000-0005-0000-0000-0000DE750000}"/>
    <cellStyle name="Normal 6 3 3 4" xfId="30171" xr:uid="{00000000-0005-0000-0000-0000DF750000}"/>
    <cellStyle name="Normal 6 3 3 4 2" xfId="30172" xr:uid="{00000000-0005-0000-0000-0000E0750000}"/>
    <cellStyle name="Normal 6 3 3 4 3" xfId="30173" xr:uid="{00000000-0005-0000-0000-0000E1750000}"/>
    <cellStyle name="Normal 6 3 3 4 4" xfId="30174" xr:uid="{00000000-0005-0000-0000-0000E2750000}"/>
    <cellStyle name="Normal 6 3 3 4 5" xfId="30175" xr:uid="{00000000-0005-0000-0000-0000E3750000}"/>
    <cellStyle name="Normal 6 3 3 4 6" xfId="30176" xr:uid="{00000000-0005-0000-0000-0000E4750000}"/>
    <cellStyle name="Normal 6 3 3 5" xfId="30177" xr:uid="{00000000-0005-0000-0000-0000E5750000}"/>
    <cellStyle name="Normal 6 3 3 5 2" xfId="30178" xr:uid="{00000000-0005-0000-0000-0000E6750000}"/>
    <cellStyle name="Normal 6 3 3 5 3" xfId="30179" xr:uid="{00000000-0005-0000-0000-0000E7750000}"/>
    <cellStyle name="Normal 6 3 3 5 4" xfId="30180" xr:uid="{00000000-0005-0000-0000-0000E8750000}"/>
    <cellStyle name="Normal 6 3 3 5 5" xfId="30181" xr:uid="{00000000-0005-0000-0000-0000E9750000}"/>
    <cellStyle name="Normal 6 3 3 5 6" xfId="30182" xr:uid="{00000000-0005-0000-0000-0000EA750000}"/>
    <cellStyle name="Normal 6 3 3 6" xfId="30183" xr:uid="{00000000-0005-0000-0000-0000EB750000}"/>
    <cellStyle name="Normal 6 3 3 6 2" xfId="30184" xr:uid="{00000000-0005-0000-0000-0000EC750000}"/>
    <cellStyle name="Normal 6 3 3 6 3" xfId="30185" xr:uid="{00000000-0005-0000-0000-0000ED750000}"/>
    <cellStyle name="Normal 6 3 3 6 4" xfId="30186" xr:uid="{00000000-0005-0000-0000-0000EE750000}"/>
    <cellStyle name="Normal 6 3 3 6 5" xfId="30187" xr:uid="{00000000-0005-0000-0000-0000EF750000}"/>
    <cellStyle name="Normal 6 3 3 6 6" xfId="30188" xr:uid="{00000000-0005-0000-0000-0000F0750000}"/>
    <cellStyle name="Normal 6 3 3 7" xfId="30189" xr:uid="{00000000-0005-0000-0000-0000F1750000}"/>
    <cellStyle name="Normal 6 3 3 7 2" xfId="30190" xr:uid="{00000000-0005-0000-0000-0000F2750000}"/>
    <cellStyle name="Normal 6 3 3 7 3" xfId="30191" xr:uid="{00000000-0005-0000-0000-0000F3750000}"/>
    <cellStyle name="Normal 6 3 3 7 4" xfId="30192" xr:uid="{00000000-0005-0000-0000-0000F4750000}"/>
    <cellStyle name="Normal 6 3 3 7 5" xfId="30193" xr:uid="{00000000-0005-0000-0000-0000F5750000}"/>
    <cellStyle name="Normal 6 3 3 7 6" xfId="30194" xr:uid="{00000000-0005-0000-0000-0000F6750000}"/>
    <cellStyle name="Normal 6 3 3 8" xfId="30195" xr:uid="{00000000-0005-0000-0000-0000F7750000}"/>
    <cellStyle name="Normal 6 3 3 8 2" xfId="30196" xr:uid="{00000000-0005-0000-0000-0000F8750000}"/>
    <cellStyle name="Normal 6 3 3 8 3" xfId="30197" xr:uid="{00000000-0005-0000-0000-0000F9750000}"/>
    <cellStyle name="Normal 6 3 3 8 4" xfId="30198" xr:uid="{00000000-0005-0000-0000-0000FA750000}"/>
    <cellStyle name="Normal 6 3 3 8 5" xfId="30199" xr:uid="{00000000-0005-0000-0000-0000FB750000}"/>
    <cellStyle name="Normal 6 3 3 8 6" xfId="30200" xr:uid="{00000000-0005-0000-0000-0000FC750000}"/>
    <cellStyle name="Normal 6 3 3 9" xfId="30201" xr:uid="{00000000-0005-0000-0000-0000FD750000}"/>
    <cellStyle name="Normal 6 3 3 9 2" xfId="30202" xr:uid="{00000000-0005-0000-0000-0000FE750000}"/>
    <cellStyle name="Normal 6 3 3 9 3" xfId="30203" xr:uid="{00000000-0005-0000-0000-0000FF750000}"/>
    <cellStyle name="Normal 6 3 3 9 4" xfId="30204" xr:uid="{00000000-0005-0000-0000-000000760000}"/>
    <cellStyle name="Normal 6 3 3 9 5" xfId="30205" xr:uid="{00000000-0005-0000-0000-000001760000}"/>
    <cellStyle name="Normal 6 3 3 9 6" xfId="30206" xr:uid="{00000000-0005-0000-0000-000002760000}"/>
    <cellStyle name="Normal 6 3 30" xfId="30207" xr:uid="{00000000-0005-0000-0000-000003760000}"/>
    <cellStyle name="Normal 6 3 31" xfId="30208" xr:uid="{00000000-0005-0000-0000-000004760000}"/>
    <cellStyle name="Normal 6 3 32" xfId="30209" xr:uid="{00000000-0005-0000-0000-000005760000}"/>
    <cellStyle name="Normal 6 3 33" xfId="30210" xr:uid="{00000000-0005-0000-0000-000006760000}"/>
    <cellStyle name="Normal 6 3 4" xfId="30211" xr:uid="{00000000-0005-0000-0000-000007760000}"/>
    <cellStyle name="Normal 6 3 4 2" xfId="30212" xr:uid="{00000000-0005-0000-0000-000008760000}"/>
    <cellStyle name="Normal 6 3 4 3" xfId="30213" xr:uid="{00000000-0005-0000-0000-000009760000}"/>
    <cellStyle name="Normal 6 3 4 4" xfId="30214" xr:uid="{00000000-0005-0000-0000-00000A760000}"/>
    <cellStyle name="Normal 6 3 4 5" xfId="30215" xr:uid="{00000000-0005-0000-0000-00000B760000}"/>
    <cellStyle name="Normal 6 3 4 6" xfId="30216" xr:uid="{00000000-0005-0000-0000-00000C760000}"/>
    <cellStyle name="Normal 6 3 5" xfId="30217" xr:uid="{00000000-0005-0000-0000-00000D760000}"/>
    <cellStyle name="Normal 6 3 5 2" xfId="30218" xr:uid="{00000000-0005-0000-0000-00000E760000}"/>
    <cellStyle name="Normal 6 3 5 3" xfId="30219" xr:uid="{00000000-0005-0000-0000-00000F760000}"/>
    <cellStyle name="Normal 6 3 5 4" xfId="30220" xr:uid="{00000000-0005-0000-0000-000010760000}"/>
    <cellStyle name="Normal 6 3 5 5" xfId="30221" xr:uid="{00000000-0005-0000-0000-000011760000}"/>
    <cellStyle name="Normal 6 3 5 6" xfId="30222" xr:uid="{00000000-0005-0000-0000-000012760000}"/>
    <cellStyle name="Normal 6 3 6" xfId="30223" xr:uid="{00000000-0005-0000-0000-000013760000}"/>
    <cellStyle name="Normal 6 3 6 2" xfId="30224" xr:uid="{00000000-0005-0000-0000-000014760000}"/>
    <cellStyle name="Normal 6 3 6 3" xfId="30225" xr:uid="{00000000-0005-0000-0000-000015760000}"/>
    <cellStyle name="Normal 6 3 6 4" xfId="30226" xr:uid="{00000000-0005-0000-0000-000016760000}"/>
    <cellStyle name="Normal 6 3 6 5" xfId="30227" xr:uid="{00000000-0005-0000-0000-000017760000}"/>
    <cellStyle name="Normal 6 3 6 6" xfId="30228" xr:uid="{00000000-0005-0000-0000-000018760000}"/>
    <cellStyle name="Normal 6 3 7" xfId="30229" xr:uid="{00000000-0005-0000-0000-000019760000}"/>
    <cellStyle name="Normal 6 3 7 2" xfId="30230" xr:uid="{00000000-0005-0000-0000-00001A760000}"/>
    <cellStyle name="Normal 6 3 7 3" xfId="30231" xr:uid="{00000000-0005-0000-0000-00001B760000}"/>
    <cellStyle name="Normal 6 3 7 4" xfId="30232" xr:uid="{00000000-0005-0000-0000-00001C760000}"/>
    <cellStyle name="Normal 6 3 7 5" xfId="30233" xr:uid="{00000000-0005-0000-0000-00001D760000}"/>
    <cellStyle name="Normal 6 3 7 6" xfId="30234" xr:uid="{00000000-0005-0000-0000-00001E760000}"/>
    <cellStyle name="Normal 6 3 8" xfId="30235" xr:uid="{00000000-0005-0000-0000-00001F760000}"/>
    <cellStyle name="Normal 6 3 8 2" xfId="30236" xr:uid="{00000000-0005-0000-0000-000020760000}"/>
    <cellStyle name="Normal 6 3 8 3" xfId="30237" xr:uid="{00000000-0005-0000-0000-000021760000}"/>
    <cellStyle name="Normal 6 3 8 4" xfId="30238" xr:uid="{00000000-0005-0000-0000-000022760000}"/>
    <cellStyle name="Normal 6 3 8 5" xfId="30239" xr:uid="{00000000-0005-0000-0000-000023760000}"/>
    <cellStyle name="Normal 6 3 8 6" xfId="30240" xr:uid="{00000000-0005-0000-0000-000024760000}"/>
    <cellStyle name="Normal 6 3 9" xfId="30241" xr:uid="{00000000-0005-0000-0000-000025760000}"/>
    <cellStyle name="Normal 6 3 9 2" xfId="30242" xr:uid="{00000000-0005-0000-0000-000026760000}"/>
    <cellStyle name="Normal 6 3 9 3" xfId="30243" xr:uid="{00000000-0005-0000-0000-000027760000}"/>
    <cellStyle name="Normal 6 3 9 4" xfId="30244" xr:uid="{00000000-0005-0000-0000-000028760000}"/>
    <cellStyle name="Normal 6 3 9 5" xfId="30245" xr:uid="{00000000-0005-0000-0000-000029760000}"/>
    <cellStyle name="Normal 6 3 9 6" xfId="30246" xr:uid="{00000000-0005-0000-0000-00002A760000}"/>
    <cellStyle name="Normal 6 4" xfId="30247" xr:uid="{00000000-0005-0000-0000-00002B760000}"/>
    <cellStyle name="Normal 6 4 10" xfId="30248" xr:uid="{00000000-0005-0000-0000-00002C760000}"/>
    <cellStyle name="Normal 6 4 10 2" xfId="30249" xr:uid="{00000000-0005-0000-0000-00002D760000}"/>
    <cellStyle name="Normal 6 4 10 3" xfId="30250" xr:uid="{00000000-0005-0000-0000-00002E760000}"/>
    <cellStyle name="Normal 6 4 10 4" xfId="30251" xr:uid="{00000000-0005-0000-0000-00002F760000}"/>
    <cellStyle name="Normal 6 4 10 5" xfId="30252" xr:uid="{00000000-0005-0000-0000-000030760000}"/>
    <cellStyle name="Normal 6 4 10 6" xfId="30253" xr:uid="{00000000-0005-0000-0000-000031760000}"/>
    <cellStyle name="Normal 6 4 11" xfId="30254" xr:uid="{00000000-0005-0000-0000-000032760000}"/>
    <cellStyle name="Normal 6 4 11 2" xfId="30255" xr:uid="{00000000-0005-0000-0000-000033760000}"/>
    <cellStyle name="Normal 6 4 11 3" xfId="30256" xr:uid="{00000000-0005-0000-0000-000034760000}"/>
    <cellStyle name="Normal 6 4 11 4" xfId="30257" xr:uid="{00000000-0005-0000-0000-000035760000}"/>
    <cellStyle name="Normal 6 4 11 5" xfId="30258" xr:uid="{00000000-0005-0000-0000-000036760000}"/>
    <cellStyle name="Normal 6 4 11 6" xfId="30259" xr:uid="{00000000-0005-0000-0000-000037760000}"/>
    <cellStyle name="Normal 6 4 12" xfId="30260" xr:uid="{00000000-0005-0000-0000-000038760000}"/>
    <cellStyle name="Normal 6 4 13" xfId="30261" xr:uid="{00000000-0005-0000-0000-000039760000}"/>
    <cellStyle name="Normal 6 4 14" xfId="30262" xr:uid="{00000000-0005-0000-0000-00003A760000}"/>
    <cellStyle name="Normal 6 4 15" xfId="30263" xr:uid="{00000000-0005-0000-0000-00003B760000}"/>
    <cellStyle name="Normal 6 4 16" xfId="30264" xr:uid="{00000000-0005-0000-0000-00003C760000}"/>
    <cellStyle name="Normal 6 4 17" xfId="30265" xr:uid="{00000000-0005-0000-0000-00003D760000}"/>
    <cellStyle name="Normal 6 4 18" xfId="30266" xr:uid="{00000000-0005-0000-0000-00003E760000}"/>
    <cellStyle name="Normal 6 4 19" xfId="30267" xr:uid="{00000000-0005-0000-0000-00003F760000}"/>
    <cellStyle name="Normal 6 4 2" xfId="30268" xr:uid="{00000000-0005-0000-0000-000040760000}"/>
    <cellStyle name="Normal 6 4 2 10" xfId="30269" xr:uid="{00000000-0005-0000-0000-000041760000}"/>
    <cellStyle name="Normal 6 4 2 10 2" xfId="30270" xr:uid="{00000000-0005-0000-0000-000042760000}"/>
    <cellStyle name="Normal 6 4 2 10 3" xfId="30271" xr:uid="{00000000-0005-0000-0000-000043760000}"/>
    <cellStyle name="Normal 6 4 2 10 4" xfId="30272" xr:uid="{00000000-0005-0000-0000-000044760000}"/>
    <cellStyle name="Normal 6 4 2 10 5" xfId="30273" xr:uid="{00000000-0005-0000-0000-000045760000}"/>
    <cellStyle name="Normal 6 4 2 10 6" xfId="30274" xr:uid="{00000000-0005-0000-0000-000046760000}"/>
    <cellStyle name="Normal 6 4 2 11" xfId="30275" xr:uid="{00000000-0005-0000-0000-000047760000}"/>
    <cellStyle name="Normal 6 4 2 12" xfId="30276" xr:uid="{00000000-0005-0000-0000-000048760000}"/>
    <cellStyle name="Normal 6 4 2 13" xfId="30277" xr:uid="{00000000-0005-0000-0000-000049760000}"/>
    <cellStyle name="Normal 6 4 2 14" xfId="30278" xr:uid="{00000000-0005-0000-0000-00004A760000}"/>
    <cellStyle name="Normal 6 4 2 15" xfId="30279" xr:uid="{00000000-0005-0000-0000-00004B760000}"/>
    <cellStyle name="Normal 6 4 2 2" xfId="30280" xr:uid="{00000000-0005-0000-0000-00004C760000}"/>
    <cellStyle name="Normal 6 4 2 2 10" xfId="30281" xr:uid="{00000000-0005-0000-0000-00004D760000}"/>
    <cellStyle name="Normal 6 4 2 2 11" xfId="30282" xr:uid="{00000000-0005-0000-0000-00004E760000}"/>
    <cellStyle name="Normal 6 4 2 2 12" xfId="30283" xr:uid="{00000000-0005-0000-0000-00004F760000}"/>
    <cellStyle name="Normal 6 4 2 2 13" xfId="30284" xr:uid="{00000000-0005-0000-0000-000050760000}"/>
    <cellStyle name="Normal 6 4 2 2 14" xfId="30285" xr:uid="{00000000-0005-0000-0000-000051760000}"/>
    <cellStyle name="Normal 6 4 2 2 2" xfId="30286" xr:uid="{00000000-0005-0000-0000-000052760000}"/>
    <cellStyle name="Normal 6 4 2 2 2 2" xfId="30287" xr:uid="{00000000-0005-0000-0000-000053760000}"/>
    <cellStyle name="Normal 6 4 2 2 2 3" xfId="30288" xr:uid="{00000000-0005-0000-0000-000054760000}"/>
    <cellStyle name="Normal 6 4 2 2 2 4" xfId="30289" xr:uid="{00000000-0005-0000-0000-000055760000}"/>
    <cellStyle name="Normal 6 4 2 2 2 5" xfId="30290" xr:uid="{00000000-0005-0000-0000-000056760000}"/>
    <cellStyle name="Normal 6 4 2 2 2 6" xfId="30291" xr:uid="{00000000-0005-0000-0000-000057760000}"/>
    <cellStyle name="Normal 6 4 2 2 3" xfId="30292" xr:uid="{00000000-0005-0000-0000-000058760000}"/>
    <cellStyle name="Normal 6 4 2 2 3 2" xfId="30293" xr:uid="{00000000-0005-0000-0000-000059760000}"/>
    <cellStyle name="Normal 6 4 2 2 3 3" xfId="30294" xr:uid="{00000000-0005-0000-0000-00005A760000}"/>
    <cellStyle name="Normal 6 4 2 2 3 4" xfId="30295" xr:uid="{00000000-0005-0000-0000-00005B760000}"/>
    <cellStyle name="Normal 6 4 2 2 3 5" xfId="30296" xr:uid="{00000000-0005-0000-0000-00005C760000}"/>
    <cellStyle name="Normal 6 4 2 2 3 6" xfId="30297" xr:uid="{00000000-0005-0000-0000-00005D760000}"/>
    <cellStyle name="Normal 6 4 2 2 4" xfId="30298" xr:uid="{00000000-0005-0000-0000-00005E760000}"/>
    <cellStyle name="Normal 6 4 2 2 4 2" xfId="30299" xr:uid="{00000000-0005-0000-0000-00005F760000}"/>
    <cellStyle name="Normal 6 4 2 2 4 3" xfId="30300" xr:uid="{00000000-0005-0000-0000-000060760000}"/>
    <cellStyle name="Normal 6 4 2 2 4 4" xfId="30301" xr:uid="{00000000-0005-0000-0000-000061760000}"/>
    <cellStyle name="Normal 6 4 2 2 4 5" xfId="30302" xr:uid="{00000000-0005-0000-0000-000062760000}"/>
    <cellStyle name="Normal 6 4 2 2 4 6" xfId="30303" xr:uid="{00000000-0005-0000-0000-000063760000}"/>
    <cellStyle name="Normal 6 4 2 2 5" xfId="30304" xr:uid="{00000000-0005-0000-0000-000064760000}"/>
    <cellStyle name="Normal 6 4 2 2 5 2" xfId="30305" xr:uid="{00000000-0005-0000-0000-000065760000}"/>
    <cellStyle name="Normal 6 4 2 2 5 3" xfId="30306" xr:uid="{00000000-0005-0000-0000-000066760000}"/>
    <cellStyle name="Normal 6 4 2 2 5 4" xfId="30307" xr:uid="{00000000-0005-0000-0000-000067760000}"/>
    <cellStyle name="Normal 6 4 2 2 5 5" xfId="30308" xr:uid="{00000000-0005-0000-0000-000068760000}"/>
    <cellStyle name="Normal 6 4 2 2 5 6" xfId="30309" xr:uid="{00000000-0005-0000-0000-000069760000}"/>
    <cellStyle name="Normal 6 4 2 2 6" xfId="30310" xr:uid="{00000000-0005-0000-0000-00006A760000}"/>
    <cellStyle name="Normal 6 4 2 2 6 2" xfId="30311" xr:uid="{00000000-0005-0000-0000-00006B760000}"/>
    <cellStyle name="Normal 6 4 2 2 6 3" xfId="30312" xr:uid="{00000000-0005-0000-0000-00006C760000}"/>
    <cellStyle name="Normal 6 4 2 2 6 4" xfId="30313" xr:uid="{00000000-0005-0000-0000-00006D760000}"/>
    <cellStyle name="Normal 6 4 2 2 6 5" xfId="30314" xr:uid="{00000000-0005-0000-0000-00006E760000}"/>
    <cellStyle name="Normal 6 4 2 2 6 6" xfId="30315" xr:uid="{00000000-0005-0000-0000-00006F760000}"/>
    <cellStyle name="Normal 6 4 2 2 7" xfId="30316" xr:uid="{00000000-0005-0000-0000-000070760000}"/>
    <cellStyle name="Normal 6 4 2 2 7 2" xfId="30317" xr:uid="{00000000-0005-0000-0000-000071760000}"/>
    <cellStyle name="Normal 6 4 2 2 7 3" xfId="30318" xr:uid="{00000000-0005-0000-0000-000072760000}"/>
    <cellStyle name="Normal 6 4 2 2 7 4" xfId="30319" xr:uid="{00000000-0005-0000-0000-000073760000}"/>
    <cellStyle name="Normal 6 4 2 2 7 5" xfId="30320" xr:uid="{00000000-0005-0000-0000-000074760000}"/>
    <cellStyle name="Normal 6 4 2 2 7 6" xfId="30321" xr:uid="{00000000-0005-0000-0000-000075760000}"/>
    <cellStyle name="Normal 6 4 2 2 8" xfId="30322" xr:uid="{00000000-0005-0000-0000-000076760000}"/>
    <cellStyle name="Normal 6 4 2 2 8 2" xfId="30323" xr:uid="{00000000-0005-0000-0000-000077760000}"/>
    <cellStyle name="Normal 6 4 2 2 8 3" xfId="30324" xr:uid="{00000000-0005-0000-0000-000078760000}"/>
    <cellStyle name="Normal 6 4 2 2 8 4" xfId="30325" xr:uid="{00000000-0005-0000-0000-000079760000}"/>
    <cellStyle name="Normal 6 4 2 2 8 5" xfId="30326" xr:uid="{00000000-0005-0000-0000-00007A760000}"/>
    <cellStyle name="Normal 6 4 2 2 8 6" xfId="30327" xr:uid="{00000000-0005-0000-0000-00007B760000}"/>
    <cellStyle name="Normal 6 4 2 2 9" xfId="30328" xr:uid="{00000000-0005-0000-0000-00007C760000}"/>
    <cellStyle name="Normal 6 4 2 2 9 2" xfId="30329" xr:uid="{00000000-0005-0000-0000-00007D760000}"/>
    <cellStyle name="Normal 6 4 2 2 9 3" xfId="30330" xr:uid="{00000000-0005-0000-0000-00007E760000}"/>
    <cellStyle name="Normal 6 4 2 2 9 4" xfId="30331" xr:uid="{00000000-0005-0000-0000-00007F760000}"/>
    <cellStyle name="Normal 6 4 2 2 9 5" xfId="30332" xr:uid="{00000000-0005-0000-0000-000080760000}"/>
    <cellStyle name="Normal 6 4 2 2 9 6" xfId="30333" xr:uid="{00000000-0005-0000-0000-000081760000}"/>
    <cellStyle name="Normal 6 4 2 3" xfId="30334" xr:uid="{00000000-0005-0000-0000-000082760000}"/>
    <cellStyle name="Normal 6 4 2 3 2" xfId="30335" xr:uid="{00000000-0005-0000-0000-000083760000}"/>
    <cellStyle name="Normal 6 4 2 3 3" xfId="30336" xr:uid="{00000000-0005-0000-0000-000084760000}"/>
    <cellStyle name="Normal 6 4 2 3 4" xfId="30337" xr:uid="{00000000-0005-0000-0000-000085760000}"/>
    <cellStyle name="Normal 6 4 2 3 5" xfId="30338" xr:uid="{00000000-0005-0000-0000-000086760000}"/>
    <cellStyle name="Normal 6 4 2 3 6" xfId="30339" xr:uid="{00000000-0005-0000-0000-000087760000}"/>
    <cellStyle name="Normal 6 4 2 4" xfId="30340" xr:uid="{00000000-0005-0000-0000-000088760000}"/>
    <cellStyle name="Normal 6 4 2 4 2" xfId="30341" xr:uid="{00000000-0005-0000-0000-000089760000}"/>
    <cellStyle name="Normal 6 4 2 4 3" xfId="30342" xr:uid="{00000000-0005-0000-0000-00008A760000}"/>
    <cellStyle name="Normal 6 4 2 4 4" xfId="30343" xr:uid="{00000000-0005-0000-0000-00008B760000}"/>
    <cellStyle name="Normal 6 4 2 4 5" xfId="30344" xr:uid="{00000000-0005-0000-0000-00008C760000}"/>
    <cellStyle name="Normal 6 4 2 4 6" xfId="30345" xr:uid="{00000000-0005-0000-0000-00008D760000}"/>
    <cellStyle name="Normal 6 4 2 5" xfId="30346" xr:uid="{00000000-0005-0000-0000-00008E760000}"/>
    <cellStyle name="Normal 6 4 2 5 2" xfId="30347" xr:uid="{00000000-0005-0000-0000-00008F760000}"/>
    <cellStyle name="Normal 6 4 2 5 3" xfId="30348" xr:uid="{00000000-0005-0000-0000-000090760000}"/>
    <cellStyle name="Normal 6 4 2 5 4" xfId="30349" xr:uid="{00000000-0005-0000-0000-000091760000}"/>
    <cellStyle name="Normal 6 4 2 5 5" xfId="30350" xr:uid="{00000000-0005-0000-0000-000092760000}"/>
    <cellStyle name="Normal 6 4 2 5 6" xfId="30351" xr:uid="{00000000-0005-0000-0000-000093760000}"/>
    <cellStyle name="Normal 6 4 2 6" xfId="30352" xr:uid="{00000000-0005-0000-0000-000094760000}"/>
    <cellStyle name="Normal 6 4 2 6 2" xfId="30353" xr:uid="{00000000-0005-0000-0000-000095760000}"/>
    <cellStyle name="Normal 6 4 2 6 3" xfId="30354" xr:uid="{00000000-0005-0000-0000-000096760000}"/>
    <cellStyle name="Normal 6 4 2 6 4" xfId="30355" xr:uid="{00000000-0005-0000-0000-000097760000}"/>
    <cellStyle name="Normal 6 4 2 6 5" xfId="30356" xr:uid="{00000000-0005-0000-0000-000098760000}"/>
    <cellStyle name="Normal 6 4 2 6 6" xfId="30357" xr:uid="{00000000-0005-0000-0000-000099760000}"/>
    <cellStyle name="Normal 6 4 2 7" xfId="30358" xr:uid="{00000000-0005-0000-0000-00009A760000}"/>
    <cellStyle name="Normal 6 4 2 7 2" xfId="30359" xr:uid="{00000000-0005-0000-0000-00009B760000}"/>
    <cellStyle name="Normal 6 4 2 7 3" xfId="30360" xr:uid="{00000000-0005-0000-0000-00009C760000}"/>
    <cellStyle name="Normal 6 4 2 7 4" xfId="30361" xr:uid="{00000000-0005-0000-0000-00009D760000}"/>
    <cellStyle name="Normal 6 4 2 7 5" xfId="30362" xr:uid="{00000000-0005-0000-0000-00009E760000}"/>
    <cellStyle name="Normal 6 4 2 7 6" xfId="30363" xr:uid="{00000000-0005-0000-0000-00009F760000}"/>
    <cellStyle name="Normal 6 4 2 8" xfId="30364" xr:uid="{00000000-0005-0000-0000-0000A0760000}"/>
    <cellStyle name="Normal 6 4 2 8 2" xfId="30365" xr:uid="{00000000-0005-0000-0000-0000A1760000}"/>
    <cellStyle name="Normal 6 4 2 8 3" xfId="30366" xr:uid="{00000000-0005-0000-0000-0000A2760000}"/>
    <cellStyle name="Normal 6 4 2 8 4" xfId="30367" xr:uid="{00000000-0005-0000-0000-0000A3760000}"/>
    <cellStyle name="Normal 6 4 2 8 5" xfId="30368" xr:uid="{00000000-0005-0000-0000-0000A4760000}"/>
    <cellStyle name="Normal 6 4 2 8 6" xfId="30369" xr:uid="{00000000-0005-0000-0000-0000A5760000}"/>
    <cellStyle name="Normal 6 4 2 9" xfId="30370" xr:uid="{00000000-0005-0000-0000-0000A6760000}"/>
    <cellStyle name="Normal 6 4 2 9 2" xfId="30371" xr:uid="{00000000-0005-0000-0000-0000A7760000}"/>
    <cellStyle name="Normal 6 4 2 9 3" xfId="30372" xr:uid="{00000000-0005-0000-0000-0000A8760000}"/>
    <cellStyle name="Normal 6 4 2 9 4" xfId="30373" xr:uid="{00000000-0005-0000-0000-0000A9760000}"/>
    <cellStyle name="Normal 6 4 2 9 5" xfId="30374" xr:uid="{00000000-0005-0000-0000-0000AA760000}"/>
    <cellStyle name="Normal 6 4 2 9 6" xfId="30375" xr:uid="{00000000-0005-0000-0000-0000AB760000}"/>
    <cellStyle name="Normal 6 4 20" xfId="30376" xr:uid="{00000000-0005-0000-0000-0000AC760000}"/>
    <cellStyle name="Normal 6 4 21" xfId="30377" xr:uid="{00000000-0005-0000-0000-0000AD760000}"/>
    <cellStyle name="Normal 6 4 22" xfId="30378" xr:uid="{00000000-0005-0000-0000-0000AE760000}"/>
    <cellStyle name="Normal 6 4 23" xfId="30379" xr:uid="{00000000-0005-0000-0000-0000AF760000}"/>
    <cellStyle name="Normal 6 4 24" xfId="30380" xr:uid="{00000000-0005-0000-0000-0000B0760000}"/>
    <cellStyle name="Normal 6 4 25" xfId="30381" xr:uid="{00000000-0005-0000-0000-0000B1760000}"/>
    <cellStyle name="Normal 6 4 26" xfId="30382" xr:uid="{00000000-0005-0000-0000-0000B2760000}"/>
    <cellStyle name="Normal 6 4 27" xfId="30383" xr:uid="{00000000-0005-0000-0000-0000B3760000}"/>
    <cellStyle name="Normal 6 4 28" xfId="30384" xr:uid="{00000000-0005-0000-0000-0000B4760000}"/>
    <cellStyle name="Normal 6 4 29" xfId="30385" xr:uid="{00000000-0005-0000-0000-0000B5760000}"/>
    <cellStyle name="Normal 6 4 3" xfId="30386" xr:uid="{00000000-0005-0000-0000-0000B6760000}"/>
    <cellStyle name="Normal 6 4 3 10" xfId="30387" xr:uid="{00000000-0005-0000-0000-0000B7760000}"/>
    <cellStyle name="Normal 6 4 3 11" xfId="30388" xr:uid="{00000000-0005-0000-0000-0000B8760000}"/>
    <cellStyle name="Normal 6 4 3 12" xfId="30389" xr:uid="{00000000-0005-0000-0000-0000B9760000}"/>
    <cellStyle name="Normal 6 4 3 13" xfId="30390" xr:uid="{00000000-0005-0000-0000-0000BA760000}"/>
    <cellStyle name="Normal 6 4 3 14" xfId="30391" xr:uid="{00000000-0005-0000-0000-0000BB760000}"/>
    <cellStyle name="Normal 6 4 3 2" xfId="30392" xr:uid="{00000000-0005-0000-0000-0000BC760000}"/>
    <cellStyle name="Normal 6 4 3 2 2" xfId="30393" xr:uid="{00000000-0005-0000-0000-0000BD760000}"/>
    <cellStyle name="Normal 6 4 3 2 3" xfId="30394" xr:uid="{00000000-0005-0000-0000-0000BE760000}"/>
    <cellStyle name="Normal 6 4 3 2 4" xfId="30395" xr:uid="{00000000-0005-0000-0000-0000BF760000}"/>
    <cellStyle name="Normal 6 4 3 2 5" xfId="30396" xr:uid="{00000000-0005-0000-0000-0000C0760000}"/>
    <cellStyle name="Normal 6 4 3 2 6" xfId="30397" xr:uid="{00000000-0005-0000-0000-0000C1760000}"/>
    <cellStyle name="Normal 6 4 3 3" xfId="30398" xr:uid="{00000000-0005-0000-0000-0000C2760000}"/>
    <cellStyle name="Normal 6 4 3 3 2" xfId="30399" xr:uid="{00000000-0005-0000-0000-0000C3760000}"/>
    <cellStyle name="Normal 6 4 3 3 3" xfId="30400" xr:uid="{00000000-0005-0000-0000-0000C4760000}"/>
    <cellStyle name="Normal 6 4 3 3 4" xfId="30401" xr:uid="{00000000-0005-0000-0000-0000C5760000}"/>
    <cellStyle name="Normal 6 4 3 3 5" xfId="30402" xr:uid="{00000000-0005-0000-0000-0000C6760000}"/>
    <cellStyle name="Normal 6 4 3 3 6" xfId="30403" xr:uid="{00000000-0005-0000-0000-0000C7760000}"/>
    <cellStyle name="Normal 6 4 3 4" xfId="30404" xr:uid="{00000000-0005-0000-0000-0000C8760000}"/>
    <cellStyle name="Normal 6 4 3 4 2" xfId="30405" xr:uid="{00000000-0005-0000-0000-0000C9760000}"/>
    <cellStyle name="Normal 6 4 3 4 3" xfId="30406" xr:uid="{00000000-0005-0000-0000-0000CA760000}"/>
    <cellStyle name="Normal 6 4 3 4 4" xfId="30407" xr:uid="{00000000-0005-0000-0000-0000CB760000}"/>
    <cellStyle name="Normal 6 4 3 4 5" xfId="30408" xr:uid="{00000000-0005-0000-0000-0000CC760000}"/>
    <cellStyle name="Normal 6 4 3 4 6" xfId="30409" xr:uid="{00000000-0005-0000-0000-0000CD760000}"/>
    <cellStyle name="Normal 6 4 3 5" xfId="30410" xr:uid="{00000000-0005-0000-0000-0000CE760000}"/>
    <cellStyle name="Normal 6 4 3 5 2" xfId="30411" xr:uid="{00000000-0005-0000-0000-0000CF760000}"/>
    <cellStyle name="Normal 6 4 3 5 3" xfId="30412" xr:uid="{00000000-0005-0000-0000-0000D0760000}"/>
    <cellStyle name="Normal 6 4 3 5 4" xfId="30413" xr:uid="{00000000-0005-0000-0000-0000D1760000}"/>
    <cellStyle name="Normal 6 4 3 5 5" xfId="30414" xr:uid="{00000000-0005-0000-0000-0000D2760000}"/>
    <cellStyle name="Normal 6 4 3 5 6" xfId="30415" xr:uid="{00000000-0005-0000-0000-0000D3760000}"/>
    <cellStyle name="Normal 6 4 3 6" xfId="30416" xr:uid="{00000000-0005-0000-0000-0000D4760000}"/>
    <cellStyle name="Normal 6 4 3 6 2" xfId="30417" xr:uid="{00000000-0005-0000-0000-0000D5760000}"/>
    <cellStyle name="Normal 6 4 3 6 3" xfId="30418" xr:uid="{00000000-0005-0000-0000-0000D6760000}"/>
    <cellStyle name="Normal 6 4 3 6 4" xfId="30419" xr:uid="{00000000-0005-0000-0000-0000D7760000}"/>
    <cellStyle name="Normal 6 4 3 6 5" xfId="30420" xr:uid="{00000000-0005-0000-0000-0000D8760000}"/>
    <cellStyle name="Normal 6 4 3 6 6" xfId="30421" xr:uid="{00000000-0005-0000-0000-0000D9760000}"/>
    <cellStyle name="Normal 6 4 3 7" xfId="30422" xr:uid="{00000000-0005-0000-0000-0000DA760000}"/>
    <cellStyle name="Normal 6 4 3 7 2" xfId="30423" xr:uid="{00000000-0005-0000-0000-0000DB760000}"/>
    <cellStyle name="Normal 6 4 3 7 3" xfId="30424" xr:uid="{00000000-0005-0000-0000-0000DC760000}"/>
    <cellStyle name="Normal 6 4 3 7 4" xfId="30425" xr:uid="{00000000-0005-0000-0000-0000DD760000}"/>
    <cellStyle name="Normal 6 4 3 7 5" xfId="30426" xr:uid="{00000000-0005-0000-0000-0000DE760000}"/>
    <cellStyle name="Normal 6 4 3 7 6" xfId="30427" xr:uid="{00000000-0005-0000-0000-0000DF760000}"/>
    <cellStyle name="Normal 6 4 3 8" xfId="30428" xr:uid="{00000000-0005-0000-0000-0000E0760000}"/>
    <cellStyle name="Normal 6 4 3 8 2" xfId="30429" xr:uid="{00000000-0005-0000-0000-0000E1760000}"/>
    <cellStyle name="Normal 6 4 3 8 3" xfId="30430" xr:uid="{00000000-0005-0000-0000-0000E2760000}"/>
    <cellStyle name="Normal 6 4 3 8 4" xfId="30431" xr:uid="{00000000-0005-0000-0000-0000E3760000}"/>
    <cellStyle name="Normal 6 4 3 8 5" xfId="30432" xr:uid="{00000000-0005-0000-0000-0000E4760000}"/>
    <cellStyle name="Normal 6 4 3 8 6" xfId="30433" xr:uid="{00000000-0005-0000-0000-0000E5760000}"/>
    <cellStyle name="Normal 6 4 3 9" xfId="30434" xr:uid="{00000000-0005-0000-0000-0000E6760000}"/>
    <cellStyle name="Normal 6 4 3 9 2" xfId="30435" xr:uid="{00000000-0005-0000-0000-0000E7760000}"/>
    <cellStyle name="Normal 6 4 3 9 3" xfId="30436" xr:uid="{00000000-0005-0000-0000-0000E8760000}"/>
    <cellStyle name="Normal 6 4 3 9 4" xfId="30437" xr:uid="{00000000-0005-0000-0000-0000E9760000}"/>
    <cellStyle name="Normal 6 4 3 9 5" xfId="30438" xr:uid="{00000000-0005-0000-0000-0000EA760000}"/>
    <cellStyle name="Normal 6 4 3 9 6" xfId="30439" xr:uid="{00000000-0005-0000-0000-0000EB760000}"/>
    <cellStyle name="Normal 6 4 30" xfId="30440" xr:uid="{00000000-0005-0000-0000-0000EC760000}"/>
    <cellStyle name="Normal 6 4 31" xfId="30441" xr:uid="{00000000-0005-0000-0000-0000ED760000}"/>
    <cellStyle name="Normal 6 4 32" xfId="30442" xr:uid="{00000000-0005-0000-0000-0000EE760000}"/>
    <cellStyle name="Normal 6 4 33" xfId="30443" xr:uid="{00000000-0005-0000-0000-0000EF760000}"/>
    <cellStyle name="Normal 6 4 4" xfId="30444" xr:uid="{00000000-0005-0000-0000-0000F0760000}"/>
    <cellStyle name="Normal 6 4 4 2" xfId="30445" xr:uid="{00000000-0005-0000-0000-0000F1760000}"/>
    <cellStyle name="Normal 6 4 4 3" xfId="30446" xr:uid="{00000000-0005-0000-0000-0000F2760000}"/>
    <cellStyle name="Normal 6 4 4 4" xfId="30447" xr:uid="{00000000-0005-0000-0000-0000F3760000}"/>
    <cellStyle name="Normal 6 4 4 5" xfId="30448" xr:uid="{00000000-0005-0000-0000-0000F4760000}"/>
    <cellStyle name="Normal 6 4 4 6" xfId="30449" xr:uid="{00000000-0005-0000-0000-0000F5760000}"/>
    <cellStyle name="Normal 6 4 5" xfId="30450" xr:uid="{00000000-0005-0000-0000-0000F6760000}"/>
    <cellStyle name="Normal 6 4 5 2" xfId="30451" xr:uid="{00000000-0005-0000-0000-0000F7760000}"/>
    <cellStyle name="Normal 6 4 5 3" xfId="30452" xr:uid="{00000000-0005-0000-0000-0000F8760000}"/>
    <cellStyle name="Normal 6 4 5 4" xfId="30453" xr:uid="{00000000-0005-0000-0000-0000F9760000}"/>
    <cellStyle name="Normal 6 4 5 5" xfId="30454" xr:uid="{00000000-0005-0000-0000-0000FA760000}"/>
    <cellStyle name="Normal 6 4 5 6" xfId="30455" xr:uid="{00000000-0005-0000-0000-0000FB760000}"/>
    <cellStyle name="Normal 6 4 6" xfId="30456" xr:uid="{00000000-0005-0000-0000-0000FC760000}"/>
    <cellStyle name="Normal 6 4 6 2" xfId="30457" xr:uid="{00000000-0005-0000-0000-0000FD760000}"/>
    <cellStyle name="Normal 6 4 6 3" xfId="30458" xr:uid="{00000000-0005-0000-0000-0000FE760000}"/>
    <cellStyle name="Normal 6 4 6 4" xfId="30459" xr:uid="{00000000-0005-0000-0000-0000FF760000}"/>
    <cellStyle name="Normal 6 4 6 5" xfId="30460" xr:uid="{00000000-0005-0000-0000-000000770000}"/>
    <cellStyle name="Normal 6 4 6 6" xfId="30461" xr:uid="{00000000-0005-0000-0000-000001770000}"/>
    <cellStyle name="Normal 6 4 7" xfId="30462" xr:uid="{00000000-0005-0000-0000-000002770000}"/>
    <cellStyle name="Normal 6 4 7 2" xfId="30463" xr:uid="{00000000-0005-0000-0000-000003770000}"/>
    <cellStyle name="Normal 6 4 7 3" xfId="30464" xr:uid="{00000000-0005-0000-0000-000004770000}"/>
    <cellStyle name="Normal 6 4 7 4" xfId="30465" xr:uid="{00000000-0005-0000-0000-000005770000}"/>
    <cellStyle name="Normal 6 4 7 5" xfId="30466" xr:uid="{00000000-0005-0000-0000-000006770000}"/>
    <cellStyle name="Normal 6 4 7 6" xfId="30467" xr:uid="{00000000-0005-0000-0000-000007770000}"/>
    <cellStyle name="Normal 6 4 8" xfId="30468" xr:uid="{00000000-0005-0000-0000-000008770000}"/>
    <cellStyle name="Normal 6 4 8 2" xfId="30469" xr:uid="{00000000-0005-0000-0000-000009770000}"/>
    <cellStyle name="Normal 6 4 8 3" xfId="30470" xr:uid="{00000000-0005-0000-0000-00000A770000}"/>
    <cellStyle name="Normal 6 4 8 4" xfId="30471" xr:uid="{00000000-0005-0000-0000-00000B770000}"/>
    <cellStyle name="Normal 6 4 8 5" xfId="30472" xr:uid="{00000000-0005-0000-0000-00000C770000}"/>
    <cellStyle name="Normal 6 4 8 6" xfId="30473" xr:uid="{00000000-0005-0000-0000-00000D770000}"/>
    <cellStyle name="Normal 6 4 9" xfId="30474" xr:uid="{00000000-0005-0000-0000-00000E770000}"/>
    <cellStyle name="Normal 6 4 9 2" xfId="30475" xr:uid="{00000000-0005-0000-0000-00000F770000}"/>
    <cellStyle name="Normal 6 4 9 3" xfId="30476" xr:uid="{00000000-0005-0000-0000-000010770000}"/>
    <cellStyle name="Normal 6 4 9 4" xfId="30477" xr:uid="{00000000-0005-0000-0000-000011770000}"/>
    <cellStyle name="Normal 6 4 9 5" xfId="30478" xr:uid="{00000000-0005-0000-0000-000012770000}"/>
    <cellStyle name="Normal 6 4 9 6" xfId="30479" xr:uid="{00000000-0005-0000-0000-000013770000}"/>
    <cellStyle name="Normal 6 5" xfId="30480" xr:uid="{00000000-0005-0000-0000-000014770000}"/>
    <cellStyle name="Normal 6 5 10" xfId="30481" xr:uid="{00000000-0005-0000-0000-000015770000}"/>
    <cellStyle name="Normal 6 5 10 2" xfId="30482" xr:uid="{00000000-0005-0000-0000-000016770000}"/>
    <cellStyle name="Normal 6 5 10 3" xfId="30483" xr:uid="{00000000-0005-0000-0000-000017770000}"/>
    <cellStyle name="Normal 6 5 10 4" xfId="30484" xr:uid="{00000000-0005-0000-0000-000018770000}"/>
    <cellStyle name="Normal 6 5 10 5" xfId="30485" xr:uid="{00000000-0005-0000-0000-000019770000}"/>
    <cellStyle name="Normal 6 5 10 6" xfId="30486" xr:uid="{00000000-0005-0000-0000-00001A770000}"/>
    <cellStyle name="Normal 6 5 11" xfId="30487" xr:uid="{00000000-0005-0000-0000-00001B770000}"/>
    <cellStyle name="Normal 6 5 11 2" xfId="30488" xr:uid="{00000000-0005-0000-0000-00001C770000}"/>
    <cellStyle name="Normal 6 5 11 3" xfId="30489" xr:uid="{00000000-0005-0000-0000-00001D770000}"/>
    <cellStyle name="Normal 6 5 11 4" xfId="30490" xr:uid="{00000000-0005-0000-0000-00001E770000}"/>
    <cellStyle name="Normal 6 5 11 5" xfId="30491" xr:uid="{00000000-0005-0000-0000-00001F770000}"/>
    <cellStyle name="Normal 6 5 11 6" xfId="30492" xr:uid="{00000000-0005-0000-0000-000020770000}"/>
    <cellStyle name="Normal 6 5 12" xfId="30493" xr:uid="{00000000-0005-0000-0000-000021770000}"/>
    <cellStyle name="Normal 6 5 13" xfId="30494" xr:uid="{00000000-0005-0000-0000-000022770000}"/>
    <cellStyle name="Normal 6 5 14" xfId="30495" xr:uid="{00000000-0005-0000-0000-000023770000}"/>
    <cellStyle name="Normal 6 5 15" xfId="30496" xr:uid="{00000000-0005-0000-0000-000024770000}"/>
    <cellStyle name="Normal 6 5 16" xfId="30497" xr:uid="{00000000-0005-0000-0000-000025770000}"/>
    <cellStyle name="Normal 6 5 17" xfId="30498" xr:uid="{00000000-0005-0000-0000-000026770000}"/>
    <cellStyle name="Normal 6 5 18" xfId="30499" xr:uid="{00000000-0005-0000-0000-000027770000}"/>
    <cellStyle name="Normal 6 5 19" xfId="30500" xr:uid="{00000000-0005-0000-0000-000028770000}"/>
    <cellStyle name="Normal 6 5 2" xfId="30501" xr:uid="{00000000-0005-0000-0000-000029770000}"/>
    <cellStyle name="Normal 6 5 2 10" xfId="30502" xr:uid="{00000000-0005-0000-0000-00002A770000}"/>
    <cellStyle name="Normal 6 5 2 10 2" xfId="30503" xr:uid="{00000000-0005-0000-0000-00002B770000}"/>
    <cellStyle name="Normal 6 5 2 10 3" xfId="30504" xr:uid="{00000000-0005-0000-0000-00002C770000}"/>
    <cellStyle name="Normal 6 5 2 10 4" xfId="30505" xr:uid="{00000000-0005-0000-0000-00002D770000}"/>
    <cellStyle name="Normal 6 5 2 10 5" xfId="30506" xr:uid="{00000000-0005-0000-0000-00002E770000}"/>
    <cellStyle name="Normal 6 5 2 10 6" xfId="30507" xr:uid="{00000000-0005-0000-0000-00002F770000}"/>
    <cellStyle name="Normal 6 5 2 11" xfId="30508" xr:uid="{00000000-0005-0000-0000-000030770000}"/>
    <cellStyle name="Normal 6 5 2 12" xfId="30509" xr:uid="{00000000-0005-0000-0000-000031770000}"/>
    <cellStyle name="Normal 6 5 2 13" xfId="30510" xr:uid="{00000000-0005-0000-0000-000032770000}"/>
    <cellStyle name="Normal 6 5 2 14" xfId="30511" xr:uid="{00000000-0005-0000-0000-000033770000}"/>
    <cellStyle name="Normal 6 5 2 15" xfId="30512" xr:uid="{00000000-0005-0000-0000-000034770000}"/>
    <cellStyle name="Normal 6 5 2 2" xfId="30513" xr:uid="{00000000-0005-0000-0000-000035770000}"/>
    <cellStyle name="Normal 6 5 2 2 10" xfId="30514" xr:uid="{00000000-0005-0000-0000-000036770000}"/>
    <cellStyle name="Normal 6 5 2 2 11" xfId="30515" xr:uid="{00000000-0005-0000-0000-000037770000}"/>
    <cellStyle name="Normal 6 5 2 2 12" xfId="30516" xr:uid="{00000000-0005-0000-0000-000038770000}"/>
    <cellStyle name="Normal 6 5 2 2 13" xfId="30517" xr:uid="{00000000-0005-0000-0000-000039770000}"/>
    <cellStyle name="Normal 6 5 2 2 14" xfId="30518" xr:uid="{00000000-0005-0000-0000-00003A770000}"/>
    <cellStyle name="Normal 6 5 2 2 2" xfId="30519" xr:uid="{00000000-0005-0000-0000-00003B770000}"/>
    <cellStyle name="Normal 6 5 2 2 2 2" xfId="30520" xr:uid="{00000000-0005-0000-0000-00003C770000}"/>
    <cellStyle name="Normal 6 5 2 2 2 3" xfId="30521" xr:uid="{00000000-0005-0000-0000-00003D770000}"/>
    <cellStyle name="Normal 6 5 2 2 2 4" xfId="30522" xr:uid="{00000000-0005-0000-0000-00003E770000}"/>
    <cellStyle name="Normal 6 5 2 2 2 5" xfId="30523" xr:uid="{00000000-0005-0000-0000-00003F770000}"/>
    <cellStyle name="Normal 6 5 2 2 2 6" xfId="30524" xr:uid="{00000000-0005-0000-0000-000040770000}"/>
    <cellStyle name="Normal 6 5 2 2 3" xfId="30525" xr:uid="{00000000-0005-0000-0000-000041770000}"/>
    <cellStyle name="Normal 6 5 2 2 3 2" xfId="30526" xr:uid="{00000000-0005-0000-0000-000042770000}"/>
    <cellStyle name="Normal 6 5 2 2 3 3" xfId="30527" xr:uid="{00000000-0005-0000-0000-000043770000}"/>
    <cellStyle name="Normal 6 5 2 2 3 4" xfId="30528" xr:uid="{00000000-0005-0000-0000-000044770000}"/>
    <cellStyle name="Normal 6 5 2 2 3 5" xfId="30529" xr:uid="{00000000-0005-0000-0000-000045770000}"/>
    <cellStyle name="Normal 6 5 2 2 3 6" xfId="30530" xr:uid="{00000000-0005-0000-0000-000046770000}"/>
    <cellStyle name="Normal 6 5 2 2 4" xfId="30531" xr:uid="{00000000-0005-0000-0000-000047770000}"/>
    <cellStyle name="Normal 6 5 2 2 4 2" xfId="30532" xr:uid="{00000000-0005-0000-0000-000048770000}"/>
    <cellStyle name="Normal 6 5 2 2 4 3" xfId="30533" xr:uid="{00000000-0005-0000-0000-000049770000}"/>
    <cellStyle name="Normal 6 5 2 2 4 4" xfId="30534" xr:uid="{00000000-0005-0000-0000-00004A770000}"/>
    <cellStyle name="Normal 6 5 2 2 4 5" xfId="30535" xr:uid="{00000000-0005-0000-0000-00004B770000}"/>
    <cellStyle name="Normal 6 5 2 2 4 6" xfId="30536" xr:uid="{00000000-0005-0000-0000-00004C770000}"/>
    <cellStyle name="Normal 6 5 2 2 5" xfId="30537" xr:uid="{00000000-0005-0000-0000-00004D770000}"/>
    <cellStyle name="Normal 6 5 2 2 5 2" xfId="30538" xr:uid="{00000000-0005-0000-0000-00004E770000}"/>
    <cellStyle name="Normal 6 5 2 2 5 3" xfId="30539" xr:uid="{00000000-0005-0000-0000-00004F770000}"/>
    <cellStyle name="Normal 6 5 2 2 5 4" xfId="30540" xr:uid="{00000000-0005-0000-0000-000050770000}"/>
    <cellStyle name="Normal 6 5 2 2 5 5" xfId="30541" xr:uid="{00000000-0005-0000-0000-000051770000}"/>
    <cellStyle name="Normal 6 5 2 2 5 6" xfId="30542" xr:uid="{00000000-0005-0000-0000-000052770000}"/>
    <cellStyle name="Normal 6 5 2 2 6" xfId="30543" xr:uid="{00000000-0005-0000-0000-000053770000}"/>
    <cellStyle name="Normal 6 5 2 2 6 2" xfId="30544" xr:uid="{00000000-0005-0000-0000-000054770000}"/>
    <cellStyle name="Normal 6 5 2 2 6 3" xfId="30545" xr:uid="{00000000-0005-0000-0000-000055770000}"/>
    <cellStyle name="Normal 6 5 2 2 6 4" xfId="30546" xr:uid="{00000000-0005-0000-0000-000056770000}"/>
    <cellStyle name="Normal 6 5 2 2 6 5" xfId="30547" xr:uid="{00000000-0005-0000-0000-000057770000}"/>
    <cellStyle name="Normal 6 5 2 2 6 6" xfId="30548" xr:uid="{00000000-0005-0000-0000-000058770000}"/>
    <cellStyle name="Normal 6 5 2 2 7" xfId="30549" xr:uid="{00000000-0005-0000-0000-000059770000}"/>
    <cellStyle name="Normal 6 5 2 2 7 2" xfId="30550" xr:uid="{00000000-0005-0000-0000-00005A770000}"/>
    <cellStyle name="Normal 6 5 2 2 7 3" xfId="30551" xr:uid="{00000000-0005-0000-0000-00005B770000}"/>
    <cellStyle name="Normal 6 5 2 2 7 4" xfId="30552" xr:uid="{00000000-0005-0000-0000-00005C770000}"/>
    <cellStyle name="Normal 6 5 2 2 7 5" xfId="30553" xr:uid="{00000000-0005-0000-0000-00005D770000}"/>
    <cellStyle name="Normal 6 5 2 2 7 6" xfId="30554" xr:uid="{00000000-0005-0000-0000-00005E770000}"/>
    <cellStyle name="Normal 6 5 2 2 8" xfId="30555" xr:uid="{00000000-0005-0000-0000-00005F770000}"/>
    <cellStyle name="Normal 6 5 2 2 8 2" xfId="30556" xr:uid="{00000000-0005-0000-0000-000060770000}"/>
    <cellStyle name="Normal 6 5 2 2 8 3" xfId="30557" xr:uid="{00000000-0005-0000-0000-000061770000}"/>
    <cellStyle name="Normal 6 5 2 2 8 4" xfId="30558" xr:uid="{00000000-0005-0000-0000-000062770000}"/>
    <cellStyle name="Normal 6 5 2 2 8 5" xfId="30559" xr:uid="{00000000-0005-0000-0000-000063770000}"/>
    <cellStyle name="Normal 6 5 2 2 8 6" xfId="30560" xr:uid="{00000000-0005-0000-0000-000064770000}"/>
    <cellStyle name="Normal 6 5 2 2 9" xfId="30561" xr:uid="{00000000-0005-0000-0000-000065770000}"/>
    <cellStyle name="Normal 6 5 2 2 9 2" xfId="30562" xr:uid="{00000000-0005-0000-0000-000066770000}"/>
    <cellStyle name="Normal 6 5 2 2 9 3" xfId="30563" xr:uid="{00000000-0005-0000-0000-000067770000}"/>
    <cellStyle name="Normal 6 5 2 2 9 4" xfId="30564" xr:uid="{00000000-0005-0000-0000-000068770000}"/>
    <cellStyle name="Normal 6 5 2 2 9 5" xfId="30565" xr:uid="{00000000-0005-0000-0000-000069770000}"/>
    <cellStyle name="Normal 6 5 2 2 9 6" xfId="30566" xr:uid="{00000000-0005-0000-0000-00006A770000}"/>
    <cellStyle name="Normal 6 5 2 3" xfId="30567" xr:uid="{00000000-0005-0000-0000-00006B770000}"/>
    <cellStyle name="Normal 6 5 2 3 2" xfId="30568" xr:uid="{00000000-0005-0000-0000-00006C770000}"/>
    <cellStyle name="Normal 6 5 2 3 3" xfId="30569" xr:uid="{00000000-0005-0000-0000-00006D770000}"/>
    <cellStyle name="Normal 6 5 2 3 4" xfId="30570" xr:uid="{00000000-0005-0000-0000-00006E770000}"/>
    <cellStyle name="Normal 6 5 2 3 5" xfId="30571" xr:uid="{00000000-0005-0000-0000-00006F770000}"/>
    <cellStyle name="Normal 6 5 2 3 6" xfId="30572" xr:uid="{00000000-0005-0000-0000-000070770000}"/>
    <cellStyle name="Normal 6 5 2 4" xfId="30573" xr:uid="{00000000-0005-0000-0000-000071770000}"/>
    <cellStyle name="Normal 6 5 2 4 2" xfId="30574" xr:uid="{00000000-0005-0000-0000-000072770000}"/>
    <cellStyle name="Normal 6 5 2 4 3" xfId="30575" xr:uid="{00000000-0005-0000-0000-000073770000}"/>
    <cellStyle name="Normal 6 5 2 4 4" xfId="30576" xr:uid="{00000000-0005-0000-0000-000074770000}"/>
    <cellStyle name="Normal 6 5 2 4 5" xfId="30577" xr:uid="{00000000-0005-0000-0000-000075770000}"/>
    <cellStyle name="Normal 6 5 2 4 6" xfId="30578" xr:uid="{00000000-0005-0000-0000-000076770000}"/>
    <cellStyle name="Normal 6 5 2 5" xfId="30579" xr:uid="{00000000-0005-0000-0000-000077770000}"/>
    <cellStyle name="Normal 6 5 2 5 2" xfId="30580" xr:uid="{00000000-0005-0000-0000-000078770000}"/>
    <cellStyle name="Normal 6 5 2 5 3" xfId="30581" xr:uid="{00000000-0005-0000-0000-000079770000}"/>
    <cellStyle name="Normal 6 5 2 5 4" xfId="30582" xr:uid="{00000000-0005-0000-0000-00007A770000}"/>
    <cellStyle name="Normal 6 5 2 5 5" xfId="30583" xr:uid="{00000000-0005-0000-0000-00007B770000}"/>
    <cellStyle name="Normal 6 5 2 5 6" xfId="30584" xr:uid="{00000000-0005-0000-0000-00007C770000}"/>
    <cellStyle name="Normal 6 5 2 6" xfId="30585" xr:uid="{00000000-0005-0000-0000-00007D770000}"/>
    <cellStyle name="Normal 6 5 2 6 2" xfId="30586" xr:uid="{00000000-0005-0000-0000-00007E770000}"/>
    <cellStyle name="Normal 6 5 2 6 3" xfId="30587" xr:uid="{00000000-0005-0000-0000-00007F770000}"/>
    <cellStyle name="Normal 6 5 2 6 4" xfId="30588" xr:uid="{00000000-0005-0000-0000-000080770000}"/>
    <cellStyle name="Normal 6 5 2 6 5" xfId="30589" xr:uid="{00000000-0005-0000-0000-000081770000}"/>
    <cellStyle name="Normal 6 5 2 6 6" xfId="30590" xr:uid="{00000000-0005-0000-0000-000082770000}"/>
    <cellStyle name="Normal 6 5 2 7" xfId="30591" xr:uid="{00000000-0005-0000-0000-000083770000}"/>
    <cellStyle name="Normal 6 5 2 7 2" xfId="30592" xr:uid="{00000000-0005-0000-0000-000084770000}"/>
    <cellStyle name="Normal 6 5 2 7 3" xfId="30593" xr:uid="{00000000-0005-0000-0000-000085770000}"/>
    <cellStyle name="Normal 6 5 2 7 4" xfId="30594" xr:uid="{00000000-0005-0000-0000-000086770000}"/>
    <cellStyle name="Normal 6 5 2 7 5" xfId="30595" xr:uid="{00000000-0005-0000-0000-000087770000}"/>
    <cellStyle name="Normal 6 5 2 7 6" xfId="30596" xr:uid="{00000000-0005-0000-0000-000088770000}"/>
    <cellStyle name="Normal 6 5 2 8" xfId="30597" xr:uid="{00000000-0005-0000-0000-000089770000}"/>
    <cellStyle name="Normal 6 5 2 8 2" xfId="30598" xr:uid="{00000000-0005-0000-0000-00008A770000}"/>
    <cellStyle name="Normal 6 5 2 8 3" xfId="30599" xr:uid="{00000000-0005-0000-0000-00008B770000}"/>
    <cellStyle name="Normal 6 5 2 8 4" xfId="30600" xr:uid="{00000000-0005-0000-0000-00008C770000}"/>
    <cellStyle name="Normal 6 5 2 8 5" xfId="30601" xr:uid="{00000000-0005-0000-0000-00008D770000}"/>
    <cellStyle name="Normal 6 5 2 8 6" xfId="30602" xr:uid="{00000000-0005-0000-0000-00008E770000}"/>
    <cellStyle name="Normal 6 5 2 9" xfId="30603" xr:uid="{00000000-0005-0000-0000-00008F770000}"/>
    <cellStyle name="Normal 6 5 2 9 2" xfId="30604" xr:uid="{00000000-0005-0000-0000-000090770000}"/>
    <cellStyle name="Normal 6 5 2 9 3" xfId="30605" xr:uid="{00000000-0005-0000-0000-000091770000}"/>
    <cellStyle name="Normal 6 5 2 9 4" xfId="30606" xr:uid="{00000000-0005-0000-0000-000092770000}"/>
    <cellStyle name="Normal 6 5 2 9 5" xfId="30607" xr:uid="{00000000-0005-0000-0000-000093770000}"/>
    <cellStyle name="Normal 6 5 2 9 6" xfId="30608" xr:uid="{00000000-0005-0000-0000-000094770000}"/>
    <cellStyle name="Normal 6 5 20" xfId="30609" xr:uid="{00000000-0005-0000-0000-000095770000}"/>
    <cellStyle name="Normal 6 5 21" xfId="30610" xr:uid="{00000000-0005-0000-0000-000096770000}"/>
    <cellStyle name="Normal 6 5 22" xfId="30611" xr:uid="{00000000-0005-0000-0000-000097770000}"/>
    <cellStyle name="Normal 6 5 23" xfId="30612" xr:uid="{00000000-0005-0000-0000-000098770000}"/>
    <cellStyle name="Normal 6 5 24" xfId="30613" xr:uid="{00000000-0005-0000-0000-000099770000}"/>
    <cellStyle name="Normal 6 5 25" xfId="30614" xr:uid="{00000000-0005-0000-0000-00009A770000}"/>
    <cellStyle name="Normal 6 5 26" xfId="30615" xr:uid="{00000000-0005-0000-0000-00009B770000}"/>
    <cellStyle name="Normal 6 5 27" xfId="30616" xr:uid="{00000000-0005-0000-0000-00009C770000}"/>
    <cellStyle name="Normal 6 5 28" xfId="30617" xr:uid="{00000000-0005-0000-0000-00009D770000}"/>
    <cellStyle name="Normal 6 5 29" xfId="30618" xr:uid="{00000000-0005-0000-0000-00009E770000}"/>
    <cellStyle name="Normal 6 5 3" xfId="30619" xr:uid="{00000000-0005-0000-0000-00009F770000}"/>
    <cellStyle name="Normal 6 5 3 10" xfId="30620" xr:uid="{00000000-0005-0000-0000-0000A0770000}"/>
    <cellStyle name="Normal 6 5 3 11" xfId="30621" xr:uid="{00000000-0005-0000-0000-0000A1770000}"/>
    <cellStyle name="Normal 6 5 3 12" xfId="30622" xr:uid="{00000000-0005-0000-0000-0000A2770000}"/>
    <cellStyle name="Normal 6 5 3 13" xfId="30623" xr:uid="{00000000-0005-0000-0000-0000A3770000}"/>
    <cellStyle name="Normal 6 5 3 14" xfId="30624" xr:uid="{00000000-0005-0000-0000-0000A4770000}"/>
    <cellStyle name="Normal 6 5 3 2" xfId="30625" xr:uid="{00000000-0005-0000-0000-0000A5770000}"/>
    <cellStyle name="Normal 6 5 3 2 2" xfId="30626" xr:uid="{00000000-0005-0000-0000-0000A6770000}"/>
    <cellStyle name="Normal 6 5 3 2 3" xfId="30627" xr:uid="{00000000-0005-0000-0000-0000A7770000}"/>
    <cellStyle name="Normal 6 5 3 2 4" xfId="30628" xr:uid="{00000000-0005-0000-0000-0000A8770000}"/>
    <cellStyle name="Normal 6 5 3 2 5" xfId="30629" xr:uid="{00000000-0005-0000-0000-0000A9770000}"/>
    <cellStyle name="Normal 6 5 3 2 6" xfId="30630" xr:uid="{00000000-0005-0000-0000-0000AA770000}"/>
    <cellStyle name="Normal 6 5 3 3" xfId="30631" xr:uid="{00000000-0005-0000-0000-0000AB770000}"/>
    <cellStyle name="Normal 6 5 3 3 2" xfId="30632" xr:uid="{00000000-0005-0000-0000-0000AC770000}"/>
    <cellStyle name="Normal 6 5 3 3 3" xfId="30633" xr:uid="{00000000-0005-0000-0000-0000AD770000}"/>
    <cellStyle name="Normal 6 5 3 3 4" xfId="30634" xr:uid="{00000000-0005-0000-0000-0000AE770000}"/>
    <cellStyle name="Normal 6 5 3 3 5" xfId="30635" xr:uid="{00000000-0005-0000-0000-0000AF770000}"/>
    <cellStyle name="Normal 6 5 3 3 6" xfId="30636" xr:uid="{00000000-0005-0000-0000-0000B0770000}"/>
    <cellStyle name="Normal 6 5 3 4" xfId="30637" xr:uid="{00000000-0005-0000-0000-0000B1770000}"/>
    <cellStyle name="Normal 6 5 3 4 2" xfId="30638" xr:uid="{00000000-0005-0000-0000-0000B2770000}"/>
    <cellStyle name="Normal 6 5 3 4 3" xfId="30639" xr:uid="{00000000-0005-0000-0000-0000B3770000}"/>
    <cellStyle name="Normal 6 5 3 4 4" xfId="30640" xr:uid="{00000000-0005-0000-0000-0000B4770000}"/>
    <cellStyle name="Normal 6 5 3 4 5" xfId="30641" xr:uid="{00000000-0005-0000-0000-0000B5770000}"/>
    <cellStyle name="Normal 6 5 3 4 6" xfId="30642" xr:uid="{00000000-0005-0000-0000-0000B6770000}"/>
    <cellStyle name="Normal 6 5 3 5" xfId="30643" xr:uid="{00000000-0005-0000-0000-0000B7770000}"/>
    <cellStyle name="Normal 6 5 3 5 2" xfId="30644" xr:uid="{00000000-0005-0000-0000-0000B8770000}"/>
    <cellStyle name="Normal 6 5 3 5 3" xfId="30645" xr:uid="{00000000-0005-0000-0000-0000B9770000}"/>
    <cellStyle name="Normal 6 5 3 5 4" xfId="30646" xr:uid="{00000000-0005-0000-0000-0000BA770000}"/>
    <cellStyle name="Normal 6 5 3 5 5" xfId="30647" xr:uid="{00000000-0005-0000-0000-0000BB770000}"/>
    <cellStyle name="Normal 6 5 3 5 6" xfId="30648" xr:uid="{00000000-0005-0000-0000-0000BC770000}"/>
    <cellStyle name="Normal 6 5 3 6" xfId="30649" xr:uid="{00000000-0005-0000-0000-0000BD770000}"/>
    <cellStyle name="Normal 6 5 3 6 2" xfId="30650" xr:uid="{00000000-0005-0000-0000-0000BE770000}"/>
    <cellStyle name="Normal 6 5 3 6 3" xfId="30651" xr:uid="{00000000-0005-0000-0000-0000BF770000}"/>
    <cellStyle name="Normal 6 5 3 6 4" xfId="30652" xr:uid="{00000000-0005-0000-0000-0000C0770000}"/>
    <cellStyle name="Normal 6 5 3 6 5" xfId="30653" xr:uid="{00000000-0005-0000-0000-0000C1770000}"/>
    <cellStyle name="Normal 6 5 3 6 6" xfId="30654" xr:uid="{00000000-0005-0000-0000-0000C2770000}"/>
    <cellStyle name="Normal 6 5 3 7" xfId="30655" xr:uid="{00000000-0005-0000-0000-0000C3770000}"/>
    <cellStyle name="Normal 6 5 3 7 2" xfId="30656" xr:uid="{00000000-0005-0000-0000-0000C4770000}"/>
    <cellStyle name="Normal 6 5 3 7 3" xfId="30657" xr:uid="{00000000-0005-0000-0000-0000C5770000}"/>
    <cellStyle name="Normal 6 5 3 7 4" xfId="30658" xr:uid="{00000000-0005-0000-0000-0000C6770000}"/>
    <cellStyle name="Normal 6 5 3 7 5" xfId="30659" xr:uid="{00000000-0005-0000-0000-0000C7770000}"/>
    <cellStyle name="Normal 6 5 3 7 6" xfId="30660" xr:uid="{00000000-0005-0000-0000-0000C8770000}"/>
    <cellStyle name="Normal 6 5 3 8" xfId="30661" xr:uid="{00000000-0005-0000-0000-0000C9770000}"/>
    <cellStyle name="Normal 6 5 3 8 2" xfId="30662" xr:uid="{00000000-0005-0000-0000-0000CA770000}"/>
    <cellStyle name="Normal 6 5 3 8 3" xfId="30663" xr:uid="{00000000-0005-0000-0000-0000CB770000}"/>
    <cellStyle name="Normal 6 5 3 8 4" xfId="30664" xr:uid="{00000000-0005-0000-0000-0000CC770000}"/>
    <cellStyle name="Normal 6 5 3 8 5" xfId="30665" xr:uid="{00000000-0005-0000-0000-0000CD770000}"/>
    <cellStyle name="Normal 6 5 3 8 6" xfId="30666" xr:uid="{00000000-0005-0000-0000-0000CE770000}"/>
    <cellStyle name="Normal 6 5 3 9" xfId="30667" xr:uid="{00000000-0005-0000-0000-0000CF770000}"/>
    <cellStyle name="Normal 6 5 3 9 2" xfId="30668" xr:uid="{00000000-0005-0000-0000-0000D0770000}"/>
    <cellStyle name="Normal 6 5 3 9 3" xfId="30669" xr:uid="{00000000-0005-0000-0000-0000D1770000}"/>
    <cellStyle name="Normal 6 5 3 9 4" xfId="30670" xr:uid="{00000000-0005-0000-0000-0000D2770000}"/>
    <cellStyle name="Normal 6 5 3 9 5" xfId="30671" xr:uid="{00000000-0005-0000-0000-0000D3770000}"/>
    <cellStyle name="Normal 6 5 3 9 6" xfId="30672" xr:uid="{00000000-0005-0000-0000-0000D4770000}"/>
    <cellStyle name="Normal 6 5 30" xfId="30673" xr:uid="{00000000-0005-0000-0000-0000D5770000}"/>
    <cellStyle name="Normal 6 5 31" xfId="30674" xr:uid="{00000000-0005-0000-0000-0000D6770000}"/>
    <cellStyle name="Normal 6 5 4" xfId="30675" xr:uid="{00000000-0005-0000-0000-0000D7770000}"/>
    <cellStyle name="Normal 6 5 4 2" xfId="30676" xr:uid="{00000000-0005-0000-0000-0000D8770000}"/>
    <cellStyle name="Normal 6 5 4 3" xfId="30677" xr:uid="{00000000-0005-0000-0000-0000D9770000}"/>
    <cellStyle name="Normal 6 5 4 4" xfId="30678" xr:uid="{00000000-0005-0000-0000-0000DA770000}"/>
    <cellStyle name="Normal 6 5 4 5" xfId="30679" xr:uid="{00000000-0005-0000-0000-0000DB770000}"/>
    <cellStyle name="Normal 6 5 4 6" xfId="30680" xr:uid="{00000000-0005-0000-0000-0000DC770000}"/>
    <cellStyle name="Normal 6 5 5" xfId="30681" xr:uid="{00000000-0005-0000-0000-0000DD770000}"/>
    <cellStyle name="Normal 6 5 5 2" xfId="30682" xr:uid="{00000000-0005-0000-0000-0000DE770000}"/>
    <cellStyle name="Normal 6 5 5 3" xfId="30683" xr:uid="{00000000-0005-0000-0000-0000DF770000}"/>
    <cellStyle name="Normal 6 5 5 4" xfId="30684" xr:uid="{00000000-0005-0000-0000-0000E0770000}"/>
    <cellStyle name="Normal 6 5 5 5" xfId="30685" xr:uid="{00000000-0005-0000-0000-0000E1770000}"/>
    <cellStyle name="Normal 6 5 5 6" xfId="30686" xr:uid="{00000000-0005-0000-0000-0000E2770000}"/>
    <cellStyle name="Normal 6 5 6" xfId="30687" xr:uid="{00000000-0005-0000-0000-0000E3770000}"/>
    <cellStyle name="Normal 6 5 6 2" xfId="30688" xr:uid="{00000000-0005-0000-0000-0000E4770000}"/>
    <cellStyle name="Normal 6 5 6 3" xfId="30689" xr:uid="{00000000-0005-0000-0000-0000E5770000}"/>
    <cellStyle name="Normal 6 5 6 4" xfId="30690" xr:uid="{00000000-0005-0000-0000-0000E6770000}"/>
    <cellStyle name="Normal 6 5 6 5" xfId="30691" xr:uid="{00000000-0005-0000-0000-0000E7770000}"/>
    <cellStyle name="Normal 6 5 6 6" xfId="30692" xr:uid="{00000000-0005-0000-0000-0000E8770000}"/>
    <cellStyle name="Normal 6 5 7" xfId="30693" xr:uid="{00000000-0005-0000-0000-0000E9770000}"/>
    <cellStyle name="Normal 6 5 7 2" xfId="30694" xr:uid="{00000000-0005-0000-0000-0000EA770000}"/>
    <cellStyle name="Normal 6 5 7 3" xfId="30695" xr:uid="{00000000-0005-0000-0000-0000EB770000}"/>
    <cellStyle name="Normal 6 5 7 4" xfId="30696" xr:uid="{00000000-0005-0000-0000-0000EC770000}"/>
    <cellStyle name="Normal 6 5 7 5" xfId="30697" xr:uid="{00000000-0005-0000-0000-0000ED770000}"/>
    <cellStyle name="Normal 6 5 7 6" xfId="30698" xr:uid="{00000000-0005-0000-0000-0000EE770000}"/>
    <cellStyle name="Normal 6 5 8" xfId="30699" xr:uid="{00000000-0005-0000-0000-0000EF770000}"/>
    <cellStyle name="Normal 6 5 8 2" xfId="30700" xr:uid="{00000000-0005-0000-0000-0000F0770000}"/>
    <cellStyle name="Normal 6 5 8 3" xfId="30701" xr:uid="{00000000-0005-0000-0000-0000F1770000}"/>
    <cellStyle name="Normal 6 5 8 4" xfId="30702" xr:uid="{00000000-0005-0000-0000-0000F2770000}"/>
    <cellStyle name="Normal 6 5 8 5" xfId="30703" xr:uid="{00000000-0005-0000-0000-0000F3770000}"/>
    <cellStyle name="Normal 6 5 8 6" xfId="30704" xr:uid="{00000000-0005-0000-0000-0000F4770000}"/>
    <cellStyle name="Normal 6 5 9" xfId="30705" xr:uid="{00000000-0005-0000-0000-0000F5770000}"/>
    <cellStyle name="Normal 6 5 9 2" xfId="30706" xr:uid="{00000000-0005-0000-0000-0000F6770000}"/>
    <cellStyle name="Normal 6 5 9 3" xfId="30707" xr:uid="{00000000-0005-0000-0000-0000F7770000}"/>
    <cellStyle name="Normal 6 5 9 4" xfId="30708" xr:uid="{00000000-0005-0000-0000-0000F8770000}"/>
    <cellStyle name="Normal 6 5 9 5" xfId="30709" xr:uid="{00000000-0005-0000-0000-0000F9770000}"/>
    <cellStyle name="Normal 6 5 9 6" xfId="30710" xr:uid="{00000000-0005-0000-0000-0000FA770000}"/>
    <cellStyle name="Normal 6 6" xfId="30711" xr:uid="{00000000-0005-0000-0000-0000FB770000}"/>
    <cellStyle name="Normal 6 7" xfId="30712" xr:uid="{00000000-0005-0000-0000-0000FC770000}"/>
    <cellStyle name="Normal 6 8" xfId="30713" xr:uid="{00000000-0005-0000-0000-0000FD770000}"/>
    <cellStyle name="Normal 6 9" xfId="30714" xr:uid="{00000000-0005-0000-0000-0000FE770000}"/>
    <cellStyle name="Normal 60" xfId="30715" xr:uid="{00000000-0005-0000-0000-0000FF770000}"/>
    <cellStyle name="Normal 60 2" xfId="30716" xr:uid="{00000000-0005-0000-0000-000000780000}"/>
    <cellStyle name="Normal 60 3" xfId="30717" xr:uid="{00000000-0005-0000-0000-000001780000}"/>
    <cellStyle name="Normal 60 4" xfId="30718" xr:uid="{00000000-0005-0000-0000-000002780000}"/>
    <cellStyle name="Normal 60 5" xfId="30719" xr:uid="{00000000-0005-0000-0000-000003780000}"/>
    <cellStyle name="Normal 60 6" xfId="30720" xr:uid="{00000000-0005-0000-0000-000004780000}"/>
    <cellStyle name="Normal 61" xfId="30721" xr:uid="{00000000-0005-0000-0000-000005780000}"/>
    <cellStyle name="Normal 61 2" xfId="30722" xr:uid="{00000000-0005-0000-0000-000006780000}"/>
    <cellStyle name="Normal 61 3" xfId="30723" xr:uid="{00000000-0005-0000-0000-000007780000}"/>
    <cellStyle name="Normal 61 4" xfId="30724" xr:uid="{00000000-0005-0000-0000-000008780000}"/>
    <cellStyle name="Normal 61 5" xfId="30725" xr:uid="{00000000-0005-0000-0000-000009780000}"/>
    <cellStyle name="Normal 61 6" xfId="30726" xr:uid="{00000000-0005-0000-0000-00000A780000}"/>
    <cellStyle name="Normal 62" xfId="30727" xr:uid="{00000000-0005-0000-0000-00000B780000}"/>
    <cellStyle name="Normal 62 10" xfId="30728" xr:uid="{00000000-0005-0000-0000-00000C780000}"/>
    <cellStyle name="Normal 62 11" xfId="30729" xr:uid="{00000000-0005-0000-0000-00000D780000}"/>
    <cellStyle name="Normal 62 12" xfId="30730" xr:uid="{00000000-0005-0000-0000-00000E780000}"/>
    <cellStyle name="Normal 62 13" xfId="30731" xr:uid="{00000000-0005-0000-0000-00000F780000}"/>
    <cellStyle name="Normal 62 14" xfId="30732" xr:uid="{00000000-0005-0000-0000-000010780000}"/>
    <cellStyle name="Normal 62 15" xfId="30733" xr:uid="{00000000-0005-0000-0000-000011780000}"/>
    <cellStyle name="Normal 62 16" xfId="30734" xr:uid="{00000000-0005-0000-0000-000012780000}"/>
    <cellStyle name="Normal 62 17" xfId="30735" xr:uid="{00000000-0005-0000-0000-000013780000}"/>
    <cellStyle name="Normal 62 18" xfId="30736" xr:uid="{00000000-0005-0000-0000-000014780000}"/>
    <cellStyle name="Normal 62 19" xfId="30737" xr:uid="{00000000-0005-0000-0000-000015780000}"/>
    <cellStyle name="Normal 62 2" xfId="30738" xr:uid="{00000000-0005-0000-0000-000016780000}"/>
    <cellStyle name="Normal 62 20" xfId="30739" xr:uid="{00000000-0005-0000-0000-000017780000}"/>
    <cellStyle name="Normal 62 21" xfId="30740" xr:uid="{00000000-0005-0000-0000-000018780000}"/>
    <cellStyle name="Normal 62 22" xfId="30741" xr:uid="{00000000-0005-0000-0000-000019780000}"/>
    <cellStyle name="Normal 62 23" xfId="30742" xr:uid="{00000000-0005-0000-0000-00001A780000}"/>
    <cellStyle name="Normal 62 24" xfId="30743" xr:uid="{00000000-0005-0000-0000-00001B780000}"/>
    <cellStyle name="Normal 62 25" xfId="30744" xr:uid="{00000000-0005-0000-0000-00001C780000}"/>
    <cellStyle name="Normal 62 26" xfId="30745" xr:uid="{00000000-0005-0000-0000-00001D780000}"/>
    <cellStyle name="Normal 62 27" xfId="30746" xr:uid="{00000000-0005-0000-0000-00001E780000}"/>
    <cellStyle name="Normal 62 3" xfId="30747" xr:uid="{00000000-0005-0000-0000-00001F780000}"/>
    <cellStyle name="Normal 62 4" xfId="30748" xr:uid="{00000000-0005-0000-0000-000020780000}"/>
    <cellStyle name="Normal 62 5" xfId="30749" xr:uid="{00000000-0005-0000-0000-000021780000}"/>
    <cellStyle name="Normal 62 6" xfId="30750" xr:uid="{00000000-0005-0000-0000-000022780000}"/>
    <cellStyle name="Normal 62 7" xfId="30751" xr:uid="{00000000-0005-0000-0000-000023780000}"/>
    <cellStyle name="Normal 62 8" xfId="30752" xr:uid="{00000000-0005-0000-0000-000024780000}"/>
    <cellStyle name="Normal 62 9" xfId="30753" xr:uid="{00000000-0005-0000-0000-000025780000}"/>
    <cellStyle name="Normal 63" xfId="30754" xr:uid="{00000000-0005-0000-0000-000026780000}"/>
    <cellStyle name="Normal 63 10" xfId="30755" xr:uid="{00000000-0005-0000-0000-000027780000}"/>
    <cellStyle name="Normal 63 11" xfId="30756" xr:uid="{00000000-0005-0000-0000-000028780000}"/>
    <cellStyle name="Normal 63 12" xfId="30757" xr:uid="{00000000-0005-0000-0000-000029780000}"/>
    <cellStyle name="Normal 63 13" xfId="30758" xr:uid="{00000000-0005-0000-0000-00002A780000}"/>
    <cellStyle name="Normal 63 14" xfId="30759" xr:uid="{00000000-0005-0000-0000-00002B780000}"/>
    <cellStyle name="Normal 63 15" xfId="30760" xr:uid="{00000000-0005-0000-0000-00002C780000}"/>
    <cellStyle name="Normal 63 16" xfId="30761" xr:uid="{00000000-0005-0000-0000-00002D780000}"/>
    <cellStyle name="Normal 63 17" xfId="30762" xr:uid="{00000000-0005-0000-0000-00002E780000}"/>
    <cellStyle name="Normal 63 18" xfId="30763" xr:uid="{00000000-0005-0000-0000-00002F780000}"/>
    <cellStyle name="Normal 63 19" xfId="30764" xr:uid="{00000000-0005-0000-0000-000030780000}"/>
    <cellStyle name="Normal 63 2" xfId="30765" xr:uid="{00000000-0005-0000-0000-000031780000}"/>
    <cellStyle name="Normal 63 20" xfId="30766" xr:uid="{00000000-0005-0000-0000-000032780000}"/>
    <cellStyle name="Normal 63 21" xfId="30767" xr:uid="{00000000-0005-0000-0000-000033780000}"/>
    <cellStyle name="Normal 63 22" xfId="30768" xr:uid="{00000000-0005-0000-0000-000034780000}"/>
    <cellStyle name="Normal 63 23" xfId="30769" xr:uid="{00000000-0005-0000-0000-000035780000}"/>
    <cellStyle name="Normal 63 24" xfId="30770" xr:uid="{00000000-0005-0000-0000-000036780000}"/>
    <cellStyle name="Normal 63 25" xfId="30771" xr:uid="{00000000-0005-0000-0000-000037780000}"/>
    <cellStyle name="Normal 63 26" xfId="30772" xr:uid="{00000000-0005-0000-0000-000038780000}"/>
    <cellStyle name="Normal 63 27" xfId="30773" xr:uid="{00000000-0005-0000-0000-000039780000}"/>
    <cellStyle name="Normal 63 3" xfId="30774" xr:uid="{00000000-0005-0000-0000-00003A780000}"/>
    <cellStyle name="Normal 63 4" xfId="30775" xr:uid="{00000000-0005-0000-0000-00003B780000}"/>
    <cellStyle name="Normal 63 5" xfId="30776" xr:uid="{00000000-0005-0000-0000-00003C780000}"/>
    <cellStyle name="Normal 63 6" xfId="30777" xr:uid="{00000000-0005-0000-0000-00003D780000}"/>
    <cellStyle name="Normal 63 7" xfId="30778" xr:uid="{00000000-0005-0000-0000-00003E780000}"/>
    <cellStyle name="Normal 63 8" xfId="30779" xr:uid="{00000000-0005-0000-0000-00003F780000}"/>
    <cellStyle name="Normal 63 9" xfId="30780" xr:uid="{00000000-0005-0000-0000-000040780000}"/>
    <cellStyle name="Normal 64" xfId="30781" xr:uid="{00000000-0005-0000-0000-000041780000}"/>
    <cellStyle name="Normal 64 10" xfId="30782" xr:uid="{00000000-0005-0000-0000-000042780000}"/>
    <cellStyle name="Normal 64 11" xfId="30783" xr:uid="{00000000-0005-0000-0000-000043780000}"/>
    <cellStyle name="Normal 64 12" xfId="30784" xr:uid="{00000000-0005-0000-0000-000044780000}"/>
    <cellStyle name="Normal 64 13" xfId="30785" xr:uid="{00000000-0005-0000-0000-000045780000}"/>
    <cellStyle name="Normal 64 14" xfId="30786" xr:uid="{00000000-0005-0000-0000-000046780000}"/>
    <cellStyle name="Normal 64 15" xfId="30787" xr:uid="{00000000-0005-0000-0000-000047780000}"/>
    <cellStyle name="Normal 64 16" xfId="30788" xr:uid="{00000000-0005-0000-0000-000048780000}"/>
    <cellStyle name="Normal 64 17" xfId="30789" xr:uid="{00000000-0005-0000-0000-000049780000}"/>
    <cellStyle name="Normal 64 18" xfId="30790" xr:uid="{00000000-0005-0000-0000-00004A780000}"/>
    <cellStyle name="Normal 64 19" xfId="30791" xr:uid="{00000000-0005-0000-0000-00004B780000}"/>
    <cellStyle name="Normal 64 2" xfId="30792" xr:uid="{00000000-0005-0000-0000-00004C780000}"/>
    <cellStyle name="Normal 64 2 2" xfId="30793" xr:uid="{00000000-0005-0000-0000-00004D780000}"/>
    <cellStyle name="Normal 64 2 3" xfId="30794" xr:uid="{00000000-0005-0000-0000-00004E780000}"/>
    <cellStyle name="Normal 64 2 4" xfId="30795" xr:uid="{00000000-0005-0000-0000-00004F780000}"/>
    <cellStyle name="Normal 64 2 5" xfId="30796" xr:uid="{00000000-0005-0000-0000-000050780000}"/>
    <cellStyle name="Normal 64 2 6" xfId="30797" xr:uid="{00000000-0005-0000-0000-000051780000}"/>
    <cellStyle name="Normal 64 20" xfId="30798" xr:uid="{00000000-0005-0000-0000-000052780000}"/>
    <cellStyle name="Normal 64 21" xfId="30799" xr:uid="{00000000-0005-0000-0000-000053780000}"/>
    <cellStyle name="Normal 64 22" xfId="30800" xr:uid="{00000000-0005-0000-0000-000054780000}"/>
    <cellStyle name="Normal 64 23" xfId="30801" xr:uid="{00000000-0005-0000-0000-000055780000}"/>
    <cellStyle name="Normal 64 24" xfId="30802" xr:uid="{00000000-0005-0000-0000-000056780000}"/>
    <cellStyle name="Normal 64 3" xfId="30803" xr:uid="{00000000-0005-0000-0000-000057780000}"/>
    <cellStyle name="Normal 64 4" xfId="30804" xr:uid="{00000000-0005-0000-0000-000058780000}"/>
    <cellStyle name="Normal 64 5" xfId="30805" xr:uid="{00000000-0005-0000-0000-000059780000}"/>
    <cellStyle name="Normal 64 6" xfId="30806" xr:uid="{00000000-0005-0000-0000-00005A780000}"/>
    <cellStyle name="Normal 64 7" xfId="30807" xr:uid="{00000000-0005-0000-0000-00005B780000}"/>
    <cellStyle name="Normal 64 8" xfId="30808" xr:uid="{00000000-0005-0000-0000-00005C780000}"/>
    <cellStyle name="Normal 64 9" xfId="30809" xr:uid="{00000000-0005-0000-0000-00005D780000}"/>
    <cellStyle name="Normal 65" xfId="30810" xr:uid="{00000000-0005-0000-0000-00005E780000}"/>
    <cellStyle name="Normal 65 10" xfId="30811" xr:uid="{00000000-0005-0000-0000-00005F780000}"/>
    <cellStyle name="Normal 65 10 2" xfId="30812" xr:uid="{00000000-0005-0000-0000-000060780000}"/>
    <cellStyle name="Normal 65 10 3" xfId="30813" xr:uid="{00000000-0005-0000-0000-000061780000}"/>
    <cellStyle name="Normal 65 10 4" xfId="30814" xr:uid="{00000000-0005-0000-0000-000062780000}"/>
    <cellStyle name="Normal 65 10 5" xfId="30815" xr:uid="{00000000-0005-0000-0000-000063780000}"/>
    <cellStyle name="Normal 65 10 6" xfId="30816" xr:uid="{00000000-0005-0000-0000-000064780000}"/>
    <cellStyle name="Normal 65 11" xfId="30817" xr:uid="{00000000-0005-0000-0000-000065780000}"/>
    <cellStyle name="Normal 65 11 2" xfId="30818" xr:uid="{00000000-0005-0000-0000-000066780000}"/>
    <cellStyle name="Normal 65 11 3" xfId="30819" xr:uid="{00000000-0005-0000-0000-000067780000}"/>
    <cellStyle name="Normal 65 11 4" xfId="30820" xr:uid="{00000000-0005-0000-0000-000068780000}"/>
    <cellStyle name="Normal 65 11 5" xfId="30821" xr:uid="{00000000-0005-0000-0000-000069780000}"/>
    <cellStyle name="Normal 65 11 6" xfId="30822" xr:uid="{00000000-0005-0000-0000-00006A780000}"/>
    <cellStyle name="Normal 65 12" xfId="30823" xr:uid="{00000000-0005-0000-0000-00006B780000}"/>
    <cellStyle name="Normal 65 12 2" xfId="30824" xr:uid="{00000000-0005-0000-0000-00006C780000}"/>
    <cellStyle name="Normal 65 12 3" xfId="30825" xr:uid="{00000000-0005-0000-0000-00006D780000}"/>
    <cellStyle name="Normal 65 12 4" xfId="30826" xr:uid="{00000000-0005-0000-0000-00006E780000}"/>
    <cellStyle name="Normal 65 12 5" xfId="30827" xr:uid="{00000000-0005-0000-0000-00006F780000}"/>
    <cellStyle name="Normal 65 12 6" xfId="30828" xr:uid="{00000000-0005-0000-0000-000070780000}"/>
    <cellStyle name="Normal 65 13" xfId="30829" xr:uid="{00000000-0005-0000-0000-000071780000}"/>
    <cellStyle name="Normal 65 13 2" xfId="30830" xr:uid="{00000000-0005-0000-0000-000072780000}"/>
    <cellStyle name="Normal 65 13 3" xfId="30831" xr:uid="{00000000-0005-0000-0000-000073780000}"/>
    <cellStyle name="Normal 65 13 4" xfId="30832" xr:uid="{00000000-0005-0000-0000-000074780000}"/>
    <cellStyle name="Normal 65 13 5" xfId="30833" xr:uid="{00000000-0005-0000-0000-000075780000}"/>
    <cellStyle name="Normal 65 13 6" xfId="30834" xr:uid="{00000000-0005-0000-0000-000076780000}"/>
    <cellStyle name="Normal 65 14" xfId="30835" xr:uid="{00000000-0005-0000-0000-000077780000}"/>
    <cellStyle name="Normal 65 14 2" xfId="30836" xr:uid="{00000000-0005-0000-0000-000078780000}"/>
    <cellStyle name="Normal 65 14 3" xfId="30837" xr:uid="{00000000-0005-0000-0000-000079780000}"/>
    <cellStyle name="Normal 65 14 4" xfId="30838" xr:uid="{00000000-0005-0000-0000-00007A780000}"/>
    <cellStyle name="Normal 65 14 5" xfId="30839" xr:uid="{00000000-0005-0000-0000-00007B780000}"/>
    <cellStyle name="Normal 65 14 6" xfId="30840" xr:uid="{00000000-0005-0000-0000-00007C780000}"/>
    <cellStyle name="Normal 65 15" xfId="30841" xr:uid="{00000000-0005-0000-0000-00007D780000}"/>
    <cellStyle name="Normal 65 15 2" xfId="30842" xr:uid="{00000000-0005-0000-0000-00007E780000}"/>
    <cellStyle name="Normal 65 15 3" xfId="30843" xr:uid="{00000000-0005-0000-0000-00007F780000}"/>
    <cellStyle name="Normal 65 15 4" xfId="30844" xr:uid="{00000000-0005-0000-0000-000080780000}"/>
    <cellStyle name="Normal 65 15 5" xfId="30845" xr:uid="{00000000-0005-0000-0000-000081780000}"/>
    <cellStyle name="Normal 65 15 6" xfId="30846" xr:uid="{00000000-0005-0000-0000-000082780000}"/>
    <cellStyle name="Normal 65 16" xfId="30847" xr:uid="{00000000-0005-0000-0000-000083780000}"/>
    <cellStyle name="Normal 65 16 2" xfId="30848" xr:uid="{00000000-0005-0000-0000-000084780000}"/>
    <cellStyle name="Normal 65 16 3" xfId="30849" xr:uid="{00000000-0005-0000-0000-000085780000}"/>
    <cellStyle name="Normal 65 16 4" xfId="30850" xr:uid="{00000000-0005-0000-0000-000086780000}"/>
    <cellStyle name="Normal 65 16 5" xfId="30851" xr:uid="{00000000-0005-0000-0000-000087780000}"/>
    <cellStyle name="Normal 65 16 6" xfId="30852" xr:uid="{00000000-0005-0000-0000-000088780000}"/>
    <cellStyle name="Normal 65 17" xfId="30853" xr:uid="{00000000-0005-0000-0000-000089780000}"/>
    <cellStyle name="Normal 65 17 2" xfId="30854" xr:uid="{00000000-0005-0000-0000-00008A780000}"/>
    <cellStyle name="Normal 65 17 3" xfId="30855" xr:uid="{00000000-0005-0000-0000-00008B780000}"/>
    <cellStyle name="Normal 65 17 4" xfId="30856" xr:uid="{00000000-0005-0000-0000-00008C780000}"/>
    <cellStyle name="Normal 65 17 5" xfId="30857" xr:uid="{00000000-0005-0000-0000-00008D780000}"/>
    <cellStyle name="Normal 65 17 6" xfId="30858" xr:uid="{00000000-0005-0000-0000-00008E780000}"/>
    <cellStyle name="Normal 65 18" xfId="30859" xr:uid="{00000000-0005-0000-0000-00008F780000}"/>
    <cellStyle name="Normal 65 18 2" xfId="30860" xr:uid="{00000000-0005-0000-0000-000090780000}"/>
    <cellStyle name="Normal 65 18 3" xfId="30861" xr:uid="{00000000-0005-0000-0000-000091780000}"/>
    <cellStyle name="Normal 65 18 4" xfId="30862" xr:uid="{00000000-0005-0000-0000-000092780000}"/>
    <cellStyle name="Normal 65 18 5" xfId="30863" xr:uid="{00000000-0005-0000-0000-000093780000}"/>
    <cellStyle name="Normal 65 18 6" xfId="30864" xr:uid="{00000000-0005-0000-0000-000094780000}"/>
    <cellStyle name="Normal 65 19" xfId="30865" xr:uid="{00000000-0005-0000-0000-000095780000}"/>
    <cellStyle name="Normal 65 19 2" xfId="30866" xr:uid="{00000000-0005-0000-0000-000096780000}"/>
    <cellStyle name="Normal 65 19 3" xfId="30867" xr:uid="{00000000-0005-0000-0000-000097780000}"/>
    <cellStyle name="Normal 65 19 4" xfId="30868" xr:uid="{00000000-0005-0000-0000-000098780000}"/>
    <cellStyle name="Normal 65 19 5" xfId="30869" xr:uid="{00000000-0005-0000-0000-000099780000}"/>
    <cellStyle name="Normal 65 19 6" xfId="30870" xr:uid="{00000000-0005-0000-0000-00009A780000}"/>
    <cellStyle name="Normal 65 2" xfId="30871" xr:uid="{00000000-0005-0000-0000-00009B780000}"/>
    <cellStyle name="Normal 65 2 2" xfId="30872" xr:uid="{00000000-0005-0000-0000-00009C780000}"/>
    <cellStyle name="Normal 65 2 3" xfId="30873" xr:uid="{00000000-0005-0000-0000-00009D780000}"/>
    <cellStyle name="Normal 65 2 4" xfId="30874" xr:uid="{00000000-0005-0000-0000-00009E780000}"/>
    <cellStyle name="Normal 65 2 5" xfId="30875" xr:uid="{00000000-0005-0000-0000-00009F780000}"/>
    <cellStyle name="Normal 65 2 6" xfId="30876" xr:uid="{00000000-0005-0000-0000-0000A0780000}"/>
    <cellStyle name="Normal 65 20" xfId="30877" xr:uid="{00000000-0005-0000-0000-0000A1780000}"/>
    <cellStyle name="Normal 65 20 2" xfId="30878" xr:uid="{00000000-0005-0000-0000-0000A2780000}"/>
    <cellStyle name="Normal 65 20 3" xfId="30879" xr:uid="{00000000-0005-0000-0000-0000A3780000}"/>
    <cellStyle name="Normal 65 20 4" xfId="30880" xr:uid="{00000000-0005-0000-0000-0000A4780000}"/>
    <cellStyle name="Normal 65 20 5" xfId="30881" xr:uid="{00000000-0005-0000-0000-0000A5780000}"/>
    <cellStyle name="Normal 65 20 6" xfId="30882" xr:uid="{00000000-0005-0000-0000-0000A6780000}"/>
    <cellStyle name="Normal 65 21" xfId="30883" xr:uid="{00000000-0005-0000-0000-0000A7780000}"/>
    <cellStyle name="Normal 65 21 2" xfId="30884" xr:uid="{00000000-0005-0000-0000-0000A8780000}"/>
    <cellStyle name="Normal 65 21 3" xfId="30885" xr:uid="{00000000-0005-0000-0000-0000A9780000}"/>
    <cellStyle name="Normal 65 21 4" xfId="30886" xr:uid="{00000000-0005-0000-0000-0000AA780000}"/>
    <cellStyle name="Normal 65 21 5" xfId="30887" xr:uid="{00000000-0005-0000-0000-0000AB780000}"/>
    <cellStyle name="Normal 65 21 6" xfId="30888" xr:uid="{00000000-0005-0000-0000-0000AC780000}"/>
    <cellStyle name="Normal 65 22" xfId="30889" xr:uid="{00000000-0005-0000-0000-0000AD780000}"/>
    <cellStyle name="Normal 65 22 2" xfId="30890" xr:uid="{00000000-0005-0000-0000-0000AE780000}"/>
    <cellStyle name="Normal 65 22 3" xfId="30891" xr:uid="{00000000-0005-0000-0000-0000AF780000}"/>
    <cellStyle name="Normal 65 22 4" xfId="30892" xr:uid="{00000000-0005-0000-0000-0000B0780000}"/>
    <cellStyle name="Normal 65 22 5" xfId="30893" xr:uid="{00000000-0005-0000-0000-0000B1780000}"/>
    <cellStyle name="Normal 65 22 6" xfId="30894" xr:uid="{00000000-0005-0000-0000-0000B2780000}"/>
    <cellStyle name="Normal 65 23" xfId="30895" xr:uid="{00000000-0005-0000-0000-0000B3780000}"/>
    <cellStyle name="Normal 65 23 2" xfId="30896" xr:uid="{00000000-0005-0000-0000-0000B4780000}"/>
    <cellStyle name="Normal 65 23 3" xfId="30897" xr:uid="{00000000-0005-0000-0000-0000B5780000}"/>
    <cellStyle name="Normal 65 23 4" xfId="30898" xr:uid="{00000000-0005-0000-0000-0000B6780000}"/>
    <cellStyle name="Normal 65 23 5" xfId="30899" xr:uid="{00000000-0005-0000-0000-0000B7780000}"/>
    <cellStyle name="Normal 65 23 6" xfId="30900" xr:uid="{00000000-0005-0000-0000-0000B8780000}"/>
    <cellStyle name="Normal 65 24" xfId="30901" xr:uid="{00000000-0005-0000-0000-0000B9780000}"/>
    <cellStyle name="Normal 65 24 2" xfId="30902" xr:uid="{00000000-0005-0000-0000-0000BA780000}"/>
    <cellStyle name="Normal 65 24 3" xfId="30903" xr:uid="{00000000-0005-0000-0000-0000BB780000}"/>
    <cellStyle name="Normal 65 24 4" xfId="30904" xr:uid="{00000000-0005-0000-0000-0000BC780000}"/>
    <cellStyle name="Normal 65 24 5" xfId="30905" xr:uid="{00000000-0005-0000-0000-0000BD780000}"/>
    <cellStyle name="Normal 65 24 6" xfId="30906" xr:uid="{00000000-0005-0000-0000-0000BE780000}"/>
    <cellStyle name="Normal 65 25" xfId="30907" xr:uid="{00000000-0005-0000-0000-0000BF780000}"/>
    <cellStyle name="Normal 65 25 2" xfId="30908" xr:uid="{00000000-0005-0000-0000-0000C0780000}"/>
    <cellStyle name="Normal 65 25 3" xfId="30909" xr:uid="{00000000-0005-0000-0000-0000C1780000}"/>
    <cellStyle name="Normal 65 25 4" xfId="30910" xr:uid="{00000000-0005-0000-0000-0000C2780000}"/>
    <cellStyle name="Normal 65 25 5" xfId="30911" xr:uid="{00000000-0005-0000-0000-0000C3780000}"/>
    <cellStyle name="Normal 65 25 6" xfId="30912" xr:uid="{00000000-0005-0000-0000-0000C4780000}"/>
    <cellStyle name="Normal 65 26" xfId="30913" xr:uid="{00000000-0005-0000-0000-0000C5780000}"/>
    <cellStyle name="Normal 65 26 2" xfId="30914" xr:uid="{00000000-0005-0000-0000-0000C6780000}"/>
    <cellStyle name="Normal 65 26 3" xfId="30915" xr:uid="{00000000-0005-0000-0000-0000C7780000}"/>
    <cellStyle name="Normal 65 26 4" xfId="30916" xr:uid="{00000000-0005-0000-0000-0000C8780000}"/>
    <cellStyle name="Normal 65 26 5" xfId="30917" xr:uid="{00000000-0005-0000-0000-0000C9780000}"/>
    <cellStyle name="Normal 65 26 6" xfId="30918" xr:uid="{00000000-0005-0000-0000-0000CA780000}"/>
    <cellStyle name="Normal 65 27" xfId="30919" xr:uid="{00000000-0005-0000-0000-0000CB780000}"/>
    <cellStyle name="Normal 65 27 2" xfId="30920" xr:uid="{00000000-0005-0000-0000-0000CC780000}"/>
    <cellStyle name="Normal 65 27 3" xfId="30921" xr:uid="{00000000-0005-0000-0000-0000CD780000}"/>
    <cellStyle name="Normal 65 27 4" xfId="30922" xr:uid="{00000000-0005-0000-0000-0000CE780000}"/>
    <cellStyle name="Normal 65 27 5" xfId="30923" xr:uid="{00000000-0005-0000-0000-0000CF780000}"/>
    <cellStyle name="Normal 65 27 6" xfId="30924" xr:uid="{00000000-0005-0000-0000-0000D0780000}"/>
    <cellStyle name="Normal 65 28" xfId="30925" xr:uid="{00000000-0005-0000-0000-0000D1780000}"/>
    <cellStyle name="Normal 65 28 2" xfId="30926" xr:uid="{00000000-0005-0000-0000-0000D2780000}"/>
    <cellStyle name="Normal 65 28 3" xfId="30927" xr:uid="{00000000-0005-0000-0000-0000D3780000}"/>
    <cellStyle name="Normal 65 28 4" xfId="30928" xr:uid="{00000000-0005-0000-0000-0000D4780000}"/>
    <cellStyle name="Normal 65 28 5" xfId="30929" xr:uid="{00000000-0005-0000-0000-0000D5780000}"/>
    <cellStyle name="Normal 65 28 6" xfId="30930" xr:uid="{00000000-0005-0000-0000-0000D6780000}"/>
    <cellStyle name="Normal 65 29" xfId="30931" xr:uid="{00000000-0005-0000-0000-0000D7780000}"/>
    <cellStyle name="Normal 65 29 2" xfId="30932" xr:uid="{00000000-0005-0000-0000-0000D8780000}"/>
    <cellStyle name="Normal 65 29 3" xfId="30933" xr:uid="{00000000-0005-0000-0000-0000D9780000}"/>
    <cellStyle name="Normal 65 29 4" xfId="30934" xr:uid="{00000000-0005-0000-0000-0000DA780000}"/>
    <cellStyle name="Normal 65 29 5" xfId="30935" xr:uid="{00000000-0005-0000-0000-0000DB780000}"/>
    <cellStyle name="Normal 65 29 6" xfId="30936" xr:uid="{00000000-0005-0000-0000-0000DC780000}"/>
    <cellStyle name="Normal 65 3" xfId="30937" xr:uid="{00000000-0005-0000-0000-0000DD780000}"/>
    <cellStyle name="Normal 65 3 2" xfId="30938" xr:uid="{00000000-0005-0000-0000-0000DE780000}"/>
    <cellStyle name="Normal 65 3 3" xfId="30939" xr:uid="{00000000-0005-0000-0000-0000DF780000}"/>
    <cellStyle name="Normal 65 3 4" xfId="30940" xr:uid="{00000000-0005-0000-0000-0000E0780000}"/>
    <cellStyle name="Normal 65 3 5" xfId="30941" xr:uid="{00000000-0005-0000-0000-0000E1780000}"/>
    <cellStyle name="Normal 65 3 6" xfId="30942" xr:uid="{00000000-0005-0000-0000-0000E2780000}"/>
    <cellStyle name="Normal 65 30" xfId="30943" xr:uid="{00000000-0005-0000-0000-0000E3780000}"/>
    <cellStyle name="Normal 65 30 2" xfId="30944" xr:uid="{00000000-0005-0000-0000-0000E4780000}"/>
    <cellStyle name="Normal 65 30 3" xfId="30945" xr:uid="{00000000-0005-0000-0000-0000E5780000}"/>
    <cellStyle name="Normal 65 30 4" xfId="30946" xr:uid="{00000000-0005-0000-0000-0000E6780000}"/>
    <cellStyle name="Normal 65 30 5" xfId="30947" xr:uid="{00000000-0005-0000-0000-0000E7780000}"/>
    <cellStyle name="Normal 65 30 6" xfId="30948" xr:uid="{00000000-0005-0000-0000-0000E8780000}"/>
    <cellStyle name="Normal 65 31" xfId="30949" xr:uid="{00000000-0005-0000-0000-0000E9780000}"/>
    <cellStyle name="Normal 65 31 2" xfId="30950" xr:uid="{00000000-0005-0000-0000-0000EA780000}"/>
    <cellStyle name="Normal 65 31 3" xfId="30951" xr:uid="{00000000-0005-0000-0000-0000EB780000}"/>
    <cellStyle name="Normal 65 31 4" xfId="30952" xr:uid="{00000000-0005-0000-0000-0000EC780000}"/>
    <cellStyle name="Normal 65 31 5" xfId="30953" xr:uid="{00000000-0005-0000-0000-0000ED780000}"/>
    <cellStyle name="Normal 65 31 6" xfId="30954" xr:uid="{00000000-0005-0000-0000-0000EE780000}"/>
    <cellStyle name="Normal 65 32" xfId="30955" xr:uid="{00000000-0005-0000-0000-0000EF780000}"/>
    <cellStyle name="Normal 65 33" xfId="30956" xr:uid="{00000000-0005-0000-0000-0000F0780000}"/>
    <cellStyle name="Normal 65 34" xfId="30957" xr:uid="{00000000-0005-0000-0000-0000F1780000}"/>
    <cellStyle name="Normal 65 35" xfId="30958" xr:uid="{00000000-0005-0000-0000-0000F2780000}"/>
    <cellStyle name="Normal 65 36" xfId="30959" xr:uid="{00000000-0005-0000-0000-0000F3780000}"/>
    <cellStyle name="Normal 65 37" xfId="30960" xr:uid="{00000000-0005-0000-0000-0000F4780000}"/>
    <cellStyle name="Normal 65 38" xfId="30961" xr:uid="{00000000-0005-0000-0000-0000F5780000}"/>
    <cellStyle name="Normal 65 39" xfId="30962" xr:uid="{00000000-0005-0000-0000-0000F6780000}"/>
    <cellStyle name="Normal 65 4" xfId="30963" xr:uid="{00000000-0005-0000-0000-0000F7780000}"/>
    <cellStyle name="Normal 65 4 2" xfId="30964" xr:uid="{00000000-0005-0000-0000-0000F8780000}"/>
    <cellStyle name="Normal 65 4 3" xfId="30965" xr:uid="{00000000-0005-0000-0000-0000F9780000}"/>
    <cellStyle name="Normal 65 4 4" xfId="30966" xr:uid="{00000000-0005-0000-0000-0000FA780000}"/>
    <cellStyle name="Normal 65 4 5" xfId="30967" xr:uid="{00000000-0005-0000-0000-0000FB780000}"/>
    <cellStyle name="Normal 65 4 6" xfId="30968" xr:uid="{00000000-0005-0000-0000-0000FC780000}"/>
    <cellStyle name="Normal 65 40" xfId="30969" xr:uid="{00000000-0005-0000-0000-0000FD780000}"/>
    <cellStyle name="Normal 65 41" xfId="30970" xr:uid="{00000000-0005-0000-0000-0000FE780000}"/>
    <cellStyle name="Normal 65 42" xfId="30971" xr:uid="{00000000-0005-0000-0000-0000FF780000}"/>
    <cellStyle name="Normal 65 43" xfId="30972" xr:uid="{00000000-0005-0000-0000-000000790000}"/>
    <cellStyle name="Normal 65 44" xfId="30973" xr:uid="{00000000-0005-0000-0000-000001790000}"/>
    <cellStyle name="Normal 65 45" xfId="30974" xr:uid="{00000000-0005-0000-0000-000002790000}"/>
    <cellStyle name="Normal 65 46" xfId="30975" xr:uid="{00000000-0005-0000-0000-000003790000}"/>
    <cellStyle name="Normal 65 47" xfId="30976" xr:uid="{00000000-0005-0000-0000-000004790000}"/>
    <cellStyle name="Normal 65 48" xfId="30977" xr:uid="{00000000-0005-0000-0000-000005790000}"/>
    <cellStyle name="Normal 65 49" xfId="30978" xr:uid="{00000000-0005-0000-0000-000006790000}"/>
    <cellStyle name="Normal 65 5" xfId="30979" xr:uid="{00000000-0005-0000-0000-000007790000}"/>
    <cellStyle name="Normal 65 5 2" xfId="30980" xr:uid="{00000000-0005-0000-0000-000008790000}"/>
    <cellStyle name="Normal 65 5 3" xfId="30981" xr:uid="{00000000-0005-0000-0000-000009790000}"/>
    <cellStyle name="Normal 65 5 4" xfId="30982" xr:uid="{00000000-0005-0000-0000-00000A790000}"/>
    <cellStyle name="Normal 65 5 5" xfId="30983" xr:uid="{00000000-0005-0000-0000-00000B790000}"/>
    <cellStyle name="Normal 65 5 6" xfId="30984" xr:uid="{00000000-0005-0000-0000-00000C790000}"/>
    <cellStyle name="Normal 65 50" xfId="30985" xr:uid="{00000000-0005-0000-0000-00000D790000}"/>
    <cellStyle name="Normal 65 51" xfId="30986" xr:uid="{00000000-0005-0000-0000-00000E790000}"/>
    <cellStyle name="Normal 65 52" xfId="30987" xr:uid="{00000000-0005-0000-0000-00000F790000}"/>
    <cellStyle name="Normal 65 53" xfId="30988" xr:uid="{00000000-0005-0000-0000-000010790000}"/>
    <cellStyle name="Normal 65 54" xfId="30989" xr:uid="{00000000-0005-0000-0000-000011790000}"/>
    <cellStyle name="Normal 65 55" xfId="30990" xr:uid="{00000000-0005-0000-0000-000012790000}"/>
    <cellStyle name="Normal 65 56" xfId="30991" xr:uid="{00000000-0005-0000-0000-000013790000}"/>
    <cellStyle name="Normal 65 57" xfId="30992" xr:uid="{00000000-0005-0000-0000-000014790000}"/>
    <cellStyle name="Normal 65 58" xfId="30993" xr:uid="{00000000-0005-0000-0000-000015790000}"/>
    <cellStyle name="Normal 65 59" xfId="30994" xr:uid="{00000000-0005-0000-0000-000016790000}"/>
    <cellStyle name="Normal 65 6" xfId="30995" xr:uid="{00000000-0005-0000-0000-000017790000}"/>
    <cellStyle name="Normal 65 6 2" xfId="30996" xr:uid="{00000000-0005-0000-0000-000018790000}"/>
    <cellStyle name="Normal 65 6 3" xfId="30997" xr:uid="{00000000-0005-0000-0000-000019790000}"/>
    <cellStyle name="Normal 65 6 4" xfId="30998" xr:uid="{00000000-0005-0000-0000-00001A790000}"/>
    <cellStyle name="Normal 65 6 5" xfId="30999" xr:uid="{00000000-0005-0000-0000-00001B790000}"/>
    <cellStyle name="Normal 65 6 6" xfId="31000" xr:uid="{00000000-0005-0000-0000-00001C790000}"/>
    <cellStyle name="Normal 65 60" xfId="31001" xr:uid="{00000000-0005-0000-0000-00001D790000}"/>
    <cellStyle name="Normal 65 7" xfId="31002" xr:uid="{00000000-0005-0000-0000-00001E790000}"/>
    <cellStyle name="Normal 65 7 2" xfId="31003" xr:uid="{00000000-0005-0000-0000-00001F790000}"/>
    <cellStyle name="Normal 65 7 3" xfId="31004" xr:uid="{00000000-0005-0000-0000-000020790000}"/>
    <cellStyle name="Normal 65 7 4" xfId="31005" xr:uid="{00000000-0005-0000-0000-000021790000}"/>
    <cellStyle name="Normal 65 7 5" xfId="31006" xr:uid="{00000000-0005-0000-0000-000022790000}"/>
    <cellStyle name="Normal 65 7 6" xfId="31007" xr:uid="{00000000-0005-0000-0000-000023790000}"/>
    <cellStyle name="Normal 65 8" xfId="31008" xr:uid="{00000000-0005-0000-0000-000024790000}"/>
    <cellStyle name="Normal 65 8 2" xfId="31009" xr:uid="{00000000-0005-0000-0000-000025790000}"/>
    <cellStyle name="Normal 65 8 3" xfId="31010" xr:uid="{00000000-0005-0000-0000-000026790000}"/>
    <cellStyle name="Normal 65 8 4" xfId="31011" xr:uid="{00000000-0005-0000-0000-000027790000}"/>
    <cellStyle name="Normal 65 8 5" xfId="31012" xr:uid="{00000000-0005-0000-0000-000028790000}"/>
    <cellStyle name="Normal 65 8 6" xfId="31013" xr:uid="{00000000-0005-0000-0000-000029790000}"/>
    <cellStyle name="Normal 65 9" xfId="31014" xr:uid="{00000000-0005-0000-0000-00002A790000}"/>
    <cellStyle name="Normal 65 9 2" xfId="31015" xr:uid="{00000000-0005-0000-0000-00002B790000}"/>
    <cellStyle name="Normal 65 9 3" xfId="31016" xr:uid="{00000000-0005-0000-0000-00002C790000}"/>
    <cellStyle name="Normal 65 9 4" xfId="31017" xr:uid="{00000000-0005-0000-0000-00002D790000}"/>
    <cellStyle name="Normal 65 9 5" xfId="31018" xr:uid="{00000000-0005-0000-0000-00002E790000}"/>
    <cellStyle name="Normal 65 9 6" xfId="31019" xr:uid="{00000000-0005-0000-0000-00002F790000}"/>
    <cellStyle name="Normal 66" xfId="31020" xr:uid="{00000000-0005-0000-0000-000030790000}"/>
    <cellStyle name="Normal 66 10" xfId="31021" xr:uid="{00000000-0005-0000-0000-000031790000}"/>
    <cellStyle name="Normal 66 11" xfId="31022" xr:uid="{00000000-0005-0000-0000-000032790000}"/>
    <cellStyle name="Normal 66 12" xfId="31023" xr:uid="{00000000-0005-0000-0000-000033790000}"/>
    <cellStyle name="Normal 66 13" xfId="31024" xr:uid="{00000000-0005-0000-0000-000034790000}"/>
    <cellStyle name="Normal 66 14" xfId="31025" xr:uid="{00000000-0005-0000-0000-000035790000}"/>
    <cellStyle name="Normal 66 15" xfId="31026" xr:uid="{00000000-0005-0000-0000-000036790000}"/>
    <cellStyle name="Normal 66 16" xfId="31027" xr:uid="{00000000-0005-0000-0000-000037790000}"/>
    <cellStyle name="Normal 66 17" xfId="31028" xr:uid="{00000000-0005-0000-0000-000038790000}"/>
    <cellStyle name="Normal 66 18" xfId="31029" xr:uid="{00000000-0005-0000-0000-000039790000}"/>
    <cellStyle name="Normal 66 19" xfId="31030" xr:uid="{00000000-0005-0000-0000-00003A790000}"/>
    <cellStyle name="Normal 66 2" xfId="31031" xr:uid="{00000000-0005-0000-0000-00003B790000}"/>
    <cellStyle name="Normal 66 2 2" xfId="31032" xr:uid="{00000000-0005-0000-0000-00003C790000}"/>
    <cellStyle name="Normal 66 2 3" xfId="31033" xr:uid="{00000000-0005-0000-0000-00003D790000}"/>
    <cellStyle name="Normal 66 2 4" xfId="31034" xr:uid="{00000000-0005-0000-0000-00003E790000}"/>
    <cellStyle name="Normal 66 2 5" xfId="31035" xr:uid="{00000000-0005-0000-0000-00003F790000}"/>
    <cellStyle name="Normal 66 2 6" xfId="31036" xr:uid="{00000000-0005-0000-0000-000040790000}"/>
    <cellStyle name="Normal 66 20" xfId="31037" xr:uid="{00000000-0005-0000-0000-000041790000}"/>
    <cellStyle name="Normal 66 21" xfId="31038" xr:uid="{00000000-0005-0000-0000-000042790000}"/>
    <cellStyle name="Normal 66 22" xfId="31039" xr:uid="{00000000-0005-0000-0000-000043790000}"/>
    <cellStyle name="Normal 66 23" xfId="31040" xr:uid="{00000000-0005-0000-0000-000044790000}"/>
    <cellStyle name="Normal 66 24" xfId="31041" xr:uid="{00000000-0005-0000-0000-000045790000}"/>
    <cellStyle name="Normal 66 3" xfId="31042" xr:uid="{00000000-0005-0000-0000-000046790000}"/>
    <cellStyle name="Normal 66 4" xfId="31043" xr:uid="{00000000-0005-0000-0000-000047790000}"/>
    <cellStyle name="Normal 66 5" xfId="31044" xr:uid="{00000000-0005-0000-0000-000048790000}"/>
    <cellStyle name="Normal 66 6" xfId="31045" xr:uid="{00000000-0005-0000-0000-000049790000}"/>
    <cellStyle name="Normal 66 7" xfId="31046" xr:uid="{00000000-0005-0000-0000-00004A790000}"/>
    <cellStyle name="Normal 66 8" xfId="31047" xr:uid="{00000000-0005-0000-0000-00004B790000}"/>
    <cellStyle name="Normal 66 9" xfId="31048" xr:uid="{00000000-0005-0000-0000-00004C790000}"/>
    <cellStyle name="Normal 67" xfId="31049" xr:uid="{00000000-0005-0000-0000-00004D790000}"/>
    <cellStyle name="Normal 67 10" xfId="31050" xr:uid="{00000000-0005-0000-0000-00004E790000}"/>
    <cellStyle name="Normal 67 11" xfId="31051" xr:uid="{00000000-0005-0000-0000-00004F790000}"/>
    <cellStyle name="Normal 67 12" xfId="31052" xr:uid="{00000000-0005-0000-0000-000050790000}"/>
    <cellStyle name="Normal 67 13" xfId="31053" xr:uid="{00000000-0005-0000-0000-000051790000}"/>
    <cellStyle name="Normal 67 14" xfId="31054" xr:uid="{00000000-0005-0000-0000-000052790000}"/>
    <cellStyle name="Normal 67 15" xfId="31055" xr:uid="{00000000-0005-0000-0000-000053790000}"/>
    <cellStyle name="Normal 67 16" xfId="31056" xr:uid="{00000000-0005-0000-0000-000054790000}"/>
    <cellStyle name="Normal 67 17" xfId="31057" xr:uid="{00000000-0005-0000-0000-000055790000}"/>
    <cellStyle name="Normal 67 18" xfId="31058" xr:uid="{00000000-0005-0000-0000-000056790000}"/>
    <cellStyle name="Normal 67 19" xfId="31059" xr:uid="{00000000-0005-0000-0000-000057790000}"/>
    <cellStyle name="Normal 67 2" xfId="31060" xr:uid="{00000000-0005-0000-0000-000058790000}"/>
    <cellStyle name="Normal 67 2 2" xfId="31061" xr:uid="{00000000-0005-0000-0000-000059790000}"/>
    <cellStyle name="Normal 67 2 3" xfId="31062" xr:uid="{00000000-0005-0000-0000-00005A790000}"/>
    <cellStyle name="Normal 67 2 4" xfId="31063" xr:uid="{00000000-0005-0000-0000-00005B790000}"/>
    <cellStyle name="Normal 67 2 5" xfId="31064" xr:uid="{00000000-0005-0000-0000-00005C790000}"/>
    <cellStyle name="Normal 67 2 6" xfId="31065" xr:uid="{00000000-0005-0000-0000-00005D790000}"/>
    <cellStyle name="Normal 67 20" xfId="31066" xr:uid="{00000000-0005-0000-0000-00005E790000}"/>
    <cellStyle name="Normal 67 21" xfId="31067" xr:uid="{00000000-0005-0000-0000-00005F790000}"/>
    <cellStyle name="Normal 67 22" xfId="31068" xr:uid="{00000000-0005-0000-0000-000060790000}"/>
    <cellStyle name="Normal 67 23" xfId="31069" xr:uid="{00000000-0005-0000-0000-000061790000}"/>
    <cellStyle name="Normal 67 24" xfId="31070" xr:uid="{00000000-0005-0000-0000-000062790000}"/>
    <cellStyle name="Normal 67 3" xfId="31071" xr:uid="{00000000-0005-0000-0000-000063790000}"/>
    <cellStyle name="Normal 67 4" xfId="31072" xr:uid="{00000000-0005-0000-0000-000064790000}"/>
    <cellStyle name="Normal 67 5" xfId="31073" xr:uid="{00000000-0005-0000-0000-000065790000}"/>
    <cellStyle name="Normal 67 6" xfId="31074" xr:uid="{00000000-0005-0000-0000-000066790000}"/>
    <cellStyle name="Normal 67 7" xfId="31075" xr:uid="{00000000-0005-0000-0000-000067790000}"/>
    <cellStyle name="Normal 67 8" xfId="31076" xr:uid="{00000000-0005-0000-0000-000068790000}"/>
    <cellStyle name="Normal 67 9" xfId="31077" xr:uid="{00000000-0005-0000-0000-000069790000}"/>
    <cellStyle name="Normal 68" xfId="31078" xr:uid="{00000000-0005-0000-0000-00006A790000}"/>
    <cellStyle name="Normal 68 10" xfId="31079" xr:uid="{00000000-0005-0000-0000-00006B790000}"/>
    <cellStyle name="Normal 68 11" xfId="31080" xr:uid="{00000000-0005-0000-0000-00006C790000}"/>
    <cellStyle name="Normal 68 12" xfId="31081" xr:uid="{00000000-0005-0000-0000-00006D790000}"/>
    <cellStyle name="Normal 68 13" xfId="31082" xr:uid="{00000000-0005-0000-0000-00006E790000}"/>
    <cellStyle name="Normal 68 14" xfId="31083" xr:uid="{00000000-0005-0000-0000-00006F790000}"/>
    <cellStyle name="Normal 68 15" xfId="31084" xr:uid="{00000000-0005-0000-0000-000070790000}"/>
    <cellStyle name="Normal 68 16" xfId="31085" xr:uid="{00000000-0005-0000-0000-000071790000}"/>
    <cellStyle name="Normal 68 17" xfId="31086" xr:uid="{00000000-0005-0000-0000-000072790000}"/>
    <cellStyle name="Normal 68 18" xfId="31087" xr:uid="{00000000-0005-0000-0000-000073790000}"/>
    <cellStyle name="Normal 68 19" xfId="31088" xr:uid="{00000000-0005-0000-0000-000074790000}"/>
    <cellStyle name="Normal 68 2" xfId="31089" xr:uid="{00000000-0005-0000-0000-000075790000}"/>
    <cellStyle name="Normal 68 2 2" xfId="31090" xr:uid="{00000000-0005-0000-0000-000076790000}"/>
    <cellStyle name="Normal 68 2 3" xfId="31091" xr:uid="{00000000-0005-0000-0000-000077790000}"/>
    <cellStyle name="Normal 68 2 4" xfId="31092" xr:uid="{00000000-0005-0000-0000-000078790000}"/>
    <cellStyle name="Normal 68 2 5" xfId="31093" xr:uid="{00000000-0005-0000-0000-000079790000}"/>
    <cellStyle name="Normal 68 2 6" xfId="31094" xr:uid="{00000000-0005-0000-0000-00007A790000}"/>
    <cellStyle name="Normal 68 20" xfId="31095" xr:uid="{00000000-0005-0000-0000-00007B790000}"/>
    <cellStyle name="Normal 68 21" xfId="31096" xr:uid="{00000000-0005-0000-0000-00007C790000}"/>
    <cellStyle name="Normal 68 22" xfId="31097" xr:uid="{00000000-0005-0000-0000-00007D790000}"/>
    <cellStyle name="Normal 68 23" xfId="31098" xr:uid="{00000000-0005-0000-0000-00007E790000}"/>
    <cellStyle name="Normal 68 24" xfId="31099" xr:uid="{00000000-0005-0000-0000-00007F790000}"/>
    <cellStyle name="Normal 68 3" xfId="31100" xr:uid="{00000000-0005-0000-0000-000080790000}"/>
    <cellStyle name="Normal 68 4" xfId="31101" xr:uid="{00000000-0005-0000-0000-000081790000}"/>
    <cellStyle name="Normal 68 5" xfId="31102" xr:uid="{00000000-0005-0000-0000-000082790000}"/>
    <cellStyle name="Normal 68 6" xfId="31103" xr:uid="{00000000-0005-0000-0000-000083790000}"/>
    <cellStyle name="Normal 68 7" xfId="31104" xr:uid="{00000000-0005-0000-0000-000084790000}"/>
    <cellStyle name="Normal 68 8" xfId="31105" xr:uid="{00000000-0005-0000-0000-000085790000}"/>
    <cellStyle name="Normal 68 9" xfId="31106" xr:uid="{00000000-0005-0000-0000-000086790000}"/>
    <cellStyle name="Normal 69" xfId="31107" xr:uid="{00000000-0005-0000-0000-000087790000}"/>
    <cellStyle name="Normal 69 10" xfId="31108" xr:uid="{00000000-0005-0000-0000-000088790000}"/>
    <cellStyle name="Normal 69 11" xfId="31109" xr:uid="{00000000-0005-0000-0000-000089790000}"/>
    <cellStyle name="Normal 69 12" xfId="31110" xr:uid="{00000000-0005-0000-0000-00008A790000}"/>
    <cellStyle name="Normal 69 13" xfId="31111" xr:uid="{00000000-0005-0000-0000-00008B790000}"/>
    <cellStyle name="Normal 69 14" xfId="31112" xr:uid="{00000000-0005-0000-0000-00008C790000}"/>
    <cellStyle name="Normal 69 15" xfId="31113" xr:uid="{00000000-0005-0000-0000-00008D790000}"/>
    <cellStyle name="Normal 69 16" xfId="31114" xr:uid="{00000000-0005-0000-0000-00008E790000}"/>
    <cellStyle name="Normal 69 17" xfId="31115" xr:uid="{00000000-0005-0000-0000-00008F790000}"/>
    <cellStyle name="Normal 69 18" xfId="31116" xr:uid="{00000000-0005-0000-0000-000090790000}"/>
    <cellStyle name="Normal 69 19" xfId="31117" xr:uid="{00000000-0005-0000-0000-000091790000}"/>
    <cellStyle name="Normal 69 2" xfId="31118" xr:uid="{00000000-0005-0000-0000-000092790000}"/>
    <cellStyle name="Normal 69 2 2" xfId="31119" xr:uid="{00000000-0005-0000-0000-000093790000}"/>
    <cellStyle name="Normal 69 2 3" xfId="31120" xr:uid="{00000000-0005-0000-0000-000094790000}"/>
    <cellStyle name="Normal 69 2 4" xfId="31121" xr:uid="{00000000-0005-0000-0000-000095790000}"/>
    <cellStyle name="Normal 69 2 5" xfId="31122" xr:uid="{00000000-0005-0000-0000-000096790000}"/>
    <cellStyle name="Normal 69 2 6" xfId="31123" xr:uid="{00000000-0005-0000-0000-000097790000}"/>
    <cellStyle name="Normal 69 20" xfId="31124" xr:uid="{00000000-0005-0000-0000-000098790000}"/>
    <cellStyle name="Normal 69 21" xfId="31125" xr:uid="{00000000-0005-0000-0000-000099790000}"/>
    <cellStyle name="Normal 69 22" xfId="31126" xr:uid="{00000000-0005-0000-0000-00009A790000}"/>
    <cellStyle name="Normal 69 23" xfId="31127" xr:uid="{00000000-0005-0000-0000-00009B790000}"/>
    <cellStyle name="Normal 69 24" xfId="31128" xr:uid="{00000000-0005-0000-0000-00009C790000}"/>
    <cellStyle name="Normal 69 3" xfId="31129" xr:uid="{00000000-0005-0000-0000-00009D790000}"/>
    <cellStyle name="Normal 69 4" xfId="31130" xr:uid="{00000000-0005-0000-0000-00009E790000}"/>
    <cellStyle name="Normal 69 5" xfId="31131" xr:uid="{00000000-0005-0000-0000-00009F790000}"/>
    <cellStyle name="Normal 69 6" xfId="31132" xr:uid="{00000000-0005-0000-0000-0000A0790000}"/>
    <cellStyle name="Normal 69 7" xfId="31133" xr:uid="{00000000-0005-0000-0000-0000A1790000}"/>
    <cellStyle name="Normal 69 8" xfId="31134" xr:uid="{00000000-0005-0000-0000-0000A2790000}"/>
    <cellStyle name="Normal 69 9" xfId="31135" xr:uid="{00000000-0005-0000-0000-0000A3790000}"/>
    <cellStyle name="Normal 7" xfId="31136" xr:uid="{00000000-0005-0000-0000-0000A4790000}"/>
    <cellStyle name="Normal 7 10" xfId="31137" xr:uid="{00000000-0005-0000-0000-0000A5790000}"/>
    <cellStyle name="Normal 7 11" xfId="31138" xr:uid="{00000000-0005-0000-0000-0000A6790000}"/>
    <cellStyle name="Normal 7 12" xfId="31139" xr:uid="{00000000-0005-0000-0000-0000A7790000}"/>
    <cellStyle name="Normal 7 13" xfId="31140" xr:uid="{00000000-0005-0000-0000-0000A8790000}"/>
    <cellStyle name="Normal 7 14" xfId="31141" xr:uid="{00000000-0005-0000-0000-0000A9790000}"/>
    <cellStyle name="Normal 7 15" xfId="31142" xr:uid="{00000000-0005-0000-0000-0000AA790000}"/>
    <cellStyle name="Normal 7 16" xfId="31143" xr:uid="{00000000-0005-0000-0000-0000AB790000}"/>
    <cellStyle name="Normal 7 17" xfId="31144" xr:uid="{00000000-0005-0000-0000-0000AC790000}"/>
    <cellStyle name="Normal 7 18" xfId="31145" xr:uid="{00000000-0005-0000-0000-0000AD790000}"/>
    <cellStyle name="Normal 7 19" xfId="31146" xr:uid="{00000000-0005-0000-0000-0000AE790000}"/>
    <cellStyle name="Normal 7 2" xfId="31147" xr:uid="{00000000-0005-0000-0000-0000AF790000}"/>
    <cellStyle name="Normal 7 2 10" xfId="31148" xr:uid="{00000000-0005-0000-0000-0000B0790000}"/>
    <cellStyle name="Normal 7 2 10 2" xfId="31149" xr:uid="{00000000-0005-0000-0000-0000B1790000}"/>
    <cellStyle name="Normal 7 2 10 3" xfId="31150" xr:uid="{00000000-0005-0000-0000-0000B2790000}"/>
    <cellStyle name="Normal 7 2 10 4" xfId="31151" xr:uid="{00000000-0005-0000-0000-0000B3790000}"/>
    <cellStyle name="Normal 7 2 10 5" xfId="31152" xr:uid="{00000000-0005-0000-0000-0000B4790000}"/>
    <cellStyle name="Normal 7 2 10 6" xfId="31153" xr:uid="{00000000-0005-0000-0000-0000B5790000}"/>
    <cellStyle name="Normal 7 2 11" xfId="31154" xr:uid="{00000000-0005-0000-0000-0000B6790000}"/>
    <cellStyle name="Normal 7 2 11 2" xfId="31155" xr:uid="{00000000-0005-0000-0000-0000B7790000}"/>
    <cellStyle name="Normal 7 2 11 3" xfId="31156" xr:uid="{00000000-0005-0000-0000-0000B8790000}"/>
    <cellStyle name="Normal 7 2 11 4" xfId="31157" xr:uid="{00000000-0005-0000-0000-0000B9790000}"/>
    <cellStyle name="Normal 7 2 11 5" xfId="31158" xr:uid="{00000000-0005-0000-0000-0000BA790000}"/>
    <cellStyle name="Normal 7 2 11 6" xfId="31159" xr:uid="{00000000-0005-0000-0000-0000BB790000}"/>
    <cellStyle name="Normal 7 2 12" xfId="31160" xr:uid="{00000000-0005-0000-0000-0000BC790000}"/>
    <cellStyle name="Normal 7 2 13" xfId="31161" xr:uid="{00000000-0005-0000-0000-0000BD790000}"/>
    <cellStyle name="Normal 7 2 14" xfId="31162" xr:uid="{00000000-0005-0000-0000-0000BE790000}"/>
    <cellStyle name="Normal 7 2 15" xfId="31163" xr:uid="{00000000-0005-0000-0000-0000BF790000}"/>
    <cellStyle name="Normal 7 2 16" xfId="31164" xr:uid="{00000000-0005-0000-0000-0000C0790000}"/>
    <cellStyle name="Normal 7 2 17" xfId="31165" xr:uid="{00000000-0005-0000-0000-0000C1790000}"/>
    <cellStyle name="Normal 7 2 18" xfId="31166" xr:uid="{00000000-0005-0000-0000-0000C2790000}"/>
    <cellStyle name="Normal 7 2 19" xfId="31167" xr:uid="{00000000-0005-0000-0000-0000C3790000}"/>
    <cellStyle name="Normal 7 2 2" xfId="31168" xr:uid="{00000000-0005-0000-0000-0000C4790000}"/>
    <cellStyle name="Normal 7 2 2 10" xfId="31169" xr:uid="{00000000-0005-0000-0000-0000C5790000}"/>
    <cellStyle name="Normal 7 2 2 10 2" xfId="31170" xr:uid="{00000000-0005-0000-0000-0000C6790000}"/>
    <cellStyle name="Normal 7 2 2 10 3" xfId="31171" xr:uid="{00000000-0005-0000-0000-0000C7790000}"/>
    <cellStyle name="Normal 7 2 2 10 4" xfId="31172" xr:uid="{00000000-0005-0000-0000-0000C8790000}"/>
    <cellStyle name="Normal 7 2 2 10 5" xfId="31173" xr:uid="{00000000-0005-0000-0000-0000C9790000}"/>
    <cellStyle name="Normal 7 2 2 10 6" xfId="31174" xr:uid="{00000000-0005-0000-0000-0000CA790000}"/>
    <cellStyle name="Normal 7 2 2 11" xfId="31175" xr:uid="{00000000-0005-0000-0000-0000CB790000}"/>
    <cellStyle name="Normal 7 2 2 12" xfId="31176" xr:uid="{00000000-0005-0000-0000-0000CC790000}"/>
    <cellStyle name="Normal 7 2 2 13" xfId="31177" xr:uid="{00000000-0005-0000-0000-0000CD790000}"/>
    <cellStyle name="Normal 7 2 2 14" xfId="31178" xr:uid="{00000000-0005-0000-0000-0000CE790000}"/>
    <cellStyle name="Normal 7 2 2 15" xfId="31179" xr:uid="{00000000-0005-0000-0000-0000CF790000}"/>
    <cellStyle name="Normal 7 2 2 2" xfId="31180" xr:uid="{00000000-0005-0000-0000-0000D0790000}"/>
    <cellStyle name="Normal 7 2 2 2 10" xfId="31181" xr:uid="{00000000-0005-0000-0000-0000D1790000}"/>
    <cellStyle name="Normal 7 2 2 2 11" xfId="31182" xr:uid="{00000000-0005-0000-0000-0000D2790000}"/>
    <cellStyle name="Normal 7 2 2 2 12" xfId="31183" xr:uid="{00000000-0005-0000-0000-0000D3790000}"/>
    <cellStyle name="Normal 7 2 2 2 13" xfId="31184" xr:uid="{00000000-0005-0000-0000-0000D4790000}"/>
    <cellStyle name="Normal 7 2 2 2 14" xfId="31185" xr:uid="{00000000-0005-0000-0000-0000D5790000}"/>
    <cellStyle name="Normal 7 2 2 2 2" xfId="31186" xr:uid="{00000000-0005-0000-0000-0000D6790000}"/>
    <cellStyle name="Normal 7 2 2 2 2 2" xfId="31187" xr:uid="{00000000-0005-0000-0000-0000D7790000}"/>
    <cellStyle name="Normal 7 2 2 2 2 3" xfId="31188" xr:uid="{00000000-0005-0000-0000-0000D8790000}"/>
    <cellStyle name="Normal 7 2 2 2 2 4" xfId="31189" xr:uid="{00000000-0005-0000-0000-0000D9790000}"/>
    <cellStyle name="Normal 7 2 2 2 2 5" xfId="31190" xr:uid="{00000000-0005-0000-0000-0000DA790000}"/>
    <cellStyle name="Normal 7 2 2 2 2 6" xfId="31191" xr:uid="{00000000-0005-0000-0000-0000DB790000}"/>
    <cellStyle name="Normal 7 2 2 2 3" xfId="31192" xr:uid="{00000000-0005-0000-0000-0000DC790000}"/>
    <cellStyle name="Normal 7 2 2 2 3 2" xfId="31193" xr:uid="{00000000-0005-0000-0000-0000DD790000}"/>
    <cellStyle name="Normal 7 2 2 2 3 3" xfId="31194" xr:uid="{00000000-0005-0000-0000-0000DE790000}"/>
    <cellStyle name="Normal 7 2 2 2 3 4" xfId="31195" xr:uid="{00000000-0005-0000-0000-0000DF790000}"/>
    <cellStyle name="Normal 7 2 2 2 3 5" xfId="31196" xr:uid="{00000000-0005-0000-0000-0000E0790000}"/>
    <cellStyle name="Normal 7 2 2 2 3 6" xfId="31197" xr:uid="{00000000-0005-0000-0000-0000E1790000}"/>
    <cellStyle name="Normal 7 2 2 2 4" xfId="31198" xr:uid="{00000000-0005-0000-0000-0000E2790000}"/>
    <cellStyle name="Normal 7 2 2 2 4 2" xfId="31199" xr:uid="{00000000-0005-0000-0000-0000E3790000}"/>
    <cellStyle name="Normal 7 2 2 2 4 3" xfId="31200" xr:uid="{00000000-0005-0000-0000-0000E4790000}"/>
    <cellStyle name="Normal 7 2 2 2 4 4" xfId="31201" xr:uid="{00000000-0005-0000-0000-0000E5790000}"/>
    <cellStyle name="Normal 7 2 2 2 4 5" xfId="31202" xr:uid="{00000000-0005-0000-0000-0000E6790000}"/>
    <cellStyle name="Normal 7 2 2 2 4 6" xfId="31203" xr:uid="{00000000-0005-0000-0000-0000E7790000}"/>
    <cellStyle name="Normal 7 2 2 2 5" xfId="31204" xr:uid="{00000000-0005-0000-0000-0000E8790000}"/>
    <cellStyle name="Normal 7 2 2 2 5 2" xfId="31205" xr:uid="{00000000-0005-0000-0000-0000E9790000}"/>
    <cellStyle name="Normal 7 2 2 2 5 3" xfId="31206" xr:uid="{00000000-0005-0000-0000-0000EA790000}"/>
    <cellStyle name="Normal 7 2 2 2 5 4" xfId="31207" xr:uid="{00000000-0005-0000-0000-0000EB790000}"/>
    <cellStyle name="Normal 7 2 2 2 5 5" xfId="31208" xr:uid="{00000000-0005-0000-0000-0000EC790000}"/>
    <cellStyle name="Normal 7 2 2 2 5 6" xfId="31209" xr:uid="{00000000-0005-0000-0000-0000ED790000}"/>
    <cellStyle name="Normal 7 2 2 2 6" xfId="31210" xr:uid="{00000000-0005-0000-0000-0000EE790000}"/>
    <cellStyle name="Normal 7 2 2 2 6 2" xfId="31211" xr:uid="{00000000-0005-0000-0000-0000EF790000}"/>
    <cellStyle name="Normal 7 2 2 2 6 3" xfId="31212" xr:uid="{00000000-0005-0000-0000-0000F0790000}"/>
    <cellStyle name="Normal 7 2 2 2 6 4" xfId="31213" xr:uid="{00000000-0005-0000-0000-0000F1790000}"/>
    <cellStyle name="Normal 7 2 2 2 6 5" xfId="31214" xr:uid="{00000000-0005-0000-0000-0000F2790000}"/>
    <cellStyle name="Normal 7 2 2 2 6 6" xfId="31215" xr:uid="{00000000-0005-0000-0000-0000F3790000}"/>
    <cellStyle name="Normal 7 2 2 2 7" xfId="31216" xr:uid="{00000000-0005-0000-0000-0000F4790000}"/>
    <cellStyle name="Normal 7 2 2 2 7 2" xfId="31217" xr:uid="{00000000-0005-0000-0000-0000F5790000}"/>
    <cellStyle name="Normal 7 2 2 2 7 3" xfId="31218" xr:uid="{00000000-0005-0000-0000-0000F6790000}"/>
    <cellStyle name="Normal 7 2 2 2 7 4" xfId="31219" xr:uid="{00000000-0005-0000-0000-0000F7790000}"/>
    <cellStyle name="Normal 7 2 2 2 7 5" xfId="31220" xr:uid="{00000000-0005-0000-0000-0000F8790000}"/>
    <cellStyle name="Normal 7 2 2 2 7 6" xfId="31221" xr:uid="{00000000-0005-0000-0000-0000F9790000}"/>
    <cellStyle name="Normal 7 2 2 2 8" xfId="31222" xr:uid="{00000000-0005-0000-0000-0000FA790000}"/>
    <cellStyle name="Normal 7 2 2 2 8 2" xfId="31223" xr:uid="{00000000-0005-0000-0000-0000FB790000}"/>
    <cellStyle name="Normal 7 2 2 2 8 3" xfId="31224" xr:uid="{00000000-0005-0000-0000-0000FC790000}"/>
    <cellStyle name="Normal 7 2 2 2 8 4" xfId="31225" xr:uid="{00000000-0005-0000-0000-0000FD790000}"/>
    <cellStyle name="Normal 7 2 2 2 8 5" xfId="31226" xr:uid="{00000000-0005-0000-0000-0000FE790000}"/>
    <cellStyle name="Normal 7 2 2 2 8 6" xfId="31227" xr:uid="{00000000-0005-0000-0000-0000FF790000}"/>
    <cellStyle name="Normal 7 2 2 2 9" xfId="31228" xr:uid="{00000000-0005-0000-0000-0000007A0000}"/>
    <cellStyle name="Normal 7 2 2 2 9 2" xfId="31229" xr:uid="{00000000-0005-0000-0000-0000017A0000}"/>
    <cellStyle name="Normal 7 2 2 2 9 3" xfId="31230" xr:uid="{00000000-0005-0000-0000-0000027A0000}"/>
    <cellStyle name="Normal 7 2 2 2 9 4" xfId="31231" xr:uid="{00000000-0005-0000-0000-0000037A0000}"/>
    <cellStyle name="Normal 7 2 2 2 9 5" xfId="31232" xr:uid="{00000000-0005-0000-0000-0000047A0000}"/>
    <cellStyle name="Normal 7 2 2 2 9 6" xfId="31233" xr:uid="{00000000-0005-0000-0000-0000057A0000}"/>
    <cellStyle name="Normal 7 2 2 3" xfId="31234" xr:uid="{00000000-0005-0000-0000-0000067A0000}"/>
    <cellStyle name="Normal 7 2 2 3 2" xfId="31235" xr:uid="{00000000-0005-0000-0000-0000077A0000}"/>
    <cellStyle name="Normal 7 2 2 3 3" xfId="31236" xr:uid="{00000000-0005-0000-0000-0000087A0000}"/>
    <cellStyle name="Normal 7 2 2 3 4" xfId="31237" xr:uid="{00000000-0005-0000-0000-0000097A0000}"/>
    <cellStyle name="Normal 7 2 2 3 5" xfId="31238" xr:uid="{00000000-0005-0000-0000-00000A7A0000}"/>
    <cellStyle name="Normal 7 2 2 3 6" xfId="31239" xr:uid="{00000000-0005-0000-0000-00000B7A0000}"/>
    <cellStyle name="Normal 7 2 2 4" xfId="31240" xr:uid="{00000000-0005-0000-0000-00000C7A0000}"/>
    <cellStyle name="Normal 7 2 2 4 2" xfId="31241" xr:uid="{00000000-0005-0000-0000-00000D7A0000}"/>
    <cellStyle name="Normal 7 2 2 4 3" xfId="31242" xr:uid="{00000000-0005-0000-0000-00000E7A0000}"/>
    <cellStyle name="Normal 7 2 2 4 4" xfId="31243" xr:uid="{00000000-0005-0000-0000-00000F7A0000}"/>
    <cellStyle name="Normal 7 2 2 4 5" xfId="31244" xr:uid="{00000000-0005-0000-0000-0000107A0000}"/>
    <cellStyle name="Normal 7 2 2 4 6" xfId="31245" xr:uid="{00000000-0005-0000-0000-0000117A0000}"/>
    <cellStyle name="Normal 7 2 2 5" xfId="31246" xr:uid="{00000000-0005-0000-0000-0000127A0000}"/>
    <cellStyle name="Normal 7 2 2 5 2" xfId="31247" xr:uid="{00000000-0005-0000-0000-0000137A0000}"/>
    <cellStyle name="Normal 7 2 2 5 3" xfId="31248" xr:uid="{00000000-0005-0000-0000-0000147A0000}"/>
    <cellStyle name="Normal 7 2 2 5 4" xfId="31249" xr:uid="{00000000-0005-0000-0000-0000157A0000}"/>
    <cellStyle name="Normal 7 2 2 5 5" xfId="31250" xr:uid="{00000000-0005-0000-0000-0000167A0000}"/>
    <cellStyle name="Normal 7 2 2 5 6" xfId="31251" xr:uid="{00000000-0005-0000-0000-0000177A0000}"/>
    <cellStyle name="Normal 7 2 2 6" xfId="31252" xr:uid="{00000000-0005-0000-0000-0000187A0000}"/>
    <cellStyle name="Normal 7 2 2 6 2" xfId="31253" xr:uid="{00000000-0005-0000-0000-0000197A0000}"/>
    <cellStyle name="Normal 7 2 2 6 3" xfId="31254" xr:uid="{00000000-0005-0000-0000-00001A7A0000}"/>
    <cellStyle name="Normal 7 2 2 6 4" xfId="31255" xr:uid="{00000000-0005-0000-0000-00001B7A0000}"/>
    <cellStyle name="Normal 7 2 2 6 5" xfId="31256" xr:uid="{00000000-0005-0000-0000-00001C7A0000}"/>
    <cellStyle name="Normal 7 2 2 6 6" xfId="31257" xr:uid="{00000000-0005-0000-0000-00001D7A0000}"/>
    <cellStyle name="Normal 7 2 2 7" xfId="31258" xr:uid="{00000000-0005-0000-0000-00001E7A0000}"/>
    <cellStyle name="Normal 7 2 2 7 2" xfId="31259" xr:uid="{00000000-0005-0000-0000-00001F7A0000}"/>
    <cellStyle name="Normal 7 2 2 7 3" xfId="31260" xr:uid="{00000000-0005-0000-0000-0000207A0000}"/>
    <cellStyle name="Normal 7 2 2 7 4" xfId="31261" xr:uid="{00000000-0005-0000-0000-0000217A0000}"/>
    <cellStyle name="Normal 7 2 2 7 5" xfId="31262" xr:uid="{00000000-0005-0000-0000-0000227A0000}"/>
    <cellStyle name="Normal 7 2 2 7 6" xfId="31263" xr:uid="{00000000-0005-0000-0000-0000237A0000}"/>
    <cellStyle name="Normal 7 2 2 8" xfId="31264" xr:uid="{00000000-0005-0000-0000-0000247A0000}"/>
    <cellStyle name="Normal 7 2 2 8 2" xfId="31265" xr:uid="{00000000-0005-0000-0000-0000257A0000}"/>
    <cellStyle name="Normal 7 2 2 8 3" xfId="31266" xr:uid="{00000000-0005-0000-0000-0000267A0000}"/>
    <cellStyle name="Normal 7 2 2 8 4" xfId="31267" xr:uid="{00000000-0005-0000-0000-0000277A0000}"/>
    <cellStyle name="Normal 7 2 2 8 5" xfId="31268" xr:uid="{00000000-0005-0000-0000-0000287A0000}"/>
    <cellStyle name="Normal 7 2 2 8 6" xfId="31269" xr:uid="{00000000-0005-0000-0000-0000297A0000}"/>
    <cellStyle name="Normal 7 2 2 9" xfId="31270" xr:uid="{00000000-0005-0000-0000-00002A7A0000}"/>
    <cellStyle name="Normal 7 2 2 9 2" xfId="31271" xr:uid="{00000000-0005-0000-0000-00002B7A0000}"/>
    <cellStyle name="Normal 7 2 2 9 3" xfId="31272" xr:uid="{00000000-0005-0000-0000-00002C7A0000}"/>
    <cellStyle name="Normal 7 2 2 9 4" xfId="31273" xr:uid="{00000000-0005-0000-0000-00002D7A0000}"/>
    <cellStyle name="Normal 7 2 2 9 5" xfId="31274" xr:uid="{00000000-0005-0000-0000-00002E7A0000}"/>
    <cellStyle name="Normal 7 2 2 9 6" xfId="31275" xr:uid="{00000000-0005-0000-0000-00002F7A0000}"/>
    <cellStyle name="Normal 7 2 20" xfId="31276" xr:uid="{00000000-0005-0000-0000-0000307A0000}"/>
    <cellStyle name="Normal 7 2 21" xfId="31277" xr:uid="{00000000-0005-0000-0000-0000317A0000}"/>
    <cellStyle name="Normal 7 2 22" xfId="31278" xr:uid="{00000000-0005-0000-0000-0000327A0000}"/>
    <cellStyle name="Normal 7 2 23" xfId="31279" xr:uid="{00000000-0005-0000-0000-0000337A0000}"/>
    <cellStyle name="Normal 7 2 24" xfId="31280" xr:uid="{00000000-0005-0000-0000-0000347A0000}"/>
    <cellStyle name="Normal 7 2 25" xfId="31281" xr:uid="{00000000-0005-0000-0000-0000357A0000}"/>
    <cellStyle name="Normal 7 2 26" xfId="31282" xr:uid="{00000000-0005-0000-0000-0000367A0000}"/>
    <cellStyle name="Normal 7 2 27" xfId="31283" xr:uid="{00000000-0005-0000-0000-0000377A0000}"/>
    <cellStyle name="Normal 7 2 28" xfId="31284" xr:uid="{00000000-0005-0000-0000-0000387A0000}"/>
    <cellStyle name="Normal 7 2 29" xfId="31285" xr:uid="{00000000-0005-0000-0000-0000397A0000}"/>
    <cellStyle name="Normal 7 2 3" xfId="31286" xr:uid="{00000000-0005-0000-0000-00003A7A0000}"/>
    <cellStyle name="Normal 7 2 3 10" xfId="31287" xr:uid="{00000000-0005-0000-0000-00003B7A0000}"/>
    <cellStyle name="Normal 7 2 3 11" xfId="31288" xr:uid="{00000000-0005-0000-0000-00003C7A0000}"/>
    <cellStyle name="Normal 7 2 3 12" xfId="31289" xr:uid="{00000000-0005-0000-0000-00003D7A0000}"/>
    <cellStyle name="Normal 7 2 3 13" xfId="31290" xr:uid="{00000000-0005-0000-0000-00003E7A0000}"/>
    <cellStyle name="Normal 7 2 3 14" xfId="31291" xr:uid="{00000000-0005-0000-0000-00003F7A0000}"/>
    <cellStyle name="Normal 7 2 3 2" xfId="31292" xr:uid="{00000000-0005-0000-0000-0000407A0000}"/>
    <cellStyle name="Normal 7 2 3 2 2" xfId="31293" xr:uid="{00000000-0005-0000-0000-0000417A0000}"/>
    <cellStyle name="Normal 7 2 3 2 3" xfId="31294" xr:uid="{00000000-0005-0000-0000-0000427A0000}"/>
    <cellStyle name="Normal 7 2 3 2 4" xfId="31295" xr:uid="{00000000-0005-0000-0000-0000437A0000}"/>
    <cellStyle name="Normal 7 2 3 2 5" xfId="31296" xr:uid="{00000000-0005-0000-0000-0000447A0000}"/>
    <cellStyle name="Normal 7 2 3 2 6" xfId="31297" xr:uid="{00000000-0005-0000-0000-0000457A0000}"/>
    <cellStyle name="Normal 7 2 3 3" xfId="31298" xr:uid="{00000000-0005-0000-0000-0000467A0000}"/>
    <cellStyle name="Normal 7 2 3 3 2" xfId="31299" xr:uid="{00000000-0005-0000-0000-0000477A0000}"/>
    <cellStyle name="Normal 7 2 3 3 3" xfId="31300" xr:uid="{00000000-0005-0000-0000-0000487A0000}"/>
    <cellStyle name="Normal 7 2 3 3 4" xfId="31301" xr:uid="{00000000-0005-0000-0000-0000497A0000}"/>
    <cellStyle name="Normal 7 2 3 3 5" xfId="31302" xr:uid="{00000000-0005-0000-0000-00004A7A0000}"/>
    <cellStyle name="Normal 7 2 3 3 6" xfId="31303" xr:uid="{00000000-0005-0000-0000-00004B7A0000}"/>
    <cellStyle name="Normal 7 2 3 4" xfId="31304" xr:uid="{00000000-0005-0000-0000-00004C7A0000}"/>
    <cellStyle name="Normal 7 2 3 4 2" xfId="31305" xr:uid="{00000000-0005-0000-0000-00004D7A0000}"/>
    <cellStyle name="Normal 7 2 3 4 3" xfId="31306" xr:uid="{00000000-0005-0000-0000-00004E7A0000}"/>
    <cellStyle name="Normal 7 2 3 4 4" xfId="31307" xr:uid="{00000000-0005-0000-0000-00004F7A0000}"/>
    <cellStyle name="Normal 7 2 3 4 5" xfId="31308" xr:uid="{00000000-0005-0000-0000-0000507A0000}"/>
    <cellStyle name="Normal 7 2 3 4 6" xfId="31309" xr:uid="{00000000-0005-0000-0000-0000517A0000}"/>
    <cellStyle name="Normal 7 2 3 5" xfId="31310" xr:uid="{00000000-0005-0000-0000-0000527A0000}"/>
    <cellStyle name="Normal 7 2 3 5 2" xfId="31311" xr:uid="{00000000-0005-0000-0000-0000537A0000}"/>
    <cellStyle name="Normal 7 2 3 5 3" xfId="31312" xr:uid="{00000000-0005-0000-0000-0000547A0000}"/>
    <cellStyle name="Normal 7 2 3 5 4" xfId="31313" xr:uid="{00000000-0005-0000-0000-0000557A0000}"/>
    <cellStyle name="Normal 7 2 3 5 5" xfId="31314" xr:uid="{00000000-0005-0000-0000-0000567A0000}"/>
    <cellStyle name="Normal 7 2 3 5 6" xfId="31315" xr:uid="{00000000-0005-0000-0000-0000577A0000}"/>
    <cellStyle name="Normal 7 2 3 6" xfId="31316" xr:uid="{00000000-0005-0000-0000-0000587A0000}"/>
    <cellStyle name="Normal 7 2 3 6 2" xfId="31317" xr:uid="{00000000-0005-0000-0000-0000597A0000}"/>
    <cellStyle name="Normal 7 2 3 6 3" xfId="31318" xr:uid="{00000000-0005-0000-0000-00005A7A0000}"/>
    <cellStyle name="Normal 7 2 3 6 4" xfId="31319" xr:uid="{00000000-0005-0000-0000-00005B7A0000}"/>
    <cellStyle name="Normal 7 2 3 6 5" xfId="31320" xr:uid="{00000000-0005-0000-0000-00005C7A0000}"/>
    <cellStyle name="Normal 7 2 3 6 6" xfId="31321" xr:uid="{00000000-0005-0000-0000-00005D7A0000}"/>
    <cellStyle name="Normal 7 2 3 7" xfId="31322" xr:uid="{00000000-0005-0000-0000-00005E7A0000}"/>
    <cellStyle name="Normal 7 2 3 7 2" xfId="31323" xr:uid="{00000000-0005-0000-0000-00005F7A0000}"/>
    <cellStyle name="Normal 7 2 3 7 3" xfId="31324" xr:uid="{00000000-0005-0000-0000-0000607A0000}"/>
    <cellStyle name="Normal 7 2 3 7 4" xfId="31325" xr:uid="{00000000-0005-0000-0000-0000617A0000}"/>
    <cellStyle name="Normal 7 2 3 7 5" xfId="31326" xr:uid="{00000000-0005-0000-0000-0000627A0000}"/>
    <cellStyle name="Normal 7 2 3 7 6" xfId="31327" xr:uid="{00000000-0005-0000-0000-0000637A0000}"/>
    <cellStyle name="Normal 7 2 3 8" xfId="31328" xr:uid="{00000000-0005-0000-0000-0000647A0000}"/>
    <cellStyle name="Normal 7 2 3 8 2" xfId="31329" xr:uid="{00000000-0005-0000-0000-0000657A0000}"/>
    <cellStyle name="Normal 7 2 3 8 3" xfId="31330" xr:uid="{00000000-0005-0000-0000-0000667A0000}"/>
    <cellStyle name="Normal 7 2 3 8 4" xfId="31331" xr:uid="{00000000-0005-0000-0000-0000677A0000}"/>
    <cellStyle name="Normal 7 2 3 8 5" xfId="31332" xr:uid="{00000000-0005-0000-0000-0000687A0000}"/>
    <cellStyle name="Normal 7 2 3 8 6" xfId="31333" xr:uid="{00000000-0005-0000-0000-0000697A0000}"/>
    <cellStyle name="Normal 7 2 3 9" xfId="31334" xr:uid="{00000000-0005-0000-0000-00006A7A0000}"/>
    <cellStyle name="Normal 7 2 3 9 2" xfId="31335" xr:uid="{00000000-0005-0000-0000-00006B7A0000}"/>
    <cellStyle name="Normal 7 2 3 9 3" xfId="31336" xr:uid="{00000000-0005-0000-0000-00006C7A0000}"/>
    <cellStyle name="Normal 7 2 3 9 4" xfId="31337" xr:uid="{00000000-0005-0000-0000-00006D7A0000}"/>
    <cellStyle name="Normal 7 2 3 9 5" xfId="31338" xr:uid="{00000000-0005-0000-0000-00006E7A0000}"/>
    <cellStyle name="Normal 7 2 3 9 6" xfId="31339" xr:uid="{00000000-0005-0000-0000-00006F7A0000}"/>
    <cellStyle name="Normal 7 2 30" xfId="31340" xr:uid="{00000000-0005-0000-0000-0000707A0000}"/>
    <cellStyle name="Normal 7 2 31" xfId="31341" xr:uid="{00000000-0005-0000-0000-0000717A0000}"/>
    <cellStyle name="Normal 7 2 32" xfId="31342" xr:uid="{00000000-0005-0000-0000-0000727A0000}"/>
    <cellStyle name="Normal 7 2 4" xfId="31343" xr:uid="{00000000-0005-0000-0000-0000737A0000}"/>
    <cellStyle name="Normal 7 2 4 2" xfId="31344" xr:uid="{00000000-0005-0000-0000-0000747A0000}"/>
    <cellStyle name="Normal 7 2 4 3" xfId="31345" xr:uid="{00000000-0005-0000-0000-0000757A0000}"/>
    <cellStyle name="Normal 7 2 4 4" xfId="31346" xr:uid="{00000000-0005-0000-0000-0000767A0000}"/>
    <cellStyle name="Normal 7 2 4 5" xfId="31347" xr:uid="{00000000-0005-0000-0000-0000777A0000}"/>
    <cellStyle name="Normal 7 2 4 6" xfId="31348" xr:uid="{00000000-0005-0000-0000-0000787A0000}"/>
    <cellStyle name="Normal 7 2 5" xfId="31349" xr:uid="{00000000-0005-0000-0000-0000797A0000}"/>
    <cellStyle name="Normal 7 2 5 2" xfId="31350" xr:uid="{00000000-0005-0000-0000-00007A7A0000}"/>
    <cellStyle name="Normal 7 2 5 3" xfId="31351" xr:uid="{00000000-0005-0000-0000-00007B7A0000}"/>
    <cellStyle name="Normal 7 2 5 4" xfId="31352" xr:uid="{00000000-0005-0000-0000-00007C7A0000}"/>
    <cellStyle name="Normal 7 2 5 5" xfId="31353" xr:uid="{00000000-0005-0000-0000-00007D7A0000}"/>
    <cellStyle name="Normal 7 2 5 6" xfId="31354" xr:uid="{00000000-0005-0000-0000-00007E7A0000}"/>
    <cellStyle name="Normal 7 2 6" xfId="31355" xr:uid="{00000000-0005-0000-0000-00007F7A0000}"/>
    <cellStyle name="Normal 7 2 6 2" xfId="31356" xr:uid="{00000000-0005-0000-0000-0000807A0000}"/>
    <cellStyle name="Normal 7 2 6 3" xfId="31357" xr:uid="{00000000-0005-0000-0000-0000817A0000}"/>
    <cellStyle name="Normal 7 2 6 4" xfId="31358" xr:uid="{00000000-0005-0000-0000-0000827A0000}"/>
    <cellStyle name="Normal 7 2 6 5" xfId="31359" xr:uid="{00000000-0005-0000-0000-0000837A0000}"/>
    <cellStyle name="Normal 7 2 6 6" xfId="31360" xr:uid="{00000000-0005-0000-0000-0000847A0000}"/>
    <cellStyle name="Normal 7 2 7" xfId="31361" xr:uid="{00000000-0005-0000-0000-0000857A0000}"/>
    <cellStyle name="Normal 7 2 7 2" xfId="31362" xr:uid="{00000000-0005-0000-0000-0000867A0000}"/>
    <cellStyle name="Normal 7 2 7 3" xfId="31363" xr:uid="{00000000-0005-0000-0000-0000877A0000}"/>
    <cellStyle name="Normal 7 2 7 4" xfId="31364" xr:uid="{00000000-0005-0000-0000-0000887A0000}"/>
    <cellStyle name="Normal 7 2 7 5" xfId="31365" xr:uid="{00000000-0005-0000-0000-0000897A0000}"/>
    <cellStyle name="Normal 7 2 7 6" xfId="31366" xr:uid="{00000000-0005-0000-0000-00008A7A0000}"/>
    <cellStyle name="Normal 7 2 8" xfId="31367" xr:uid="{00000000-0005-0000-0000-00008B7A0000}"/>
    <cellStyle name="Normal 7 2 8 2" xfId="31368" xr:uid="{00000000-0005-0000-0000-00008C7A0000}"/>
    <cellStyle name="Normal 7 2 8 3" xfId="31369" xr:uid="{00000000-0005-0000-0000-00008D7A0000}"/>
    <cellStyle name="Normal 7 2 8 4" xfId="31370" xr:uid="{00000000-0005-0000-0000-00008E7A0000}"/>
    <cellStyle name="Normal 7 2 8 5" xfId="31371" xr:uid="{00000000-0005-0000-0000-00008F7A0000}"/>
    <cellStyle name="Normal 7 2 8 6" xfId="31372" xr:uid="{00000000-0005-0000-0000-0000907A0000}"/>
    <cellStyle name="Normal 7 2 9" xfId="31373" xr:uid="{00000000-0005-0000-0000-0000917A0000}"/>
    <cellStyle name="Normal 7 2 9 2" xfId="31374" xr:uid="{00000000-0005-0000-0000-0000927A0000}"/>
    <cellStyle name="Normal 7 2 9 3" xfId="31375" xr:uid="{00000000-0005-0000-0000-0000937A0000}"/>
    <cellStyle name="Normal 7 2 9 4" xfId="31376" xr:uid="{00000000-0005-0000-0000-0000947A0000}"/>
    <cellStyle name="Normal 7 2 9 5" xfId="31377" xr:uid="{00000000-0005-0000-0000-0000957A0000}"/>
    <cellStyle name="Normal 7 2 9 6" xfId="31378" xr:uid="{00000000-0005-0000-0000-0000967A0000}"/>
    <cellStyle name="Normal 7 20" xfId="31379" xr:uid="{00000000-0005-0000-0000-0000977A0000}"/>
    <cellStyle name="Normal 7 21" xfId="31380" xr:uid="{00000000-0005-0000-0000-0000987A0000}"/>
    <cellStyle name="Normal 7 22" xfId="31381" xr:uid="{00000000-0005-0000-0000-0000997A0000}"/>
    <cellStyle name="Normal 7 23" xfId="31382" xr:uid="{00000000-0005-0000-0000-00009A7A0000}"/>
    <cellStyle name="Normal 7 24" xfId="31383" xr:uid="{00000000-0005-0000-0000-00009B7A0000}"/>
    <cellStyle name="Normal 7 25" xfId="31384" xr:uid="{00000000-0005-0000-0000-00009C7A0000}"/>
    <cellStyle name="Normal 7 26" xfId="31385" xr:uid="{00000000-0005-0000-0000-00009D7A0000}"/>
    <cellStyle name="Normal 7 27" xfId="31386" xr:uid="{00000000-0005-0000-0000-00009E7A0000}"/>
    <cellStyle name="Normal 7 28" xfId="31387" xr:uid="{00000000-0005-0000-0000-00009F7A0000}"/>
    <cellStyle name="Normal 7 29" xfId="31388" xr:uid="{00000000-0005-0000-0000-0000A07A0000}"/>
    <cellStyle name="Normal 7 3" xfId="31389" xr:uid="{00000000-0005-0000-0000-0000A17A0000}"/>
    <cellStyle name="Normal 7 3 10" xfId="31390" xr:uid="{00000000-0005-0000-0000-0000A27A0000}"/>
    <cellStyle name="Normal 7 3 10 2" xfId="31391" xr:uid="{00000000-0005-0000-0000-0000A37A0000}"/>
    <cellStyle name="Normal 7 3 10 3" xfId="31392" xr:uid="{00000000-0005-0000-0000-0000A47A0000}"/>
    <cellStyle name="Normal 7 3 10 4" xfId="31393" xr:uid="{00000000-0005-0000-0000-0000A57A0000}"/>
    <cellStyle name="Normal 7 3 10 5" xfId="31394" xr:uid="{00000000-0005-0000-0000-0000A67A0000}"/>
    <cellStyle name="Normal 7 3 10 6" xfId="31395" xr:uid="{00000000-0005-0000-0000-0000A77A0000}"/>
    <cellStyle name="Normal 7 3 11" xfId="31396" xr:uid="{00000000-0005-0000-0000-0000A87A0000}"/>
    <cellStyle name="Normal 7 3 11 2" xfId="31397" xr:uid="{00000000-0005-0000-0000-0000A97A0000}"/>
    <cellStyle name="Normal 7 3 11 3" xfId="31398" xr:uid="{00000000-0005-0000-0000-0000AA7A0000}"/>
    <cellStyle name="Normal 7 3 11 4" xfId="31399" xr:uid="{00000000-0005-0000-0000-0000AB7A0000}"/>
    <cellStyle name="Normal 7 3 11 5" xfId="31400" xr:uid="{00000000-0005-0000-0000-0000AC7A0000}"/>
    <cellStyle name="Normal 7 3 11 6" xfId="31401" xr:uid="{00000000-0005-0000-0000-0000AD7A0000}"/>
    <cellStyle name="Normal 7 3 12" xfId="31402" xr:uid="{00000000-0005-0000-0000-0000AE7A0000}"/>
    <cellStyle name="Normal 7 3 13" xfId="31403" xr:uid="{00000000-0005-0000-0000-0000AF7A0000}"/>
    <cellStyle name="Normal 7 3 14" xfId="31404" xr:uid="{00000000-0005-0000-0000-0000B07A0000}"/>
    <cellStyle name="Normal 7 3 15" xfId="31405" xr:uid="{00000000-0005-0000-0000-0000B17A0000}"/>
    <cellStyle name="Normal 7 3 16" xfId="31406" xr:uid="{00000000-0005-0000-0000-0000B27A0000}"/>
    <cellStyle name="Normal 7 3 17" xfId="31407" xr:uid="{00000000-0005-0000-0000-0000B37A0000}"/>
    <cellStyle name="Normal 7 3 18" xfId="31408" xr:uid="{00000000-0005-0000-0000-0000B47A0000}"/>
    <cellStyle name="Normal 7 3 19" xfId="31409" xr:uid="{00000000-0005-0000-0000-0000B57A0000}"/>
    <cellStyle name="Normal 7 3 2" xfId="31410" xr:uid="{00000000-0005-0000-0000-0000B67A0000}"/>
    <cellStyle name="Normal 7 3 2 10" xfId="31411" xr:uid="{00000000-0005-0000-0000-0000B77A0000}"/>
    <cellStyle name="Normal 7 3 2 10 2" xfId="31412" xr:uid="{00000000-0005-0000-0000-0000B87A0000}"/>
    <cellStyle name="Normal 7 3 2 10 3" xfId="31413" xr:uid="{00000000-0005-0000-0000-0000B97A0000}"/>
    <cellStyle name="Normal 7 3 2 10 4" xfId="31414" xr:uid="{00000000-0005-0000-0000-0000BA7A0000}"/>
    <cellStyle name="Normal 7 3 2 10 5" xfId="31415" xr:uid="{00000000-0005-0000-0000-0000BB7A0000}"/>
    <cellStyle name="Normal 7 3 2 10 6" xfId="31416" xr:uid="{00000000-0005-0000-0000-0000BC7A0000}"/>
    <cellStyle name="Normal 7 3 2 11" xfId="31417" xr:uid="{00000000-0005-0000-0000-0000BD7A0000}"/>
    <cellStyle name="Normal 7 3 2 12" xfId="31418" xr:uid="{00000000-0005-0000-0000-0000BE7A0000}"/>
    <cellStyle name="Normal 7 3 2 13" xfId="31419" xr:uid="{00000000-0005-0000-0000-0000BF7A0000}"/>
    <cellStyle name="Normal 7 3 2 14" xfId="31420" xr:uid="{00000000-0005-0000-0000-0000C07A0000}"/>
    <cellStyle name="Normal 7 3 2 15" xfId="31421" xr:uid="{00000000-0005-0000-0000-0000C17A0000}"/>
    <cellStyle name="Normal 7 3 2 2" xfId="31422" xr:uid="{00000000-0005-0000-0000-0000C27A0000}"/>
    <cellStyle name="Normal 7 3 2 2 10" xfId="31423" xr:uid="{00000000-0005-0000-0000-0000C37A0000}"/>
    <cellStyle name="Normal 7 3 2 2 11" xfId="31424" xr:uid="{00000000-0005-0000-0000-0000C47A0000}"/>
    <cellStyle name="Normal 7 3 2 2 12" xfId="31425" xr:uid="{00000000-0005-0000-0000-0000C57A0000}"/>
    <cellStyle name="Normal 7 3 2 2 13" xfId="31426" xr:uid="{00000000-0005-0000-0000-0000C67A0000}"/>
    <cellStyle name="Normal 7 3 2 2 14" xfId="31427" xr:uid="{00000000-0005-0000-0000-0000C77A0000}"/>
    <cellStyle name="Normal 7 3 2 2 2" xfId="31428" xr:uid="{00000000-0005-0000-0000-0000C87A0000}"/>
    <cellStyle name="Normal 7 3 2 2 2 2" xfId="31429" xr:uid="{00000000-0005-0000-0000-0000C97A0000}"/>
    <cellStyle name="Normal 7 3 2 2 2 3" xfId="31430" xr:uid="{00000000-0005-0000-0000-0000CA7A0000}"/>
    <cellStyle name="Normal 7 3 2 2 2 4" xfId="31431" xr:uid="{00000000-0005-0000-0000-0000CB7A0000}"/>
    <cellStyle name="Normal 7 3 2 2 2 5" xfId="31432" xr:uid="{00000000-0005-0000-0000-0000CC7A0000}"/>
    <cellStyle name="Normal 7 3 2 2 2 6" xfId="31433" xr:uid="{00000000-0005-0000-0000-0000CD7A0000}"/>
    <cellStyle name="Normal 7 3 2 2 3" xfId="31434" xr:uid="{00000000-0005-0000-0000-0000CE7A0000}"/>
    <cellStyle name="Normal 7 3 2 2 3 2" xfId="31435" xr:uid="{00000000-0005-0000-0000-0000CF7A0000}"/>
    <cellStyle name="Normal 7 3 2 2 3 3" xfId="31436" xr:uid="{00000000-0005-0000-0000-0000D07A0000}"/>
    <cellStyle name="Normal 7 3 2 2 3 4" xfId="31437" xr:uid="{00000000-0005-0000-0000-0000D17A0000}"/>
    <cellStyle name="Normal 7 3 2 2 3 5" xfId="31438" xr:uid="{00000000-0005-0000-0000-0000D27A0000}"/>
    <cellStyle name="Normal 7 3 2 2 3 6" xfId="31439" xr:uid="{00000000-0005-0000-0000-0000D37A0000}"/>
    <cellStyle name="Normal 7 3 2 2 4" xfId="31440" xr:uid="{00000000-0005-0000-0000-0000D47A0000}"/>
    <cellStyle name="Normal 7 3 2 2 4 2" xfId="31441" xr:uid="{00000000-0005-0000-0000-0000D57A0000}"/>
    <cellStyle name="Normal 7 3 2 2 4 3" xfId="31442" xr:uid="{00000000-0005-0000-0000-0000D67A0000}"/>
    <cellStyle name="Normal 7 3 2 2 4 4" xfId="31443" xr:uid="{00000000-0005-0000-0000-0000D77A0000}"/>
    <cellStyle name="Normal 7 3 2 2 4 5" xfId="31444" xr:uid="{00000000-0005-0000-0000-0000D87A0000}"/>
    <cellStyle name="Normal 7 3 2 2 4 6" xfId="31445" xr:uid="{00000000-0005-0000-0000-0000D97A0000}"/>
    <cellStyle name="Normal 7 3 2 2 5" xfId="31446" xr:uid="{00000000-0005-0000-0000-0000DA7A0000}"/>
    <cellStyle name="Normal 7 3 2 2 5 2" xfId="31447" xr:uid="{00000000-0005-0000-0000-0000DB7A0000}"/>
    <cellStyle name="Normal 7 3 2 2 5 3" xfId="31448" xr:uid="{00000000-0005-0000-0000-0000DC7A0000}"/>
    <cellStyle name="Normal 7 3 2 2 5 4" xfId="31449" xr:uid="{00000000-0005-0000-0000-0000DD7A0000}"/>
    <cellStyle name="Normal 7 3 2 2 5 5" xfId="31450" xr:uid="{00000000-0005-0000-0000-0000DE7A0000}"/>
    <cellStyle name="Normal 7 3 2 2 5 6" xfId="31451" xr:uid="{00000000-0005-0000-0000-0000DF7A0000}"/>
    <cellStyle name="Normal 7 3 2 2 6" xfId="31452" xr:uid="{00000000-0005-0000-0000-0000E07A0000}"/>
    <cellStyle name="Normal 7 3 2 2 6 2" xfId="31453" xr:uid="{00000000-0005-0000-0000-0000E17A0000}"/>
    <cellStyle name="Normal 7 3 2 2 6 3" xfId="31454" xr:uid="{00000000-0005-0000-0000-0000E27A0000}"/>
    <cellStyle name="Normal 7 3 2 2 6 4" xfId="31455" xr:uid="{00000000-0005-0000-0000-0000E37A0000}"/>
    <cellStyle name="Normal 7 3 2 2 6 5" xfId="31456" xr:uid="{00000000-0005-0000-0000-0000E47A0000}"/>
    <cellStyle name="Normal 7 3 2 2 6 6" xfId="31457" xr:uid="{00000000-0005-0000-0000-0000E57A0000}"/>
    <cellStyle name="Normal 7 3 2 2 7" xfId="31458" xr:uid="{00000000-0005-0000-0000-0000E67A0000}"/>
    <cellStyle name="Normal 7 3 2 2 7 2" xfId="31459" xr:uid="{00000000-0005-0000-0000-0000E77A0000}"/>
    <cellStyle name="Normal 7 3 2 2 7 3" xfId="31460" xr:uid="{00000000-0005-0000-0000-0000E87A0000}"/>
    <cellStyle name="Normal 7 3 2 2 7 4" xfId="31461" xr:uid="{00000000-0005-0000-0000-0000E97A0000}"/>
    <cellStyle name="Normal 7 3 2 2 7 5" xfId="31462" xr:uid="{00000000-0005-0000-0000-0000EA7A0000}"/>
    <cellStyle name="Normal 7 3 2 2 7 6" xfId="31463" xr:uid="{00000000-0005-0000-0000-0000EB7A0000}"/>
    <cellStyle name="Normal 7 3 2 2 8" xfId="31464" xr:uid="{00000000-0005-0000-0000-0000EC7A0000}"/>
    <cellStyle name="Normal 7 3 2 2 8 2" xfId="31465" xr:uid="{00000000-0005-0000-0000-0000ED7A0000}"/>
    <cellStyle name="Normal 7 3 2 2 8 3" xfId="31466" xr:uid="{00000000-0005-0000-0000-0000EE7A0000}"/>
    <cellStyle name="Normal 7 3 2 2 8 4" xfId="31467" xr:uid="{00000000-0005-0000-0000-0000EF7A0000}"/>
    <cellStyle name="Normal 7 3 2 2 8 5" xfId="31468" xr:uid="{00000000-0005-0000-0000-0000F07A0000}"/>
    <cellStyle name="Normal 7 3 2 2 8 6" xfId="31469" xr:uid="{00000000-0005-0000-0000-0000F17A0000}"/>
    <cellStyle name="Normal 7 3 2 2 9" xfId="31470" xr:uid="{00000000-0005-0000-0000-0000F27A0000}"/>
    <cellStyle name="Normal 7 3 2 2 9 2" xfId="31471" xr:uid="{00000000-0005-0000-0000-0000F37A0000}"/>
    <cellStyle name="Normal 7 3 2 2 9 3" xfId="31472" xr:uid="{00000000-0005-0000-0000-0000F47A0000}"/>
    <cellStyle name="Normal 7 3 2 2 9 4" xfId="31473" xr:uid="{00000000-0005-0000-0000-0000F57A0000}"/>
    <cellStyle name="Normal 7 3 2 2 9 5" xfId="31474" xr:uid="{00000000-0005-0000-0000-0000F67A0000}"/>
    <cellStyle name="Normal 7 3 2 2 9 6" xfId="31475" xr:uid="{00000000-0005-0000-0000-0000F77A0000}"/>
    <cellStyle name="Normal 7 3 2 3" xfId="31476" xr:uid="{00000000-0005-0000-0000-0000F87A0000}"/>
    <cellStyle name="Normal 7 3 2 3 2" xfId="31477" xr:uid="{00000000-0005-0000-0000-0000F97A0000}"/>
    <cellStyle name="Normal 7 3 2 3 3" xfId="31478" xr:uid="{00000000-0005-0000-0000-0000FA7A0000}"/>
    <cellStyle name="Normal 7 3 2 3 4" xfId="31479" xr:uid="{00000000-0005-0000-0000-0000FB7A0000}"/>
    <cellStyle name="Normal 7 3 2 3 5" xfId="31480" xr:uid="{00000000-0005-0000-0000-0000FC7A0000}"/>
    <cellStyle name="Normal 7 3 2 3 6" xfId="31481" xr:uid="{00000000-0005-0000-0000-0000FD7A0000}"/>
    <cellStyle name="Normal 7 3 2 4" xfId="31482" xr:uid="{00000000-0005-0000-0000-0000FE7A0000}"/>
    <cellStyle name="Normal 7 3 2 4 2" xfId="31483" xr:uid="{00000000-0005-0000-0000-0000FF7A0000}"/>
    <cellStyle name="Normal 7 3 2 4 3" xfId="31484" xr:uid="{00000000-0005-0000-0000-0000007B0000}"/>
    <cellStyle name="Normal 7 3 2 4 4" xfId="31485" xr:uid="{00000000-0005-0000-0000-0000017B0000}"/>
    <cellStyle name="Normal 7 3 2 4 5" xfId="31486" xr:uid="{00000000-0005-0000-0000-0000027B0000}"/>
    <cellStyle name="Normal 7 3 2 4 6" xfId="31487" xr:uid="{00000000-0005-0000-0000-0000037B0000}"/>
    <cellStyle name="Normal 7 3 2 5" xfId="31488" xr:uid="{00000000-0005-0000-0000-0000047B0000}"/>
    <cellStyle name="Normal 7 3 2 5 2" xfId="31489" xr:uid="{00000000-0005-0000-0000-0000057B0000}"/>
    <cellStyle name="Normal 7 3 2 5 3" xfId="31490" xr:uid="{00000000-0005-0000-0000-0000067B0000}"/>
    <cellStyle name="Normal 7 3 2 5 4" xfId="31491" xr:uid="{00000000-0005-0000-0000-0000077B0000}"/>
    <cellStyle name="Normal 7 3 2 5 5" xfId="31492" xr:uid="{00000000-0005-0000-0000-0000087B0000}"/>
    <cellStyle name="Normal 7 3 2 5 6" xfId="31493" xr:uid="{00000000-0005-0000-0000-0000097B0000}"/>
    <cellStyle name="Normal 7 3 2 6" xfId="31494" xr:uid="{00000000-0005-0000-0000-00000A7B0000}"/>
    <cellStyle name="Normal 7 3 2 6 2" xfId="31495" xr:uid="{00000000-0005-0000-0000-00000B7B0000}"/>
    <cellStyle name="Normal 7 3 2 6 3" xfId="31496" xr:uid="{00000000-0005-0000-0000-00000C7B0000}"/>
    <cellStyle name="Normal 7 3 2 6 4" xfId="31497" xr:uid="{00000000-0005-0000-0000-00000D7B0000}"/>
    <cellStyle name="Normal 7 3 2 6 5" xfId="31498" xr:uid="{00000000-0005-0000-0000-00000E7B0000}"/>
    <cellStyle name="Normal 7 3 2 6 6" xfId="31499" xr:uid="{00000000-0005-0000-0000-00000F7B0000}"/>
    <cellStyle name="Normal 7 3 2 7" xfId="31500" xr:uid="{00000000-0005-0000-0000-0000107B0000}"/>
    <cellStyle name="Normal 7 3 2 7 2" xfId="31501" xr:uid="{00000000-0005-0000-0000-0000117B0000}"/>
    <cellStyle name="Normal 7 3 2 7 3" xfId="31502" xr:uid="{00000000-0005-0000-0000-0000127B0000}"/>
    <cellStyle name="Normal 7 3 2 7 4" xfId="31503" xr:uid="{00000000-0005-0000-0000-0000137B0000}"/>
    <cellStyle name="Normal 7 3 2 7 5" xfId="31504" xr:uid="{00000000-0005-0000-0000-0000147B0000}"/>
    <cellStyle name="Normal 7 3 2 7 6" xfId="31505" xr:uid="{00000000-0005-0000-0000-0000157B0000}"/>
    <cellStyle name="Normal 7 3 2 8" xfId="31506" xr:uid="{00000000-0005-0000-0000-0000167B0000}"/>
    <cellStyle name="Normal 7 3 2 8 2" xfId="31507" xr:uid="{00000000-0005-0000-0000-0000177B0000}"/>
    <cellStyle name="Normal 7 3 2 8 3" xfId="31508" xr:uid="{00000000-0005-0000-0000-0000187B0000}"/>
    <cellStyle name="Normal 7 3 2 8 4" xfId="31509" xr:uid="{00000000-0005-0000-0000-0000197B0000}"/>
    <cellStyle name="Normal 7 3 2 8 5" xfId="31510" xr:uid="{00000000-0005-0000-0000-00001A7B0000}"/>
    <cellStyle name="Normal 7 3 2 8 6" xfId="31511" xr:uid="{00000000-0005-0000-0000-00001B7B0000}"/>
    <cellStyle name="Normal 7 3 2 9" xfId="31512" xr:uid="{00000000-0005-0000-0000-00001C7B0000}"/>
    <cellStyle name="Normal 7 3 2 9 2" xfId="31513" xr:uid="{00000000-0005-0000-0000-00001D7B0000}"/>
    <cellStyle name="Normal 7 3 2 9 3" xfId="31514" xr:uid="{00000000-0005-0000-0000-00001E7B0000}"/>
    <cellStyle name="Normal 7 3 2 9 4" xfId="31515" xr:uid="{00000000-0005-0000-0000-00001F7B0000}"/>
    <cellStyle name="Normal 7 3 2 9 5" xfId="31516" xr:uid="{00000000-0005-0000-0000-0000207B0000}"/>
    <cellStyle name="Normal 7 3 2 9 6" xfId="31517" xr:uid="{00000000-0005-0000-0000-0000217B0000}"/>
    <cellStyle name="Normal 7 3 20" xfId="31518" xr:uid="{00000000-0005-0000-0000-0000227B0000}"/>
    <cellStyle name="Normal 7 3 21" xfId="31519" xr:uid="{00000000-0005-0000-0000-0000237B0000}"/>
    <cellStyle name="Normal 7 3 22" xfId="31520" xr:uid="{00000000-0005-0000-0000-0000247B0000}"/>
    <cellStyle name="Normal 7 3 23" xfId="31521" xr:uid="{00000000-0005-0000-0000-0000257B0000}"/>
    <cellStyle name="Normal 7 3 24" xfId="31522" xr:uid="{00000000-0005-0000-0000-0000267B0000}"/>
    <cellStyle name="Normal 7 3 25" xfId="31523" xr:uid="{00000000-0005-0000-0000-0000277B0000}"/>
    <cellStyle name="Normal 7 3 26" xfId="31524" xr:uid="{00000000-0005-0000-0000-0000287B0000}"/>
    <cellStyle name="Normal 7 3 27" xfId="31525" xr:uid="{00000000-0005-0000-0000-0000297B0000}"/>
    <cellStyle name="Normal 7 3 28" xfId="31526" xr:uid="{00000000-0005-0000-0000-00002A7B0000}"/>
    <cellStyle name="Normal 7 3 29" xfId="31527" xr:uid="{00000000-0005-0000-0000-00002B7B0000}"/>
    <cellStyle name="Normal 7 3 3" xfId="31528" xr:uid="{00000000-0005-0000-0000-00002C7B0000}"/>
    <cellStyle name="Normal 7 3 3 10" xfId="31529" xr:uid="{00000000-0005-0000-0000-00002D7B0000}"/>
    <cellStyle name="Normal 7 3 3 11" xfId="31530" xr:uid="{00000000-0005-0000-0000-00002E7B0000}"/>
    <cellStyle name="Normal 7 3 3 12" xfId="31531" xr:uid="{00000000-0005-0000-0000-00002F7B0000}"/>
    <cellStyle name="Normal 7 3 3 13" xfId="31532" xr:uid="{00000000-0005-0000-0000-0000307B0000}"/>
    <cellStyle name="Normal 7 3 3 14" xfId="31533" xr:uid="{00000000-0005-0000-0000-0000317B0000}"/>
    <cellStyle name="Normal 7 3 3 2" xfId="31534" xr:uid="{00000000-0005-0000-0000-0000327B0000}"/>
    <cellStyle name="Normal 7 3 3 2 2" xfId="31535" xr:uid="{00000000-0005-0000-0000-0000337B0000}"/>
    <cellStyle name="Normal 7 3 3 2 3" xfId="31536" xr:uid="{00000000-0005-0000-0000-0000347B0000}"/>
    <cellStyle name="Normal 7 3 3 2 4" xfId="31537" xr:uid="{00000000-0005-0000-0000-0000357B0000}"/>
    <cellStyle name="Normal 7 3 3 2 5" xfId="31538" xr:uid="{00000000-0005-0000-0000-0000367B0000}"/>
    <cellStyle name="Normal 7 3 3 2 6" xfId="31539" xr:uid="{00000000-0005-0000-0000-0000377B0000}"/>
    <cellStyle name="Normal 7 3 3 3" xfId="31540" xr:uid="{00000000-0005-0000-0000-0000387B0000}"/>
    <cellStyle name="Normal 7 3 3 3 2" xfId="31541" xr:uid="{00000000-0005-0000-0000-0000397B0000}"/>
    <cellStyle name="Normal 7 3 3 3 3" xfId="31542" xr:uid="{00000000-0005-0000-0000-00003A7B0000}"/>
    <cellStyle name="Normal 7 3 3 3 4" xfId="31543" xr:uid="{00000000-0005-0000-0000-00003B7B0000}"/>
    <cellStyle name="Normal 7 3 3 3 5" xfId="31544" xr:uid="{00000000-0005-0000-0000-00003C7B0000}"/>
    <cellStyle name="Normal 7 3 3 3 6" xfId="31545" xr:uid="{00000000-0005-0000-0000-00003D7B0000}"/>
    <cellStyle name="Normal 7 3 3 4" xfId="31546" xr:uid="{00000000-0005-0000-0000-00003E7B0000}"/>
    <cellStyle name="Normal 7 3 3 4 2" xfId="31547" xr:uid="{00000000-0005-0000-0000-00003F7B0000}"/>
    <cellStyle name="Normal 7 3 3 4 3" xfId="31548" xr:uid="{00000000-0005-0000-0000-0000407B0000}"/>
    <cellStyle name="Normal 7 3 3 4 4" xfId="31549" xr:uid="{00000000-0005-0000-0000-0000417B0000}"/>
    <cellStyle name="Normal 7 3 3 4 5" xfId="31550" xr:uid="{00000000-0005-0000-0000-0000427B0000}"/>
    <cellStyle name="Normal 7 3 3 4 6" xfId="31551" xr:uid="{00000000-0005-0000-0000-0000437B0000}"/>
    <cellStyle name="Normal 7 3 3 5" xfId="31552" xr:uid="{00000000-0005-0000-0000-0000447B0000}"/>
    <cellStyle name="Normal 7 3 3 5 2" xfId="31553" xr:uid="{00000000-0005-0000-0000-0000457B0000}"/>
    <cellStyle name="Normal 7 3 3 5 3" xfId="31554" xr:uid="{00000000-0005-0000-0000-0000467B0000}"/>
    <cellStyle name="Normal 7 3 3 5 4" xfId="31555" xr:uid="{00000000-0005-0000-0000-0000477B0000}"/>
    <cellStyle name="Normal 7 3 3 5 5" xfId="31556" xr:uid="{00000000-0005-0000-0000-0000487B0000}"/>
    <cellStyle name="Normal 7 3 3 5 6" xfId="31557" xr:uid="{00000000-0005-0000-0000-0000497B0000}"/>
    <cellStyle name="Normal 7 3 3 6" xfId="31558" xr:uid="{00000000-0005-0000-0000-00004A7B0000}"/>
    <cellStyle name="Normal 7 3 3 6 2" xfId="31559" xr:uid="{00000000-0005-0000-0000-00004B7B0000}"/>
    <cellStyle name="Normal 7 3 3 6 3" xfId="31560" xr:uid="{00000000-0005-0000-0000-00004C7B0000}"/>
    <cellStyle name="Normal 7 3 3 6 4" xfId="31561" xr:uid="{00000000-0005-0000-0000-00004D7B0000}"/>
    <cellStyle name="Normal 7 3 3 6 5" xfId="31562" xr:uid="{00000000-0005-0000-0000-00004E7B0000}"/>
    <cellStyle name="Normal 7 3 3 6 6" xfId="31563" xr:uid="{00000000-0005-0000-0000-00004F7B0000}"/>
    <cellStyle name="Normal 7 3 3 7" xfId="31564" xr:uid="{00000000-0005-0000-0000-0000507B0000}"/>
    <cellStyle name="Normal 7 3 3 7 2" xfId="31565" xr:uid="{00000000-0005-0000-0000-0000517B0000}"/>
    <cellStyle name="Normal 7 3 3 7 3" xfId="31566" xr:uid="{00000000-0005-0000-0000-0000527B0000}"/>
    <cellStyle name="Normal 7 3 3 7 4" xfId="31567" xr:uid="{00000000-0005-0000-0000-0000537B0000}"/>
    <cellStyle name="Normal 7 3 3 7 5" xfId="31568" xr:uid="{00000000-0005-0000-0000-0000547B0000}"/>
    <cellStyle name="Normal 7 3 3 7 6" xfId="31569" xr:uid="{00000000-0005-0000-0000-0000557B0000}"/>
    <cellStyle name="Normal 7 3 3 8" xfId="31570" xr:uid="{00000000-0005-0000-0000-0000567B0000}"/>
    <cellStyle name="Normal 7 3 3 8 2" xfId="31571" xr:uid="{00000000-0005-0000-0000-0000577B0000}"/>
    <cellStyle name="Normal 7 3 3 8 3" xfId="31572" xr:uid="{00000000-0005-0000-0000-0000587B0000}"/>
    <cellStyle name="Normal 7 3 3 8 4" xfId="31573" xr:uid="{00000000-0005-0000-0000-0000597B0000}"/>
    <cellStyle name="Normal 7 3 3 8 5" xfId="31574" xr:uid="{00000000-0005-0000-0000-00005A7B0000}"/>
    <cellStyle name="Normal 7 3 3 8 6" xfId="31575" xr:uid="{00000000-0005-0000-0000-00005B7B0000}"/>
    <cellStyle name="Normal 7 3 3 9" xfId="31576" xr:uid="{00000000-0005-0000-0000-00005C7B0000}"/>
    <cellStyle name="Normal 7 3 3 9 2" xfId="31577" xr:uid="{00000000-0005-0000-0000-00005D7B0000}"/>
    <cellStyle name="Normal 7 3 3 9 3" xfId="31578" xr:uid="{00000000-0005-0000-0000-00005E7B0000}"/>
    <cellStyle name="Normal 7 3 3 9 4" xfId="31579" xr:uid="{00000000-0005-0000-0000-00005F7B0000}"/>
    <cellStyle name="Normal 7 3 3 9 5" xfId="31580" xr:uid="{00000000-0005-0000-0000-0000607B0000}"/>
    <cellStyle name="Normal 7 3 3 9 6" xfId="31581" xr:uid="{00000000-0005-0000-0000-0000617B0000}"/>
    <cellStyle name="Normal 7 3 30" xfId="31582" xr:uid="{00000000-0005-0000-0000-0000627B0000}"/>
    <cellStyle name="Normal 7 3 31" xfId="31583" xr:uid="{00000000-0005-0000-0000-0000637B0000}"/>
    <cellStyle name="Normal 7 3 32" xfId="31584" xr:uid="{00000000-0005-0000-0000-0000647B0000}"/>
    <cellStyle name="Normal 7 3 4" xfId="31585" xr:uid="{00000000-0005-0000-0000-0000657B0000}"/>
    <cellStyle name="Normal 7 3 4 2" xfId="31586" xr:uid="{00000000-0005-0000-0000-0000667B0000}"/>
    <cellStyle name="Normal 7 3 4 3" xfId="31587" xr:uid="{00000000-0005-0000-0000-0000677B0000}"/>
    <cellStyle name="Normal 7 3 4 4" xfId="31588" xr:uid="{00000000-0005-0000-0000-0000687B0000}"/>
    <cellStyle name="Normal 7 3 4 5" xfId="31589" xr:uid="{00000000-0005-0000-0000-0000697B0000}"/>
    <cellStyle name="Normal 7 3 4 6" xfId="31590" xr:uid="{00000000-0005-0000-0000-00006A7B0000}"/>
    <cellStyle name="Normal 7 3 5" xfId="31591" xr:uid="{00000000-0005-0000-0000-00006B7B0000}"/>
    <cellStyle name="Normal 7 3 5 2" xfId="31592" xr:uid="{00000000-0005-0000-0000-00006C7B0000}"/>
    <cellStyle name="Normal 7 3 5 3" xfId="31593" xr:uid="{00000000-0005-0000-0000-00006D7B0000}"/>
    <cellStyle name="Normal 7 3 5 4" xfId="31594" xr:uid="{00000000-0005-0000-0000-00006E7B0000}"/>
    <cellStyle name="Normal 7 3 5 5" xfId="31595" xr:uid="{00000000-0005-0000-0000-00006F7B0000}"/>
    <cellStyle name="Normal 7 3 5 6" xfId="31596" xr:uid="{00000000-0005-0000-0000-0000707B0000}"/>
    <cellStyle name="Normal 7 3 6" xfId="31597" xr:uid="{00000000-0005-0000-0000-0000717B0000}"/>
    <cellStyle name="Normal 7 3 6 2" xfId="31598" xr:uid="{00000000-0005-0000-0000-0000727B0000}"/>
    <cellStyle name="Normal 7 3 6 3" xfId="31599" xr:uid="{00000000-0005-0000-0000-0000737B0000}"/>
    <cellStyle name="Normal 7 3 6 4" xfId="31600" xr:uid="{00000000-0005-0000-0000-0000747B0000}"/>
    <cellStyle name="Normal 7 3 6 5" xfId="31601" xr:uid="{00000000-0005-0000-0000-0000757B0000}"/>
    <cellStyle name="Normal 7 3 6 6" xfId="31602" xr:uid="{00000000-0005-0000-0000-0000767B0000}"/>
    <cellStyle name="Normal 7 3 7" xfId="31603" xr:uid="{00000000-0005-0000-0000-0000777B0000}"/>
    <cellStyle name="Normal 7 3 7 2" xfId="31604" xr:uid="{00000000-0005-0000-0000-0000787B0000}"/>
    <cellStyle name="Normal 7 3 7 3" xfId="31605" xr:uid="{00000000-0005-0000-0000-0000797B0000}"/>
    <cellStyle name="Normal 7 3 7 4" xfId="31606" xr:uid="{00000000-0005-0000-0000-00007A7B0000}"/>
    <cellStyle name="Normal 7 3 7 5" xfId="31607" xr:uid="{00000000-0005-0000-0000-00007B7B0000}"/>
    <cellStyle name="Normal 7 3 7 6" xfId="31608" xr:uid="{00000000-0005-0000-0000-00007C7B0000}"/>
    <cellStyle name="Normal 7 3 8" xfId="31609" xr:uid="{00000000-0005-0000-0000-00007D7B0000}"/>
    <cellStyle name="Normal 7 3 8 2" xfId="31610" xr:uid="{00000000-0005-0000-0000-00007E7B0000}"/>
    <cellStyle name="Normal 7 3 8 3" xfId="31611" xr:uid="{00000000-0005-0000-0000-00007F7B0000}"/>
    <cellStyle name="Normal 7 3 8 4" xfId="31612" xr:uid="{00000000-0005-0000-0000-0000807B0000}"/>
    <cellStyle name="Normal 7 3 8 5" xfId="31613" xr:uid="{00000000-0005-0000-0000-0000817B0000}"/>
    <cellStyle name="Normal 7 3 8 6" xfId="31614" xr:uid="{00000000-0005-0000-0000-0000827B0000}"/>
    <cellStyle name="Normal 7 3 9" xfId="31615" xr:uid="{00000000-0005-0000-0000-0000837B0000}"/>
    <cellStyle name="Normal 7 3 9 2" xfId="31616" xr:uid="{00000000-0005-0000-0000-0000847B0000}"/>
    <cellStyle name="Normal 7 3 9 3" xfId="31617" xr:uid="{00000000-0005-0000-0000-0000857B0000}"/>
    <cellStyle name="Normal 7 3 9 4" xfId="31618" xr:uid="{00000000-0005-0000-0000-0000867B0000}"/>
    <cellStyle name="Normal 7 3 9 5" xfId="31619" xr:uid="{00000000-0005-0000-0000-0000877B0000}"/>
    <cellStyle name="Normal 7 3 9 6" xfId="31620" xr:uid="{00000000-0005-0000-0000-0000887B0000}"/>
    <cellStyle name="Normal 7 30" xfId="31621" xr:uid="{00000000-0005-0000-0000-0000897B0000}"/>
    <cellStyle name="Normal 7 31" xfId="31622" xr:uid="{00000000-0005-0000-0000-00008A7B0000}"/>
    <cellStyle name="Normal 7 32" xfId="31623" xr:uid="{00000000-0005-0000-0000-00008B7B0000}"/>
    <cellStyle name="Normal 7 33" xfId="31624" xr:uid="{00000000-0005-0000-0000-00008C7B0000}"/>
    <cellStyle name="Normal 7 34" xfId="31625" xr:uid="{00000000-0005-0000-0000-00008D7B0000}"/>
    <cellStyle name="Normal 7 4" xfId="31626" xr:uid="{00000000-0005-0000-0000-00008E7B0000}"/>
    <cellStyle name="Normal 7 5" xfId="31627" xr:uid="{00000000-0005-0000-0000-00008F7B0000}"/>
    <cellStyle name="Normal 7 6" xfId="31628" xr:uid="{00000000-0005-0000-0000-0000907B0000}"/>
    <cellStyle name="Normal 7 7" xfId="31629" xr:uid="{00000000-0005-0000-0000-0000917B0000}"/>
    <cellStyle name="Normal 7 8" xfId="31630" xr:uid="{00000000-0005-0000-0000-0000927B0000}"/>
    <cellStyle name="Normal 7 9" xfId="31631" xr:uid="{00000000-0005-0000-0000-0000937B0000}"/>
    <cellStyle name="Normal 70" xfId="31632" xr:uid="{00000000-0005-0000-0000-0000947B0000}"/>
    <cellStyle name="Normal 70 10" xfId="31633" xr:uid="{00000000-0005-0000-0000-0000957B0000}"/>
    <cellStyle name="Normal 70 11" xfId="31634" xr:uid="{00000000-0005-0000-0000-0000967B0000}"/>
    <cellStyle name="Normal 70 12" xfId="31635" xr:uid="{00000000-0005-0000-0000-0000977B0000}"/>
    <cellStyle name="Normal 70 13" xfId="31636" xr:uid="{00000000-0005-0000-0000-0000987B0000}"/>
    <cellStyle name="Normal 70 14" xfId="31637" xr:uid="{00000000-0005-0000-0000-0000997B0000}"/>
    <cellStyle name="Normal 70 15" xfId="31638" xr:uid="{00000000-0005-0000-0000-00009A7B0000}"/>
    <cellStyle name="Normal 70 16" xfId="31639" xr:uid="{00000000-0005-0000-0000-00009B7B0000}"/>
    <cellStyle name="Normal 70 17" xfId="31640" xr:uid="{00000000-0005-0000-0000-00009C7B0000}"/>
    <cellStyle name="Normal 70 18" xfId="31641" xr:uid="{00000000-0005-0000-0000-00009D7B0000}"/>
    <cellStyle name="Normal 70 19" xfId="31642" xr:uid="{00000000-0005-0000-0000-00009E7B0000}"/>
    <cellStyle name="Normal 70 2" xfId="31643" xr:uid="{00000000-0005-0000-0000-00009F7B0000}"/>
    <cellStyle name="Normal 70 2 2" xfId="31644" xr:uid="{00000000-0005-0000-0000-0000A07B0000}"/>
    <cellStyle name="Normal 70 2 3" xfId="31645" xr:uid="{00000000-0005-0000-0000-0000A17B0000}"/>
    <cellStyle name="Normal 70 2 4" xfId="31646" xr:uid="{00000000-0005-0000-0000-0000A27B0000}"/>
    <cellStyle name="Normal 70 2 5" xfId="31647" xr:uid="{00000000-0005-0000-0000-0000A37B0000}"/>
    <cellStyle name="Normal 70 2 6" xfId="31648" xr:uid="{00000000-0005-0000-0000-0000A47B0000}"/>
    <cellStyle name="Normal 70 20" xfId="31649" xr:uid="{00000000-0005-0000-0000-0000A57B0000}"/>
    <cellStyle name="Normal 70 21" xfId="31650" xr:uid="{00000000-0005-0000-0000-0000A67B0000}"/>
    <cellStyle name="Normal 70 22" xfId="31651" xr:uid="{00000000-0005-0000-0000-0000A77B0000}"/>
    <cellStyle name="Normal 70 23" xfId="31652" xr:uid="{00000000-0005-0000-0000-0000A87B0000}"/>
    <cellStyle name="Normal 70 24" xfId="31653" xr:uid="{00000000-0005-0000-0000-0000A97B0000}"/>
    <cellStyle name="Normal 70 3" xfId="31654" xr:uid="{00000000-0005-0000-0000-0000AA7B0000}"/>
    <cellStyle name="Normal 70 4" xfId="31655" xr:uid="{00000000-0005-0000-0000-0000AB7B0000}"/>
    <cellStyle name="Normal 70 5" xfId="31656" xr:uid="{00000000-0005-0000-0000-0000AC7B0000}"/>
    <cellStyle name="Normal 70 6" xfId="31657" xr:uid="{00000000-0005-0000-0000-0000AD7B0000}"/>
    <cellStyle name="Normal 70 7" xfId="31658" xr:uid="{00000000-0005-0000-0000-0000AE7B0000}"/>
    <cellStyle name="Normal 70 8" xfId="31659" xr:uid="{00000000-0005-0000-0000-0000AF7B0000}"/>
    <cellStyle name="Normal 70 9" xfId="31660" xr:uid="{00000000-0005-0000-0000-0000B07B0000}"/>
    <cellStyle name="Normal 71" xfId="31661" xr:uid="{00000000-0005-0000-0000-0000B17B0000}"/>
    <cellStyle name="Normal 71 10" xfId="31662" xr:uid="{00000000-0005-0000-0000-0000B27B0000}"/>
    <cellStyle name="Normal 71 11" xfId="31663" xr:uid="{00000000-0005-0000-0000-0000B37B0000}"/>
    <cellStyle name="Normal 71 12" xfId="31664" xr:uid="{00000000-0005-0000-0000-0000B47B0000}"/>
    <cellStyle name="Normal 71 13" xfId="31665" xr:uid="{00000000-0005-0000-0000-0000B57B0000}"/>
    <cellStyle name="Normal 71 14" xfId="31666" xr:uid="{00000000-0005-0000-0000-0000B67B0000}"/>
    <cellStyle name="Normal 71 15" xfId="31667" xr:uid="{00000000-0005-0000-0000-0000B77B0000}"/>
    <cellStyle name="Normal 71 16" xfId="31668" xr:uid="{00000000-0005-0000-0000-0000B87B0000}"/>
    <cellStyle name="Normal 71 17" xfId="31669" xr:uid="{00000000-0005-0000-0000-0000B97B0000}"/>
    <cellStyle name="Normal 71 18" xfId="31670" xr:uid="{00000000-0005-0000-0000-0000BA7B0000}"/>
    <cellStyle name="Normal 71 19" xfId="31671" xr:uid="{00000000-0005-0000-0000-0000BB7B0000}"/>
    <cellStyle name="Normal 71 2" xfId="31672" xr:uid="{00000000-0005-0000-0000-0000BC7B0000}"/>
    <cellStyle name="Normal 71 2 2" xfId="31673" xr:uid="{00000000-0005-0000-0000-0000BD7B0000}"/>
    <cellStyle name="Normal 71 2 3" xfId="31674" xr:uid="{00000000-0005-0000-0000-0000BE7B0000}"/>
    <cellStyle name="Normal 71 2 4" xfId="31675" xr:uid="{00000000-0005-0000-0000-0000BF7B0000}"/>
    <cellStyle name="Normal 71 2 5" xfId="31676" xr:uid="{00000000-0005-0000-0000-0000C07B0000}"/>
    <cellStyle name="Normal 71 2 6" xfId="31677" xr:uid="{00000000-0005-0000-0000-0000C17B0000}"/>
    <cellStyle name="Normal 71 20" xfId="31678" xr:uid="{00000000-0005-0000-0000-0000C27B0000}"/>
    <cellStyle name="Normal 71 21" xfId="31679" xr:uid="{00000000-0005-0000-0000-0000C37B0000}"/>
    <cellStyle name="Normal 71 22" xfId="31680" xr:uid="{00000000-0005-0000-0000-0000C47B0000}"/>
    <cellStyle name="Normal 71 23" xfId="31681" xr:uid="{00000000-0005-0000-0000-0000C57B0000}"/>
    <cellStyle name="Normal 71 3" xfId="31682" xr:uid="{00000000-0005-0000-0000-0000C67B0000}"/>
    <cellStyle name="Normal 71 4" xfId="31683" xr:uid="{00000000-0005-0000-0000-0000C77B0000}"/>
    <cellStyle name="Normal 71 5" xfId="31684" xr:uid="{00000000-0005-0000-0000-0000C87B0000}"/>
    <cellStyle name="Normal 71 6" xfId="31685" xr:uid="{00000000-0005-0000-0000-0000C97B0000}"/>
    <cellStyle name="Normal 71 7" xfId="31686" xr:uid="{00000000-0005-0000-0000-0000CA7B0000}"/>
    <cellStyle name="Normal 71 8" xfId="31687" xr:uid="{00000000-0005-0000-0000-0000CB7B0000}"/>
    <cellStyle name="Normal 71 9" xfId="31688" xr:uid="{00000000-0005-0000-0000-0000CC7B0000}"/>
    <cellStyle name="Normal 72" xfId="31689" xr:uid="{00000000-0005-0000-0000-0000CD7B0000}"/>
    <cellStyle name="Normal 72 2" xfId="31690" xr:uid="{00000000-0005-0000-0000-0000CE7B0000}"/>
    <cellStyle name="Normal 72 3" xfId="31691" xr:uid="{00000000-0005-0000-0000-0000CF7B0000}"/>
    <cellStyle name="Normal 72 4" xfId="31692" xr:uid="{00000000-0005-0000-0000-0000D07B0000}"/>
    <cellStyle name="Normal 72 5" xfId="31693" xr:uid="{00000000-0005-0000-0000-0000D17B0000}"/>
    <cellStyle name="Normal 72 6" xfId="31694" xr:uid="{00000000-0005-0000-0000-0000D27B0000}"/>
    <cellStyle name="Normal 73" xfId="31695" xr:uid="{00000000-0005-0000-0000-0000D37B0000}"/>
    <cellStyle name="Normal 73 2" xfId="31696" xr:uid="{00000000-0005-0000-0000-0000D47B0000}"/>
    <cellStyle name="Normal 73 3" xfId="31697" xr:uid="{00000000-0005-0000-0000-0000D57B0000}"/>
    <cellStyle name="Normal 73 4" xfId="31698" xr:uid="{00000000-0005-0000-0000-0000D67B0000}"/>
    <cellStyle name="Normal 73 5" xfId="31699" xr:uid="{00000000-0005-0000-0000-0000D77B0000}"/>
    <cellStyle name="Normal 73 6" xfId="31700" xr:uid="{00000000-0005-0000-0000-0000D87B0000}"/>
    <cellStyle name="Normal 74" xfId="31701" xr:uid="{00000000-0005-0000-0000-0000D97B0000}"/>
    <cellStyle name="Normal 74 2" xfId="31702" xr:uid="{00000000-0005-0000-0000-0000DA7B0000}"/>
    <cellStyle name="Normal 74 3" xfId="31703" xr:uid="{00000000-0005-0000-0000-0000DB7B0000}"/>
    <cellStyle name="Normal 74 4" xfId="31704" xr:uid="{00000000-0005-0000-0000-0000DC7B0000}"/>
    <cellStyle name="Normal 74 5" xfId="31705" xr:uid="{00000000-0005-0000-0000-0000DD7B0000}"/>
    <cellStyle name="Normal 74 6" xfId="31706" xr:uid="{00000000-0005-0000-0000-0000DE7B0000}"/>
    <cellStyle name="Normal 75" xfId="31707" xr:uid="{00000000-0005-0000-0000-0000DF7B0000}"/>
    <cellStyle name="Normal 75 2" xfId="31708" xr:uid="{00000000-0005-0000-0000-0000E07B0000}"/>
    <cellStyle name="Normal 75 3" xfId="31709" xr:uid="{00000000-0005-0000-0000-0000E17B0000}"/>
    <cellStyle name="Normal 75 4" xfId="31710" xr:uid="{00000000-0005-0000-0000-0000E27B0000}"/>
    <cellStyle name="Normal 75 5" xfId="31711" xr:uid="{00000000-0005-0000-0000-0000E37B0000}"/>
    <cellStyle name="Normal 75 6" xfId="31712" xr:uid="{00000000-0005-0000-0000-0000E47B0000}"/>
    <cellStyle name="Normal 76" xfId="31713" xr:uid="{00000000-0005-0000-0000-0000E57B0000}"/>
    <cellStyle name="Normal 76 2" xfId="31714" xr:uid="{00000000-0005-0000-0000-0000E67B0000}"/>
    <cellStyle name="Normal 76 3" xfId="31715" xr:uid="{00000000-0005-0000-0000-0000E77B0000}"/>
    <cellStyle name="Normal 76 4" xfId="31716" xr:uid="{00000000-0005-0000-0000-0000E87B0000}"/>
    <cellStyle name="Normal 76 5" xfId="31717" xr:uid="{00000000-0005-0000-0000-0000E97B0000}"/>
    <cellStyle name="Normal 76 6" xfId="31718" xr:uid="{00000000-0005-0000-0000-0000EA7B0000}"/>
    <cellStyle name="Normal 77" xfId="31719" xr:uid="{00000000-0005-0000-0000-0000EB7B0000}"/>
    <cellStyle name="Normal 77 2" xfId="31720" xr:uid="{00000000-0005-0000-0000-0000EC7B0000}"/>
    <cellStyle name="Normal 77 3" xfId="31721" xr:uid="{00000000-0005-0000-0000-0000ED7B0000}"/>
    <cellStyle name="Normal 77 4" xfId="31722" xr:uid="{00000000-0005-0000-0000-0000EE7B0000}"/>
    <cellStyle name="Normal 77 5" xfId="31723" xr:uid="{00000000-0005-0000-0000-0000EF7B0000}"/>
    <cellStyle name="Normal 77 6" xfId="31724" xr:uid="{00000000-0005-0000-0000-0000F07B0000}"/>
    <cellStyle name="Normal 78" xfId="31725" xr:uid="{00000000-0005-0000-0000-0000F17B0000}"/>
    <cellStyle name="Normal 78 10" xfId="31726" xr:uid="{00000000-0005-0000-0000-0000F27B0000}"/>
    <cellStyle name="Normal 78 11" xfId="31727" xr:uid="{00000000-0005-0000-0000-0000F37B0000}"/>
    <cellStyle name="Normal 78 12" xfId="31728" xr:uid="{00000000-0005-0000-0000-0000F47B0000}"/>
    <cellStyle name="Normal 78 13" xfId="31729" xr:uid="{00000000-0005-0000-0000-0000F57B0000}"/>
    <cellStyle name="Normal 78 14" xfId="31730" xr:uid="{00000000-0005-0000-0000-0000F67B0000}"/>
    <cellStyle name="Normal 78 15" xfId="31731" xr:uid="{00000000-0005-0000-0000-0000F77B0000}"/>
    <cellStyle name="Normal 78 16" xfId="31732" xr:uid="{00000000-0005-0000-0000-0000F87B0000}"/>
    <cellStyle name="Normal 78 17" xfId="31733" xr:uid="{00000000-0005-0000-0000-0000F97B0000}"/>
    <cellStyle name="Normal 78 18" xfId="31734" xr:uid="{00000000-0005-0000-0000-0000FA7B0000}"/>
    <cellStyle name="Normal 78 19" xfId="31735" xr:uid="{00000000-0005-0000-0000-0000FB7B0000}"/>
    <cellStyle name="Normal 78 2" xfId="31736" xr:uid="{00000000-0005-0000-0000-0000FC7B0000}"/>
    <cellStyle name="Normal 78 2 2" xfId="31737" xr:uid="{00000000-0005-0000-0000-0000FD7B0000}"/>
    <cellStyle name="Normal 78 2 3" xfId="31738" xr:uid="{00000000-0005-0000-0000-0000FE7B0000}"/>
    <cellStyle name="Normal 78 2 4" xfId="31739" xr:uid="{00000000-0005-0000-0000-0000FF7B0000}"/>
    <cellStyle name="Normal 78 2 5" xfId="31740" xr:uid="{00000000-0005-0000-0000-0000007C0000}"/>
    <cellStyle name="Normal 78 2 6" xfId="31741" xr:uid="{00000000-0005-0000-0000-0000017C0000}"/>
    <cellStyle name="Normal 78 20" xfId="31742" xr:uid="{00000000-0005-0000-0000-0000027C0000}"/>
    <cellStyle name="Normal 78 3" xfId="31743" xr:uid="{00000000-0005-0000-0000-0000037C0000}"/>
    <cellStyle name="Normal 78 4" xfId="31744" xr:uid="{00000000-0005-0000-0000-0000047C0000}"/>
    <cellStyle name="Normal 78 5" xfId="31745" xr:uid="{00000000-0005-0000-0000-0000057C0000}"/>
    <cellStyle name="Normal 78 6" xfId="31746" xr:uid="{00000000-0005-0000-0000-0000067C0000}"/>
    <cellStyle name="Normal 78 7" xfId="31747" xr:uid="{00000000-0005-0000-0000-0000077C0000}"/>
    <cellStyle name="Normal 78 8" xfId="31748" xr:uid="{00000000-0005-0000-0000-0000087C0000}"/>
    <cellStyle name="Normal 78 9" xfId="31749" xr:uid="{00000000-0005-0000-0000-0000097C0000}"/>
    <cellStyle name="Normal 79" xfId="31750" xr:uid="{00000000-0005-0000-0000-00000A7C0000}"/>
    <cellStyle name="Normal 79 10" xfId="31751" xr:uid="{00000000-0005-0000-0000-00000B7C0000}"/>
    <cellStyle name="Normal 79 11" xfId="31752" xr:uid="{00000000-0005-0000-0000-00000C7C0000}"/>
    <cellStyle name="Normal 79 12" xfId="31753" xr:uid="{00000000-0005-0000-0000-00000D7C0000}"/>
    <cellStyle name="Normal 79 13" xfId="31754" xr:uid="{00000000-0005-0000-0000-00000E7C0000}"/>
    <cellStyle name="Normal 79 14" xfId="31755" xr:uid="{00000000-0005-0000-0000-00000F7C0000}"/>
    <cellStyle name="Normal 79 15" xfId="31756" xr:uid="{00000000-0005-0000-0000-0000107C0000}"/>
    <cellStyle name="Normal 79 16" xfId="31757" xr:uid="{00000000-0005-0000-0000-0000117C0000}"/>
    <cellStyle name="Normal 79 17" xfId="31758" xr:uid="{00000000-0005-0000-0000-0000127C0000}"/>
    <cellStyle name="Normal 79 18" xfId="31759" xr:uid="{00000000-0005-0000-0000-0000137C0000}"/>
    <cellStyle name="Normal 79 19" xfId="31760" xr:uid="{00000000-0005-0000-0000-0000147C0000}"/>
    <cellStyle name="Normal 79 2" xfId="31761" xr:uid="{00000000-0005-0000-0000-0000157C0000}"/>
    <cellStyle name="Normal 79 2 2" xfId="31762" xr:uid="{00000000-0005-0000-0000-0000167C0000}"/>
    <cellStyle name="Normal 79 2 3" xfId="31763" xr:uid="{00000000-0005-0000-0000-0000177C0000}"/>
    <cellStyle name="Normal 79 2 4" xfId="31764" xr:uid="{00000000-0005-0000-0000-0000187C0000}"/>
    <cellStyle name="Normal 79 2 5" xfId="31765" xr:uid="{00000000-0005-0000-0000-0000197C0000}"/>
    <cellStyle name="Normal 79 2 6" xfId="31766" xr:uid="{00000000-0005-0000-0000-00001A7C0000}"/>
    <cellStyle name="Normal 79 20" xfId="31767" xr:uid="{00000000-0005-0000-0000-00001B7C0000}"/>
    <cellStyle name="Normal 79 3" xfId="31768" xr:uid="{00000000-0005-0000-0000-00001C7C0000}"/>
    <cellStyle name="Normal 79 4" xfId="31769" xr:uid="{00000000-0005-0000-0000-00001D7C0000}"/>
    <cellStyle name="Normal 79 5" xfId="31770" xr:uid="{00000000-0005-0000-0000-00001E7C0000}"/>
    <cellStyle name="Normal 79 6" xfId="31771" xr:uid="{00000000-0005-0000-0000-00001F7C0000}"/>
    <cellStyle name="Normal 79 7" xfId="31772" xr:uid="{00000000-0005-0000-0000-0000207C0000}"/>
    <cellStyle name="Normal 79 8" xfId="31773" xr:uid="{00000000-0005-0000-0000-0000217C0000}"/>
    <cellStyle name="Normal 79 9" xfId="31774" xr:uid="{00000000-0005-0000-0000-0000227C0000}"/>
    <cellStyle name="Normal 8" xfId="31775" xr:uid="{00000000-0005-0000-0000-0000237C0000}"/>
    <cellStyle name="Normal 8 10" xfId="31776" xr:uid="{00000000-0005-0000-0000-0000247C0000}"/>
    <cellStyle name="Normal 8 11" xfId="31777" xr:uid="{00000000-0005-0000-0000-0000257C0000}"/>
    <cellStyle name="Normal 8 12" xfId="31778" xr:uid="{00000000-0005-0000-0000-0000267C0000}"/>
    <cellStyle name="Normal 8 13" xfId="31779" xr:uid="{00000000-0005-0000-0000-0000277C0000}"/>
    <cellStyle name="Normal 8 14" xfId="31780" xr:uid="{00000000-0005-0000-0000-0000287C0000}"/>
    <cellStyle name="Normal 8 15" xfId="31781" xr:uid="{00000000-0005-0000-0000-0000297C0000}"/>
    <cellStyle name="Normal 8 16" xfId="31782" xr:uid="{00000000-0005-0000-0000-00002A7C0000}"/>
    <cellStyle name="Normal 8 17" xfId="31783" xr:uid="{00000000-0005-0000-0000-00002B7C0000}"/>
    <cellStyle name="Normal 8 18" xfId="31784" xr:uid="{00000000-0005-0000-0000-00002C7C0000}"/>
    <cellStyle name="Normal 8 2" xfId="31785" xr:uid="{00000000-0005-0000-0000-00002D7C0000}"/>
    <cellStyle name="Normal 8 2 10" xfId="31786" xr:uid="{00000000-0005-0000-0000-00002E7C0000}"/>
    <cellStyle name="Normal 8 2 11" xfId="31787" xr:uid="{00000000-0005-0000-0000-00002F7C0000}"/>
    <cellStyle name="Normal 8 2 12" xfId="31788" xr:uid="{00000000-0005-0000-0000-0000307C0000}"/>
    <cellStyle name="Normal 8 2 13" xfId="31789" xr:uid="{00000000-0005-0000-0000-0000317C0000}"/>
    <cellStyle name="Normal 8 2 14" xfId="31790" xr:uid="{00000000-0005-0000-0000-0000327C0000}"/>
    <cellStyle name="Normal 8 2 15" xfId="31791" xr:uid="{00000000-0005-0000-0000-0000337C0000}"/>
    <cellStyle name="Normal 8 2 16" xfId="31792" xr:uid="{00000000-0005-0000-0000-0000347C0000}"/>
    <cellStyle name="Normal 8 2 17" xfId="31793" xr:uid="{00000000-0005-0000-0000-0000357C0000}"/>
    <cellStyle name="Normal 8 2 18" xfId="31794" xr:uid="{00000000-0005-0000-0000-0000367C0000}"/>
    <cellStyle name="Normal 8 2 19" xfId="31795" xr:uid="{00000000-0005-0000-0000-0000377C0000}"/>
    <cellStyle name="Normal 8 2 2" xfId="31796" xr:uid="{00000000-0005-0000-0000-0000387C0000}"/>
    <cellStyle name="Normal 8 2 2 2" xfId="31797" xr:uid="{00000000-0005-0000-0000-0000397C0000}"/>
    <cellStyle name="Normal 8 2 2 2 10" xfId="31798" xr:uid="{00000000-0005-0000-0000-00003A7C0000}"/>
    <cellStyle name="Normal 8 2 2 2 10 2" xfId="31799" xr:uid="{00000000-0005-0000-0000-00003B7C0000}"/>
    <cellStyle name="Normal 8 2 2 2 10 3" xfId="31800" xr:uid="{00000000-0005-0000-0000-00003C7C0000}"/>
    <cellStyle name="Normal 8 2 2 2 10 4" xfId="31801" xr:uid="{00000000-0005-0000-0000-00003D7C0000}"/>
    <cellStyle name="Normal 8 2 2 2 10 5" xfId="31802" xr:uid="{00000000-0005-0000-0000-00003E7C0000}"/>
    <cellStyle name="Normal 8 2 2 2 10 6" xfId="31803" xr:uid="{00000000-0005-0000-0000-00003F7C0000}"/>
    <cellStyle name="Normal 8 2 2 2 11" xfId="31804" xr:uid="{00000000-0005-0000-0000-0000407C0000}"/>
    <cellStyle name="Normal 8 2 2 2 11 2" xfId="31805" xr:uid="{00000000-0005-0000-0000-0000417C0000}"/>
    <cellStyle name="Normal 8 2 2 2 11 3" xfId="31806" xr:uid="{00000000-0005-0000-0000-0000427C0000}"/>
    <cellStyle name="Normal 8 2 2 2 11 4" xfId="31807" xr:uid="{00000000-0005-0000-0000-0000437C0000}"/>
    <cellStyle name="Normal 8 2 2 2 11 5" xfId="31808" xr:uid="{00000000-0005-0000-0000-0000447C0000}"/>
    <cellStyle name="Normal 8 2 2 2 11 6" xfId="31809" xr:uid="{00000000-0005-0000-0000-0000457C0000}"/>
    <cellStyle name="Normal 8 2 2 2 12" xfId="31810" xr:uid="{00000000-0005-0000-0000-0000467C0000}"/>
    <cellStyle name="Normal 8 2 2 2 13" xfId="31811" xr:uid="{00000000-0005-0000-0000-0000477C0000}"/>
    <cellStyle name="Normal 8 2 2 2 14" xfId="31812" xr:uid="{00000000-0005-0000-0000-0000487C0000}"/>
    <cellStyle name="Normal 8 2 2 2 15" xfId="31813" xr:uid="{00000000-0005-0000-0000-0000497C0000}"/>
    <cellStyle name="Normal 8 2 2 2 16" xfId="31814" xr:uid="{00000000-0005-0000-0000-00004A7C0000}"/>
    <cellStyle name="Normal 8 2 2 2 17" xfId="31815" xr:uid="{00000000-0005-0000-0000-00004B7C0000}"/>
    <cellStyle name="Normal 8 2 2 2 18" xfId="31816" xr:uid="{00000000-0005-0000-0000-00004C7C0000}"/>
    <cellStyle name="Normal 8 2 2 2 19" xfId="31817" xr:uid="{00000000-0005-0000-0000-00004D7C0000}"/>
    <cellStyle name="Normal 8 2 2 2 2" xfId="31818" xr:uid="{00000000-0005-0000-0000-00004E7C0000}"/>
    <cellStyle name="Normal 8 2 2 2 2 10" xfId="31819" xr:uid="{00000000-0005-0000-0000-00004F7C0000}"/>
    <cellStyle name="Normal 8 2 2 2 2 10 2" xfId="31820" xr:uid="{00000000-0005-0000-0000-0000507C0000}"/>
    <cellStyle name="Normal 8 2 2 2 2 10 3" xfId="31821" xr:uid="{00000000-0005-0000-0000-0000517C0000}"/>
    <cellStyle name="Normal 8 2 2 2 2 10 4" xfId="31822" xr:uid="{00000000-0005-0000-0000-0000527C0000}"/>
    <cellStyle name="Normal 8 2 2 2 2 10 5" xfId="31823" xr:uid="{00000000-0005-0000-0000-0000537C0000}"/>
    <cellStyle name="Normal 8 2 2 2 2 10 6" xfId="31824" xr:uid="{00000000-0005-0000-0000-0000547C0000}"/>
    <cellStyle name="Normal 8 2 2 2 2 11" xfId="31825" xr:uid="{00000000-0005-0000-0000-0000557C0000}"/>
    <cellStyle name="Normal 8 2 2 2 2 12" xfId="31826" xr:uid="{00000000-0005-0000-0000-0000567C0000}"/>
    <cellStyle name="Normal 8 2 2 2 2 13" xfId="31827" xr:uid="{00000000-0005-0000-0000-0000577C0000}"/>
    <cellStyle name="Normal 8 2 2 2 2 14" xfId="31828" xr:uid="{00000000-0005-0000-0000-0000587C0000}"/>
    <cellStyle name="Normal 8 2 2 2 2 15" xfId="31829" xr:uid="{00000000-0005-0000-0000-0000597C0000}"/>
    <cellStyle name="Normal 8 2 2 2 2 2" xfId="31830" xr:uid="{00000000-0005-0000-0000-00005A7C0000}"/>
    <cellStyle name="Normal 8 2 2 2 2 2 10" xfId="31831" xr:uid="{00000000-0005-0000-0000-00005B7C0000}"/>
    <cellStyle name="Normal 8 2 2 2 2 2 11" xfId="31832" xr:uid="{00000000-0005-0000-0000-00005C7C0000}"/>
    <cellStyle name="Normal 8 2 2 2 2 2 12" xfId="31833" xr:uid="{00000000-0005-0000-0000-00005D7C0000}"/>
    <cellStyle name="Normal 8 2 2 2 2 2 13" xfId="31834" xr:uid="{00000000-0005-0000-0000-00005E7C0000}"/>
    <cellStyle name="Normal 8 2 2 2 2 2 14" xfId="31835" xr:uid="{00000000-0005-0000-0000-00005F7C0000}"/>
    <cellStyle name="Normal 8 2 2 2 2 2 2" xfId="31836" xr:uid="{00000000-0005-0000-0000-0000607C0000}"/>
    <cellStyle name="Normal 8 2 2 2 2 2 2 2" xfId="31837" xr:uid="{00000000-0005-0000-0000-0000617C0000}"/>
    <cellStyle name="Normal 8 2 2 2 2 2 2 3" xfId="31838" xr:uid="{00000000-0005-0000-0000-0000627C0000}"/>
    <cellStyle name="Normal 8 2 2 2 2 2 2 4" xfId="31839" xr:uid="{00000000-0005-0000-0000-0000637C0000}"/>
    <cellStyle name="Normal 8 2 2 2 2 2 2 5" xfId="31840" xr:uid="{00000000-0005-0000-0000-0000647C0000}"/>
    <cellStyle name="Normal 8 2 2 2 2 2 2 6" xfId="31841" xr:uid="{00000000-0005-0000-0000-0000657C0000}"/>
    <cellStyle name="Normal 8 2 2 2 2 2 3" xfId="31842" xr:uid="{00000000-0005-0000-0000-0000667C0000}"/>
    <cellStyle name="Normal 8 2 2 2 2 2 3 2" xfId="31843" xr:uid="{00000000-0005-0000-0000-0000677C0000}"/>
    <cellStyle name="Normal 8 2 2 2 2 2 3 3" xfId="31844" xr:uid="{00000000-0005-0000-0000-0000687C0000}"/>
    <cellStyle name="Normal 8 2 2 2 2 2 3 4" xfId="31845" xr:uid="{00000000-0005-0000-0000-0000697C0000}"/>
    <cellStyle name="Normal 8 2 2 2 2 2 3 5" xfId="31846" xr:uid="{00000000-0005-0000-0000-00006A7C0000}"/>
    <cellStyle name="Normal 8 2 2 2 2 2 3 6" xfId="31847" xr:uid="{00000000-0005-0000-0000-00006B7C0000}"/>
    <cellStyle name="Normal 8 2 2 2 2 2 4" xfId="31848" xr:uid="{00000000-0005-0000-0000-00006C7C0000}"/>
    <cellStyle name="Normal 8 2 2 2 2 2 4 2" xfId="31849" xr:uid="{00000000-0005-0000-0000-00006D7C0000}"/>
    <cellStyle name="Normal 8 2 2 2 2 2 4 3" xfId="31850" xr:uid="{00000000-0005-0000-0000-00006E7C0000}"/>
    <cellStyle name="Normal 8 2 2 2 2 2 4 4" xfId="31851" xr:uid="{00000000-0005-0000-0000-00006F7C0000}"/>
    <cellStyle name="Normal 8 2 2 2 2 2 4 5" xfId="31852" xr:uid="{00000000-0005-0000-0000-0000707C0000}"/>
    <cellStyle name="Normal 8 2 2 2 2 2 4 6" xfId="31853" xr:uid="{00000000-0005-0000-0000-0000717C0000}"/>
    <cellStyle name="Normal 8 2 2 2 2 2 5" xfId="31854" xr:uid="{00000000-0005-0000-0000-0000727C0000}"/>
    <cellStyle name="Normal 8 2 2 2 2 2 5 2" xfId="31855" xr:uid="{00000000-0005-0000-0000-0000737C0000}"/>
    <cellStyle name="Normal 8 2 2 2 2 2 5 3" xfId="31856" xr:uid="{00000000-0005-0000-0000-0000747C0000}"/>
    <cellStyle name="Normal 8 2 2 2 2 2 5 4" xfId="31857" xr:uid="{00000000-0005-0000-0000-0000757C0000}"/>
    <cellStyle name="Normal 8 2 2 2 2 2 5 5" xfId="31858" xr:uid="{00000000-0005-0000-0000-0000767C0000}"/>
    <cellStyle name="Normal 8 2 2 2 2 2 5 6" xfId="31859" xr:uid="{00000000-0005-0000-0000-0000777C0000}"/>
    <cellStyle name="Normal 8 2 2 2 2 2 6" xfId="31860" xr:uid="{00000000-0005-0000-0000-0000787C0000}"/>
    <cellStyle name="Normal 8 2 2 2 2 2 6 2" xfId="31861" xr:uid="{00000000-0005-0000-0000-0000797C0000}"/>
    <cellStyle name="Normal 8 2 2 2 2 2 6 3" xfId="31862" xr:uid="{00000000-0005-0000-0000-00007A7C0000}"/>
    <cellStyle name="Normal 8 2 2 2 2 2 6 4" xfId="31863" xr:uid="{00000000-0005-0000-0000-00007B7C0000}"/>
    <cellStyle name="Normal 8 2 2 2 2 2 6 5" xfId="31864" xr:uid="{00000000-0005-0000-0000-00007C7C0000}"/>
    <cellStyle name="Normal 8 2 2 2 2 2 6 6" xfId="31865" xr:uid="{00000000-0005-0000-0000-00007D7C0000}"/>
    <cellStyle name="Normal 8 2 2 2 2 2 7" xfId="31866" xr:uid="{00000000-0005-0000-0000-00007E7C0000}"/>
    <cellStyle name="Normal 8 2 2 2 2 2 7 2" xfId="31867" xr:uid="{00000000-0005-0000-0000-00007F7C0000}"/>
    <cellStyle name="Normal 8 2 2 2 2 2 7 3" xfId="31868" xr:uid="{00000000-0005-0000-0000-0000807C0000}"/>
    <cellStyle name="Normal 8 2 2 2 2 2 7 4" xfId="31869" xr:uid="{00000000-0005-0000-0000-0000817C0000}"/>
    <cellStyle name="Normal 8 2 2 2 2 2 7 5" xfId="31870" xr:uid="{00000000-0005-0000-0000-0000827C0000}"/>
    <cellStyle name="Normal 8 2 2 2 2 2 7 6" xfId="31871" xr:uid="{00000000-0005-0000-0000-0000837C0000}"/>
    <cellStyle name="Normal 8 2 2 2 2 2 8" xfId="31872" xr:uid="{00000000-0005-0000-0000-0000847C0000}"/>
    <cellStyle name="Normal 8 2 2 2 2 2 8 2" xfId="31873" xr:uid="{00000000-0005-0000-0000-0000857C0000}"/>
    <cellStyle name="Normal 8 2 2 2 2 2 8 3" xfId="31874" xr:uid="{00000000-0005-0000-0000-0000867C0000}"/>
    <cellStyle name="Normal 8 2 2 2 2 2 8 4" xfId="31875" xr:uid="{00000000-0005-0000-0000-0000877C0000}"/>
    <cellStyle name="Normal 8 2 2 2 2 2 8 5" xfId="31876" xr:uid="{00000000-0005-0000-0000-0000887C0000}"/>
    <cellStyle name="Normal 8 2 2 2 2 2 8 6" xfId="31877" xr:uid="{00000000-0005-0000-0000-0000897C0000}"/>
    <cellStyle name="Normal 8 2 2 2 2 2 9" xfId="31878" xr:uid="{00000000-0005-0000-0000-00008A7C0000}"/>
    <cellStyle name="Normal 8 2 2 2 2 2 9 2" xfId="31879" xr:uid="{00000000-0005-0000-0000-00008B7C0000}"/>
    <cellStyle name="Normal 8 2 2 2 2 2 9 3" xfId="31880" xr:uid="{00000000-0005-0000-0000-00008C7C0000}"/>
    <cellStyle name="Normal 8 2 2 2 2 2 9 4" xfId="31881" xr:uid="{00000000-0005-0000-0000-00008D7C0000}"/>
    <cellStyle name="Normal 8 2 2 2 2 2 9 5" xfId="31882" xr:uid="{00000000-0005-0000-0000-00008E7C0000}"/>
    <cellStyle name="Normal 8 2 2 2 2 2 9 6" xfId="31883" xr:uid="{00000000-0005-0000-0000-00008F7C0000}"/>
    <cellStyle name="Normal 8 2 2 2 2 3" xfId="31884" xr:uid="{00000000-0005-0000-0000-0000907C0000}"/>
    <cellStyle name="Normal 8 2 2 2 2 3 2" xfId="31885" xr:uid="{00000000-0005-0000-0000-0000917C0000}"/>
    <cellStyle name="Normal 8 2 2 2 2 3 3" xfId="31886" xr:uid="{00000000-0005-0000-0000-0000927C0000}"/>
    <cellStyle name="Normal 8 2 2 2 2 3 4" xfId="31887" xr:uid="{00000000-0005-0000-0000-0000937C0000}"/>
    <cellStyle name="Normal 8 2 2 2 2 3 5" xfId="31888" xr:uid="{00000000-0005-0000-0000-0000947C0000}"/>
    <cellStyle name="Normal 8 2 2 2 2 3 6" xfId="31889" xr:uid="{00000000-0005-0000-0000-0000957C0000}"/>
    <cellStyle name="Normal 8 2 2 2 2 4" xfId="31890" xr:uid="{00000000-0005-0000-0000-0000967C0000}"/>
    <cellStyle name="Normal 8 2 2 2 2 4 2" xfId="31891" xr:uid="{00000000-0005-0000-0000-0000977C0000}"/>
    <cellStyle name="Normal 8 2 2 2 2 4 3" xfId="31892" xr:uid="{00000000-0005-0000-0000-0000987C0000}"/>
    <cellStyle name="Normal 8 2 2 2 2 4 4" xfId="31893" xr:uid="{00000000-0005-0000-0000-0000997C0000}"/>
    <cellStyle name="Normal 8 2 2 2 2 4 5" xfId="31894" xr:uid="{00000000-0005-0000-0000-00009A7C0000}"/>
    <cellStyle name="Normal 8 2 2 2 2 4 6" xfId="31895" xr:uid="{00000000-0005-0000-0000-00009B7C0000}"/>
    <cellStyle name="Normal 8 2 2 2 2 5" xfId="31896" xr:uid="{00000000-0005-0000-0000-00009C7C0000}"/>
    <cellStyle name="Normal 8 2 2 2 2 5 2" xfId="31897" xr:uid="{00000000-0005-0000-0000-00009D7C0000}"/>
    <cellStyle name="Normal 8 2 2 2 2 5 3" xfId="31898" xr:uid="{00000000-0005-0000-0000-00009E7C0000}"/>
    <cellStyle name="Normal 8 2 2 2 2 5 4" xfId="31899" xr:uid="{00000000-0005-0000-0000-00009F7C0000}"/>
    <cellStyle name="Normal 8 2 2 2 2 5 5" xfId="31900" xr:uid="{00000000-0005-0000-0000-0000A07C0000}"/>
    <cellStyle name="Normal 8 2 2 2 2 5 6" xfId="31901" xr:uid="{00000000-0005-0000-0000-0000A17C0000}"/>
    <cellStyle name="Normal 8 2 2 2 2 6" xfId="31902" xr:uid="{00000000-0005-0000-0000-0000A27C0000}"/>
    <cellStyle name="Normal 8 2 2 2 2 6 2" xfId="31903" xr:uid="{00000000-0005-0000-0000-0000A37C0000}"/>
    <cellStyle name="Normal 8 2 2 2 2 6 3" xfId="31904" xr:uid="{00000000-0005-0000-0000-0000A47C0000}"/>
    <cellStyle name="Normal 8 2 2 2 2 6 4" xfId="31905" xr:uid="{00000000-0005-0000-0000-0000A57C0000}"/>
    <cellStyle name="Normal 8 2 2 2 2 6 5" xfId="31906" xr:uid="{00000000-0005-0000-0000-0000A67C0000}"/>
    <cellStyle name="Normal 8 2 2 2 2 6 6" xfId="31907" xr:uid="{00000000-0005-0000-0000-0000A77C0000}"/>
    <cellStyle name="Normal 8 2 2 2 2 7" xfId="31908" xr:uid="{00000000-0005-0000-0000-0000A87C0000}"/>
    <cellStyle name="Normal 8 2 2 2 2 7 2" xfId="31909" xr:uid="{00000000-0005-0000-0000-0000A97C0000}"/>
    <cellStyle name="Normal 8 2 2 2 2 7 3" xfId="31910" xr:uid="{00000000-0005-0000-0000-0000AA7C0000}"/>
    <cellStyle name="Normal 8 2 2 2 2 7 4" xfId="31911" xr:uid="{00000000-0005-0000-0000-0000AB7C0000}"/>
    <cellStyle name="Normal 8 2 2 2 2 7 5" xfId="31912" xr:uid="{00000000-0005-0000-0000-0000AC7C0000}"/>
    <cellStyle name="Normal 8 2 2 2 2 7 6" xfId="31913" xr:uid="{00000000-0005-0000-0000-0000AD7C0000}"/>
    <cellStyle name="Normal 8 2 2 2 2 8" xfId="31914" xr:uid="{00000000-0005-0000-0000-0000AE7C0000}"/>
    <cellStyle name="Normal 8 2 2 2 2 8 2" xfId="31915" xr:uid="{00000000-0005-0000-0000-0000AF7C0000}"/>
    <cellStyle name="Normal 8 2 2 2 2 8 3" xfId="31916" xr:uid="{00000000-0005-0000-0000-0000B07C0000}"/>
    <cellStyle name="Normal 8 2 2 2 2 8 4" xfId="31917" xr:uid="{00000000-0005-0000-0000-0000B17C0000}"/>
    <cellStyle name="Normal 8 2 2 2 2 8 5" xfId="31918" xr:uid="{00000000-0005-0000-0000-0000B27C0000}"/>
    <cellStyle name="Normal 8 2 2 2 2 8 6" xfId="31919" xr:uid="{00000000-0005-0000-0000-0000B37C0000}"/>
    <cellStyle name="Normal 8 2 2 2 2 9" xfId="31920" xr:uid="{00000000-0005-0000-0000-0000B47C0000}"/>
    <cellStyle name="Normal 8 2 2 2 2 9 2" xfId="31921" xr:uid="{00000000-0005-0000-0000-0000B57C0000}"/>
    <cellStyle name="Normal 8 2 2 2 2 9 3" xfId="31922" xr:uid="{00000000-0005-0000-0000-0000B67C0000}"/>
    <cellStyle name="Normal 8 2 2 2 2 9 4" xfId="31923" xr:uid="{00000000-0005-0000-0000-0000B77C0000}"/>
    <cellStyle name="Normal 8 2 2 2 2 9 5" xfId="31924" xr:uid="{00000000-0005-0000-0000-0000B87C0000}"/>
    <cellStyle name="Normal 8 2 2 2 2 9 6" xfId="31925" xr:uid="{00000000-0005-0000-0000-0000B97C0000}"/>
    <cellStyle name="Normal 8 2 2 2 20" xfId="31926" xr:uid="{00000000-0005-0000-0000-0000BA7C0000}"/>
    <cellStyle name="Normal 8 2 2 2 21" xfId="31927" xr:uid="{00000000-0005-0000-0000-0000BB7C0000}"/>
    <cellStyle name="Normal 8 2 2 2 22" xfId="31928" xr:uid="{00000000-0005-0000-0000-0000BC7C0000}"/>
    <cellStyle name="Normal 8 2 2 2 23" xfId="31929" xr:uid="{00000000-0005-0000-0000-0000BD7C0000}"/>
    <cellStyle name="Normal 8 2 2 2 24" xfId="31930" xr:uid="{00000000-0005-0000-0000-0000BE7C0000}"/>
    <cellStyle name="Normal 8 2 2 2 25" xfId="31931" xr:uid="{00000000-0005-0000-0000-0000BF7C0000}"/>
    <cellStyle name="Normal 8 2 2 2 26" xfId="31932" xr:uid="{00000000-0005-0000-0000-0000C07C0000}"/>
    <cellStyle name="Normal 8 2 2 2 27" xfId="31933" xr:uid="{00000000-0005-0000-0000-0000C17C0000}"/>
    <cellStyle name="Normal 8 2 2 2 28" xfId="31934" xr:uid="{00000000-0005-0000-0000-0000C27C0000}"/>
    <cellStyle name="Normal 8 2 2 2 29" xfId="31935" xr:uid="{00000000-0005-0000-0000-0000C37C0000}"/>
    <cellStyle name="Normal 8 2 2 2 3" xfId="31936" xr:uid="{00000000-0005-0000-0000-0000C47C0000}"/>
    <cellStyle name="Normal 8 2 2 2 3 10" xfId="31937" xr:uid="{00000000-0005-0000-0000-0000C57C0000}"/>
    <cellStyle name="Normal 8 2 2 2 3 11" xfId="31938" xr:uid="{00000000-0005-0000-0000-0000C67C0000}"/>
    <cellStyle name="Normal 8 2 2 2 3 12" xfId="31939" xr:uid="{00000000-0005-0000-0000-0000C77C0000}"/>
    <cellStyle name="Normal 8 2 2 2 3 13" xfId="31940" xr:uid="{00000000-0005-0000-0000-0000C87C0000}"/>
    <cellStyle name="Normal 8 2 2 2 3 14" xfId="31941" xr:uid="{00000000-0005-0000-0000-0000C97C0000}"/>
    <cellStyle name="Normal 8 2 2 2 3 2" xfId="31942" xr:uid="{00000000-0005-0000-0000-0000CA7C0000}"/>
    <cellStyle name="Normal 8 2 2 2 3 2 2" xfId="31943" xr:uid="{00000000-0005-0000-0000-0000CB7C0000}"/>
    <cellStyle name="Normal 8 2 2 2 3 2 3" xfId="31944" xr:uid="{00000000-0005-0000-0000-0000CC7C0000}"/>
    <cellStyle name="Normal 8 2 2 2 3 2 4" xfId="31945" xr:uid="{00000000-0005-0000-0000-0000CD7C0000}"/>
    <cellStyle name="Normal 8 2 2 2 3 2 5" xfId="31946" xr:uid="{00000000-0005-0000-0000-0000CE7C0000}"/>
    <cellStyle name="Normal 8 2 2 2 3 2 6" xfId="31947" xr:uid="{00000000-0005-0000-0000-0000CF7C0000}"/>
    <cellStyle name="Normal 8 2 2 2 3 3" xfId="31948" xr:uid="{00000000-0005-0000-0000-0000D07C0000}"/>
    <cellStyle name="Normal 8 2 2 2 3 3 2" xfId="31949" xr:uid="{00000000-0005-0000-0000-0000D17C0000}"/>
    <cellStyle name="Normal 8 2 2 2 3 3 3" xfId="31950" xr:uid="{00000000-0005-0000-0000-0000D27C0000}"/>
    <cellStyle name="Normal 8 2 2 2 3 3 4" xfId="31951" xr:uid="{00000000-0005-0000-0000-0000D37C0000}"/>
    <cellStyle name="Normal 8 2 2 2 3 3 5" xfId="31952" xr:uid="{00000000-0005-0000-0000-0000D47C0000}"/>
    <cellStyle name="Normal 8 2 2 2 3 3 6" xfId="31953" xr:uid="{00000000-0005-0000-0000-0000D57C0000}"/>
    <cellStyle name="Normal 8 2 2 2 3 4" xfId="31954" xr:uid="{00000000-0005-0000-0000-0000D67C0000}"/>
    <cellStyle name="Normal 8 2 2 2 3 4 2" xfId="31955" xr:uid="{00000000-0005-0000-0000-0000D77C0000}"/>
    <cellStyle name="Normal 8 2 2 2 3 4 3" xfId="31956" xr:uid="{00000000-0005-0000-0000-0000D87C0000}"/>
    <cellStyle name="Normal 8 2 2 2 3 4 4" xfId="31957" xr:uid="{00000000-0005-0000-0000-0000D97C0000}"/>
    <cellStyle name="Normal 8 2 2 2 3 4 5" xfId="31958" xr:uid="{00000000-0005-0000-0000-0000DA7C0000}"/>
    <cellStyle name="Normal 8 2 2 2 3 4 6" xfId="31959" xr:uid="{00000000-0005-0000-0000-0000DB7C0000}"/>
    <cellStyle name="Normal 8 2 2 2 3 5" xfId="31960" xr:uid="{00000000-0005-0000-0000-0000DC7C0000}"/>
    <cellStyle name="Normal 8 2 2 2 3 5 2" xfId="31961" xr:uid="{00000000-0005-0000-0000-0000DD7C0000}"/>
    <cellStyle name="Normal 8 2 2 2 3 5 3" xfId="31962" xr:uid="{00000000-0005-0000-0000-0000DE7C0000}"/>
    <cellStyle name="Normal 8 2 2 2 3 5 4" xfId="31963" xr:uid="{00000000-0005-0000-0000-0000DF7C0000}"/>
    <cellStyle name="Normal 8 2 2 2 3 5 5" xfId="31964" xr:uid="{00000000-0005-0000-0000-0000E07C0000}"/>
    <cellStyle name="Normal 8 2 2 2 3 5 6" xfId="31965" xr:uid="{00000000-0005-0000-0000-0000E17C0000}"/>
    <cellStyle name="Normal 8 2 2 2 3 6" xfId="31966" xr:uid="{00000000-0005-0000-0000-0000E27C0000}"/>
    <cellStyle name="Normal 8 2 2 2 3 6 2" xfId="31967" xr:uid="{00000000-0005-0000-0000-0000E37C0000}"/>
    <cellStyle name="Normal 8 2 2 2 3 6 3" xfId="31968" xr:uid="{00000000-0005-0000-0000-0000E47C0000}"/>
    <cellStyle name="Normal 8 2 2 2 3 6 4" xfId="31969" xr:uid="{00000000-0005-0000-0000-0000E57C0000}"/>
    <cellStyle name="Normal 8 2 2 2 3 6 5" xfId="31970" xr:uid="{00000000-0005-0000-0000-0000E67C0000}"/>
    <cellStyle name="Normal 8 2 2 2 3 6 6" xfId="31971" xr:uid="{00000000-0005-0000-0000-0000E77C0000}"/>
    <cellStyle name="Normal 8 2 2 2 3 7" xfId="31972" xr:uid="{00000000-0005-0000-0000-0000E87C0000}"/>
    <cellStyle name="Normal 8 2 2 2 3 7 2" xfId="31973" xr:uid="{00000000-0005-0000-0000-0000E97C0000}"/>
    <cellStyle name="Normal 8 2 2 2 3 7 3" xfId="31974" xr:uid="{00000000-0005-0000-0000-0000EA7C0000}"/>
    <cellStyle name="Normal 8 2 2 2 3 7 4" xfId="31975" xr:uid="{00000000-0005-0000-0000-0000EB7C0000}"/>
    <cellStyle name="Normal 8 2 2 2 3 7 5" xfId="31976" xr:uid="{00000000-0005-0000-0000-0000EC7C0000}"/>
    <cellStyle name="Normal 8 2 2 2 3 7 6" xfId="31977" xr:uid="{00000000-0005-0000-0000-0000ED7C0000}"/>
    <cellStyle name="Normal 8 2 2 2 3 8" xfId="31978" xr:uid="{00000000-0005-0000-0000-0000EE7C0000}"/>
    <cellStyle name="Normal 8 2 2 2 3 8 2" xfId="31979" xr:uid="{00000000-0005-0000-0000-0000EF7C0000}"/>
    <cellStyle name="Normal 8 2 2 2 3 8 3" xfId="31980" xr:uid="{00000000-0005-0000-0000-0000F07C0000}"/>
    <cellStyle name="Normal 8 2 2 2 3 8 4" xfId="31981" xr:uid="{00000000-0005-0000-0000-0000F17C0000}"/>
    <cellStyle name="Normal 8 2 2 2 3 8 5" xfId="31982" xr:uid="{00000000-0005-0000-0000-0000F27C0000}"/>
    <cellStyle name="Normal 8 2 2 2 3 8 6" xfId="31983" xr:uid="{00000000-0005-0000-0000-0000F37C0000}"/>
    <cellStyle name="Normal 8 2 2 2 3 9" xfId="31984" xr:uid="{00000000-0005-0000-0000-0000F47C0000}"/>
    <cellStyle name="Normal 8 2 2 2 3 9 2" xfId="31985" xr:uid="{00000000-0005-0000-0000-0000F57C0000}"/>
    <cellStyle name="Normal 8 2 2 2 3 9 3" xfId="31986" xr:uid="{00000000-0005-0000-0000-0000F67C0000}"/>
    <cellStyle name="Normal 8 2 2 2 3 9 4" xfId="31987" xr:uid="{00000000-0005-0000-0000-0000F77C0000}"/>
    <cellStyle name="Normal 8 2 2 2 3 9 5" xfId="31988" xr:uid="{00000000-0005-0000-0000-0000F87C0000}"/>
    <cellStyle name="Normal 8 2 2 2 3 9 6" xfId="31989" xr:uid="{00000000-0005-0000-0000-0000F97C0000}"/>
    <cellStyle name="Normal 8 2 2 2 30" xfId="31990" xr:uid="{00000000-0005-0000-0000-0000FA7C0000}"/>
    <cellStyle name="Normal 8 2 2 2 31" xfId="31991" xr:uid="{00000000-0005-0000-0000-0000FB7C0000}"/>
    <cellStyle name="Normal 8 2 2 2 4" xfId="31992" xr:uid="{00000000-0005-0000-0000-0000FC7C0000}"/>
    <cellStyle name="Normal 8 2 2 2 4 2" xfId="31993" xr:uid="{00000000-0005-0000-0000-0000FD7C0000}"/>
    <cellStyle name="Normal 8 2 2 2 4 3" xfId="31994" xr:uid="{00000000-0005-0000-0000-0000FE7C0000}"/>
    <cellStyle name="Normal 8 2 2 2 4 4" xfId="31995" xr:uid="{00000000-0005-0000-0000-0000FF7C0000}"/>
    <cellStyle name="Normal 8 2 2 2 4 5" xfId="31996" xr:uid="{00000000-0005-0000-0000-0000007D0000}"/>
    <cellStyle name="Normal 8 2 2 2 4 6" xfId="31997" xr:uid="{00000000-0005-0000-0000-0000017D0000}"/>
    <cellStyle name="Normal 8 2 2 2 5" xfId="31998" xr:uid="{00000000-0005-0000-0000-0000027D0000}"/>
    <cellStyle name="Normal 8 2 2 2 5 2" xfId="31999" xr:uid="{00000000-0005-0000-0000-0000037D0000}"/>
    <cellStyle name="Normal 8 2 2 2 5 3" xfId="32000" xr:uid="{00000000-0005-0000-0000-0000047D0000}"/>
    <cellStyle name="Normal 8 2 2 2 5 4" xfId="32001" xr:uid="{00000000-0005-0000-0000-0000057D0000}"/>
    <cellStyle name="Normal 8 2 2 2 5 5" xfId="32002" xr:uid="{00000000-0005-0000-0000-0000067D0000}"/>
    <cellStyle name="Normal 8 2 2 2 5 6" xfId="32003" xr:uid="{00000000-0005-0000-0000-0000077D0000}"/>
    <cellStyle name="Normal 8 2 2 2 6" xfId="32004" xr:uid="{00000000-0005-0000-0000-0000087D0000}"/>
    <cellStyle name="Normal 8 2 2 2 6 2" xfId="32005" xr:uid="{00000000-0005-0000-0000-0000097D0000}"/>
    <cellStyle name="Normal 8 2 2 2 6 3" xfId="32006" xr:uid="{00000000-0005-0000-0000-00000A7D0000}"/>
    <cellStyle name="Normal 8 2 2 2 6 4" xfId="32007" xr:uid="{00000000-0005-0000-0000-00000B7D0000}"/>
    <cellStyle name="Normal 8 2 2 2 6 5" xfId="32008" xr:uid="{00000000-0005-0000-0000-00000C7D0000}"/>
    <cellStyle name="Normal 8 2 2 2 6 6" xfId="32009" xr:uid="{00000000-0005-0000-0000-00000D7D0000}"/>
    <cellStyle name="Normal 8 2 2 2 7" xfId="32010" xr:uid="{00000000-0005-0000-0000-00000E7D0000}"/>
    <cellStyle name="Normal 8 2 2 2 7 2" xfId="32011" xr:uid="{00000000-0005-0000-0000-00000F7D0000}"/>
    <cellStyle name="Normal 8 2 2 2 7 3" xfId="32012" xr:uid="{00000000-0005-0000-0000-0000107D0000}"/>
    <cellStyle name="Normal 8 2 2 2 7 4" xfId="32013" xr:uid="{00000000-0005-0000-0000-0000117D0000}"/>
    <cellStyle name="Normal 8 2 2 2 7 5" xfId="32014" xr:uid="{00000000-0005-0000-0000-0000127D0000}"/>
    <cellStyle name="Normal 8 2 2 2 7 6" xfId="32015" xr:uid="{00000000-0005-0000-0000-0000137D0000}"/>
    <cellStyle name="Normal 8 2 2 2 8" xfId="32016" xr:uid="{00000000-0005-0000-0000-0000147D0000}"/>
    <cellStyle name="Normal 8 2 2 2 8 2" xfId="32017" xr:uid="{00000000-0005-0000-0000-0000157D0000}"/>
    <cellStyle name="Normal 8 2 2 2 8 3" xfId="32018" xr:uid="{00000000-0005-0000-0000-0000167D0000}"/>
    <cellStyle name="Normal 8 2 2 2 8 4" xfId="32019" xr:uid="{00000000-0005-0000-0000-0000177D0000}"/>
    <cellStyle name="Normal 8 2 2 2 8 5" xfId="32020" xr:uid="{00000000-0005-0000-0000-0000187D0000}"/>
    <cellStyle name="Normal 8 2 2 2 8 6" xfId="32021" xr:uid="{00000000-0005-0000-0000-0000197D0000}"/>
    <cellStyle name="Normal 8 2 2 2 9" xfId="32022" xr:uid="{00000000-0005-0000-0000-00001A7D0000}"/>
    <cellStyle name="Normal 8 2 2 2 9 2" xfId="32023" xr:uid="{00000000-0005-0000-0000-00001B7D0000}"/>
    <cellStyle name="Normal 8 2 2 2 9 3" xfId="32024" xr:uid="{00000000-0005-0000-0000-00001C7D0000}"/>
    <cellStyle name="Normal 8 2 2 2 9 4" xfId="32025" xr:uid="{00000000-0005-0000-0000-00001D7D0000}"/>
    <cellStyle name="Normal 8 2 2 2 9 5" xfId="32026" xr:uid="{00000000-0005-0000-0000-00001E7D0000}"/>
    <cellStyle name="Normal 8 2 2 2 9 6" xfId="32027" xr:uid="{00000000-0005-0000-0000-00001F7D0000}"/>
    <cellStyle name="Normal 8 2 2 3" xfId="32028" xr:uid="{00000000-0005-0000-0000-0000207D0000}"/>
    <cellStyle name="Normal 8 2 2 3 10" xfId="32029" xr:uid="{00000000-0005-0000-0000-0000217D0000}"/>
    <cellStyle name="Normal 8 2 2 3 10 2" xfId="32030" xr:uid="{00000000-0005-0000-0000-0000227D0000}"/>
    <cellStyle name="Normal 8 2 2 3 10 3" xfId="32031" xr:uid="{00000000-0005-0000-0000-0000237D0000}"/>
    <cellStyle name="Normal 8 2 2 3 10 4" xfId="32032" xr:uid="{00000000-0005-0000-0000-0000247D0000}"/>
    <cellStyle name="Normal 8 2 2 3 10 5" xfId="32033" xr:uid="{00000000-0005-0000-0000-0000257D0000}"/>
    <cellStyle name="Normal 8 2 2 3 10 6" xfId="32034" xr:uid="{00000000-0005-0000-0000-0000267D0000}"/>
    <cellStyle name="Normal 8 2 2 3 11" xfId="32035" xr:uid="{00000000-0005-0000-0000-0000277D0000}"/>
    <cellStyle name="Normal 8 2 2 3 11 2" xfId="32036" xr:uid="{00000000-0005-0000-0000-0000287D0000}"/>
    <cellStyle name="Normal 8 2 2 3 11 3" xfId="32037" xr:uid="{00000000-0005-0000-0000-0000297D0000}"/>
    <cellStyle name="Normal 8 2 2 3 11 4" xfId="32038" xr:uid="{00000000-0005-0000-0000-00002A7D0000}"/>
    <cellStyle name="Normal 8 2 2 3 11 5" xfId="32039" xr:uid="{00000000-0005-0000-0000-00002B7D0000}"/>
    <cellStyle name="Normal 8 2 2 3 11 6" xfId="32040" xr:uid="{00000000-0005-0000-0000-00002C7D0000}"/>
    <cellStyle name="Normal 8 2 2 3 12" xfId="32041" xr:uid="{00000000-0005-0000-0000-00002D7D0000}"/>
    <cellStyle name="Normal 8 2 2 3 13" xfId="32042" xr:uid="{00000000-0005-0000-0000-00002E7D0000}"/>
    <cellStyle name="Normal 8 2 2 3 14" xfId="32043" xr:uid="{00000000-0005-0000-0000-00002F7D0000}"/>
    <cellStyle name="Normal 8 2 2 3 15" xfId="32044" xr:uid="{00000000-0005-0000-0000-0000307D0000}"/>
    <cellStyle name="Normal 8 2 2 3 16" xfId="32045" xr:uid="{00000000-0005-0000-0000-0000317D0000}"/>
    <cellStyle name="Normal 8 2 2 3 17" xfId="32046" xr:uid="{00000000-0005-0000-0000-0000327D0000}"/>
    <cellStyle name="Normal 8 2 2 3 18" xfId="32047" xr:uid="{00000000-0005-0000-0000-0000337D0000}"/>
    <cellStyle name="Normal 8 2 2 3 19" xfId="32048" xr:uid="{00000000-0005-0000-0000-0000347D0000}"/>
    <cellStyle name="Normal 8 2 2 3 2" xfId="32049" xr:uid="{00000000-0005-0000-0000-0000357D0000}"/>
    <cellStyle name="Normal 8 2 2 3 2 10" xfId="32050" xr:uid="{00000000-0005-0000-0000-0000367D0000}"/>
    <cellStyle name="Normal 8 2 2 3 2 10 2" xfId="32051" xr:uid="{00000000-0005-0000-0000-0000377D0000}"/>
    <cellStyle name="Normal 8 2 2 3 2 10 3" xfId="32052" xr:uid="{00000000-0005-0000-0000-0000387D0000}"/>
    <cellStyle name="Normal 8 2 2 3 2 10 4" xfId="32053" xr:uid="{00000000-0005-0000-0000-0000397D0000}"/>
    <cellStyle name="Normal 8 2 2 3 2 10 5" xfId="32054" xr:uid="{00000000-0005-0000-0000-00003A7D0000}"/>
    <cellStyle name="Normal 8 2 2 3 2 10 6" xfId="32055" xr:uid="{00000000-0005-0000-0000-00003B7D0000}"/>
    <cellStyle name="Normal 8 2 2 3 2 11" xfId="32056" xr:uid="{00000000-0005-0000-0000-00003C7D0000}"/>
    <cellStyle name="Normal 8 2 2 3 2 12" xfId="32057" xr:uid="{00000000-0005-0000-0000-00003D7D0000}"/>
    <cellStyle name="Normal 8 2 2 3 2 13" xfId="32058" xr:uid="{00000000-0005-0000-0000-00003E7D0000}"/>
    <cellStyle name="Normal 8 2 2 3 2 14" xfId="32059" xr:uid="{00000000-0005-0000-0000-00003F7D0000}"/>
    <cellStyle name="Normal 8 2 2 3 2 15" xfId="32060" xr:uid="{00000000-0005-0000-0000-0000407D0000}"/>
    <cellStyle name="Normal 8 2 2 3 2 2" xfId="32061" xr:uid="{00000000-0005-0000-0000-0000417D0000}"/>
    <cellStyle name="Normal 8 2 2 3 2 2 10" xfId="32062" xr:uid="{00000000-0005-0000-0000-0000427D0000}"/>
    <cellStyle name="Normal 8 2 2 3 2 2 11" xfId="32063" xr:uid="{00000000-0005-0000-0000-0000437D0000}"/>
    <cellStyle name="Normal 8 2 2 3 2 2 12" xfId="32064" xr:uid="{00000000-0005-0000-0000-0000447D0000}"/>
    <cellStyle name="Normal 8 2 2 3 2 2 13" xfId="32065" xr:uid="{00000000-0005-0000-0000-0000457D0000}"/>
    <cellStyle name="Normal 8 2 2 3 2 2 14" xfId="32066" xr:uid="{00000000-0005-0000-0000-0000467D0000}"/>
    <cellStyle name="Normal 8 2 2 3 2 2 2" xfId="32067" xr:uid="{00000000-0005-0000-0000-0000477D0000}"/>
    <cellStyle name="Normal 8 2 2 3 2 2 2 2" xfId="32068" xr:uid="{00000000-0005-0000-0000-0000487D0000}"/>
    <cellStyle name="Normal 8 2 2 3 2 2 2 3" xfId="32069" xr:uid="{00000000-0005-0000-0000-0000497D0000}"/>
    <cellStyle name="Normal 8 2 2 3 2 2 2 4" xfId="32070" xr:uid="{00000000-0005-0000-0000-00004A7D0000}"/>
    <cellStyle name="Normal 8 2 2 3 2 2 2 5" xfId="32071" xr:uid="{00000000-0005-0000-0000-00004B7D0000}"/>
    <cellStyle name="Normal 8 2 2 3 2 2 2 6" xfId="32072" xr:uid="{00000000-0005-0000-0000-00004C7D0000}"/>
    <cellStyle name="Normal 8 2 2 3 2 2 3" xfId="32073" xr:uid="{00000000-0005-0000-0000-00004D7D0000}"/>
    <cellStyle name="Normal 8 2 2 3 2 2 3 2" xfId="32074" xr:uid="{00000000-0005-0000-0000-00004E7D0000}"/>
    <cellStyle name="Normal 8 2 2 3 2 2 3 3" xfId="32075" xr:uid="{00000000-0005-0000-0000-00004F7D0000}"/>
    <cellStyle name="Normal 8 2 2 3 2 2 3 4" xfId="32076" xr:uid="{00000000-0005-0000-0000-0000507D0000}"/>
    <cellStyle name="Normal 8 2 2 3 2 2 3 5" xfId="32077" xr:uid="{00000000-0005-0000-0000-0000517D0000}"/>
    <cellStyle name="Normal 8 2 2 3 2 2 3 6" xfId="32078" xr:uid="{00000000-0005-0000-0000-0000527D0000}"/>
    <cellStyle name="Normal 8 2 2 3 2 2 4" xfId="32079" xr:uid="{00000000-0005-0000-0000-0000537D0000}"/>
    <cellStyle name="Normal 8 2 2 3 2 2 4 2" xfId="32080" xr:uid="{00000000-0005-0000-0000-0000547D0000}"/>
    <cellStyle name="Normal 8 2 2 3 2 2 4 3" xfId="32081" xr:uid="{00000000-0005-0000-0000-0000557D0000}"/>
    <cellStyle name="Normal 8 2 2 3 2 2 4 4" xfId="32082" xr:uid="{00000000-0005-0000-0000-0000567D0000}"/>
    <cellStyle name="Normal 8 2 2 3 2 2 4 5" xfId="32083" xr:uid="{00000000-0005-0000-0000-0000577D0000}"/>
    <cellStyle name="Normal 8 2 2 3 2 2 4 6" xfId="32084" xr:uid="{00000000-0005-0000-0000-0000587D0000}"/>
    <cellStyle name="Normal 8 2 2 3 2 2 5" xfId="32085" xr:uid="{00000000-0005-0000-0000-0000597D0000}"/>
    <cellStyle name="Normal 8 2 2 3 2 2 5 2" xfId="32086" xr:uid="{00000000-0005-0000-0000-00005A7D0000}"/>
    <cellStyle name="Normal 8 2 2 3 2 2 5 3" xfId="32087" xr:uid="{00000000-0005-0000-0000-00005B7D0000}"/>
    <cellStyle name="Normal 8 2 2 3 2 2 5 4" xfId="32088" xr:uid="{00000000-0005-0000-0000-00005C7D0000}"/>
    <cellStyle name="Normal 8 2 2 3 2 2 5 5" xfId="32089" xr:uid="{00000000-0005-0000-0000-00005D7D0000}"/>
    <cellStyle name="Normal 8 2 2 3 2 2 5 6" xfId="32090" xr:uid="{00000000-0005-0000-0000-00005E7D0000}"/>
    <cellStyle name="Normal 8 2 2 3 2 2 6" xfId="32091" xr:uid="{00000000-0005-0000-0000-00005F7D0000}"/>
    <cellStyle name="Normal 8 2 2 3 2 2 6 2" xfId="32092" xr:uid="{00000000-0005-0000-0000-0000607D0000}"/>
    <cellStyle name="Normal 8 2 2 3 2 2 6 3" xfId="32093" xr:uid="{00000000-0005-0000-0000-0000617D0000}"/>
    <cellStyle name="Normal 8 2 2 3 2 2 6 4" xfId="32094" xr:uid="{00000000-0005-0000-0000-0000627D0000}"/>
    <cellStyle name="Normal 8 2 2 3 2 2 6 5" xfId="32095" xr:uid="{00000000-0005-0000-0000-0000637D0000}"/>
    <cellStyle name="Normal 8 2 2 3 2 2 6 6" xfId="32096" xr:uid="{00000000-0005-0000-0000-0000647D0000}"/>
    <cellStyle name="Normal 8 2 2 3 2 2 7" xfId="32097" xr:uid="{00000000-0005-0000-0000-0000657D0000}"/>
    <cellStyle name="Normal 8 2 2 3 2 2 7 2" xfId="32098" xr:uid="{00000000-0005-0000-0000-0000667D0000}"/>
    <cellStyle name="Normal 8 2 2 3 2 2 7 3" xfId="32099" xr:uid="{00000000-0005-0000-0000-0000677D0000}"/>
    <cellStyle name="Normal 8 2 2 3 2 2 7 4" xfId="32100" xr:uid="{00000000-0005-0000-0000-0000687D0000}"/>
    <cellStyle name="Normal 8 2 2 3 2 2 7 5" xfId="32101" xr:uid="{00000000-0005-0000-0000-0000697D0000}"/>
    <cellStyle name="Normal 8 2 2 3 2 2 7 6" xfId="32102" xr:uid="{00000000-0005-0000-0000-00006A7D0000}"/>
    <cellStyle name="Normal 8 2 2 3 2 2 8" xfId="32103" xr:uid="{00000000-0005-0000-0000-00006B7D0000}"/>
    <cellStyle name="Normal 8 2 2 3 2 2 8 2" xfId="32104" xr:uid="{00000000-0005-0000-0000-00006C7D0000}"/>
    <cellStyle name="Normal 8 2 2 3 2 2 8 3" xfId="32105" xr:uid="{00000000-0005-0000-0000-00006D7D0000}"/>
    <cellStyle name="Normal 8 2 2 3 2 2 8 4" xfId="32106" xr:uid="{00000000-0005-0000-0000-00006E7D0000}"/>
    <cellStyle name="Normal 8 2 2 3 2 2 8 5" xfId="32107" xr:uid="{00000000-0005-0000-0000-00006F7D0000}"/>
    <cellStyle name="Normal 8 2 2 3 2 2 8 6" xfId="32108" xr:uid="{00000000-0005-0000-0000-0000707D0000}"/>
    <cellStyle name="Normal 8 2 2 3 2 2 9" xfId="32109" xr:uid="{00000000-0005-0000-0000-0000717D0000}"/>
    <cellStyle name="Normal 8 2 2 3 2 2 9 2" xfId="32110" xr:uid="{00000000-0005-0000-0000-0000727D0000}"/>
    <cellStyle name="Normal 8 2 2 3 2 2 9 3" xfId="32111" xr:uid="{00000000-0005-0000-0000-0000737D0000}"/>
    <cellStyle name="Normal 8 2 2 3 2 2 9 4" xfId="32112" xr:uid="{00000000-0005-0000-0000-0000747D0000}"/>
    <cellStyle name="Normal 8 2 2 3 2 2 9 5" xfId="32113" xr:uid="{00000000-0005-0000-0000-0000757D0000}"/>
    <cellStyle name="Normal 8 2 2 3 2 2 9 6" xfId="32114" xr:uid="{00000000-0005-0000-0000-0000767D0000}"/>
    <cellStyle name="Normal 8 2 2 3 2 3" xfId="32115" xr:uid="{00000000-0005-0000-0000-0000777D0000}"/>
    <cellStyle name="Normal 8 2 2 3 2 3 2" xfId="32116" xr:uid="{00000000-0005-0000-0000-0000787D0000}"/>
    <cellStyle name="Normal 8 2 2 3 2 3 3" xfId="32117" xr:uid="{00000000-0005-0000-0000-0000797D0000}"/>
    <cellStyle name="Normal 8 2 2 3 2 3 4" xfId="32118" xr:uid="{00000000-0005-0000-0000-00007A7D0000}"/>
    <cellStyle name="Normal 8 2 2 3 2 3 5" xfId="32119" xr:uid="{00000000-0005-0000-0000-00007B7D0000}"/>
    <cellStyle name="Normal 8 2 2 3 2 3 6" xfId="32120" xr:uid="{00000000-0005-0000-0000-00007C7D0000}"/>
    <cellStyle name="Normal 8 2 2 3 2 4" xfId="32121" xr:uid="{00000000-0005-0000-0000-00007D7D0000}"/>
    <cellStyle name="Normal 8 2 2 3 2 4 2" xfId="32122" xr:uid="{00000000-0005-0000-0000-00007E7D0000}"/>
    <cellStyle name="Normal 8 2 2 3 2 4 3" xfId="32123" xr:uid="{00000000-0005-0000-0000-00007F7D0000}"/>
    <cellStyle name="Normal 8 2 2 3 2 4 4" xfId="32124" xr:uid="{00000000-0005-0000-0000-0000807D0000}"/>
    <cellStyle name="Normal 8 2 2 3 2 4 5" xfId="32125" xr:uid="{00000000-0005-0000-0000-0000817D0000}"/>
    <cellStyle name="Normal 8 2 2 3 2 4 6" xfId="32126" xr:uid="{00000000-0005-0000-0000-0000827D0000}"/>
    <cellStyle name="Normal 8 2 2 3 2 5" xfId="32127" xr:uid="{00000000-0005-0000-0000-0000837D0000}"/>
    <cellStyle name="Normal 8 2 2 3 2 5 2" xfId="32128" xr:uid="{00000000-0005-0000-0000-0000847D0000}"/>
    <cellStyle name="Normal 8 2 2 3 2 5 3" xfId="32129" xr:uid="{00000000-0005-0000-0000-0000857D0000}"/>
    <cellStyle name="Normal 8 2 2 3 2 5 4" xfId="32130" xr:uid="{00000000-0005-0000-0000-0000867D0000}"/>
    <cellStyle name="Normal 8 2 2 3 2 5 5" xfId="32131" xr:uid="{00000000-0005-0000-0000-0000877D0000}"/>
    <cellStyle name="Normal 8 2 2 3 2 5 6" xfId="32132" xr:uid="{00000000-0005-0000-0000-0000887D0000}"/>
    <cellStyle name="Normal 8 2 2 3 2 6" xfId="32133" xr:uid="{00000000-0005-0000-0000-0000897D0000}"/>
    <cellStyle name="Normal 8 2 2 3 2 6 2" xfId="32134" xr:uid="{00000000-0005-0000-0000-00008A7D0000}"/>
    <cellStyle name="Normal 8 2 2 3 2 6 3" xfId="32135" xr:uid="{00000000-0005-0000-0000-00008B7D0000}"/>
    <cellStyle name="Normal 8 2 2 3 2 6 4" xfId="32136" xr:uid="{00000000-0005-0000-0000-00008C7D0000}"/>
    <cellStyle name="Normal 8 2 2 3 2 6 5" xfId="32137" xr:uid="{00000000-0005-0000-0000-00008D7D0000}"/>
    <cellStyle name="Normal 8 2 2 3 2 6 6" xfId="32138" xr:uid="{00000000-0005-0000-0000-00008E7D0000}"/>
    <cellStyle name="Normal 8 2 2 3 2 7" xfId="32139" xr:uid="{00000000-0005-0000-0000-00008F7D0000}"/>
    <cellStyle name="Normal 8 2 2 3 2 7 2" xfId="32140" xr:uid="{00000000-0005-0000-0000-0000907D0000}"/>
    <cellStyle name="Normal 8 2 2 3 2 7 3" xfId="32141" xr:uid="{00000000-0005-0000-0000-0000917D0000}"/>
    <cellStyle name="Normal 8 2 2 3 2 7 4" xfId="32142" xr:uid="{00000000-0005-0000-0000-0000927D0000}"/>
    <cellStyle name="Normal 8 2 2 3 2 7 5" xfId="32143" xr:uid="{00000000-0005-0000-0000-0000937D0000}"/>
    <cellStyle name="Normal 8 2 2 3 2 7 6" xfId="32144" xr:uid="{00000000-0005-0000-0000-0000947D0000}"/>
    <cellStyle name="Normal 8 2 2 3 2 8" xfId="32145" xr:uid="{00000000-0005-0000-0000-0000957D0000}"/>
    <cellStyle name="Normal 8 2 2 3 2 8 2" xfId="32146" xr:uid="{00000000-0005-0000-0000-0000967D0000}"/>
    <cellStyle name="Normal 8 2 2 3 2 8 3" xfId="32147" xr:uid="{00000000-0005-0000-0000-0000977D0000}"/>
    <cellStyle name="Normal 8 2 2 3 2 8 4" xfId="32148" xr:uid="{00000000-0005-0000-0000-0000987D0000}"/>
    <cellStyle name="Normal 8 2 2 3 2 8 5" xfId="32149" xr:uid="{00000000-0005-0000-0000-0000997D0000}"/>
    <cellStyle name="Normal 8 2 2 3 2 8 6" xfId="32150" xr:uid="{00000000-0005-0000-0000-00009A7D0000}"/>
    <cellStyle name="Normal 8 2 2 3 2 9" xfId="32151" xr:uid="{00000000-0005-0000-0000-00009B7D0000}"/>
    <cellStyle name="Normal 8 2 2 3 2 9 2" xfId="32152" xr:uid="{00000000-0005-0000-0000-00009C7D0000}"/>
    <cellStyle name="Normal 8 2 2 3 2 9 3" xfId="32153" xr:uid="{00000000-0005-0000-0000-00009D7D0000}"/>
    <cellStyle name="Normal 8 2 2 3 2 9 4" xfId="32154" xr:uid="{00000000-0005-0000-0000-00009E7D0000}"/>
    <cellStyle name="Normal 8 2 2 3 2 9 5" xfId="32155" xr:uid="{00000000-0005-0000-0000-00009F7D0000}"/>
    <cellStyle name="Normal 8 2 2 3 2 9 6" xfId="32156" xr:uid="{00000000-0005-0000-0000-0000A07D0000}"/>
    <cellStyle name="Normal 8 2 2 3 20" xfId="32157" xr:uid="{00000000-0005-0000-0000-0000A17D0000}"/>
    <cellStyle name="Normal 8 2 2 3 21" xfId="32158" xr:uid="{00000000-0005-0000-0000-0000A27D0000}"/>
    <cellStyle name="Normal 8 2 2 3 22" xfId="32159" xr:uid="{00000000-0005-0000-0000-0000A37D0000}"/>
    <cellStyle name="Normal 8 2 2 3 23" xfId="32160" xr:uid="{00000000-0005-0000-0000-0000A47D0000}"/>
    <cellStyle name="Normal 8 2 2 3 24" xfId="32161" xr:uid="{00000000-0005-0000-0000-0000A57D0000}"/>
    <cellStyle name="Normal 8 2 2 3 25" xfId="32162" xr:uid="{00000000-0005-0000-0000-0000A67D0000}"/>
    <cellStyle name="Normal 8 2 2 3 26" xfId="32163" xr:uid="{00000000-0005-0000-0000-0000A77D0000}"/>
    <cellStyle name="Normal 8 2 2 3 27" xfId="32164" xr:uid="{00000000-0005-0000-0000-0000A87D0000}"/>
    <cellStyle name="Normal 8 2 2 3 28" xfId="32165" xr:uid="{00000000-0005-0000-0000-0000A97D0000}"/>
    <cellStyle name="Normal 8 2 2 3 29" xfId="32166" xr:uid="{00000000-0005-0000-0000-0000AA7D0000}"/>
    <cellStyle name="Normal 8 2 2 3 3" xfId="32167" xr:uid="{00000000-0005-0000-0000-0000AB7D0000}"/>
    <cellStyle name="Normal 8 2 2 3 3 10" xfId="32168" xr:uid="{00000000-0005-0000-0000-0000AC7D0000}"/>
    <cellStyle name="Normal 8 2 2 3 3 11" xfId="32169" xr:uid="{00000000-0005-0000-0000-0000AD7D0000}"/>
    <cellStyle name="Normal 8 2 2 3 3 12" xfId="32170" xr:uid="{00000000-0005-0000-0000-0000AE7D0000}"/>
    <cellStyle name="Normal 8 2 2 3 3 13" xfId="32171" xr:uid="{00000000-0005-0000-0000-0000AF7D0000}"/>
    <cellStyle name="Normal 8 2 2 3 3 14" xfId="32172" xr:uid="{00000000-0005-0000-0000-0000B07D0000}"/>
    <cellStyle name="Normal 8 2 2 3 3 2" xfId="32173" xr:uid="{00000000-0005-0000-0000-0000B17D0000}"/>
    <cellStyle name="Normal 8 2 2 3 3 2 2" xfId="32174" xr:uid="{00000000-0005-0000-0000-0000B27D0000}"/>
    <cellStyle name="Normal 8 2 2 3 3 2 3" xfId="32175" xr:uid="{00000000-0005-0000-0000-0000B37D0000}"/>
    <cellStyle name="Normal 8 2 2 3 3 2 4" xfId="32176" xr:uid="{00000000-0005-0000-0000-0000B47D0000}"/>
    <cellStyle name="Normal 8 2 2 3 3 2 5" xfId="32177" xr:uid="{00000000-0005-0000-0000-0000B57D0000}"/>
    <cellStyle name="Normal 8 2 2 3 3 2 6" xfId="32178" xr:uid="{00000000-0005-0000-0000-0000B67D0000}"/>
    <cellStyle name="Normal 8 2 2 3 3 3" xfId="32179" xr:uid="{00000000-0005-0000-0000-0000B77D0000}"/>
    <cellStyle name="Normal 8 2 2 3 3 3 2" xfId="32180" xr:uid="{00000000-0005-0000-0000-0000B87D0000}"/>
    <cellStyle name="Normal 8 2 2 3 3 3 3" xfId="32181" xr:uid="{00000000-0005-0000-0000-0000B97D0000}"/>
    <cellStyle name="Normal 8 2 2 3 3 3 4" xfId="32182" xr:uid="{00000000-0005-0000-0000-0000BA7D0000}"/>
    <cellStyle name="Normal 8 2 2 3 3 3 5" xfId="32183" xr:uid="{00000000-0005-0000-0000-0000BB7D0000}"/>
    <cellStyle name="Normal 8 2 2 3 3 3 6" xfId="32184" xr:uid="{00000000-0005-0000-0000-0000BC7D0000}"/>
    <cellStyle name="Normal 8 2 2 3 3 4" xfId="32185" xr:uid="{00000000-0005-0000-0000-0000BD7D0000}"/>
    <cellStyle name="Normal 8 2 2 3 3 4 2" xfId="32186" xr:uid="{00000000-0005-0000-0000-0000BE7D0000}"/>
    <cellStyle name="Normal 8 2 2 3 3 4 3" xfId="32187" xr:uid="{00000000-0005-0000-0000-0000BF7D0000}"/>
    <cellStyle name="Normal 8 2 2 3 3 4 4" xfId="32188" xr:uid="{00000000-0005-0000-0000-0000C07D0000}"/>
    <cellStyle name="Normal 8 2 2 3 3 4 5" xfId="32189" xr:uid="{00000000-0005-0000-0000-0000C17D0000}"/>
    <cellStyle name="Normal 8 2 2 3 3 4 6" xfId="32190" xr:uid="{00000000-0005-0000-0000-0000C27D0000}"/>
    <cellStyle name="Normal 8 2 2 3 3 5" xfId="32191" xr:uid="{00000000-0005-0000-0000-0000C37D0000}"/>
    <cellStyle name="Normal 8 2 2 3 3 5 2" xfId="32192" xr:uid="{00000000-0005-0000-0000-0000C47D0000}"/>
    <cellStyle name="Normal 8 2 2 3 3 5 3" xfId="32193" xr:uid="{00000000-0005-0000-0000-0000C57D0000}"/>
    <cellStyle name="Normal 8 2 2 3 3 5 4" xfId="32194" xr:uid="{00000000-0005-0000-0000-0000C67D0000}"/>
    <cellStyle name="Normal 8 2 2 3 3 5 5" xfId="32195" xr:uid="{00000000-0005-0000-0000-0000C77D0000}"/>
    <cellStyle name="Normal 8 2 2 3 3 5 6" xfId="32196" xr:uid="{00000000-0005-0000-0000-0000C87D0000}"/>
    <cellStyle name="Normal 8 2 2 3 3 6" xfId="32197" xr:uid="{00000000-0005-0000-0000-0000C97D0000}"/>
    <cellStyle name="Normal 8 2 2 3 3 6 2" xfId="32198" xr:uid="{00000000-0005-0000-0000-0000CA7D0000}"/>
    <cellStyle name="Normal 8 2 2 3 3 6 3" xfId="32199" xr:uid="{00000000-0005-0000-0000-0000CB7D0000}"/>
    <cellStyle name="Normal 8 2 2 3 3 6 4" xfId="32200" xr:uid="{00000000-0005-0000-0000-0000CC7D0000}"/>
    <cellStyle name="Normal 8 2 2 3 3 6 5" xfId="32201" xr:uid="{00000000-0005-0000-0000-0000CD7D0000}"/>
    <cellStyle name="Normal 8 2 2 3 3 6 6" xfId="32202" xr:uid="{00000000-0005-0000-0000-0000CE7D0000}"/>
    <cellStyle name="Normal 8 2 2 3 3 7" xfId="32203" xr:uid="{00000000-0005-0000-0000-0000CF7D0000}"/>
    <cellStyle name="Normal 8 2 2 3 3 7 2" xfId="32204" xr:uid="{00000000-0005-0000-0000-0000D07D0000}"/>
    <cellStyle name="Normal 8 2 2 3 3 7 3" xfId="32205" xr:uid="{00000000-0005-0000-0000-0000D17D0000}"/>
    <cellStyle name="Normal 8 2 2 3 3 7 4" xfId="32206" xr:uid="{00000000-0005-0000-0000-0000D27D0000}"/>
    <cellStyle name="Normal 8 2 2 3 3 7 5" xfId="32207" xr:uid="{00000000-0005-0000-0000-0000D37D0000}"/>
    <cellStyle name="Normal 8 2 2 3 3 7 6" xfId="32208" xr:uid="{00000000-0005-0000-0000-0000D47D0000}"/>
    <cellStyle name="Normal 8 2 2 3 3 8" xfId="32209" xr:uid="{00000000-0005-0000-0000-0000D57D0000}"/>
    <cellStyle name="Normal 8 2 2 3 3 8 2" xfId="32210" xr:uid="{00000000-0005-0000-0000-0000D67D0000}"/>
    <cellStyle name="Normal 8 2 2 3 3 8 3" xfId="32211" xr:uid="{00000000-0005-0000-0000-0000D77D0000}"/>
    <cellStyle name="Normal 8 2 2 3 3 8 4" xfId="32212" xr:uid="{00000000-0005-0000-0000-0000D87D0000}"/>
    <cellStyle name="Normal 8 2 2 3 3 8 5" xfId="32213" xr:uid="{00000000-0005-0000-0000-0000D97D0000}"/>
    <cellStyle name="Normal 8 2 2 3 3 8 6" xfId="32214" xr:uid="{00000000-0005-0000-0000-0000DA7D0000}"/>
    <cellStyle name="Normal 8 2 2 3 3 9" xfId="32215" xr:uid="{00000000-0005-0000-0000-0000DB7D0000}"/>
    <cellStyle name="Normal 8 2 2 3 3 9 2" xfId="32216" xr:uid="{00000000-0005-0000-0000-0000DC7D0000}"/>
    <cellStyle name="Normal 8 2 2 3 3 9 3" xfId="32217" xr:uid="{00000000-0005-0000-0000-0000DD7D0000}"/>
    <cellStyle name="Normal 8 2 2 3 3 9 4" xfId="32218" xr:uid="{00000000-0005-0000-0000-0000DE7D0000}"/>
    <cellStyle name="Normal 8 2 2 3 3 9 5" xfId="32219" xr:uid="{00000000-0005-0000-0000-0000DF7D0000}"/>
    <cellStyle name="Normal 8 2 2 3 3 9 6" xfId="32220" xr:uid="{00000000-0005-0000-0000-0000E07D0000}"/>
    <cellStyle name="Normal 8 2 2 3 30" xfId="32221" xr:uid="{00000000-0005-0000-0000-0000E17D0000}"/>
    <cellStyle name="Normal 8 2 2 3 31" xfId="32222" xr:uid="{00000000-0005-0000-0000-0000E27D0000}"/>
    <cellStyle name="Normal 8 2 2 3 4" xfId="32223" xr:uid="{00000000-0005-0000-0000-0000E37D0000}"/>
    <cellStyle name="Normal 8 2 2 3 4 2" xfId="32224" xr:uid="{00000000-0005-0000-0000-0000E47D0000}"/>
    <cellStyle name="Normal 8 2 2 3 4 3" xfId="32225" xr:uid="{00000000-0005-0000-0000-0000E57D0000}"/>
    <cellStyle name="Normal 8 2 2 3 4 4" xfId="32226" xr:uid="{00000000-0005-0000-0000-0000E67D0000}"/>
    <cellStyle name="Normal 8 2 2 3 4 5" xfId="32227" xr:uid="{00000000-0005-0000-0000-0000E77D0000}"/>
    <cellStyle name="Normal 8 2 2 3 4 6" xfId="32228" xr:uid="{00000000-0005-0000-0000-0000E87D0000}"/>
    <cellStyle name="Normal 8 2 2 3 5" xfId="32229" xr:uid="{00000000-0005-0000-0000-0000E97D0000}"/>
    <cellStyle name="Normal 8 2 2 3 5 2" xfId="32230" xr:uid="{00000000-0005-0000-0000-0000EA7D0000}"/>
    <cellStyle name="Normal 8 2 2 3 5 3" xfId="32231" xr:uid="{00000000-0005-0000-0000-0000EB7D0000}"/>
    <cellStyle name="Normal 8 2 2 3 5 4" xfId="32232" xr:uid="{00000000-0005-0000-0000-0000EC7D0000}"/>
    <cellStyle name="Normal 8 2 2 3 5 5" xfId="32233" xr:uid="{00000000-0005-0000-0000-0000ED7D0000}"/>
    <cellStyle name="Normal 8 2 2 3 5 6" xfId="32234" xr:uid="{00000000-0005-0000-0000-0000EE7D0000}"/>
    <cellStyle name="Normal 8 2 2 3 6" xfId="32235" xr:uid="{00000000-0005-0000-0000-0000EF7D0000}"/>
    <cellStyle name="Normal 8 2 2 3 6 2" xfId="32236" xr:uid="{00000000-0005-0000-0000-0000F07D0000}"/>
    <cellStyle name="Normal 8 2 2 3 6 3" xfId="32237" xr:uid="{00000000-0005-0000-0000-0000F17D0000}"/>
    <cellStyle name="Normal 8 2 2 3 6 4" xfId="32238" xr:uid="{00000000-0005-0000-0000-0000F27D0000}"/>
    <cellStyle name="Normal 8 2 2 3 6 5" xfId="32239" xr:uid="{00000000-0005-0000-0000-0000F37D0000}"/>
    <cellStyle name="Normal 8 2 2 3 6 6" xfId="32240" xr:uid="{00000000-0005-0000-0000-0000F47D0000}"/>
    <cellStyle name="Normal 8 2 2 3 7" xfId="32241" xr:uid="{00000000-0005-0000-0000-0000F57D0000}"/>
    <cellStyle name="Normal 8 2 2 3 7 2" xfId="32242" xr:uid="{00000000-0005-0000-0000-0000F67D0000}"/>
    <cellStyle name="Normal 8 2 2 3 7 3" xfId="32243" xr:uid="{00000000-0005-0000-0000-0000F77D0000}"/>
    <cellStyle name="Normal 8 2 2 3 7 4" xfId="32244" xr:uid="{00000000-0005-0000-0000-0000F87D0000}"/>
    <cellStyle name="Normal 8 2 2 3 7 5" xfId="32245" xr:uid="{00000000-0005-0000-0000-0000F97D0000}"/>
    <cellStyle name="Normal 8 2 2 3 7 6" xfId="32246" xr:uid="{00000000-0005-0000-0000-0000FA7D0000}"/>
    <cellStyle name="Normal 8 2 2 3 8" xfId="32247" xr:uid="{00000000-0005-0000-0000-0000FB7D0000}"/>
    <cellStyle name="Normal 8 2 2 3 8 2" xfId="32248" xr:uid="{00000000-0005-0000-0000-0000FC7D0000}"/>
    <cellStyle name="Normal 8 2 2 3 8 3" xfId="32249" xr:uid="{00000000-0005-0000-0000-0000FD7D0000}"/>
    <cellStyle name="Normal 8 2 2 3 8 4" xfId="32250" xr:uid="{00000000-0005-0000-0000-0000FE7D0000}"/>
    <cellStyle name="Normal 8 2 2 3 8 5" xfId="32251" xr:uid="{00000000-0005-0000-0000-0000FF7D0000}"/>
    <cellStyle name="Normal 8 2 2 3 8 6" xfId="32252" xr:uid="{00000000-0005-0000-0000-0000007E0000}"/>
    <cellStyle name="Normal 8 2 2 3 9" xfId="32253" xr:uid="{00000000-0005-0000-0000-0000017E0000}"/>
    <cellStyle name="Normal 8 2 2 3 9 2" xfId="32254" xr:uid="{00000000-0005-0000-0000-0000027E0000}"/>
    <cellStyle name="Normal 8 2 2 3 9 3" xfId="32255" xr:uid="{00000000-0005-0000-0000-0000037E0000}"/>
    <cellStyle name="Normal 8 2 2 3 9 4" xfId="32256" xr:uid="{00000000-0005-0000-0000-0000047E0000}"/>
    <cellStyle name="Normal 8 2 2 3 9 5" xfId="32257" xr:uid="{00000000-0005-0000-0000-0000057E0000}"/>
    <cellStyle name="Normal 8 2 2 3 9 6" xfId="32258" xr:uid="{00000000-0005-0000-0000-0000067E0000}"/>
    <cellStyle name="Normal 8 2 2 4" xfId="32259" xr:uid="{00000000-0005-0000-0000-0000077E0000}"/>
    <cellStyle name="Normal 8 2 2 4 10" xfId="32260" xr:uid="{00000000-0005-0000-0000-0000087E0000}"/>
    <cellStyle name="Normal 8 2 2 4 10 2" xfId="32261" xr:uid="{00000000-0005-0000-0000-0000097E0000}"/>
    <cellStyle name="Normal 8 2 2 4 10 3" xfId="32262" xr:uid="{00000000-0005-0000-0000-00000A7E0000}"/>
    <cellStyle name="Normal 8 2 2 4 10 4" xfId="32263" xr:uid="{00000000-0005-0000-0000-00000B7E0000}"/>
    <cellStyle name="Normal 8 2 2 4 10 5" xfId="32264" xr:uid="{00000000-0005-0000-0000-00000C7E0000}"/>
    <cellStyle name="Normal 8 2 2 4 10 6" xfId="32265" xr:uid="{00000000-0005-0000-0000-00000D7E0000}"/>
    <cellStyle name="Normal 8 2 2 4 11" xfId="32266" xr:uid="{00000000-0005-0000-0000-00000E7E0000}"/>
    <cellStyle name="Normal 8 2 2 4 11 2" xfId="32267" xr:uid="{00000000-0005-0000-0000-00000F7E0000}"/>
    <cellStyle name="Normal 8 2 2 4 11 3" xfId="32268" xr:uid="{00000000-0005-0000-0000-0000107E0000}"/>
    <cellStyle name="Normal 8 2 2 4 11 4" xfId="32269" xr:uid="{00000000-0005-0000-0000-0000117E0000}"/>
    <cellStyle name="Normal 8 2 2 4 11 5" xfId="32270" xr:uid="{00000000-0005-0000-0000-0000127E0000}"/>
    <cellStyle name="Normal 8 2 2 4 11 6" xfId="32271" xr:uid="{00000000-0005-0000-0000-0000137E0000}"/>
    <cellStyle name="Normal 8 2 2 4 12" xfId="32272" xr:uid="{00000000-0005-0000-0000-0000147E0000}"/>
    <cellStyle name="Normal 8 2 2 4 13" xfId="32273" xr:uid="{00000000-0005-0000-0000-0000157E0000}"/>
    <cellStyle name="Normal 8 2 2 4 14" xfId="32274" xr:uid="{00000000-0005-0000-0000-0000167E0000}"/>
    <cellStyle name="Normal 8 2 2 4 15" xfId="32275" xr:uid="{00000000-0005-0000-0000-0000177E0000}"/>
    <cellStyle name="Normal 8 2 2 4 16" xfId="32276" xr:uid="{00000000-0005-0000-0000-0000187E0000}"/>
    <cellStyle name="Normal 8 2 2 4 17" xfId="32277" xr:uid="{00000000-0005-0000-0000-0000197E0000}"/>
    <cellStyle name="Normal 8 2 2 4 18" xfId="32278" xr:uid="{00000000-0005-0000-0000-00001A7E0000}"/>
    <cellStyle name="Normal 8 2 2 4 19" xfId="32279" xr:uid="{00000000-0005-0000-0000-00001B7E0000}"/>
    <cellStyle name="Normal 8 2 2 4 2" xfId="32280" xr:uid="{00000000-0005-0000-0000-00001C7E0000}"/>
    <cellStyle name="Normal 8 2 2 4 2 10" xfId="32281" xr:uid="{00000000-0005-0000-0000-00001D7E0000}"/>
    <cellStyle name="Normal 8 2 2 4 2 10 2" xfId="32282" xr:uid="{00000000-0005-0000-0000-00001E7E0000}"/>
    <cellStyle name="Normal 8 2 2 4 2 10 3" xfId="32283" xr:uid="{00000000-0005-0000-0000-00001F7E0000}"/>
    <cellStyle name="Normal 8 2 2 4 2 10 4" xfId="32284" xr:uid="{00000000-0005-0000-0000-0000207E0000}"/>
    <cellStyle name="Normal 8 2 2 4 2 10 5" xfId="32285" xr:uid="{00000000-0005-0000-0000-0000217E0000}"/>
    <cellStyle name="Normal 8 2 2 4 2 10 6" xfId="32286" xr:uid="{00000000-0005-0000-0000-0000227E0000}"/>
    <cellStyle name="Normal 8 2 2 4 2 11" xfId="32287" xr:uid="{00000000-0005-0000-0000-0000237E0000}"/>
    <cellStyle name="Normal 8 2 2 4 2 12" xfId="32288" xr:uid="{00000000-0005-0000-0000-0000247E0000}"/>
    <cellStyle name="Normal 8 2 2 4 2 13" xfId="32289" xr:uid="{00000000-0005-0000-0000-0000257E0000}"/>
    <cellStyle name="Normal 8 2 2 4 2 14" xfId="32290" xr:uid="{00000000-0005-0000-0000-0000267E0000}"/>
    <cellStyle name="Normal 8 2 2 4 2 15" xfId="32291" xr:uid="{00000000-0005-0000-0000-0000277E0000}"/>
    <cellStyle name="Normal 8 2 2 4 2 2" xfId="32292" xr:uid="{00000000-0005-0000-0000-0000287E0000}"/>
    <cellStyle name="Normal 8 2 2 4 2 2 10" xfId="32293" xr:uid="{00000000-0005-0000-0000-0000297E0000}"/>
    <cellStyle name="Normal 8 2 2 4 2 2 11" xfId="32294" xr:uid="{00000000-0005-0000-0000-00002A7E0000}"/>
    <cellStyle name="Normal 8 2 2 4 2 2 12" xfId="32295" xr:uid="{00000000-0005-0000-0000-00002B7E0000}"/>
    <cellStyle name="Normal 8 2 2 4 2 2 13" xfId="32296" xr:uid="{00000000-0005-0000-0000-00002C7E0000}"/>
    <cellStyle name="Normal 8 2 2 4 2 2 14" xfId="32297" xr:uid="{00000000-0005-0000-0000-00002D7E0000}"/>
    <cellStyle name="Normal 8 2 2 4 2 2 2" xfId="32298" xr:uid="{00000000-0005-0000-0000-00002E7E0000}"/>
    <cellStyle name="Normal 8 2 2 4 2 2 2 2" xfId="32299" xr:uid="{00000000-0005-0000-0000-00002F7E0000}"/>
    <cellStyle name="Normal 8 2 2 4 2 2 2 3" xfId="32300" xr:uid="{00000000-0005-0000-0000-0000307E0000}"/>
    <cellStyle name="Normal 8 2 2 4 2 2 2 4" xfId="32301" xr:uid="{00000000-0005-0000-0000-0000317E0000}"/>
    <cellStyle name="Normal 8 2 2 4 2 2 2 5" xfId="32302" xr:uid="{00000000-0005-0000-0000-0000327E0000}"/>
    <cellStyle name="Normal 8 2 2 4 2 2 2 6" xfId="32303" xr:uid="{00000000-0005-0000-0000-0000337E0000}"/>
    <cellStyle name="Normal 8 2 2 4 2 2 3" xfId="32304" xr:uid="{00000000-0005-0000-0000-0000347E0000}"/>
    <cellStyle name="Normal 8 2 2 4 2 2 3 2" xfId="32305" xr:uid="{00000000-0005-0000-0000-0000357E0000}"/>
    <cellStyle name="Normal 8 2 2 4 2 2 3 3" xfId="32306" xr:uid="{00000000-0005-0000-0000-0000367E0000}"/>
    <cellStyle name="Normal 8 2 2 4 2 2 3 4" xfId="32307" xr:uid="{00000000-0005-0000-0000-0000377E0000}"/>
    <cellStyle name="Normal 8 2 2 4 2 2 3 5" xfId="32308" xr:uid="{00000000-0005-0000-0000-0000387E0000}"/>
    <cellStyle name="Normal 8 2 2 4 2 2 3 6" xfId="32309" xr:uid="{00000000-0005-0000-0000-0000397E0000}"/>
    <cellStyle name="Normal 8 2 2 4 2 2 4" xfId="32310" xr:uid="{00000000-0005-0000-0000-00003A7E0000}"/>
    <cellStyle name="Normal 8 2 2 4 2 2 4 2" xfId="32311" xr:uid="{00000000-0005-0000-0000-00003B7E0000}"/>
    <cellStyle name="Normal 8 2 2 4 2 2 4 3" xfId="32312" xr:uid="{00000000-0005-0000-0000-00003C7E0000}"/>
    <cellStyle name="Normal 8 2 2 4 2 2 4 4" xfId="32313" xr:uid="{00000000-0005-0000-0000-00003D7E0000}"/>
    <cellStyle name="Normal 8 2 2 4 2 2 4 5" xfId="32314" xr:uid="{00000000-0005-0000-0000-00003E7E0000}"/>
    <cellStyle name="Normal 8 2 2 4 2 2 4 6" xfId="32315" xr:uid="{00000000-0005-0000-0000-00003F7E0000}"/>
    <cellStyle name="Normal 8 2 2 4 2 2 5" xfId="32316" xr:uid="{00000000-0005-0000-0000-0000407E0000}"/>
    <cellStyle name="Normal 8 2 2 4 2 2 5 2" xfId="32317" xr:uid="{00000000-0005-0000-0000-0000417E0000}"/>
    <cellStyle name="Normal 8 2 2 4 2 2 5 3" xfId="32318" xr:uid="{00000000-0005-0000-0000-0000427E0000}"/>
    <cellStyle name="Normal 8 2 2 4 2 2 5 4" xfId="32319" xr:uid="{00000000-0005-0000-0000-0000437E0000}"/>
    <cellStyle name="Normal 8 2 2 4 2 2 5 5" xfId="32320" xr:uid="{00000000-0005-0000-0000-0000447E0000}"/>
    <cellStyle name="Normal 8 2 2 4 2 2 5 6" xfId="32321" xr:uid="{00000000-0005-0000-0000-0000457E0000}"/>
    <cellStyle name="Normal 8 2 2 4 2 2 6" xfId="32322" xr:uid="{00000000-0005-0000-0000-0000467E0000}"/>
    <cellStyle name="Normal 8 2 2 4 2 2 6 2" xfId="32323" xr:uid="{00000000-0005-0000-0000-0000477E0000}"/>
    <cellStyle name="Normal 8 2 2 4 2 2 6 3" xfId="32324" xr:uid="{00000000-0005-0000-0000-0000487E0000}"/>
    <cellStyle name="Normal 8 2 2 4 2 2 6 4" xfId="32325" xr:uid="{00000000-0005-0000-0000-0000497E0000}"/>
    <cellStyle name="Normal 8 2 2 4 2 2 6 5" xfId="32326" xr:uid="{00000000-0005-0000-0000-00004A7E0000}"/>
    <cellStyle name="Normal 8 2 2 4 2 2 6 6" xfId="32327" xr:uid="{00000000-0005-0000-0000-00004B7E0000}"/>
    <cellStyle name="Normal 8 2 2 4 2 2 7" xfId="32328" xr:uid="{00000000-0005-0000-0000-00004C7E0000}"/>
    <cellStyle name="Normal 8 2 2 4 2 2 7 2" xfId="32329" xr:uid="{00000000-0005-0000-0000-00004D7E0000}"/>
    <cellStyle name="Normal 8 2 2 4 2 2 7 3" xfId="32330" xr:uid="{00000000-0005-0000-0000-00004E7E0000}"/>
    <cellStyle name="Normal 8 2 2 4 2 2 7 4" xfId="32331" xr:uid="{00000000-0005-0000-0000-00004F7E0000}"/>
    <cellStyle name="Normal 8 2 2 4 2 2 7 5" xfId="32332" xr:uid="{00000000-0005-0000-0000-0000507E0000}"/>
    <cellStyle name="Normal 8 2 2 4 2 2 7 6" xfId="32333" xr:uid="{00000000-0005-0000-0000-0000517E0000}"/>
    <cellStyle name="Normal 8 2 2 4 2 2 8" xfId="32334" xr:uid="{00000000-0005-0000-0000-0000527E0000}"/>
    <cellStyle name="Normal 8 2 2 4 2 2 8 2" xfId="32335" xr:uid="{00000000-0005-0000-0000-0000537E0000}"/>
    <cellStyle name="Normal 8 2 2 4 2 2 8 3" xfId="32336" xr:uid="{00000000-0005-0000-0000-0000547E0000}"/>
    <cellStyle name="Normal 8 2 2 4 2 2 8 4" xfId="32337" xr:uid="{00000000-0005-0000-0000-0000557E0000}"/>
    <cellStyle name="Normal 8 2 2 4 2 2 8 5" xfId="32338" xr:uid="{00000000-0005-0000-0000-0000567E0000}"/>
    <cellStyle name="Normal 8 2 2 4 2 2 8 6" xfId="32339" xr:uid="{00000000-0005-0000-0000-0000577E0000}"/>
    <cellStyle name="Normal 8 2 2 4 2 2 9" xfId="32340" xr:uid="{00000000-0005-0000-0000-0000587E0000}"/>
    <cellStyle name="Normal 8 2 2 4 2 2 9 2" xfId="32341" xr:uid="{00000000-0005-0000-0000-0000597E0000}"/>
    <cellStyle name="Normal 8 2 2 4 2 2 9 3" xfId="32342" xr:uid="{00000000-0005-0000-0000-00005A7E0000}"/>
    <cellStyle name="Normal 8 2 2 4 2 2 9 4" xfId="32343" xr:uid="{00000000-0005-0000-0000-00005B7E0000}"/>
    <cellStyle name="Normal 8 2 2 4 2 2 9 5" xfId="32344" xr:uid="{00000000-0005-0000-0000-00005C7E0000}"/>
    <cellStyle name="Normal 8 2 2 4 2 2 9 6" xfId="32345" xr:uid="{00000000-0005-0000-0000-00005D7E0000}"/>
    <cellStyle name="Normal 8 2 2 4 2 3" xfId="32346" xr:uid="{00000000-0005-0000-0000-00005E7E0000}"/>
    <cellStyle name="Normal 8 2 2 4 2 3 2" xfId="32347" xr:uid="{00000000-0005-0000-0000-00005F7E0000}"/>
    <cellStyle name="Normal 8 2 2 4 2 3 3" xfId="32348" xr:uid="{00000000-0005-0000-0000-0000607E0000}"/>
    <cellStyle name="Normal 8 2 2 4 2 3 4" xfId="32349" xr:uid="{00000000-0005-0000-0000-0000617E0000}"/>
    <cellStyle name="Normal 8 2 2 4 2 3 5" xfId="32350" xr:uid="{00000000-0005-0000-0000-0000627E0000}"/>
    <cellStyle name="Normal 8 2 2 4 2 3 6" xfId="32351" xr:uid="{00000000-0005-0000-0000-0000637E0000}"/>
    <cellStyle name="Normal 8 2 2 4 2 4" xfId="32352" xr:uid="{00000000-0005-0000-0000-0000647E0000}"/>
    <cellStyle name="Normal 8 2 2 4 2 4 2" xfId="32353" xr:uid="{00000000-0005-0000-0000-0000657E0000}"/>
    <cellStyle name="Normal 8 2 2 4 2 4 3" xfId="32354" xr:uid="{00000000-0005-0000-0000-0000667E0000}"/>
    <cellStyle name="Normal 8 2 2 4 2 4 4" xfId="32355" xr:uid="{00000000-0005-0000-0000-0000677E0000}"/>
    <cellStyle name="Normal 8 2 2 4 2 4 5" xfId="32356" xr:uid="{00000000-0005-0000-0000-0000687E0000}"/>
    <cellStyle name="Normal 8 2 2 4 2 4 6" xfId="32357" xr:uid="{00000000-0005-0000-0000-0000697E0000}"/>
    <cellStyle name="Normal 8 2 2 4 2 5" xfId="32358" xr:uid="{00000000-0005-0000-0000-00006A7E0000}"/>
    <cellStyle name="Normal 8 2 2 4 2 5 2" xfId="32359" xr:uid="{00000000-0005-0000-0000-00006B7E0000}"/>
    <cellStyle name="Normal 8 2 2 4 2 5 3" xfId="32360" xr:uid="{00000000-0005-0000-0000-00006C7E0000}"/>
    <cellStyle name="Normal 8 2 2 4 2 5 4" xfId="32361" xr:uid="{00000000-0005-0000-0000-00006D7E0000}"/>
    <cellStyle name="Normal 8 2 2 4 2 5 5" xfId="32362" xr:uid="{00000000-0005-0000-0000-00006E7E0000}"/>
    <cellStyle name="Normal 8 2 2 4 2 5 6" xfId="32363" xr:uid="{00000000-0005-0000-0000-00006F7E0000}"/>
    <cellStyle name="Normal 8 2 2 4 2 6" xfId="32364" xr:uid="{00000000-0005-0000-0000-0000707E0000}"/>
    <cellStyle name="Normal 8 2 2 4 2 6 2" xfId="32365" xr:uid="{00000000-0005-0000-0000-0000717E0000}"/>
    <cellStyle name="Normal 8 2 2 4 2 6 3" xfId="32366" xr:uid="{00000000-0005-0000-0000-0000727E0000}"/>
    <cellStyle name="Normal 8 2 2 4 2 6 4" xfId="32367" xr:uid="{00000000-0005-0000-0000-0000737E0000}"/>
    <cellStyle name="Normal 8 2 2 4 2 6 5" xfId="32368" xr:uid="{00000000-0005-0000-0000-0000747E0000}"/>
    <cellStyle name="Normal 8 2 2 4 2 6 6" xfId="32369" xr:uid="{00000000-0005-0000-0000-0000757E0000}"/>
    <cellStyle name="Normal 8 2 2 4 2 7" xfId="32370" xr:uid="{00000000-0005-0000-0000-0000767E0000}"/>
    <cellStyle name="Normal 8 2 2 4 2 7 2" xfId="32371" xr:uid="{00000000-0005-0000-0000-0000777E0000}"/>
    <cellStyle name="Normal 8 2 2 4 2 7 3" xfId="32372" xr:uid="{00000000-0005-0000-0000-0000787E0000}"/>
    <cellStyle name="Normal 8 2 2 4 2 7 4" xfId="32373" xr:uid="{00000000-0005-0000-0000-0000797E0000}"/>
    <cellStyle name="Normal 8 2 2 4 2 7 5" xfId="32374" xr:uid="{00000000-0005-0000-0000-00007A7E0000}"/>
    <cellStyle name="Normal 8 2 2 4 2 7 6" xfId="32375" xr:uid="{00000000-0005-0000-0000-00007B7E0000}"/>
    <cellStyle name="Normal 8 2 2 4 2 8" xfId="32376" xr:uid="{00000000-0005-0000-0000-00007C7E0000}"/>
    <cellStyle name="Normal 8 2 2 4 2 8 2" xfId="32377" xr:uid="{00000000-0005-0000-0000-00007D7E0000}"/>
    <cellStyle name="Normal 8 2 2 4 2 8 3" xfId="32378" xr:uid="{00000000-0005-0000-0000-00007E7E0000}"/>
    <cellStyle name="Normal 8 2 2 4 2 8 4" xfId="32379" xr:uid="{00000000-0005-0000-0000-00007F7E0000}"/>
    <cellStyle name="Normal 8 2 2 4 2 8 5" xfId="32380" xr:uid="{00000000-0005-0000-0000-0000807E0000}"/>
    <cellStyle name="Normal 8 2 2 4 2 8 6" xfId="32381" xr:uid="{00000000-0005-0000-0000-0000817E0000}"/>
    <cellStyle name="Normal 8 2 2 4 2 9" xfId="32382" xr:uid="{00000000-0005-0000-0000-0000827E0000}"/>
    <cellStyle name="Normal 8 2 2 4 2 9 2" xfId="32383" xr:uid="{00000000-0005-0000-0000-0000837E0000}"/>
    <cellStyle name="Normal 8 2 2 4 2 9 3" xfId="32384" xr:uid="{00000000-0005-0000-0000-0000847E0000}"/>
    <cellStyle name="Normal 8 2 2 4 2 9 4" xfId="32385" xr:uid="{00000000-0005-0000-0000-0000857E0000}"/>
    <cellStyle name="Normal 8 2 2 4 2 9 5" xfId="32386" xr:uid="{00000000-0005-0000-0000-0000867E0000}"/>
    <cellStyle name="Normal 8 2 2 4 2 9 6" xfId="32387" xr:uid="{00000000-0005-0000-0000-0000877E0000}"/>
    <cellStyle name="Normal 8 2 2 4 20" xfId="32388" xr:uid="{00000000-0005-0000-0000-0000887E0000}"/>
    <cellStyle name="Normal 8 2 2 4 21" xfId="32389" xr:uid="{00000000-0005-0000-0000-0000897E0000}"/>
    <cellStyle name="Normal 8 2 2 4 22" xfId="32390" xr:uid="{00000000-0005-0000-0000-00008A7E0000}"/>
    <cellStyle name="Normal 8 2 2 4 23" xfId="32391" xr:uid="{00000000-0005-0000-0000-00008B7E0000}"/>
    <cellStyle name="Normal 8 2 2 4 24" xfId="32392" xr:uid="{00000000-0005-0000-0000-00008C7E0000}"/>
    <cellStyle name="Normal 8 2 2 4 25" xfId="32393" xr:uid="{00000000-0005-0000-0000-00008D7E0000}"/>
    <cellStyle name="Normal 8 2 2 4 26" xfId="32394" xr:uid="{00000000-0005-0000-0000-00008E7E0000}"/>
    <cellStyle name="Normal 8 2 2 4 27" xfId="32395" xr:uid="{00000000-0005-0000-0000-00008F7E0000}"/>
    <cellStyle name="Normal 8 2 2 4 28" xfId="32396" xr:uid="{00000000-0005-0000-0000-0000907E0000}"/>
    <cellStyle name="Normal 8 2 2 4 29" xfId="32397" xr:uid="{00000000-0005-0000-0000-0000917E0000}"/>
    <cellStyle name="Normal 8 2 2 4 3" xfId="32398" xr:uid="{00000000-0005-0000-0000-0000927E0000}"/>
    <cellStyle name="Normal 8 2 2 4 3 10" xfId="32399" xr:uid="{00000000-0005-0000-0000-0000937E0000}"/>
    <cellStyle name="Normal 8 2 2 4 3 11" xfId="32400" xr:uid="{00000000-0005-0000-0000-0000947E0000}"/>
    <cellStyle name="Normal 8 2 2 4 3 12" xfId="32401" xr:uid="{00000000-0005-0000-0000-0000957E0000}"/>
    <cellStyle name="Normal 8 2 2 4 3 13" xfId="32402" xr:uid="{00000000-0005-0000-0000-0000967E0000}"/>
    <cellStyle name="Normal 8 2 2 4 3 14" xfId="32403" xr:uid="{00000000-0005-0000-0000-0000977E0000}"/>
    <cellStyle name="Normal 8 2 2 4 3 2" xfId="32404" xr:uid="{00000000-0005-0000-0000-0000987E0000}"/>
    <cellStyle name="Normal 8 2 2 4 3 2 2" xfId="32405" xr:uid="{00000000-0005-0000-0000-0000997E0000}"/>
    <cellStyle name="Normal 8 2 2 4 3 2 3" xfId="32406" xr:uid="{00000000-0005-0000-0000-00009A7E0000}"/>
    <cellStyle name="Normal 8 2 2 4 3 2 4" xfId="32407" xr:uid="{00000000-0005-0000-0000-00009B7E0000}"/>
    <cellStyle name="Normal 8 2 2 4 3 2 5" xfId="32408" xr:uid="{00000000-0005-0000-0000-00009C7E0000}"/>
    <cellStyle name="Normal 8 2 2 4 3 2 6" xfId="32409" xr:uid="{00000000-0005-0000-0000-00009D7E0000}"/>
    <cellStyle name="Normal 8 2 2 4 3 3" xfId="32410" xr:uid="{00000000-0005-0000-0000-00009E7E0000}"/>
    <cellStyle name="Normal 8 2 2 4 3 3 2" xfId="32411" xr:uid="{00000000-0005-0000-0000-00009F7E0000}"/>
    <cellStyle name="Normal 8 2 2 4 3 3 3" xfId="32412" xr:uid="{00000000-0005-0000-0000-0000A07E0000}"/>
    <cellStyle name="Normal 8 2 2 4 3 3 4" xfId="32413" xr:uid="{00000000-0005-0000-0000-0000A17E0000}"/>
    <cellStyle name="Normal 8 2 2 4 3 3 5" xfId="32414" xr:uid="{00000000-0005-0000-0000-0000A27E0000}"/>
    <cellStyle name="Normal 8 2 2 4 3 3 6" xfId="32415" xr:uid="{00000000-0005-0000-0000-0000A37E0000}"/>
    <cellStyle name="Normal 8 2 2 4 3 4" xfId="32416" xr:uid="{00000000-0005-0000-0000-0000A47E0000}"/>
    <cellStyle name="Normal 8 2 2 4 3 4 2" xfId="32417" xr:uid="{00000000-0005-0000-0000-0000A57E0000}"/>
    <cellStyle name="Normal 8 2 2 4 3 4 3" xfId="32418" xr:uid="{00000000-0005-0000-0000-0000A67E0000}"/>
    <cellStyle name="Normal 8 2 2 4 3 4 4" xfId="32419" xr:uid="{00000000-0005-0000-0000-0000A77E0000}"/>
    <cellStyle name="Normal 8 2 2 4 3 4 5" xfId="32420" xr:uid="{00000000-0005-0000-0000-0000A87E0000}"/>
    <cellStyle name="Normal 8 2 2 4 3 4 6" xfId="32421" xr:uid="{00000000-0005-0000-0000-0000A97E0000}"/>
    <cellStyle name="Normal 8 2 2 4 3 5" xfId="32422" xr:uid="{00000000-0005-0000-0000-0000AA7E0000}"/>
    <cellStyle name="Normal 8 2 2 4 3 5 2" xfId="32423" xr:uid="{00000000-0005-0000-0000-0000AB7E0000}"/>
    <cellStyle name="Normal 8 2 2 4 3 5 3" xfId="32424" xr:uid="{00000000-0005-0000-0000-0000AC7E0000}"/>
    <cellStyle name="Normal 8 2 2 4 3 5 4" xfId="32425" xr:uid="{00000000-0005-0000-0000-0000AD7E0000}"/>
    <cellStyle name="Normal 8 2 2 4 3 5 5" xfId="32426" xr:uid="{00000000-0005-0000-0000-0000AE7E0000}"/>
    <cellStyle name="Normal 8 2 2 4 3 5 6" xfId="32427" xr:uid="{00000000-0005-0000-0000-0000AF7E0000}"/>
    <cellStyle name="Normal 8 2 2 4 3 6" xfId="32428" xr:uid="{00000000-0005-0000-0000-0000B07E0000}"/>
    <cellStyle name="Normal 8 2 2 4 3 6 2" xfId="32429" xr:uid="{00000000-0005-0000-0000-0000B17E0000}"/>
    <cellStyle name="Normal 8 2 2 4 3 6 3" xfId="32430" xr:uid="{00000000-0005-0000-0000-0000B27E0000}"/>
    <cellStyle name="Normal 8 2 2 4 3 6 4" xfId="32431" xr:uid="{00000000-0005-0000-0000-0000B37E0000}"/>
    <cellStyle name="Normal 8 2 2 4 3 6 5" xfId="32432" xr:uid="{00000000-0005-0000-0000-0000B47E0000}"/>
    <cellStyle name="Normal 8 2 2 4 3 6 6" xfId="32433" xr:uid="{00000000-0005-0000-0000-0000B57E0000}"/>
    <cellStyle name="Normal 8 2 2 4 3 7" xfId="32434" xr:uid="{00000000-0005-0000-0000-0000B67E0000}"/>
    <cellStyle name="Normal 8 2 2 4 3 7 2" xfId="32435" xr:uid="{00000000-0005-0000-0000-0000B77E0000}"/>
    <cellStyle name="Normal 8 2 2 4 3 7 3" xfId="32436" xr:uid="{00000000-0005-0000-0000-0000B87E0000}"/>
    <cellStyle name="Normal 8 2 2 4 3 7 4" xfId="32437" xr:uid="{00000000-0005-0000-0000-0000B97E0000}"/>
    <cellStyle name="Normal 8 2 2 4 3 7 5" xfId="32438" xr:uid="{00000000-0005-0000-0000-0000BA7E0000}"/>
    <cellStyle name="Normal 8 2 2 4 3 7 6" xfId="32439" xr:uid="{00000000-0005-0000-0000-0000BB7E0000}"/>
    <cellStyle name="Normal 8 2 2 4 3 8" xfId="32440" xr:uid="{00000000-0005-0000-0000-0000BC7E0000}"/>
    <cellStyle name="Normal 8 2 2 4 3 8 2" xfId="32441" xr:uid="{00000000-0005-0000-0000-0000BD7E0000}"/>
    <cellStyle name="Normal 8 2 2 4 3 8 3" xfId="32442" xr:uid="{00000000-0005-0000-0000-0000BE7E0000}"/>
    <cellStyle name="Normal 8 2 2 4 3 8 4" xfId="32443" xr:uid="{00000000-0005-0000-0000-0000BF7E0000}"/>
    <cellStyle name="Normal 8 2 2 4 3 8 5" xfId="32444" xr:uid="{00000000-0005-0000-0000-0000C07E0000}"/>
    <cellStyle name="Normal 8 2 2 4 3 8 6" xfId="32445" xr:uid="{00000000-0005-0000-0000-0000C17E0000}"/>
    <cellStyle name="Normal 8 2 2 4 3 9" xfId="32446" xr:uid="{00000000-0005-0000-0000-0000C27E0000}"/>
    <cellStyle name="Normal 8 2 2 4 3 9 2" xfId="32447" xr:uid="{00000000-0005-0000-0000-0000C37E0000}"/>
    <cellStyle name="Normal 8 2 2 4 3 9 3" xfId="32448" xr:uid="{00000000-0005-0000-0000-0000C47E0000}"/>
    <cellStyle name="Normal 8 2 2 4 3 9 4" xfId="32449" xr:uid="{00000000-0005-0000-0000-0000C57E0000}"/>
    <cellStyle name="Normal 8 2 2 4 3 9 5" xfId="32450" xr:uid="{00000000-0005-0000-0000-0000C67E0000}"/>
    <cellStyle name="Normal 8 2 2 4 3 9 6" xfId="32451" xr:uid="{00000000-0005-0000-0000-0000C77E0000}"/>
    <cellStyle name="Normal 8 2 2 4 30" xfId="32452" xr:uid="{00000000-0005-0000-0000-0000C87E0000}"/>
    <cellStyle name="Normal 8 2 2 4 31" xfId="32453" xr:uid="{00000000-0005-0000-0000-0000C97E0000}"/>
    <cellStyle name="Normal 8 2 2 4 4" xfId="32454" xr:uid="{00000000-0005-0000-0000-0000CA7E0000}"/>
    <cellStyle name="Normal 8 2 2 4 4 2" xfId="32455" xr:uid="{00000000-0005-0000-0000-0000CB7E0000}"/>
    <cellStyle name="Normal 8 2 2 4 4 3" xfId="32456" xr:uid="{00000000-0005-0000-0000-0000CC7E0000}"/>
    <cellStyle name="Normal 8 2 2 4 4 4" xfId="32457" xr:uid="{00000000-0005-0000-0000-0000CD7E0000}"/>
    <cellStyle name="Normal 8 2 2 4 4 5" xfId="32458" xr:uid="{00000000-0005-0000-0000-0000CE7E0000}"/>
    <cellStyle name="Normal 8 2 2 4 4 6" xfId="32459" xr:uid="{00000000-0005-0000-0000-0000CF7E0000}"/>
    <cellStyle name="Normal 8 2 2 4 5" xfId="32460" xr:uid="{00000000-0005-0000-0000-0000D07E0000}"/>
    <cellStyle name="Normal 8 2 2 4 5 2" xfId="32461" xr:uid="{00000000-0005-0000-0000-0000D17E0000}"/>
    <cellStyle name="Normal 8 2 2 4 5 3" xfId="32462" xr:uid="{00000000-0005-0000-0000-0000D27E0000}"/>
    <cellStyle name="Normal 8 2 2 4 5 4" xfId="32463" xr:uid="{00000000-0005-0000-0000-0000D37E0000}"/>
    <cellStyle name="Normal 8 2 2 4 5 5" xfId="32464" xr:uid="{00000000-0005-0000-0000-0000D47E0000}"/>
    <cellStyle name="Normal 8 2 2 4 5 6" xfId="32465" xr:uid="{00000000-0005-0000-0000-0000D57E0000}"/>
    <cellStyle name="Normal 8 2 2 4 6" xfId="32466" xr:uid="{00000000-0005-0000-0000-0000D67E0000}"/>
    <cellStyle name="Normal 8 2 2 4 6 2" xfId="32467" xr:uid="{00000000-0005-0000-0000-0000D77E0000}"/>
    <cellStyle name="Normal 8 2 2 4 6 3" xfId="32468" xr:uid="{00000000-0005-0000-0000-0000D87E0000}"/>
    <cellStyle name="Normal 8 2 2 4 6 4" xfId="32469" xr:uid="{00000000-0005-0000-0000-0000D97E0000}"/>
    <cellStyle name="Normal 8 2 2 4 6 5" xfId="32470" xr:uid="{00000000-0005-0000-0000-0000DA7E0000}"/>
    <cellStyle name="Normal 8 2 2 4 6 6" xfId="32471" xr:uid="{00000000-0005-0000-0000-0000DB7E0000}"/>
    <cellStyle name="Normal 8 2 2 4 7" xfId="32472" xr:uid="{00000000-0005-0000-0000-0000DC7E0000}"/>
    <cellStyle name="Normal 8 2 2 4 7 2" xfId="32473" xr:uid="{00000000-0005-0000-0000-0000DD7E0000}"/>
    <cellStyle name="Normal 8 2 2 4 7 3" xfId="32474" xr:uid="{00000000-0005-0000-0000-0000DE7E0000}"/>
    <cellStyle name="Normal 8 2 2 4 7 4" xfId="32475" xr:uid="{00000000-0005-0000-0000-0000DF7E0000}"/>
    <cellStyle name="Normal 8 2 2 4 7 5" xfId="32476" xr:uid="{00000000-0005-0000-0000-0000E07E0000}"/>
    <cellStyle name="Normal 8 2 2 4 7 6" xfId="32477" xr:uid="{00000000-0005-0000-0000-0000E17E0000}"/>
    <cellStyle name="Normal 8 2 2 4 8" xfId="32478" xr:uid="{00000000-0005-0000-0000-0000E27E0000}"/>
    <cellStyle name="Normal 8 2 2 4 8 2" xfId="32479" xr:uid="{00000000-0005-0000-0000-0000E37E0000}"/>
    <cellStyle name="Normal 8 2 2 4 8 3" xfId="32480" xr:uid="{00000000-0005-0000-0000-0000E47E0000}"/>
    <cellStyle name="Normal 8 2 2 4 8 4" xfId="32481" xr:uid="{00000000-0005-0000-0000-0000E57E0000}"/>
    <cellStyle name="Normal 8 2 2 4 8 5" xfId="32482" xr:uid="{00000000-0005-0000-0000-0000E67E0000}"/>
    <cellStyle name="Normal 8 2 2 4 8 6" xfId="32483" xr:uid="{00000000-0005-0000-0000-0000E77E0000}"/>
    <cellStyle name="Normal 8 2 2 4 9" xfId="32484" xr:uid="{00000000-0005-0000-0000-0000E87E0000}"/>
    <cellStyle name="Normal 8 2 2 4 9 2" xfId="32485" xr:uid="{00000000-0005-0000-0000-0000E97E0000}"/>
    <cellStyle name="Normal 8 2 2 4 9 3" xfId="32486" xr:uid="{00000000-0005-0000-0000-0000EA7E0000}"/>
    <cellStyle name="Normal 8 2 2 4 9 4" xfId="32487" xr:uid="{00000000-0005-0000-0000-0000EB7E0000}"/>
    <cellStyle name="Normal 8 2 2 4 9 5" xfId="32488" xr:uid="{00000000-0005-0000-0000-0000EC7E0000}"/>
    <cellStyle name="Normal 8 2 2 4 9 6" xfId="32489" xr:uid="{00000000-0005-0000-0000-0000ED7E0000}"/>
    <cellStyle name="Normal 8 2 20" xfId="32490" xr:uid="{00000000-0005-0000-0000-0000EE7E0000}"/>
    <cellStyle name="Normal 8 2 21" xfId="32491" xr:uid="{00000000-0005-0000-0000-0000EF7E0000}"/>
    <cellStyle name="Normal 8 2 22" xfId="32492" xr:uid="{00000000-0005-0000-0000-0000F07E0000}"/>
    <cellStyle name="Normal 8 2 23" xfId="32493" xr:uid="{00000000-0005-0000-0000-0000F17E0000}"/>
    <cellStyle name="Normal 8 2 24" xfId="32494" xr:uid="{00000000-0005-0000-0000-0000F27E0000}"/>
    <cellStyle name="Normal 8 2 25" xfId="32495" xr:uid="{00000000-0005-0000-0000-0000F37E0000}"/>
    <cellStyle name="Normal 8 2 26" xfId="32496" xr:uid="{00000000-0005-0000-0000-0000F47E0000}"/>
    <cellStyle name="Normal 8 2 27" xfId="32497" xr:uid="{00000000-0005-0000-0000-0000F57E0000}"/>
    <cellStyle name="Normal 8 2 28" xfId="32498" xr:uid="{00000000-0005-0000-0000-0000F67E0000}"/>
    <cellStyle name="Normal 8 2 29" xfId="32499" xr:uid="{00000000-0005-0000-0000-0000F77E0000}"/>
    <cellStyle name="Normal 8 2 3" xfId="32500" xr:uid="{00000000-0005-0000-0000-0000F87E0000}"/>
    <cellStyle name="Normal 8 2 30" xfId="32501" xr:uid="{00000000-0005-0000-0000-0000F97E0000}"/>
    <cellStyle name="Normal 8 2 31" xfId="32502" xr:uid="{00000000-0005-0000-0000-0000FA7E0000}"/>
    <cellStyle name="Normal 8 2 32" xfId="32503" xr:uid="{00000000-0005-0000-0000-0000FB7E0000}"/>
    <cellStyle name="Normal 8 2 33" xfId="32504" xr:uid="{00000000-0005-0000-0000-0000FC7E0000}"/>
    <cellStyle name="Normal 8 2 34" xfId="32505" xr:uid="{00000000-0005-0000-0000-0000FD7E0000}"/>
    <cellStyle name="Normal 8 2 35" xfId="32506" xr:uid="{00000000-0005-0000-0000-0000FE7E0000}"/>
    <cellStyle name="Normal 8 2 4" xfId="32507" xr:uid="{00000000-0005-0000-0000-0000FF7E0000}"/>
    <cellStyle name="Normal 8 2 5" xfId="32508" xr:uid="{00000000-0005-0000-0000-0000007F0000}"/>
    <cellStyle name="Normal 8 2 6" xfId="32509" xr:uid="{00000000-0005-0000-0000-0000017F0000}"/>
    <cellStyle name="Normal 8 2 7" xfId="32510" xr:uid="{00000000-0005-0000-0000-0000027F0000}"/>
    <cellStyle name="Normal 8 2 8" xfId="32511" xr:uid="{00000000-0005-0000-0000-0000037F0000}"/>
    <cellStyle name="Normal 8 2 9" xfId="32512" xr:uid="{00000000-0005-0000-0000-0000047F0000}"/>
    <cellStyle name="Normal 8 3" xfId="32513" xr:uid="{00000000-0005-0000-0000-0000057F0000}"/>
    <cellStyle name="Normal 8 3 10" xfId="32514" xr:uid="{00000000-0005-0000-0000-0000067F0000}"/>
    <cellStyle name="Normal 8 3 10 2" xfId="32515" xr:uid="{00000000-0005-0000-0000-0000077F0000}"/>
    <cellStyle name="Normal 8 3 10 3" xfId="32516" xr:uid="{00000000-0005-0000-0000-0000087F0000}"/>
    <cellStyle name="Normal 8 3 10 4" xfId="32517" xr:uid="{00000000-0005-0000-0000-0000097F0000}"/>
    <cellStyle name="Normal 8 3 10 5" xfId="32518" xr:uid="{00000000-0005-0000-0000-00000A7F0000}"/>
    <cellStyle name="Normal 8 3 10 6" xfId="32519" xr:uid="{00000000-0005-0000-0000-00000B7F0000}"/>
    <cellStyle name="Normal 8 3 11" xfId="32520" xr:uid="{00000000-0005-0000-0000-00000C7F0000}"/>
    <cellStyle name="Normal 8 3 11 2" xfId="32521" xr:uid="{00000000-0005-0000-0000-00000D7F0000}"/>
    <cellStyle name="Normal 8 3 11 3" xfId="32522" xr:uid="{00000000-0005-0000-0000-00000E7F0000}"/>
    <cellStyle name="Normal 8 3 11 4" xfId="32523" xr:uid="{00000000-0005-0000-0000-00000F7F0000}"/>
    <cellStyle name="Normal 8 3 11 5" xfId="32524" xr:uid="{00000000-0005-0000-0000-0000107F0000}"/>
    <cellStyle name="Normal 8 3 11 6" xfId="32525" xr:uid="{00000000-0005-0000-0000-0000117F0000}"/>
    <cellStyle name="Normal 8 3 12" xfId="32526" xr:uid="{00000000-0005-0000-0000-0000127F0000}"/>
    <cellStyle name="Normal 8 3 13" xfId="32527" xr:uid="{00000000-0005-0000-0000-0000137F0000}"/>
    <cellStyle name="Normal 8 3 14" xfId="32528" xr:uid="{00000000-0005-0000-0000-0000147F0000}"/>
    <cellStyle name="Normal 8 3 15" xfId="32529" xr:uid="{00000000-0005-0000-0000-0000157F0000}"/>
    <cellStyle name="Normal 8 3 16" xfId="32530" xr:uid="{00000000-0005-0000-0000-0000167F0000}"/>
    <cellStyle name="Normal 8 3 17" xfId="32531" xr:uid="{00000000-0005-0000-0000-0000177F0000}"/>
    <cellStyle name="Normal 8 3 18" xfId="32532" xr:uid="{00000000-0005-0000-0000-0000187F0000}"/>
    <cellStyle name="Normal 8 3 19" xfId="32533" xr:uid="{00000000-0005-0000-0000-0000197F0000}"/>
    <cellStyle name="Normal 8 3 2" xfId="32534" xr:uid="{00000000-0005-0000-0000-00001A7F0000}"/>
    <cellStyle name="Normal 8 3 2 10" xfId="32535" xr:uid="{00000000-0005-0000-0000-00001B7F0000}"/>
    <cellStyle name="Normal 8 3 2 10 2" xfId="32536" xr:uid="{00000000-0005-0000-0000-00001C7F0000}"/>
    <cellStyle name="Normal 8 3 2 10 3" xfId="32537" xr:uid="{00000000-0005-0000-0000-00001D7F0000}"/>
    <cellStyle name="Normal 8 3 2 10 4" xfId="32538" xr:uid="{00000000-0005-0000-0000-00001E7F0000}"/>
    <cellStyle name="Normal 8 3 2 10 5" xfId="32539" xr:uid="{00000000-0005-0000-0000-00001F7F0000}"/>
    <cellStyle name="Normal 8 3 2 10 6" xfId="32540" xr:uid="{00000000-0005-0000-0000-0000207F0000}"/>
    <cellStyle name="Normal 8 3 2 11" xfId="32541" xr:uid="{00000000-0005-0000-0000-0000217F0000}"/>
    <cellStyle name="Normal 8 3 2 12" xfId="32542" xr:uid="{00000000-0005-0000-0000-0000227F0000}"/>
    <cellStyle name="Normal 8 3 2 13" xfId="32543" xr:uid="{00000000-0005-0000-0000-0000237F0000}"/>
    <cellStyle name="Normal 8 3 2 14" xfId="32544" xr:uid="{00000000-0005-0000-0000-0000247F0000}"/>
    <cellStyle name="Normal 8 3 2 15" xfId="32545" xr:uid="{00000000-0005-0000-0000-0000257F0000}"/>
    <cellStyle name="Normal 8 3 2 2" xfId="32546" xr:uid="{00000000-0005-0000-0000-0000267F0000}"/>
    <cellStyle name="Normal 8 3 2 2 10" xfId="32547" xr:uid="{00000000-0005-0000-0000-0000277F0000}"/>
    <cellStyle name="Normal 8 3 2 2 11" xfId="32548" xr:uid="{00000000-0005-0000-0000-0000287F0000}"/>
    <cellStyle name="Normal 8 3 2 2 12" xfId="32549" xr:uid="{00000000-0005-0000-0000-0000297F0000}"/>
    <cellStyle name="Normal 8 3 2 2 13" xfId="32550" xr:uid="{00000000-0005-0000-0000-00002A7F0000}"/>
    <cellStyle name="Normal 8 3 2 2 14" xfId="32551" xr:uid="{00000000-0005-0000-0000-00002B7F0000}"/>
    <cellStyle name="Normal 8 3 2 2 2" xfId="32552" xr:uid="{00000000-0005-0000-0000-00002C7F0000}"/>
    <cellStyle name="Normal 8 3 2 2 2 2" xfId="32553" xr:uid="{00000000-0005-0000-0000-00002D7F0000}"/>
    <cellStyle name="Normal 8 3 2 2 2 3" xfId="32554" xr:uid="{00000000-0005-0000-0000-00002E7F0000}"/>
    <cellStyle name="Normal 8 3 2 2 2 4" xfId="32555" xr:uid="{00000000-0005-0000-0000-00002F7F0000}"/>
    <cellStyle name="Normal 8 3 2 2 2 5" xfId="32556" xr:uid="{00000000-0005-0000-0000-0000307F0000}"/>
    <cellStyle name="Normal 8 3 2 2 2 6" xfId="32557" xr:uid="{00000000-0005-0000-0000-0000317F0000}"/>
    <cellStyle name="Normal 8 3 2 2 3" xfId="32558" xr:uid="{00000000-0005-0000-0000-0000327F0000}"/>
    <cellStyle name="Normal 8 3 2 2 3 2" xfId="32559" xr:uid="{00000000-0005-0000-0000-0000337F0000}"/>
    <cellStyle name="Normal 8 3 2 2 3 3" xfId="32560" xr:uid="{00000000-0005-0000-0000-0000347F0000}"/>
    <cellStyle name="Normal 8 3 2 2 3 4" xfId="32561" xr:uid="{00000000-0005-0000-0000-0000357F0000}"/>
    <cellStyle name="Normal 8 3 2 2 3 5" xfId="32562" xr:uid="{00000000-0005-0000-0000-0000367F0000}"/>
    <cellStyle name="Normal 8 3 2 2 3 6" xfId="32563" xr:uid="{00000000-0005-0000-0000-0000377F0000}"/>
    <cellStyle name="Normal 8 3 2 2 4" xfId="32564" xr:uid="{00000000-0005-0000-0000-0000387F0000}"/>
    <cellStyle name="Normal 8 3 2 2 4 2" xfId="32565" xr:uid="{00000000-0005-0000-0000-0000397F0000}"/>
    <cellStyle name="Normal 8 3 2 2 4 3" xfId="32566" xr:uid="{00000000-0005-0000-0000-00003A7F0000}"/>
    <cellStyle name="Normal 8 3 2 2 4 4" xfId="32567" xr:uid="{00000000-0005-0000-0000-00003B7F0000}"/>
    <cellStyle name="Normal 8 3 2 2 4 5" xfId="32568" xr:uid="{00000000-0005-0000-0000-00003C7F0000}"/>
    <cellStyle name="Normal 8 3 2 2 4 6" xfId="32569" xr:uid="{00000000-0005-0000-0000-00003D7F0000}"/>
    <cellStyle name="Normal 8 3 2 2 5" xfId="32570" xr:uid="{00000000-0005-0000-0000-00003E7F0000}"/>
    <cellStyle name="Normal 8 3 2 2 5 2" xfId="32571" xr:uid="{00000000-0005-0000-0000-00003F7F0000}"/>
    <cellStyle name="Normal 8 3 2 2 5 3" xfId="32572" xr:uid="{00000000-0005-0000-0000-0000407F0000}"/>
    <cellStyle name="Normal 8 3 2 2 5 4" xfId="32573" xr:uid="{00000000-0005-0000-0000-0000417F0000}"/>
    <cellStyle name="Normal 8 3 2 2 5 5" xfId="32574" xr:uid="{00000000-0005-0000-0000-0000427F0000}"/>
    <cellStyle name="Normal 8 3 2 2 5 6" xfId="32575" xr:uid="{00000000-0005-0000-0000-0000437F0000}"/>
    <cellStyle name="Normal 8 3 2 2 6" xfId="32576" xr:uid="{00000000-0005-0000-0000-0000447F0000}"/>
    <cellStyle name="Normal 8 3 2 2 6 2" xfId="32577" xr:uid="{00000000-0005-0000-0000-0000457F0000}"/>
    <cellStyle name="Normal 8 3 2 2 6 3" xfId="32578" xr:uid="{00000000-0005-0000-0000-0000467F0000}"/>
    <cellStyle name="Normal 8 3 2 2 6 4" xfId="32579" xr:uid="{00000000-0005-0000-0000-0000477F0000}"/>
    <cellStyle name="Normal 8 3 2 2 6 5" xfId="32580" xr:uid="{00000000-0005-0000-0000-0000487F0000}"/>
    <cellStyle name="Normal 8 3 2 2 6 6" xfId="32581" xr:uid="{00000000-0005-0000-0000-0000497F0000}"/>
    <cellStyle name="Normal 8 3 2 2 7" xfId="32582" xr:uid="{00000000-0005-0000-0000-00004A7F0000}"/>
    <cellStyle name="Normal 8 3 2 2 7 2" xfId="32583" xr:uid="{00000000-0005-0000-0000-00004B7F0000}"/>
    <cellStyle name="Normal 8 3 2 2 7 3" xfId="32584" xr:uid="{00000000-0005-0000-0000-00004C7F0000}"/>
    <cellStyle name="Normal 8 3 2 2 7 4" xfId="32585" xr:uid="{00000000-0005-0000-0000-00004D7F0000}"/>
    <cellStyle name="Normal 8 3 2 2 7 5" xfId="32586" xr:uid="{00000000-0005-0000-0000-00004E7F0000}"/>
    <cellStyle name="Normal 8 3 2 2 7 6" xfId="32587" xr:uid="{00000000-0005-0000-0000-00004F7F0000}"/>
    <cellStyle name="Normal 8 3 2 2 8" xfId="32588" xr:uid="{00000000-0005-0000-0000-0000507F0000}"/>
    <cellStyle name="Normal 8 3 2 2 8 2" xfId="32589" xr:uid="{00000000-0005-0000-0000-0000517F0000}"/>
    <cellStyle name="Normal 8 3 2 2 8 3" xfId="32590" xr:uid="{00000000-0005-0000-0000-0000527F0000}"/>
    <cellStyle name="Normal 8 3 2 2 8 4" xfId="32591" xr:uid="{00000000-0005-0000-0000-0000537F0000}"/>
    <cellStyle name="Normal 8 3 2 2 8 5" xfId="32592" xr:uid="{00000000-0005-0000-0000-0000547F0000}"/>
    <cellStyle name="Normal 8 3 2 2 8 6" xfId="32593" xr:uid="{00000000-0005-0000-0000-0000557F0000}"/>
    <cellStyle name="Normal 8 3 2 2 9" xfId="32594" xr:uid="{00000000-0005-0000-0000-0000567F0000}"/>
    <cellStyle name="Normal 8 3 2 2 9 2" xfId="32595" xr:uid="{00000000-0005-0000-0000-0000577F0000}"/>
    <cellStyle name="Normal 8 3 2 2 9 3" xfId="32596" xr:uid="{00000000-0005-0000-0000-0000587F0000}"/>
    <cellStyle name="Normal 8 3 2 2 9 4" xfId="32597" xr:uid="{00000000-0005-0000-0000-0000597F0000}"/>
    <cellStyle name="Normal 8 3 2 2 9 5" xfId="32598" xr:uid="{00000000-0005-0000-0000-00005A7F0000}"/>
    <cellStyle name="Normal 8 3 2 2 9 6" xfId="32599" xr:uid="{00000000-0005-0000-0000-00005B7F0000}"/>
    <cellStyle name="Normal 8 3 2 3" xfId="32600" xr:uid="{00000000-0005-0000-0000-00005C7F0000}"/>
    <cellStyle name="Normal 8 3 2 3 2" xfId="32601" xr:uid="{00000000-0005-0000-0000-00005D7F0000}"/>
    <cellStyle name="Normal 8 3 2 3 3" xfId="32602" xr:uid="{00000000-0005-0000-0000-00005E7F0000}"/>
    <cellStyle name="Normal 8 3 2 3 4" xfId="32603" xr:uid="{00000000-0005-0000-0000-00005F7F0000}"/>
    <cellStyle name="Normal 8 3 2 3 5" xfId="32604" xr:uid="{00000000-0005-0000-0000-0000607F0000}"/>
    <cellStyle name="Normal 8 3 2 3 6" xfId="32605" xr:uid="{00000000-0005-0000-0000-0000617F0000}"/>
    <cellStyle name="Normal 8 3 2 4" xfId="32606" xr:uid="{00000000-0005-0000-0000-0000627F0000}"/>
    <cellStyle name="Normal 8 3 2 4 2" xfId="32607" xr:uid="{00000000-0005-0000-0000-0000637F0000}"/>
    <cellStyle name="Normal 8 3 2 4 3" xfId="32608" xr:uid="{00000000-0005-0000-0000-0000647F0000}"/>
    <cellStyle name="Normal 8 3 2 4 4" xfId="32609" xr:uid="{00000000-0005-0000-0000-0000657F0000}"/>
    <cellStyle name="Normal 8 3 2 4 5" xfId="32610" xr:uid="{00000000-0005-0000-0000-0000667F0000}"/>
    <cellStyle name="Normal 8 3 2 4 6" xfId="32611" xr:uid="{00000000-0005-0000-0000-0000677F0000}"/>
    <cellStyle name="Normal 8 3 2 5" xfId="32612" xr:uid="{00000000-0005-0000-0000-0000687F0000}"/>
    <cellStyle name="Normal 8 3 2 5 2" xfId="32613" xr:uid="{00000000-0005-0000-0000-0000697F0000}"/>
    <cellStyle name="Normal 8 3 2 5 3" xfId="32614" xr:uid="{00000000-0005-0000-0000-00006A7F0000}"/>
    <cellStyle name="Normal 8 3 2 5 4" xfId="32615" xr:uid="{00000000-0005-0000-0000-00006B7F0000}"/>
    <cellStyle name="Normal 8 3 2 5 5" xfId="32616" xr:uid="{00000000-0005-0000-0000-00006C7F0000}"/>
    <cellStyle name="Normal 8 3 2 5 6" xfId="32617" xr:uid="{00000000-0005-0000-0000-00006D7F0000}"/>
    <cellStyle name="Normal 8 3 2 6" xfId="32618" xr:uid="{00000000-0005-0000-0000-00006E7F0000}"/>
    <cellStyle name="Normal 8 3 2 6 2" xfId="32619" xr:uid="{00000000-0005-0000-0000-00006F7F0000}"/>
    <cellStyle name="Normal 8 3 2 6 3" xfId="32620" xr:uid="{00000000-0005-0000-0000-0000707F0000}"/>
    <cellStyle name="Normal 8 3 2 6 4" xfId="32621" xr:uid="{00000000-0005-0000-0000-0000717F0000}"/>
    <cellStyle name="Normal 8 3 2 6 5" xfId="32622" xr:uid="{00000000-0005-0000-0000-0000727F0000}"/>
    <cellStyle name="Normal 8 3 2 6 6" xfId="32623" xr:uid="{00000000-0005-0000-0000-0000737F0000}"/>
    <cellStyle name="Normal 8 3 2 7" xfId="32624" xr:uid="{00000000-0005-0000-0000-0000747F0000}"/>
    <cellStyle name="Normal 8 3 2 7 2" xfId="32625" xr:uid="{00000000-0005-0000-0000-0000757F0000}"/>
    <cellStyle name="Normal 8 3 2 7 3" xfId="32626" xr:uid="{00000000-0005-0000-0000-0000767F0000}"/>
    <cellStyle name="Normal 8 3 2 7 4" xfId="32627" xr:uid="{00000000-0005-0000-0000-0000777F0000}"/>
    <cellStyle name="Normal 8 3 2 7 5" xfId="32628" xr:uid="{00000000-0005-0000-0000-0000787F0000}"/>
    <cellStyle name="Normal 8 3 2 7 6" xfId="32629" xr:uid="{00000000-0005-0000-0000-0000797F0000}"/>
    <cellStyle name="Normal 8 3 2 8" xfId="32630" xr:uid="{00000000-0005-0000-0000-00007A7F0000}"/>
    <cellStyle name="Normal 8 3 2 8 2" xfId="32631" xr:uid="{00000000-0005-0000-0000-00007B7F0000}"/>
    <cellStyle name="Normal 8 3 2 8 3" xfId="32632" xr:uid="{00000000-0005-0000-0000-00007C7F0000}"/>
    <cellStyle name="Normal 8 3 2 8 4" xfId="32633" xr:uid="{00000000-0005-0000-0000-00007D7F0000}"/>
    <cellStyle name="Normal 8 3 2 8 5" xfId="32634" xr:uid="{00000000-0005-0000-0000-00007E7F0000}"/>
    <cellStyle name="Normal 8 3 2 8 6" xfId="32635" xr:uid="{00000000-0005-0000-0000-00007F7F0000}"/>
    <cellStyle name="Normal 8 3 2 9" xfId="32636" xr:uid="{00000000-0005-0000-0000-0000807F0000}"/>
    <cellStyle name="Normal 8 3 2 9 2" xfId="32637" xr:uid="{00000000-0005-0000-0000-0000817F0000}"/>
    <cellStyle name="Normal 8 3 2 9 3" xfId="32638" xr:uid="{00000000-0005-0000-0000-0000827F0000}"/>
    <cellStyle name="Normal 8 3 2 9 4" xfId="32639" xr:uid="{00000000-0005-0000-0000-0000837F0000}"/>
    <cellStyle name="Normal 8 3 2 9 5" xfId="32640" xr:uid="{00000000-0005-0000-0000-0000847F0000}"/>
    <cellStyle name="Normal 8 3 2 9 6" xfId="32641" xr:uid="{00000000-0005-0000-0000-0000857F0000}"/>
    <cellStyle name="Normal 8 3 20" xfId="32642" xr:uid="{00000000-0005-0000-0000-0000867F0000}"/>
    <cellStyle name="Normal 8 3 21" xfId="32643" xr:uid="{00000000-0005-0000-0000-0000877F0000}"/>
    <cellStyle name="Normal 8 3 22" xfId="32644" xr:uid="{00000000-0005-0000-0000-0000887F0000}"/>
    <cellStyle name="Normal 8 3 23" xfId="32645" xr:uid="{00000000-0005-0000-0000-0000897F0000}"/>
    <cellStyle name="Normal 8 3 24" xfId="32646" xr:uid="{00000000-0005-0000-0000-00008A7F0000}"/>
    <cellStyle name="Normal 8 3 25" xfId="32647" xr:uid="{00000000-0005-0000-0000-00008B7F0000}"/>
    <cellStyle name="Normal 8 3 26" xfId="32648" xr:uid="{00000000-0005-0000-0000-00008C7F0000}"/>
    <cellStyle name="Normal 8 3 27" xfId="32649" xr:uid="{00000000-0005-0000-0000-00008D7F0000}"/>
    <cellStyle name="Normal 8 3 28" xfId="32650" xr:uid="{00000000-0005-0000-0000-00008E7F0000}"/>
    <cellStyle name="Normal 8 3 29" xfId="32651" xr:uid="{00000000-0005-0000-0000-00008F7F0000}"/>
    <cellStyle name="Normal 8 3 3" xfId="32652" xr:uid="{00000000-0005-0000-0000-0000907F0000}"/>
    <cellStyle name="Normal 8 3 3 10" xfId="32653" xr:uid="{00000000-0005-0000-0000-0000917F0000}"/>
    <cellStyle name="Normal 8 3 3 11" xfId="32654" xr:uid="{00000000-0005-0000-0000-0000927F0000}"/>
    <cellStyle name="Normal 8 3 3 12" xfId="32655" xr:uid="{00000000-0005-0000-0000-0000937F0000}"/>
    <cellStyle name="Normal 8 3 3 13" xfId="32656" xr:uid="{00000000-0005-0000-0000-0000947F0000}"/>
    <cellStyle name="Normal 8 3 3 14" xfId="32657" xr:uid="{00000000-0005-0000-0000-0000957F0000}"/>
    <cellStyle name="Normal 8 3 3 2" xfId="32658" xr:uid="{00000000-0005-0000-0000-0000967F0000}"/>
    <cellStyle name="Normal 8 3 3 2 2" xfId="32659" xr:uid="{00000000-0005-0000-0000-0000977F0000}"/>
    <cellStyle name="Normal 8 3 3 2 3" xfId="32660" xr:uid="{00000000-0005-0000-0000-0000987F0000}"/>
    <cellStyle name="Normal 8 3 3 2 4" xfId="32661" xr:uid="{00000000-0005-0000-0000-0000997F0000}"/>
    <cellStyle name="Normal 8 3 3 2 5" xfId="32662" xr:uid="{00000000-0005-0000-0000-00009A7F0000}"/>
    <cellStyle name="Normal 8 3 3 2 6" xfId="32663" xr:uid="{00000000-0005-0000-0000-00009B7F0000}"/>
    <cellStyle name="Normal 8 3 3 3" xfId="32664" xr:uid="{00000000-0005-0000-0000-00009C7F0000}"/>
    <cellStyle name="Normal 8 3 3 3 2" xfId="32665" xr:uid="{00000000-0005-0000-0000-00009D7F0000}"/>
    <cellStyle name="Normal 8 3 3 3 3" xfId="32666" xr:uid="{00000000-0005-0000-0000-00009E7F0000}"/>
    <cellStyle name="Normal 8 3 3 3 4" xfId="32667" xr:uid="{00000000-0005-0000-0000-00009F7F0000}"/>
    <cellStyle name="Normal 8 3 3 3 5" xfId="32668" xr:uid="{00000000-0005-0000-0000-0000A07F0000}"/>
    <cellStyle name="Normal 8 3 3 3 6" xfId="32669" xr:uid="{00000000-0005-0000-0000-0000A17F0000}"/>
    <cellStyle name="Normal 8 3 3 4" xfId="32670" xr:uid="{00000000-0005-0000-0000-0000A27F0000}"/>
    <cellStyle name="Normal 8 3 3 4 2" xfId="32671" xr:uid="{00000000-0005-0000-0000-0000A37F0000}"/>
    <cellStyle name="Normal 8 3 3 4 3" xfId="32672" xr:uid="{00000000-0005-0000-0000-0000A47F0000}"/>
    <cellStyle name="Normal 8 3 3 4 4" xfId="32673" xr:uid="{00000000-0005-0000-0000-0000A57F0000}"/>
    <cellStyle name="Normal 8 3 3 4 5" xfId="32674" xr:uid="{00000000-0005-0000-0000-0000A67F0000}"/>
    <cellStyle name="Normal 8 3 3 4 6" xfId="32675" xr:uid="{00000000-0005-0000-0000-0000A77F0000}"/>
    <cellStyle name="Normal 8 3 3 5" xfId="32676" xr:uid="{00000000-0005-0000-0000-0000A87F0000}"/>
    <cellStyle name="Normal 8 3 3 5 2" xfId="32677" xr:uid="{00000000-0005-0000-0000-0000A97F0000}"/>
    <cellStyle name="Normal 8 3 3 5 3" xfId="32678" xr:uid="{00000000-0005-0000-0000-0000AA7F0000}"/>
    <cellStyle name="Normal 8 3 3 5 4" xfId="32679" xr:uid="{00000000-0005-0000-0000-0000AB7F0000}"/>
    <cellStyle name="Normal 8 3 3 5 5" xfId="32680" xr:uid="{00000000-0005-0000-0000-0000AC7F0000}"/>
    <cellStyle name="Normal 8 3 3 5 6" xfId="32681" xr:uid="{00000000-0005-0000-0000-0000AD7F0000}"/>
    <cellStyle name="Normal 8 3 3 6" xfId="32682" xr:uid="{00000000-0005-0000-0000-0000AE7F0000}"/>
    <cellStyle name="Normal 8 3 3 6 2" xfId="32683" xr:uid="{00000000-0005-0000-0000-0000AF7F0000}"/>
    <cellStyle name="Normal 8 3 3 6 3" xfId="32684" xr:uid="{00000000-0005-0000-0000-0000B07F0000}"/>
    <cellStyle name="Normal 8 3 3 6 4" xfId="32685" xr:uid="{00000000-0005-0000-0000-0000B17F0000}"/>
    <cellStyle name="Normal 8 3 3 6 5" xfId="32686" xr:uid="{00000000-0005-0000-0000-0000B27F0000}"/>
    <cellStyle name="Normal 8 3 3 6 6" xfId="32687" xr:uid="{00000000-0005-0000-0000-0000B37F0000}"/>
    <cellStyle name="Normal 8 3 3 7" xfId="32688" xr:uid="{00000000-0005-0000-0000-0000B47F0000}"/>
    <cellStyle name="Normal 8 3 3 7 2" xfId="32689" xr:uid="{00000000-0005-0000-0000-0000B57F0000}"/>
    <cellStyle name="Normal 8 3 3 7 3" xfId="32690" xr:uid="{00000000-0005-0000-0000-0000B67F0000}"/>
    <cellStyle name="Normal 8 3 3 7 4" xfId="32691" xr:uid="{00000000-0005-0000-0000-0000B77F0000}"/>
    <cellStyle name="Normal 8 3 3 7 5" xfId="32692" xr:uid="{00000000-0005-0000-0000-0000B87F0000}"/>
    <cellStyle name="Normal 8 3 3 7 6" xfId="32693" xr:uid="{00000000-0005-0000-0000-0000B97F0000}"/>
    <cellStyle name="Normal 8 3 3 8" xfId="32694" xr:uid="{00000000-0005-0000-0000-0000BA7F0000}"/>
    <cellStyle name="Normal 8 3 3 8 2" xfId="32695" xr:uid="{00000000-0005-0000-0000-0000BB7F0000}"/>
    <cellStyle name="Normal 8 3 3 8 3" xfId="32696" xr:uid="{00000000-0005-0000-0000-0000BC7F0000}"/>
    <cellStyle name="Normal 8 3 3 8 4" xfId="32697" xr:uid="{00000000-0005-0000-0000-0000BD7F0000}"/>
    <cellStyle name="Normal 8 3 3 8 5" xfId="32698" xr:uid="{00000000-0005-0000-0000-0000BE7F0000}"/>
    <cellStyle name="Normal 8 3 3 8 6" xfId="32699" xr:uid="{00000000-0005-0000-0000-0000BF7F0000}"/>
    <cellStyle name="Normal 8 3 3 9" xfId="32700" xr:uid="{00000000-0005-0000-0000-0000C07F0000}"/>
    <cellStyle name="Normal 8 3 3 9 2" xfId="32701" xr:uid="{00000000-0005-0000-0000-0000C17F0000}"/>
    <cellStyle name="Normal 8 3 3 9 3" xfId="32702" xr:uid="{00000000-0005-0000-0000-0000C27F0000}"/>
    <cellStyle name="Normal 8 3 3 9 4" xfId="32703" xr:uid="{00000000-0005-0000-0000-0000C37F0000}"/>
    <cellStyle name="Normal 8 3 3 9 5" xfId="32704" xr:uid="{00000000-0005-0000-0000-0000C47F0000}"/>
    <cellStyle name="Normal 8 3 3 9 6" xfId="32705" xr:uid="{00000000-0005-0000-0000-0000C57F0000}"/>
    <cellStyle name="Normal 8 3 30" xfId="32706" xr:uid="{00000000-0005-0000-0000-0000C67F0000}"/>
    <cellStyle name="Normal 8 3 31" xfId="32707" xr:uid="{00000000-0005-0000-0000-0000C77F0000}"/>
    <cellStyle name="Normal 8 3 32" xfId="32708" xr:uid="{00000000-0005-0000-0000-0000C87F0000}"/>
    <cellStyle name="Normal 8 3 33" xfId="32709" xr:uid="{00000000-0005-0000-0000-0000C97F0000}"/>
    <cellStyle name="Normal 8 3 4" xfId="32710" xr:uid="{00000000-0005-0000-0000-0000CA7F0000}"/>
    <cellStyle name="Normal 8 3 4 2" xfId="32711" xr:uid="{00000000-0005-0000-0000-0000CB7F0000}"/>
    <cellStyle name="Normal 8 3 4 3" xfId="32712" xr:uid="{00000000-0005-0000-0000-0000CC7F0000}"/>
    <cellStyle name="Normal 8 3 4 4" xfId="32713" xr:uid="{00000000-0005-0000-0000-0000CD7F0000}"/>
    <cellStyle name="Normal 8 3 4 5" xfId="32714" xr:uid="{00000000-0005-0000-0000-0000CE7F0000}"/>
    <cellStyle name="Normal 8 3 4 6" xfId="32715" xr:uid="{00000000-0005-0000-0000-0000CF7F0000}"/>
    <cellStyle name="Normal 8 3 5" xfId="32716" xr:uid="{00000000-0005-0000-0000-0000D07F0000}"/>
    <cellStyle name="Normal 8 3 5 2" xfId="32717" xr:uid="{00000000-0005-0000-0000-0000D17F0000}"/>
    <cellStyle name="Normal 8 3 5 3" xfId="32718" xr:uid="{00000000-0005-0000-0000-0000D27F0000}"/>
    <cellStyle name="Normal 8 3 5 4" xfId="32719" xr:uid="{00000000-0005-0000-0000-0000D37F0000}"/>
    <cellStyle name="Normal 8 3 5 5" xfId="32720" xr:uid="{00000000-0005-0000-0000-0000D47F0000}"/>
    <cellStyle name="Normal 8 3 5 6" xfId="32721" xr:uid="{00000000-0005-0000-0000-0000D57F0000}"/>
    <cellStyle name="Normal 8 3 6" xfId="32722" xr:uid="{00000000-0005-0000-0000-0000D67F0000}"/>
    <cellStyle name="Normal 8 3 6 2" xfId="32723" xr:uid="{00000000-0005-0000-0000-0000D77F0000}"/>
    <cellStyle name="Normal 8 3 6 3" xfId="32724" xr:uid="{00000000-0005-0000-0000-0000D87F0000}"/>
    <cellStyle name="Normal 8 3 6 4" xfId="32725" xr:uid="{00000000-0005-0000-0000-0000D97F0000}"/>
    <cellStyle name="Normal 8 3 6 5" xfId="32726" xr:uid="{00000000-0005-0000-0000-0000DA7F0000}"/>
    <cellStyle name="Normal 8 3 6 6" xfId="32727" xr:uid="{00000000-0005-0000-0000-0000DB7F0000}"/>
    <cellStyle name="Normal 8 3 7" xfId="32728" xr:uid="{00000000-0005-0000-0000-0000DC7F0000}"/>
    <cellStyle name="Normal 8 3 7 2" xfId="32729" xr:uid="{00000000-0005-0000-0000-0000DD7F0000}"/>
    <cellStyle name="Normal 8 3 7 3" xfId="32730" xr:uid="{00000000-0005-0000-0000-0000DE7F0000}"/>
    <cellStyle name="Normal 8 3 7 4" xfId="32731" xr:uid="{00000000-0005-0000-0000-0000DF7F0000}"/>
    <cellStyle name="Normal 8 3 7 5" xfId="32732" xr:uid="{00000000-0005-0000-0000-0000E07F0000}"/>
    <cellStyle name="Normal 8 3 7 6" xfId="32733" xr:uid="{00000000-0005-0000-0000-0000E17F0000}"/>
    <cellStyle name="Normal 8 3 8" xfId="32734" xr:uid="{00000000-0005-0000-0000-0000E27F0000}"/>
    <cellStyle name="Normal 8 3 8 2" xfId="32735" xr:uid="{00000000-0005-0000-0000-0000E37F0000}"/>
    <cellStyle name="Normal 8 3 8 3" xfId="32736" xr:uid="{00000000-0005-0000-0000-0000E47F0000}"/>
    <cellStyle name="Normal 8 3 8 4" xfId="32737" xr:uid="{00000000-0005-0000-0000-0000E57F0000}"/>
    <cellStyle name="Normal 8 3 8 5" xfId="32738" xr:uid="{00000000-0005-0000-0000-0000E67F0000}"/>
    <cellStyle name="Normal 8 3 8 6" xfId="32739" xr:uid="{00000000-0005-0000-0000-0000E77F0000}"/>
    <cellStyle name="Normal 8 3 9" xfId="32740" xr:uid="{00000000-0005-0000-0000-0000E87F0000}"/>
    <cellStyle name="Normal 8 3 9 2" xfId="32741" xr:uid="{00000000-0005-0000-0000-0000E97F0000}"/>
    <cellStyle name="Normal 8 3 9 3" xfId="32742" xr:uid="{00000000-0005-0000-0000-0000EA7F0000}"/>
    <cellStyle name="Normal 8 3 9 4" xfId="32743" xr:uid="{00000000-0005-0000-0000-0000EB7F0000}"/>
    <cellStyle name="Normal 8 3 9 5" xfId="32744" xr:uid="{00000000-0005-0000-0000-0000EC7F0000}"/>
    <cellStyle name="Normal 8 3 9 6" xfId="32745" xr:uid="{00000000-0005-0000-0000-0000ED7F0000}"/>
    <cellStyle name="Normal 8 4" xfId="32746" xr:uid="{00000000-0005-0000-0000-0000EE7F0000}"/>
    <cellStyle name="Normal 8 4 10" xfId="32747" xr:uid="{00000000-0005-0000-0000-0000EF7F0000}"/>
    <cellStyle name="Normal 8 4 10 2" xfId="32748" xr:uid="{00000000-0005-0000-0000-0000F07F0000}"/>
    <cellStyle name="Normal 8 4 10 3" xfId="32749" xr:uid="{00000000-0005-0000-0000-0000F17F0000}"/>
    <cellStyle name="Normal 8 4 10 4" xfId="32750" xr:uid="{00000000-0005-0000-0000-0000F27F0000}"/>
    <cellStyle name="Normal 8 4 10 5" xfId="32751" xr:uid="{00000000-0005-0000-0000-0000F37F0000}"/>
    <cellStyle name="Normal 8 4 10 6" xfId="32752" xr:uid="{00000000-0005-0000-0000-0000F47F0000}"/>
    <cellStyle name="Normal 8 4 11" xfId="32753" xr:uid="{00000000-0005-0000-0000-0000F57F0000}"/>
    <cellStyle name="Normal 8 4 11 2" xfId="32754" xr:uid="{00000000-0005-0000-0000-0000F67F0000}"/>
    <cellStyle name="Normal 8 4 11 3" xfId="32755" xr:uid="{00000000-0005-0000-0000-0000F77F0000}"/>
    <cellStyle name="Normal 8 4 11 4" xfId="32756" xr:uid="{00000000-0005-0000-0000-0000F87F0000}"/>
    <cellStyle name="Normal 8 4 11 5" xfId="32757" xr:uid="{00000000-0005-0000-0000-0000F97F0000}"/>
    <cellStyle name="Normal 8 4 11 6" xfId="32758" xr:uid="{00000000-0005-0000-0000-0000FA7F0000}"/>
    <cellStyle name="Normal 8 4 12" xfId="32759" xr:uid="{00000000-0005-0000-0000-0000FB7F0000}"/>
    <cellStyle name="Normal 8 4 13" xfId="32760" xr:uid="{00000000-0005-0000-0000-0000FC7F0000}"/>
    <cellStyle name="Normal 8 4 14" xfId="32761" xr:uid="{00000000-0005-0000-0000-0000FD7F0000}"/>
    <cellStyle name="Normal 8 4 15" xfId="32762" xr:uid="{00000000-0005-0000-0000-0000FE7F0000}"/>
    <cellStyle name="Normal 8 4 16" xfId="32763" xr:uid="{00000000-0005-0000-0000-0000FF7F0000}"/>
    <cellStyle name="Normal 8 4 17" xfId="32764" xr:uid="{00000000-0005-0000-0000-000000800000}"/>
    <cellStyle name="Normal 8 4 18" xfId="32765" xr:uid="{00000000-0005-0000-0000-000001800000}"/>
    <cellStyle name="Normal 8 4 19" xfId="32766" xr:uid="{00000000-0005-0000-0000-000002800000}"/>
    <cellStyle name="Normal 8 4 2" xfId="32767" xr:uid="{00000000-0005-0000-0000-000003800000}"/>
    <cellStyle name="Normal 8 4 2 10" xfId="32768" xr:uid="{00000000-0005-0000-0000-000004800000}"/>
    <cellStyle name="Normal 8 4 2 10 2" xfId="32769" xr:uid="{00000000-0005-0000-0000-000005800000}"/>
    <cellStyle name="Normal 8 4 2 10 3" xfId="32770" xr:uid="{00000000-0005-0000-0000-000006800000}"/>
    <cellStyle name="Normal 8 4 2 10 4" xfId="32771" xr:uid="{00000000-0005-0000-0000-000007800000}"/>
    <cellStyle name="Normal 8 4 2 10 5" xfId="32772" xr:uid="{00000000-0005-0000-0000-000008800000}"/>
    <cellStyle name="Normal 8 4 2 10 6" xfId="32773" xr:uid="{00000000-0005-0000-0000-000009800000}"/>
    <cellStyle name="Normal 8 4 2 11" xfId="32774" xr:uid="{00000000-0005-0000-0000-00000A800000}"/>
    <cellStyle name="Normal 8 4 2 12" xfId="32775" xr:uid="{00000000-0005-0000-0000-00000B800000}"/>
    <cellStyle name="Normal 8 4 2 13" xfId="32776" xr:uid="{00000000-0005-0000-0000-00000C800000}"/>
    <cellStyle name="Normal 8 4 2 14" xfId="32777" xr:uid="{00000000-0005-0000-0000-00000D800000}"/>
    <cellStyle name="Normal 8 4 2 15" xfId="32778" xr:uid="{00000000-0005-0000-0000-00000E800000}"/>
    <cellStyle name="Normal 8 4 2 2" xfId="32779" xr:uid="{00000000-0005-0000-0000-00000F800000}"/>
    <cellStyle name="Normal 8 4 2 2 10" xfId="32780" xr:uid="{00000000-0005-0000-0000-000010800000}"/>
    <cellStyle name="Normal 8 4 2 2 11" xfId="32781" xr:uid="{00000000-0005-0000-0000-000011800000}"/>
    <cellStyle name="Normal 8 4 2 2 12" xfId="32782" xr:uid="{00000000-0005-0000-0000-000012800000}"/>
    <cellStyle name="Normal 8 4 2 2 13" xfId="32783" xr:uid="{00000000-0005-0000-0000-000013800000}"/>
    <cellStyle name="Normal 8 4 2 2 14" xfId="32784" xr:uid="{00000000-0005-0000-0000-000014800000}"/>
    <cellStyle name="Normal 8 4 2 2 2" xfId="32785" xr:uid="{00000000-0005-0000-0000-000015800000}"/>
    <cellStyle name="Normal 8 4 2 2 2 2" xfId="32786" xr:uid="{00000000-0005-0000-0000-000016800000}"/>
    <cellStyle name="Normal 8 4 2 2 2 3" xfId="32787" xr:uid="{00000000-0005-0000-0000-000017800000}"/>
    <cellStyle name="Normal 8 4 2 2 2 4" xfId="32788" xr:uid="{00000000-0005-0000-0000-000018800000}"/>
    <cellStyle name="Normal 8 4 2 2 2 5" xfId="32789" xr:uid="{00000000-0005-0000-0000-000019800000}"/>
    <cellStyle name="Normal 8 4 2 2 2 6" xfId="32790" xr:uid="{00000000-0005-0000-0000-00001A800000}"/>
    <cellStyle name="Normal 8 4 2 2 3" xfId="32791" xr:uid="{00000000-0005-0000-0000-00001B800000}"/>
    <cellStyle name="Normal 8 4 2 2 3 2" xfId="32792" xr:uid="{00000000-0005-0000-0000-00001C800000}"/>
    <cellStyle name="Normal 8 4 2 2 3 3" xfId="32793" xr:uid="{00000000-0005-0000-0000-00001D800000}"/>
    <cellStyle name="Normal 8 4 2 2 3 4" xfId="32794" xr:uid="{00000000-0005-0000-0000-00001E800000}"/>
    <cellStyle name="Normal 8 4 2 2 3 5" xfId="32795" xr:uid="{00000000-0005-0000-0000-00001F800000}"/>
    <cellStyle name="Normal 8 4 2 2 3 6" xfId="32796" xr:uid="{00000000-0005-0000-0000-000020800000}"/>
    <cellStyle name="Normal 8 4 2 2 4" xfId="32797" xr:uid="{00000000-0005-0000-0000-000021800000}"/>
    <cellStyle name="Normal 8 4 2 2 4 2" xfId="32798" xr:uid="{00000000-0005-0000-0000-000022800000}"/>
    <cellStyle name="Normal 8 4 2 2 4 3" xfId="32799" xr:uid="{00000000-0005-0000-0000-000023800000}"/>
    <cellStyle name="Normal 8 4 2 2 4 4" xfId="32800" xr:uid="{00000000-0005-0000-0000-000024800000}"/>
    <cellStyle name="Normal 8 4 2 2 4 5" xfId="32801" xr:uid="{00000000-0005-0000-0000-000025800000}"/>
    <cellStyle name="Normal 8 4 2 2 4 6" xfId="32802" xr:uid="{00000000-0005-0000-0000-000026800000}"/>
    <cellStyle name="Normal 8 4 2 2 5" xfId="32803" xr:uid="{00000000-0005-0000-0000-000027800000}"/>
    <cellStyle name="Normal 8 4 2 2 5 2" xfId="32804" xr:uid="{00000000-0005-0000-0000-000028800000}"/>
    <cellStyle name="Normal 8 4 2 2 5 3" xfId="32805" xr:uid="{00000000-0005-0000-0000-000029800000}"/>
    <cellStyle name="Normal 8 4 2 2 5 4" xfId="32806" xr:uid="{00000000-0005-0000-0000-00002A800000}"/>
    <cellStyle name="Normal 8 4 2 2 5 5" xfId="32807" xr:uid="{00000000-0005-0000-0000-00002B800000}"/>
    <cellStyle name="Normal 8 4 2 2 5 6" xfId="32808" xr:uid="{00000000-0005-0000-0000-00002C800000}"/>
    <cellStyle name="Normal 8 4 2 2 6" xfId="32809" xr:uid="{00000000-0005-0000-0000-00002D800000}"/>
    <cellStyle name="Normal 8 4 2 2 6 2" xfId="32810" xr:uid="{00000000-0005-0000-0000-00002E800000}"/>
    <cellStyle name="Normal 8 4 2 2 6 3" xfId="32811" xr:uid="{00000000-0005-0000-0000-00002F800000}"/>
    <cellStyle name="Normal 8 4 2 2 6 4" xfId="32812" xr:uid="{00000000-0005-0000-0000-000030800000}"/>
    <cellStyle name="Normal 8 4 2 2 6 5" xfId="32813" xr:uid="{00000000-0005-0000-0000-000031800000}"/>
    <cellStyle name="Normal 8 4 2 2 6 6" xfId="32814" xr:uid="{00000000-0005-0000-0000-000032800000}"/>
    <cellStyle name="Normal 8 4 2 2 7" xfId="32815" xr:uid="{00000000-0005-0000-0000-000033800000}"/>
    <cellStyle name="Normal 8 4 2 2 7 2" xfId="32816" xr:uid="{00000000-0005-0000-0000-000034800000}"/>
    <cellStyle name="Normal 8 4 2 2 7 3" xfId="32817" xr:uid="{00000000-0005-0000-0000-000035800000}"/>
    <cellStyle name="Normal 8 4 2 2 7 4" xfId="32818" xr:uid="{00000000-0005-0000-0000-000036800000}"/>
    <cellStyle name="Normal 8 4 2 2 7 5" xfId="32819" xr:uid="{00000000-0005-0000-0000-000037800000}"/>
    <cellStyle name="Normal 8 4 2 2 7 6" xfId="32820" xr:uid="{00000000-0005-0000-0000-000038800000}"/>
    <cellStyle name="Normal 8 4 2 2 8" xfId="32821" xr:uid="{00000000-0005-0000-0000-000039800000}"/>
    <cellStyle name="Normal 8 4 2 2 8 2" xfId="32822" xr:uid="{00000000-0005-0000-0000-00003A800000}"/>
    <cellStyle name="Normal 8 4 2 2 8 3" xfId="32823" xr:uid="{00000000-0005-0000-0000-00003B800000}"/>
    <cellStyle name="Normal 8 4 2 2 8 4" xfId="32824" xr:uid="{00000000-0005-0000-0000-00003C800000}"/>
    <cellStyle name="Normal 8 4 2 2 8 5" xfId="32825" xr:uid="{00000000-0005-0000-0000-00003D800000}"/>
    <cellStyle name="Normal 8 4 2 2 8 6" xfId="32826" xr:uid="{00000000-0005-0000-0000-00003E800000}"/>
    <cellStyle name="Normal 8 4 2 2 9" xfId="32827" xr:uid="{00000000-0005-0000-0000-00003F800000}"/>
    <cellStyle name="Normal 8 4 2 2 9 2" xfId="32828" xr:uid="{00000000-0005-0000-0000-000040800000}"/>
    <cellStyle name="Normal 8 4 2 2 9 3" xfId="32829" xr:uid="{00000000-0005-0000-0000-000041800000}"/>
    <cellStyle name="Normal 8 4 2 2 9 4" xfId="32830" xr:uid="{00000000-0005-0000-0000-000042800000}"/>
    <cellStyle name="Normal 8 4 2 2 9 5" xfId="32831" xr:uid="{00000000-0005-0000-0000-000043800000}"/>
    <cellStyle name="Normal 8 4 2 2 9 6" xfId="32832" xr:uid="{00000000-0005-0000-0000-000044800000}"/>
    <cellStyle name="Normal 8 4 2 3" xfId="32833" xr:uid="{00000000-0005-0000-0000-000045800000}"/>
    <cellStyle name="Normal 8 4 2 3 2" xfId="32834" xr:uid="{00000000-0005-0000-0000-000046800000}"/>
    <cellStyle name="Normal 8 4 2 3 3" xfId="32835" xr:uid="{00000000-0005-0000-0000-000047800000}"/>
    <cellStyle name="Normal 8 4 2 3 4" xfId="32836" xr:uid="{00000000-0005-0000-0000-000048800000}"/>
    <cellStyle name="Normal 8 4 2 3 5" xfId="32837" xr:uid="{00000000-0005-0000-0000-000049800000}"/>
    <cellStyle name="Normal 8 4 2 3 6" xfId="32838" xr:uid="{00000000-0005-0000-0000-00004A800000}"/>
    <cellStyle name="Normal 8 4 2 4" xfId="32839" xr:uid="{00000000-0005-0000-0000-00004B800000}"/>
    <cellStyle name="Normal 8 4 2 4 2" xfId="32840" xr:uid="{00000000-0005-0000-0000-00004C800000}"/>
    <cellStyle name="Normal 8 4 2 4 3" xfId="32841" xr:uid="{00000000-0005-0000-0000-00004D800000}"/>
    <cellStyle name="Normal 8 4 2 4 4" xfId="32842" xr:uid="{00000000-0005-0000-0000-00004E800000}"/>
    <cellStyle name="Normal 8 4 2 4 5" xfId="32843" xr:uid="{00000000-0005-0000-0000-00004F800000}"/>
    <cellStyle name="Normal 8 4 2 4 6" xfId="32844" xr:uid="{00000000-0005-0000-0000-000050800000}"/>
    <cellStyle name="Normal 8 4 2 5" xfId="32845" xr:uid="{00000000-0005-0000-0000-000051800000}"/>
    <cellStyle name="Normal 8 4 2 5 2" xfId="32846" xr:uid="{00000000-0005-0000-0000-000052800000}"/>
    <cellStyle name="Normal 8 4 2 5 3" xfId="32847" xr:uid="{00000000-0005-0000-0000-000053800000}"/>
    <cellStyle name="Normal 8 4 2 5 4" xfId="32848" xr:uid="{00000000-0005-0000-0000-000054800000}"/>
    <cellStyle name="Normal 8 4 2 5 5" xfId="32849" xr:uid="{00000000-0005-0000-0000-000055800000}"/>
    <cellStyle name="Normal 8 4 2 5 6" xfId="32850" xr:uid="{00000000-0005-0000-0000-000056800000}"/>
    <cellStyle name="Normal 8 4 2 6" xfId="32851" xr:uid="{00000000-0005-0000-0000-000057800000}"/>
    <cellStyle name="Normal 8 4 2 6 2" xfId="32852" xr:uid="{00000000-0005-0000-0000-000058800000}"/>
    <cellStyle name="Normal 8 4 2 6 3" xfId="32853" xr:uid="{00000000-0005-0000-0000-000059800000}"/>
    <cellStyle name="Normal 8 4 2 6 4" xfId="32854" xr:uid="{00000000-0005-0000-0000-00005A800000}"/>
    <cellStyle name="Normal 8 4 2 6 5" xfId="32855" xr:uid="{00000000-0005-0000-0000-00005B800000}"/>
    <cellStyle name="Normal 8 4 2 6 6" xfId="32856" xr:uid="{00000000-0005-0000-0000-00005C800000}"/>
    <cellStyle name="Normal 8 4 2 7" xfId="32857" xr:uid="{00000000-0005-0000-0000-00005D800000}"/>
    <cellStyle name="Normal 8 4 2 7 2" xfId="32858" xr:uid="{00000000-0005-0000-0000-00005E800000}"/>
    <cellStyle name="Normal 8 4 2 7 3" xfId="32859" xr:uid="{00000000-0005-0000-0000-00005F800000}"/>
    <cellStyle name="Normal 8 4 2 7 4" xfId="32860" xr:uid="{00000000-0005-0000-0000-000060800000}"/>
    <cellStyle name="Normal 8 4 2 7 5" xfId="32861" xr:uid="{00000000-0005-0000-0000-000061800000}"/>
    <cellStyle name="Normal 8 4 2 7 6" xfId="32862" xr:uid="{00000000-0005-0000-0000-000062800000}"/>
    <cellStyle name="Normal 8 4 2 8" xfId="32863" xr:uid="{00000000-0005-0000-0000-000063800000}"/>
    <cellStyle name="Normal 8 4 2 8 2" xfId="32864" xr:uid="{00000000-0005-0000-0000-000064800000}"/>
    <cellStyle name="Normal 8 4 2 8 3" xfId="32865" xr:uid="{00000000-0005-0000-0000-000065800000}"/>
    <cellStyle name="Normal 8 4 2 8 4" xfId="32866" xr:uid="{00000000-0005-0000-0000-000066800000}"/>
    <cellStyle name="Normal 8 4 2 8 5" xfId="32867" xr:uid="{00000000-0005-0000-0000-000067800000}"/>
    <cellStyle name="Normal 8 4 2 8 6" xfId="32868" xr:uid="{00000000-0005-0000-0000-000068800000}"/>
    <cellStyle name="Normal 8 4 2 9" xfId="32869" xr:uid="{00000000-0005-0000-0000-000069800000}"/>
    <cellStyle name="Normal 8 4 2 9 2" xfId="32870" xr:uid="{00000000-0005-0000-0000-00006A800000}"/>
    <cellStyle name="Normal 8 4 2 9 3" xfId="32871" xr:uid="{00000000-0005-0000-0000-00006B800000}"/>
    <cellStyle name="Normal 8 4 2 9 4" xfId="32872" xr:uid="{00000000-0005-0000-0000-00006C800000}"/>
    <cellStyle name="Normal 8 4 2 9 5" xfId="32873" xr:uid="{00000000-0005-0000-0000-00006D800000}"/>
    <cellStyle name="Normal 8 4 2 9 6" xfId="32874" xr:uid="{00000000-0005-0000-0000-00006E800000}"/>
    <cellStyle name="Normal 8 4 20" xfId="32875" xr:uid="{00000000-0005-0000-0000-00006F800000}"/>
    <cellStyle name="Normal 8 4 21" xfId="32876" xr:uid="{00000000-0005-0000-0000-000070800000}"/>
    <cellStyle name="Normal 8 4 22" xfId="32877" xr:uid="{00000000-0005-0000-0000-000071800000}"/>
    <cellStyle name="Normal 8 4 23" xfId="32878" xr:uid="{00000000-0005-0000-0000-000072800000}"/>
    <cellStyle name="Normal 8 4 24" xfId="32879" xr:uid="{00000000-0005-0000-0000-000073800000}"/>
    <cellStyle name="Normal 8 4 25" xfId="32880" xr:uid="{00000000-0005-0000-0000-000074800000}"/>
    <cellStyle name="Normal 8 4 26" xfId="32881" xr:uid="{00000000-0005-0000-0000-000075800000}"/>
    <cellStyle name="Normal 8 4 27" xfId="32882" xr:uid="{00000000-0005-0000-0000-000076800000}"/>
    <cellStyle name="Normal 8 4 28" xfId="32883" xr:uid="{00000000-0005-0000-0000-000077800000}"/>
    <cellStyle name="Normal 8 4 29" xfId="32884" xr:uid="{00000000-0005-0000-0000-000078800000}"/>
    <cellStyle name="Normal 8 4 3" xfId="32885" xr:uid="{00000000-0005-0000-0000-000079800000}"/>
    <cellStyle name="Normal 8 4 3 10" xfId="32886" xr:uid="{00000000-0005-0000-0000-00007A800000}"/>
    <cellStyle name="Normal 8 4 3 11" xfId="32887" xr:uid="{00000000-0005-0000-0000-00007B800000}"/>
    <cellStyle name="Normal 8 4 3 12" xfId="32888" xr:uid="{00000000-0005-0000-0000-00007C800000}"/>
    <cellStyle name="Normal 8 4 3 13" xfId="32889" xr:uid="{00000000-0005-0000-0000-00007D800000}"/>
    <cellStyle name="Normal 8 4 3 14" xfId="32890" xr:uid="{00000000-0005-0000-0000-00007E800000}"/>
    <cellStyle name="Normal 8 4 3 2" xfId="32891" xr:uid="{00000000-0005-0000-0000-00007F800000}"/>
    <cellStyle name="Normal 8 4 3 2 2" xfId="32892" xr:uid="{00000000-0005-0000-0000-000080800000}"/>
    <cellStyle name="Normal 8 4 3 2 3" xfId="32893" xr:uid="{00000000-0005-0000-0000-000081800000}"/>
    <cellStyle name="Normal 8 4 3 2 4" xfId="32894" xr:uid="{00000000-0005-0000-0000-000082800000}"/>
    <cellStyle name="Normal 8 4 3 2 5" xfId="32895" xr:uid="{00000000-0005-0000-0000-000083800000}"/>
    <cellStyle name="Normal 8 4 3 2 6" xfId="32896" xr:uid="{00000000-0005-0000-0000-000084800000}"/>
    <cellStyle name="Normal 8 4 3 3" xfId="32897" xr:uid="{00000000-0005-0000-0000-000085800000}"/>
    <cellStyle name="Normal 8 4 3 3 2" xfId="32898" xr:uid="{00000000-0005-0000-0000-000086800000}"/>
    <cellStyle name="Normal 8 4 3 3 3" xfId="32899" xr:uid="{00000000-0005-0000-0000-000087800000}"/>
    <cellStyle name="Normal 8 4 3 3 4" xfId="32900" xr:uid="{00000000-0005-0000-0000-000088800000}"/>
    <cellStyle name="Normal 8 4 3 3 5" xfId="32901" xr:uid="{00000000-0005-0000-0000-000089800000}"/>
    <cellStyle name="Normal 8 4 3 3 6" xfId="32902" xr:uid="{00000000-0005-0000-0000-00008A800000}"/>
    <cellStyle name="Normal 8 4 3 4" xfId="32903" xr:uid="{00000000-0005-0000-0000-00008B800000}"/>
    <cellStyle name="Normal 8 4 3 4 2" xfId="32904" xr:uid="{00000000-0005-0000-0000-00008C800000}"/>
    <cellStyle name="Normal 8 4 3 4 3" xfId="32905" xr:uid="{00000000-0005-0000-0000-00008D800000}"/>
    <cellStyle name="Normal 8 4 3 4 4" xfId="32906" xr:uid="{00000000-0005-0000-0000-00008E800000}"/>
    <cellStyle name="Normal 8 4 3 4 5" xfId="32907" xr:uid="{00000000-0005-0000-0000-00008F800000}"/>
    <cellStyle name="Normal 8 4 3 4 6" xfId="32908" xr:uid="{00000000-0005-0000-0000-000090800000}"/>
    <cellStyle name="Normal 8 4 3 5" xfId="32909" xr:uid="{00000000-0005-0000-0000-000091800000}"/>
    <cellStyle name="Normal 8 4 3 5 2" xfId="32910" xr:uid="{00000000-0005-0000-0000-000092800000}"/>
    <cellStyle name="Normal 8 4 3 5 3" xfId="32911" xr:uid="{00000000-0005-0000-0000-000093800000}"/>
    <cellStyle name="Normal 8 4 3 5 4" xfId="32912" xr:uid="{00000000-0005-0000-0000-000094800000}"/>
    <cellStyle name="Normal 8 4 3 5 5" xfId="32913" xr:uid="{00000000-0005-0000-0000-000095800000}"/>
    <cellStyle name="Normal 8 4 3 5 6" xfId="32914" xr:uid="{00000000-0005-0000-0000-000096800000}"/>
    <cellStyle name="Normal 8 4 3 6" xfId="32915" xr:uid="{00000000-0005-0000-0000-000097800000}"/>
    <cellStyle name="Normal 8 4 3 6 2" xfId="32916" xr:uid="{00000000-0005-0000-0000-000098800000}"/>
    <cellStyle name="Normal 8 4 3 6 3" xfId="32917" xr:uid="{00000000-0005-0000-0000-000099800000}"/>
    <cellStyle name="Normal 8 4 3 6 4" xfId="32918" xr:uid="{00000000-0005-0000-0000-00009A800000}"/>
    <cellStyle name="Normal 8 4 3 6 5" xfId="32919" xr:uid="{00000000-0005-0000-0000-00009B800000}"/>
    <cellStyle name="Normal 8 4 3 6 6" xfId="32920" xr:uid="{00000000-0005-0000-0000-00009C800000}"/>
    <cellStyle name="Normal 8 4 3 7" xfId="32921" xr:uid="{00000000-0005-0000-0000-00009D800000}"/>
    <cellStyle name="Normal 8 4 3 7 2" xfId="32922" xr:uid="{00000000-0005-0000-0000-00009E800000}"/>
    <cellStyle name="Normal 8 4 3 7 3" xfId="32923" xr:uid="{00000000-0005-0000-0000-00009F800000}"/>
    <cellStyle name="Normal 8 4 3 7 4" xfId="32924" xr:uid="{00000000-0005-0000-0000-0000A0800000}"/>
    <cellStyle name="Normal 8 4 3 7 5" xfId="32925" xr:uid="{00000000-0005-0000-0000-0000A1800000}"/>
    <cellStyle name="Normal 8 4 3 7 6" xfId="32926" xr:uid="{00000000-0005-0000-0000-0000A2800000}"/>
    <cellStyle name="Normal 8 4 3 8" xfId="32927" xr:uid="{00000000-0005-0000-0000-0000A3800000}"/>
    <cellStyle name="Normal 8 4 3 8 2" xfId="32928" xr:uid="{00000000-0005-0000-0000-0000A4800000}"/>
    <cellStyle name="Normal 8 4 3 8 3" xfId="32929" xr:uid="{00000000-0005-0000-0000-0000A5800000}"/>
    <cellStyle name="Normal 8 4 3 8 4" xfId="32930" xr:uid="{00000000-0005-0000-0000-0000A6800000}"/>
    <cellStyle name="Normal 8 4 3 8 5" xfId="32931" xr:uid="{00000000-0005-0000-0000-0000A7800000}"/>
    <cellStyle name="Normal 8 4 3 8 6" xfId="32932" xr:uid="{00000000-0005-0000-0000-0000A8800000}"/>
    <cellStyle name="Normal 8 4 3 9" xfId="32933" xr:uid="{00000000-0005-0000-0000-0000A9800000}"/>
    <cellStyle name="Normal 8 4 3 9 2" xfId="32934" xr:uid="{00000000-0005-0000-0000-0000AA800000}"/>
    <cellStyle name="Normal 8 4 3 9 3" xfId="32935" xr:uid="{00000000-0005-0000-0000-0000AB800000}"/>
    <cellStyle name="Normal 8 4 3 9 4" xfId="32936" xr:uid="{00000000-0005-0000-0000-0000AC800000}"/>
    <cellStyle name="Normal 8 4 3 9 5" xfId="32937" xr:uid="{00000000-0005-0000-0000-0000AD800000}"/>
    <cellStyle name="Normal 8 4 3 9 6" xfId="32938" xr:uid="{00000000-0005-0000-0000-0000AE800000}"/>
    <cellStyle name="Normal 8 4 30" xfId="32939" xr:uid="{00000000-0005-0000-0000-0000AF800000}"/>
    <cellStyle name="Normal 8 4 31" xfId="32940" xr:uid="{00000000-0005-0000-0000-0000B0800000}"/>
    <cellStyle name="Normal 8 4 4" xfId="32941" xr:uid="{00000000-0005-0000-0000-0000B1800000}"/>
    <cellStyle name="Normal 8 4 4 2" xfId="32942" xr:uid="{00000000-0005-0000-0000-0000B2800000}"/>
    <cellStyle name="Normal 8 4 4 3" xfId="32943" xr:uid="{00000000-0005-0000-0000-0000B3800000}"/>
    <cellStyle name="Normal 8 4 4 4" xfId="32944" xr:uid="{00000000-0005-0000-0000-0000B4800000}"/>
    <cellStyle name="Normal 8 4 4 5" xfId="32945" xr:uid="{00000000-0005-0000-0000-0000B5800000}"/>
    <cellStyle name="Normal 8 4 4 6" xfId="32946" xr:uid="{00000000-0005-0000-0000-0000B6800000}"/>
    <cellStyle name="Normal 8 4 5" xfId="32947" xr:uid="{00000000-0005-0000-0000-0000B7800000}"/>
    <cellStyle name="Normal 8 4 5 2" xfId="32948" xr:uid="{00000000-0005-0000-0000-0000B8800000}"/>
    <cellStyle name="Normal 8 4 5 3" xfId="32949" xr:uid="{00000000-0005-0000-0000-0000B9800000}"/>
    <cellStyle name="Normal 8 4 5 4" xfId="32950" xr:uid="{00000000-0005-0000-0000-0000BA800000}"/>
    <cellStyle name="Normal 8 4 5 5" xfId="32951" xr:uid="{00000000-0005-0000-0000-0000BB800000}"/>
    <cellStyle name="Normal 8 4 5 6" xfId="32952" xr:uid="{00000000-0005-0000-0000-0000BC800000}"/>
    <cellStyle name="Normal 8 4 6" xfId="32953" xr:uid="{00000000-0005-0000-0000-0000BD800000}"/>
    <cellStyle name="Normal 8 4 6 2" xfId="32954" xr:uid="{00000000-0005-0000-0000-0000BE800000}"/>
    <cellStyle name="Normal 8 4 6 3" xfId="32955" xr:uid="{00000000-0005-0000-0000-0000BF800000}"/>
    <cellStyle name="Normal 8 4 6 4" xfId="32956" xr:uid="{00000000-0005-0000-0000-0000C0800000}"/>
    <cellStyle name="Normal 8 4 6 5" xfId="32957" xr:uid="{00000000-0005-0000-0000-0000C1800000}"/>
    <cellStyle name="Normal 8 4 6 6" xfId="32958" xr:uid="{00000000-0005-0000-0000-0000C2800000}"/>
    <cellStyle name="Normal 8 4 7" xfId="32959" xr:uid="{00000000-0005-0000-0000-0000C3800000}"/>
    <cellStyle name="Normal 8 4 7 2" xfId="32960" xr:uid="{00000000-0005-0000-0000-0000C4800000}"/>
    <cellStyle name="Normal 8 4 7 3" xfId="32961" xr:uid="{00000000-0005-0000-0000-0000C5800000}"/>
    <cellStyle name="Normal 8 4 7 4" xfId="32962" xr:uid="{00000000-0005-0000-0000-0000C6800000}"/>
    <cellStyle name="Normal 8 4 7 5" xfId="32963" xr:uid="{00000000-0005-0000-0000-0000C7800000}"/>
    <cellStyle name="Normal 8 4 7 6" xfId="32964" xr:uid="{00000000-0005-0000-0000-0000C8800000}"/>
    <cellStyle name="Normal 8 4 8" xfId="32965" xr:uid="{00000000-0005-0000-0000-0000C9800000}"/>
    <cellStyle name="Normal 8 4 8 2" xfId="32966" xr:uid="{00000000-0005-0000-0000-0000CA800000}"/>
    <cellStyle name="Normal 8 4 8 3" xfId="32967" xr:uid="{00000000-0005-0000-0000-0000CB800000}"/>
    <cellStyle name="Normal 8 4 8 4" xfId="32968" xr:uid="{00000000-0005-0000-0000-0000CC800000}"/>
    <cellStyle name="Normal 8 4 8 5" xfId="32969" xr:uid="{00000000-0005-0000-0000-0000CD800000}"/>
    <cellStyle name="Normal 8 4 8 6" xfId="32970" xr:uid="{00000000-0005-0000-0000-0000CE800000}"/>
    <cellStyle name="Normal 8 4 9" xfId="32971" xr:uid="{00000000-0005-0000-0000-0000CF800000}"/>
    <cellStyle name="Normal 8 4 9 2" xfId="32972" xr:uid="{00000000-0005-0000-0000-0000D0800000}"/>
    <cellStyle name="Normal 8 4 9 3" xfId="32973" xr:uid="{00000000-0005-0000-0000-0000D1800000}"/>
    <cellStyle name="Normal 8 4 9 4" xfId="32974" xr:uid="{00000000-0005-0000-0000-0000D2800000}"/>
    <cellStyle name="Normal 8 4 9 5" xfId="32975" xr:uid="{00000000-0005-0000-0000-0000D3800000}"/>
    <cellStyle name="Normal 8 4 9 6" xfId="32976" xr:uid="{00000000-0005-0000-0000-0000D4800000}"/>
    <cellStyle name="Normal 8 5" xfId="32977" xr:uid="{00000000-0005-0000-0000-0000D5800000}"/>
    <cellStyle name="Normal 8 5 10" xfId="32978" xr:uid="{00000000-0005-0000-0000-0000D6800000}"/>
    <cellStyle name="Normal 8 5 10 2" xfId="32979" xr:uid="{00000000-0005-0000-0000-0000D7800000}"/>
    <cellStyle name="Normal 8 5 10 3" xfId="32980" xr:uid="{00000000-0005-0000-0000-0000D8800000}"/>
    <cellStyle name="Normal 8 5 10 4" xfId="32981" xr:uid="{00000000-0005-0000-0000-0000D9800000}"/>
    <cellStyle name="Normal 8 5 10 5" xfId="32982" xr:uid="{00000000-0005-0000-0000-0000DA800000}"/>
    <cellStyle name="Normal 8 5 10 6" xfId="32983" xr:uid="{00000000-0005-0000-0000-0000DB800000}"/>
    <cellStyle name="Normal 8 5 11" xfId="32984" xr:uid="{00000000-0005-0000-0000-0000DC800000}"/>
    <cellStyle name="Normal 8 5 11 2" xfId="32985" xr:uid="{00000000-0005-0000-0000-0000DD800000}"/>
    <cellStyle name="Normal 8 5 11 3" xfId="32986" xr:uid="{00000000-0005-0000-0000-0000DE800000}"/>
    <cellStyle name="Normal 8 5 11 4" xfId="32987" xr:uid="{00000000-0005-0000-0000-0000DF800000}"/>
    <cellStyle name="Normal 8 5 11 5" xfId="32988" xr:uid="{00000000-0005-0000-0000-0000E0800000}"/>
    <cellStyle name="Normal 8 5 11 6" xfId="32989" xr:uid="{00000000-0005-0000-0000-0000E1800000}"/>
    <cellStyle name="Normal 8 5 12" xfId="32990" xr:uid="{00000000-0005-0000-0000-0000E2800000}"/>
    <cellStyle name="Normal 8 5 13" xfId="32991" xr:uid="{00000000-0005-0000-0000-0000E3800000}"/>
    <cellStyle name="Normal 8 5 14" xfId="32992" xr:uid="{00000000-0005-0000-0000-0000E4800000}"/>
    <cellStyle name="Normal 8 5 15" xfId="32993" xr:uid="{00000000-0005-0000-0000-0000E5800000}"/>
    <cellStyle name="Normal 8 5 16" xfId="32994" xr:uid="{00000000-0005-0000-0000-0000E6800000}"/>
    <cellStyle name="Normal 8 5 17" xfId="32995" xr:uid="{00000000-0005-0000-0000-0000E7800000}"/>
    <cellStyle name="Normal 8 5 18" xfId="32996" xr:uid="{00000000-0005-0000-0000-0000E8800000}"/>
    <cellStyle name="Normal 8 5 19" xfId="32997" xr:uid="{00000000-0005-0000-0000-0000E9800000}"/>
    <cellStyle name="Normal 8 5 2" xfId="32998" xr:uid="{00000000-0005-0000-0000-0000EA800000}"/>
    <cellStyle name="Normal 8 5 2 10" xfId="32999" xr:uid="{00000000-0005-0000-0000-0000EB800000}"/>
    <cellStyle name="Normal 8 5 2 10 2" xfId="33000" xr:uid="{00000000-0005-0000-0000-0000EC800000}"/>
    <cellStyle name="Normal 8 5 2 10 3" xfId="33001" xr:uid="{00000000-0005-0000-0000-0000ED800000}"/>
    <cellStyle name="Normal 8 5 2 10 4" xfId="33002" xr:uid="{00000000-0005-0000-0000-0000EE800000}"/>
    <cellStyle name="Normal 8 5 2 10 5" xfId="33003" xr:uid="{00000000-0005-0000-0000-0000EF800000}"/>
    <cellStyle name="Normal 8 5 2 10 6" xfId="33004" xr:uid="{00000000-0005-0000-0000-0000F0800000}"/>
    <cellStyle name="Normal 8 5 2 11" xfId="33005" xr:uid="{00000000-0005-0000-0000-0000F1800000}"/>
    <cellStyle name="Normal 8 5 2 12" xfId="33006" xr:uid="{00000000-0005-0000-0000-0000F2800000}"/>
    <cellStyle name="Normal 8 5 2 13" xfId="33007" xr:uid="{00000000-0005-0000-0000-0000F3800000}"/>
    <cellStyle name="Normal 8 5 2 14" xfId="33008" xr:uid="{00000000-0005-0000-0000-0000F4800000}"/>
    <cellStyle name="Normal 8 5 2 15" xfId="33009" xr:uid="{00000000-0005-0000-0000-0000F5800000}"/>
    <cellStyle name="Normal 8 5 2 2" xfId="33010" xr:uid="{00000000-0005-0000-0000-0000F6800000}"/>
    <cellStyle name="Normal 8 5 2 2 10" xfId="33011" xr:uid="{00000000-0005-0000-0000-0000F7800000}"/>
    <cellStyle name="Normal 8 5 2 2 11" xfId="33012" xr:uid="{00000000-0005-0000-0000-0000F8800000}"/>
    <cellStyle name="Normal 8 5 2 2 12" xfId="33013" xr:uid="{00000000-0005-0000-0000-0000F9800000}"/>
    <cellStyle name="Normal 8 5 2 2 13" xfId="33014" xr:uid="{00000000-0005-0000-0000-0000FA800000}"/>
    <cellStyle name="Normal 8 5 2 2 14" xfId="33015" xr:uid="{00000000-0005-0000-0000-0000FB800000}"/>
    <cellStyle name="Normal 8 5 2 2 2" xfId="33016" xr:uid="{00000000-0005-0000-0000-0000FC800000}"/>
    <cellStyle name="Normal 8 5 2 2 2 2" xfId="33017" xr:uid="{00000000-0005-0000-0000-0000FD800000}"/>
    <cellStyle name="Normal 8 5 2 2 2 3" xfId="33018" xr:uid="{00000000-0005-0000-0000-0000FE800000}"/>
    <cellStyle name="Normal 8 5 2 2 2 4" xfId="33019" xr:uid="{00000000-0005-0000-0000-0000FF800000}"/>
    <cellStyle name="Normal 8 5 2 2 2 5" xfId="33020" xr:uid="{00000000-0005-0000-0000-000000810000}"/>
    <cellStyle name="Normal 8 5 2 2 2 6" xfId="33021" xr:uid="{00000000-0005-0000-0000-000001810000}"/>
    <cellStyle name="Normal 8 5 2 2 3" xfId="33022" xr:uid="{00000000-0005-0000-0000-000002810000}"/>
    <cellStyle name="Normal 8 5 2 2 3 2" xfId="33023" xr:uid="{00000000-0005-0000-0000-000003810000}"/>
    <cellStyle name="Normal 8 5 2 2 3 3" xfId="33024" xr:uid="{00000000-0005-0000-0000-000004810000}"/>
    <cellStyle name="Normal 8 5 2 2 3 4" xfId="33025" xr:uid="{00000000-0005-0000-0000-000005810000}"/>
    <cellStyle name="Normal 8 5 2 2 3 5" xfId="33026" xr:uid="{00000000-0005-0000-0000-000006810000}"/>
    <cellStyle name="Normal 8 5 2 2 3 6" xfId="33027" xr:uid="{00000000-0005-0000-0000-000007810000}"/>
    <cellStyle name="Normal 8 5 2 2 4" xfId="33028" xr:uid="{00000000-0005-0000-0000-000008810000}"/>
    <cellStyle name="Normal 8 5 2 2 4 2" xfId="33029" xr:uid="{00000000-0005-0000-0000-000009810000}"/>
    <cellStyle name="Normal 8 5 2 2 4 3" xfId="33030" xr:uid="{00000000-0005-0000-0000-00000A810000}"/>
    <cellStyle name="Normal 8 5 2 2 4 4" xfId="33031" xr:uid="{00000000-0005-0000-0000-00000B810000}"/>
    <cellStyle name="Normal 8 5 2 2 4 5" xfId="33032" xr:uid="{00000000-0005-0000-0000-00000C810000}"/>
    <cellStyle name="Normal 8 5 2 2 4 6" xfId="33033" xr:uid="{00000000-0005-0000-0000-00000D810000}"/>
    <cellStyle name="Normal 8 5 2 2 5" xfId="33034" xr:uid="{00000000-0005-0000-0000-00000E810000}"/>
    <cellStyle name="Normal 8 5 2 2 5 2" xfId="33035" xr:uid="{00000000-0005-0000-0000-00000F810000}"/>
    <cellStyle name="Normal 8 5 2 2 5 3" xfId="33036" xr:uid="{00000000-0005-0000-0000-000010810000}"/>
    <cellStyle name="Normal 8 5 2 2 5 4" xfId="33037" xr:uid="{00000000-0005-0000-0000-000011810000}"/>
    <cellStyle name="Normal 8 5 2 2 5 5" xfId="33038" xr:uid="{00000000-0005-0000-0000-000012810000}"/>
    <cellStyle name="Normal 8 5 2 2 5 6" xfId="33039" xr:uid="{00000000-0005-0000-0000-000013810000}"/>
    <cellStyle name="Normal 8 5 2 2 6" xfId="33040" xr:uid="{00000000-0005-0000-0000-000014810000}"/>
    <cellStyle name="Normal 8 5 2 2 6 2" xfId="33041" xr:uid="{00000000-0005-0000-0000-000015810000}"/>
    <cellStyle name="Normal 8 5 2 2 6 3" xfId="33042" xr:uid="{00000000-0005-0000-0000-000016810000}"/>
    <cellStyle name="Normal 8 5 2 2 6 4" xfId="33043" xr:uid="{00000000-0005-0000-0000-000017810000}"/>
    <cellStyle name="Normal 8 5 2 2 6 5" xfId="33044" xr:uid="{00000000-0005-0000-0000-000018810000}"/>
    <cellStyle name="Normal 8 5 2 2 6 6" xfId="33045" xr:uid="{00000000-0005-0000-0000-000019810000}"/>
    <cellStyle name="Normal 8 5 2 2 7" xfId="33046" xr:uid="{00000000-0005-0000-0000-00001A810000}"/>
    <cellStyle name="Normal 8 5 2 2 7 2" xfId="33047" xr:uid="{00000000-0005-0000-0000-00001B810000}"/>
    <cellStyle name="Normal 8 5 2 2 7 3" xfId="33048" xr:uid="{00000000-0005-0000-0000-00001C810000}"/>
    <cellStyle name="Normal 8 5 2 2 7 4" xfId="33049" xr:uid="{00000000-0005-0000-0000-00001D810000}"/>
    <cellStyle name="Normal 8 5 2 2 7 5" xfId="33050" xr:uid="{00000000-0005-0000-0000-00001E810000}"/>
    <cellStyle name="Normal 8 5 2 2 7 6" xfId="33051" xr:uid="{00000000-0005-0000-0000-00001F810000}"/>
    <cellStyle name="Normal 8 5 2 2 8" xfId="33052" xr:uid="{00000000-0005-0000-0000-000020810000}"/>
    <cellStyle name="Normal 8 5 2 2 8 2" xfId="33053" xr:uid="{00000000-0005-0000-0000-000021810000}"/>
    <cellStyle name="Normal 8 5 2 2 8 3" xfId="33054" xr:uid="{00000000-0005-0000-0000-000022810000}"/>
    <cellStyle name="Normal 8 5 2 2 8 4" xfId="33055" xr:uid="{00000000-0005-0000-0000-000023810000}"/>
    <cellStyle name="Normal 8 5 2 2 8 5" xfId="33056" xr:uid="{00000000-0005-0000-0000-000024810000}"/>
    <cellStyle name="Normal 8 5 2 2 8 6" xfId="33057" xr:uid="{00000000-0005-0000-0000-000025810000}"/>
    <cellStyle name="Normal 8 5 2 2 9" xfId="33058" xr:uid="{00000000-0005-0000-0000-000026810000}"/>
    <cellStyle name="Normal 8 5 2 2 9 2" xfId="33059" xr:uid="{00000000-0005-0000-0000-000027810000}"/>
    <cellStyle name="Normal 8 5 2 2 9 3" xfId="33060" xr:uid="{00000000-0005-0000-0000-000028810000}"/>
    <cellStyle name="Normal 8 5 2 2 9 4" xfId="33061" xr:uid="{00000000-0005-0000-0000-000029810000}"/>
    <cellStyle name="Normal 8 5 2 2 9 5" xfId="33062" xr:uid="{00000000-0005-0000-0000-00002A810000}"/>
    <cellStyle name="Normal 8 5 2 2 9 6" xfId="33063" xr:uid="{00000000-0005-0000-0000-00002B810000}"/>
    <cellStyle name="Normal 8 5 2 3" xfId="33064" xr:uid="{00000000-0005-0000-0000-00002C810000}"/>
    <cellStyle name="Normal 8 5 2 3 2" xfId="33065" xr:uid="{00000000-0005-0000-0000-00002D810000}"/>
    <cellStyle name="Normal 8 5 2 3 3" xfId="33066" xr:uid="{00000000-0005-0000-0000-00002E810000}"/>
    <cellStyle name="Normal 8 5 2 3 4" xfId="33067" xr:uid="{00000000-0005-0000-0000-00002F810000}"/>
    <cellStyle name="Normal 8 5 2 3 5" xfId="33068" xr:uid="{00000000-0005-0000-0000-000030810000}"/>
    <cellStyle name="Normal 8 5 2 3 6" xfId="33069" xr:uid="{00000000-0005-0000-0000-000031810000}"/>
    <cellStyle name="Normal 8 5 2 4" xfId="33070" xr:uid="{00000000-0005-0000-0000-000032810000}"/>
    <cellStyle name="Normal 8 5 2 4 2" xfId="33071" xr:uid="{00000000-0005-0000-0000-000033810000}"/>
    <cellStyle name="Normal 8 5 2 4 3" xfId="33072" xr:uid="{00000000-0005-0000-0000-000034810000}"/>
    <cellStyle name="Normal 8 5 2 4 4" xfId="33073" xr:uid="{00000000-0005-0000-0000-000035810000}"/>
    <cellStyle name="Normal 8 5 2 4 5" xfId="33074" xr:uid="{00000000-0005-0000-0000-000036810000}"/>
    <cellStyle name="Normal 8 5 2 4 6" xfId="33075" xr:uid="{00000000-0005-0000-0000-000037810000}"/>
    <cellStyle name="Normal 8 5 2 5" xfId="33076" xr:uid="{00000000-0005-0000-0000-000038810000}"/>
    <cellStyle name="Normal 8 5 2 5 2" xfId="33077" xr:uid="{00000000-0005-0000-0000-000039810000}"/>
    <cellStyle name="Normal 8 5 2 5 3" xfId="33078" xr:uid="{00000000-0005-0000-0000-00003A810000}"/>
    <cellStyle name="Normal 8 5 2 5 4" xfId="33079" xr:uid="{00000000-0005-0000-0000-00003B810000}"/>
    <cellStyle name="Normal 8 5 2 5 5" xfId="33080" xr:uid="{00000000-0005-0000-0000-00003C810000}"/>
    <cellStyle name="Normal 8 5 2 5 6" xfId="33081" xr:uid="{00000000-0005-0000-0000-00003D810000}"/>
    <cellStyle name="Normal 8 5 2 6" xfId="33082" xr:uid="{00000000-0005-0000-0000-00003E810000}"/>
    <cellStyle name="Normal 8 5 2 6 2" xfId="33083" xr:uid="{00000000-0005-0000-0000-00003F810000}"/>
    <cellStyle name="Normal 8 5 2 6 3" xfId="33084" xr:uid="{00000000-0005-0000-0000-000040810000}"/>
    <cellStyle name="Normal 8 5 2 6 4" xfId="33085" xr:uid="{00000000-0005-0000-0000-000041810000}"/>
    <cellStyle name="Normal 8 5 2 6 5" xfId="33086" xr:uid="{00000000-0005-0000-0000-000042810000}"/>
    <cellStyle name="Normal 8 5 2 6 6" xfId="33087" xr:uid="{00000000-0005-0000-0000-000043810000}"/>
    <cellStyle name="Normal 8 5 2 7" xfId="33088" xr:uid="{00000000-0005-0000-0000-000044810000}"/>
    <cellStyle name="Normal 8 5 2 7 2" xfId="33089" xr:uid="{00000000-0005-0000-0000-000045810000}"/>
    <cellStyle name="Normal 8 5 2 7 3" xfId="33090" xr:uid="{00000000-0005-0000-0000-000046810000}"/>
    <cellStyle name="Normal 8 5 2 7 4" xfId="33091" xr:uid="{00000000-0005-0000-0000-000047810000}"/>
    <cellStyle name="Normal 8 5 2 7 5" xfId="33092" xr:uid="{00000000-0005-0000-0000-000048810000}"/>
    <cellStyle name="Normal 8 5 2 7 6" xfId="33093" xr:uid="{00000000-0005-0000-0000-000049810000}"/>
    <cellStyle name="Normal 8 5 2 8" xfId="33094" xr:uid="{00000000-0005-0000-0000-00004A810000}"/>
    <cellStyle name="Normal 8 5 2 8 2" xfId="33095" xr:uid="{00000000-0005-0000-0000-00004B810000}"/>
    <cellStyle name="Normal 8 5 2 8 3" xfId="33096" xr:uid="{00000000-0005-0000-0000-00004C810000}"/>
    <cellStyle name="Normal 8 5 2 8 4" xfId="33097" xr:uid="{00000000-0005-0000-0000-00004D810000}"/>
    <cellStyle name="Normal 8 5 2 8 5" xfId="33098" xr:uid="{00000000-0005-0000-0000-00004E810000}"/>
    <cellStyle name="Normal 8 5 2 8 6" xfId="33099" xr:uid="{00000000-0005-0000-0000-00004F810000}"/>
    <cellStyle name="Normal 8 5 2 9" xfId="33100" xr:uid="{00000000-0005-0000-0000-000050810000}"/>
    <cellStyle name="Normal 8 5 2 9 2" xfId="33101" xr:uid="{00000000-0005-0000-0000-000051810000}"/>
    <cellStyle name="Normal 8 5 2 9 3" xfId="33102" xr:uid="{00000000-0005-0000-0000-000052810000}"/>
    <cellStyle name="Normal 8 5 2 9 4" xfId="33103" xr:uid="{00000000-0005-0000-0000-000053810000}"/>
    <cellStyle name="Normal 8 5 2 9 5" xfId="33104" xr:uid="{00000000-0005-0000-0000-000054810000}"/>
    <cellStyle name="Normal 8 5 2 9 6" xfId="33105" xr:uid="{00000000-0005-0000-0000-000055810000}"/>
    <cellStyle name="Normal 8 5 20" xfId="33106" xr:uid="{00000000-0005-0000-0000-000056810000}"/>
    <cellStyle name="Normal 8 5 21" xfId="33107" xr:uid="{00000000-0005-0000-0000-000057810000}"/>
    <cellStyle name="Normal 8 5 22" xfId="33108" xr:uid="{00000000-0005-0000-0000-000058810000}"/>
    <cellStyle name="Normal 8 5 23" xfId="33109" xr:uid="{00000000-0005-0000-0000-000059810000}"/>
    <cellStyle name="Normal 8 5 24" xfId="33110" xr:uid="{00000000-0005-0000-0000-00005A810000}"/>
    <cellStyle name="Normal 8 5 25" xfId="33111" xr:uid="{00000000-0005-0000-0000-00005B810000}"/>
    <cellStyle name="Normal 8 5 26" xfId="33112" xr:uid="{00000000-0005-0000-0000-00005C810000}"/>
    <cellStyle name="Normal 8 5 27" xfId="33113" xr:uid="{00000000-0005-0000-0000-00005D810000}"/>
    <cellStyle name="Normal 8 5 28" xfId="33114" xr:uid="{00000000-0005-0000-0000-00005E810000}"/>
    <cellStyle name="Normal 8 5 29" xfId="33115" xr:uid="{00000000-0005-0000-0000-00005F810000}"/>
    <cellStyle name="Normal 8 5 3" xfId="33116" xr:uid="{00000000-0005-0000-0000-000060810000}"/>
    <cellStyle name="Normal 8 5 3 10" xfId="33117" xr:uid="{00000000-0005-0000-0000-000061810000}"/>
    <cellStyle name="Normal 8 5 3 11" xfId="33118" xr:uid="{00000000-0005-0000-0000-000062810000}"/>
    <cellStyle name="Normal 8 5 3 12" xfId="33119" xr:uid="{00000000-0005-0000-0000-000063810000}"/>
    <cellStyle name="Normal 8 5 3 13" xfId="33120" xr:uid="{00000000-0005-0000-0000-000064810000}"/>
    <cellStyle name="Normal 8 5 3 14" xfId="33121" xr:uid="{00000000-0005-0000-0000-000065810000}"/>
    <cellStyle name="Normal 8 5 3 2" xfId="33122" xr:uid="{00000000-0005-0000-0000-000066810000}"/>
    <cellStyle name="Normal 8 5 3 2 2" xfId="33123" xr:uid="{00000000-0005-0000-0000-000067810000}"/>
    <cellStyle name="Normal 8 5 3 2 3" xfId="33124" xr:uid="{00000000-0005-0000-0000-000068810000}"/>
    <cellStyle name="Normal 8 5 3 2 4" xfId="33125" xr:uid="{00000000-0005-0000-0000-000069810000}"/>
    <cellStyle name="Normal 8 5 3 2 5" xfId="33126" xr:uid="{00000000-0005-0000-0000-00006A810000}"/>
    <cellStyle name="Normal 8 5 3 2 6" xfId="33127" xr:uid="{00000000-0005-0000-0000-00006B810000}"/>
    <cellStyle name="Normal 8 5 3 3" xfId="33128" xr:uid="{00000000-0005-0000-0000-00006C810000}"/>
    <cellStyle name="Normal 8 5 3 3 2" xfId="33129" xr:uid="{00000000-0005-0000-0000-00006D810000}"/>
    <cellStyle name="Normal 8 5 3 3 3" xfId="33130" xr:uid="{00000000-0005-0000-0000-00006E810000}"/>
    <cellStyle name="Normal 8 5 3 3 4" xfId="33131" xr:uid="{00000000-0005-0000-0000-00006F810000}"/>
    <cellStyle name="Normal 8 5 3 3 5" xfId="33132" xr:uid="{00000000-0005-0000-0000-000070810000}"/>
    <cellStyle name="Normal 8 5 3 3 6" xfId="33133" xr:uid="{00000000-0005-0000-0000-000071810000}"/>
    <cellStyle name="Normal 8 5 3 4" xfId="33134" xr:uid="{00000000-0005-0000-0000-000072810000}"/>
    <cellStyle name="Normal 8 5 3 4 2" xfId="33135" xr:uid="{00000000-0005-0000-0000-000073810000}"/>
    <cellStyle name="Normal 8 5 3 4 3" xfId="33136" xr:uid="{00000000-0005-0000-0000-000074810000}"/>
    <cellStyle name="Normal 8 5 3 4 4" xfId="33137" xr:uid="{00000000-0005-0000-0000-000075810000}"/>
    <cellStyle name="Normal 8 5 3 4 5" xfId="33138" xr:uid="{00000000-0005-0000-0000-000076810000}"/>
    <cellStyle name="Normal 8 5 3 4 6" xfId="33139" xr:uid="{00000000-0005-0000-0000-000077810000}"/>
    <cellStyle name="Normal 8 5 3 5" xfId="33140" xr:uid="{00000000-0005-0000-0000-000078810000}"/>
    <cellStyle name="Normal 8 5 3 5 2" xfId="33141" xr:uid="{00000000-0005-0000-0000-000079810000}"/>
    <cellStyle name="Normal 8 5 3 5 3" xfId="33142" xr:uid="{00000000-0005-0000-0000-00007A810000}"/>
    <cellStyle name="Normal 8 5 3 5 4" xfId="33143" xr:uid="{00000000-0005-0000-0000-00007B810000}"/>
    <cellStyle name="Normal 8 5 3 5 5" xfId="33144" xr:uid="{00000000-0005-0000-0000-00007C810000}"/>
    <cellStyle name="Normal 8 5 3 5 6" xfId="33145" xr:uid="{00000000-0005-0000-0000-00007D810000}"/>
    <cellStyle name="Normal 8 5 3 6" xfId="33146" xr:uid="{00000000-0005-0000-0000-00007E810000}"/>
    <cellStyle name="Normal 8 5 3 6 2" xfId="33147" xr:uid="{00000000-0005-0000-0000-00007F810000}"/>
    <cellStyle name="Normal 8 5 3 6 3" xfId="33148" xr:uid="{00000000-0005-0000-0000-000080810000}"/>
    <cellStyle name="Normal 8 5 3 6 4" xfId="33149" xr:uid="{00000000-0005-0000-0000-000081810000}"/>
    <cellStyle name="Normal 8 5 3 6 5" xfId="33150" xr:uid="{00000000-0005-0000-0000-000082810000}"/>
    <cellStyle name="Normal 8 5 3 6 6" xfId="33151" xr:uid="{00000000-0005-0000-0000-000083810000}"/>
    <cellStyle name="Normal 8 5 3 7" xfId="33152" xr:uid="{00000000-0005-0000-0000-000084810000}"/>
    <cellStyle name="Normal 8 5 3 7 2" xfId="33153" xr:uid="{00000000-0005-0000-0000-000085810000}"/>
    <cellStyle name="Normal 8 5 3 7 3" xfId="33154" xr:uid="{00000000-0005-0000-0000-000086810000}"/>
    <cellStyle name="Normal 8 5 3 7 4" xfId="33155" xr:uid="{00000000-0005-0000-0000-000087810000}"/>
    <cellStyle name="Normal 8 5 3 7 5" xfId="33156" xr:uid="{00000000-0005-0000-0000-000088810000}"/>
    <cellStyle name="Normal 8 5 3 7 6" xfId="33157" xr:uid="{00000000-0005-0000-0000-000089810000}"/>
    <cellStyle name="Normal 8 5 3 8" xfId="33158" xr:uid="{00000000-0005-0000-0000-00008A810000}"/>
    <cellStyle name="Normal 8 5 3 8 2" xfId="33159" xr:uid="{00000000-0005-0000-0000-00008B810000}"/>
    <cellStyle name="Normal 8 5 3 8 3" xfId="33160" xr:uid="{00000000-0005-0000-0000-00008C810000}"/>
    <cellStyle name="Normal 8 5 3 8 4" xfId="33161" xr:uid="{00000000-0005-0000-0000-00008D810000}"/>
    <cellStyle name="Normal 8 5 3 8 5" xfId="33162" xr:uid="{00000000-0005-0000-0000-00008E810000}"/>
    <cellStyle name="Normal 8 5 3 8 6" xfId="33163" xr:uid="{00000000-0005-0000-0000-00008F810000}"/>
    <cellStyle name="Normal 8 5 3 9" xfId="33164" xr:uid="{00000000-0005-0000-0000-000090810000}"/>
    <cellStyle name="Normal 8 5 3 9 2" xfId="33165" xr:uid="{00000000-0005-0000-0000-000091810000}"/>
    <cellStyle name="Normal 8 5 3 9 3" xfId="33166" xr:uid="{00000000-0005-0000-0000-000092810000}"/>
    <cellStyle name="Normal 8 5 3 9 4" xfId="33167" xr:uid="{00000000-0005-0000-0000-000093810000}"/>
    <cellStyle name="Normal 8 5 3 9 5" xfId="33168" xr:uid="{00000000-0005-0000-0000-000094810000}"/>
    <cellStyle name="Normal 8 5 3 9 6" xfId="33169" xr:uid="{00000000-0005-0000-0000-000095810000}"/>
    <cellStyle name="Normal 8 5 30" xfId="33170" xr:uid="{00000000-0005-0000-0000-000096810000}"/>
    <cellStyle name="Normal 8 5 31" xfId="33171" xr:uid="{00000000-0005-0000-0000-000097810000}"/>
    <cellStyle name="Normal 8 5 4" xfId="33172" xr:uid="{00000000-0005-0000-0000-000098810000}"/>
    <cellStyle name="Normal 8 5 4 2" xfId="33173" xr:uid="{00000000-0005-0000-0000-000099810000}"/>
    <cellStyle name="Normal 8 5 4 3" xfId="33174" xr:uid="{00000000-0005-0000-0000-00009A810000}"/>
    <cellStyle name="Normal 8 5 4 4" xfId="33175" xr:uid="{00000000-0005-0000-0000-00009B810000}"/>
    <cellStyle name="Normal 8 5 4 5" xfId="33176" xr:uid="{00000000-0005-0000-0000-00009C810000}"/>
    <cellStyle name="Normal 8 5 4 6" xfId="33177" xr:uid="{00000000-0005-0000-0000-00009D810000}"/>
    <cellStyle name="Normal 8 5 5" xfId="33178" xr:uid="{00000000-0005-0000-0000-00009E810000}"/>
    <cellStyle name="Normal 8 5 5 2" xfId="33179" xr:uid="{00000000-0005-0000-0000-00009F810000}"/>
    <cellStyle name="Normal 8 5 5 3" xfId="33180" xr:uid="{00000000-0005-0000-0000-0000A0810000}"/>
    <cellStyle name="Normal 8 5 5 4" xfId="33181" xr:uid="{00000000-0005-0000-0000-0000A1810000}"/>
    <cellStyle name="Normal 8 5 5 5" xfId="33182" xr:uid="{00000000-0005-0000-0000-0000A2810000}"/>
    <cellStyle name="Normal 8 5 5 6" xfId="33183" xr:uid="{00000000-0005-0000-0000-0000A3810000}"/>
    <cellStyle name="Normal 8 5 6" xfId="33184" xr:uid="{00000000-0005-0000-0000-0000A4810000}"/>
    <cellStyle name="Normal 8 5 6 2" xfId="33185" xr:uid="{00000000-0005-0000-0000-0000A5810000}"/>
    <cellStyle name="Normal 8 5 6 3" xfId="33186" xr:uid="{00000000-0005-0000-0000-0000A6810000}"/>
    <cellStyle name="Normal 8 5 6 4" xfId="33187" xr:uid="{00000000-0005-0000-0000-0000A7810000}"/>
    <cellStyle name="Normal 8 5 6 5" xfId="33188" xr:uid="{00000000-0005-0000-0000-0000A8810000}"/>
    <cellStyle name="Normal 8 5 6 6" xfId="33189" xr:uid="{00000000-0005-0000-0000-0000A9810000}"/>
    <cellStyle name="Normal 8 5 7" xfId="33190" xr:uid="{00000000-0005-0000-0000-0000AA810000}"/>
    <cellStyle name="Normal 8 5 7 2" xfId="33191" xr:uid="{00000000-0005-0000-0000-0000AB810000}"/>
    <cellStyle name="Normal 8 5 7 3" xfId="33192" xr:uid="{00000000-0005-0000-0000-0000AC810000}"/>
    <cellStyle name="Normal 8 5 7 4" xfId="33193" xr:uid="{00000000-0005-0000-0000-0000AD810000}"/>
    <cellStyle name="Normal 8 5 7 5" xfId="33194" xr:uid="{00000000-0005-0000-0000-0000AE810000}"/>
    <cellStyle name="Normal 8 5 7 6" xfId="33195" xr:uid="{00000000-0005-0000-0000-0000AF810000}"/>
    <cellStyle name="Normal 8 5 8" xfId="33196" xr:uid="{00000000-0005-0000-0000-0000B0810000}"/>
    <cellStyle name="Normal 8 5 8 2" xfId="33197" xr:uid="{00000000-0005-0000-0000-0000B1810000}"/>
    <cellStyle name="Normal 8 5 8 3" xfId="33198" xr:uid="{00000000-0005-0000-0000-0000B2810000}"/>
    <cellStyle name="Normal 8 5 8 4" xfId="33199" xr:uid="{00000000-0005-0000-0000-0000B3810000}"/>
    <cellStyle name="Normal 8 5 8 5" xfId="33200" xr:uid="{00000000-0005-0000-0000-0000B4810000}"/>
    <cellStyle name="Normal 8 5 8 6" xfId="33201" xr:uid="{00000000-0005-0000-0000-0000B5810000}"/>
    <cellStyle name="Normal 8 5 9" xfId="33202" xr:uid="{00000000-0005-0000-0000-0000B6810000}"/>
    <cellStyle name="Normal 8 5 9 2" xfId="33203" xr:uid="{00000000-0005-0000-0000-0000B7810000}"/>
    <cellStyle name="Normal 8 5 9 3" xfId="33204" xr:uid="{00000000-0005-0000-0000-0000B8810000}"/>
    <cellStyle name="Normal 8 5 9 4" xfId="33205" xr:uid="{00000000-0005-0000-0000-0000B9810000}"/>
    <cellStyle name="Normal 8 5 9 5" xfId="33206" xr:uid="{00000000-0005-0000-0000-0000BA810000}"/>
    <cellStyle name="Normal 8 5 9 6" xfId="33207" xr:uid="{00000000-0005-0000-0000-0000BB810000}"/>
    <cellStyle name="Normal 8 6" xfId="33208" xr:uid="{00000000-0005-0000-0000-0000BC810000}"/>
    <cellStyle name="Normal 8 7" xfId="33209" xr:uid="{00000000-0005-0000-0000-0000BD810000}"/>
    <cellStyle name="Normal 8 8" xfId="33210" xr:uid="{00000000-0005-0000-0000-0000BE810000}"/>
    <cellStyle name="Normal 8 9" xfId="33211" xr:uid="{00000000-0005-0000-0000-0000BF810000}"/>
    <cellStyle name="Normal 80" xfId="33212" xr:uid="{00000000-0005-0000-0000-0000C0810000}"/>
    <cellStyle name="Normal 80 10" xfId="33213" xr:uid="{00000000-0005-0000-0000-0000C1810000}"/>
    <cellStyle name="Normal 80 11" xfId="33214" xr:uid="{00000000-0005-0000-0000-0000C2810000}"/>
    <cellStyle name="Normal 80 12" xfId="33215" xr:uid="{00000000-0005-0000-0000-0000C3810000}"/>
    <cellStyle name="Normal 80 13" xfId="33216" xr:uid="{00000000-0005-0000-0000-0000C4810000}"/>
    <cellStyle name="Normal 80 14" xfId="33217" xr:uid="{00000000-0005-0000-0000-0000C5810000}"/>
    <cellStyle name="Normal 80 15" xfId="33218" xr:uid="{00000000-0005-0000-0000-0000C6810000}"/>
    <cellStyle name="Normal 80 16" xfId="33219" xr:uid="{00000000-0005-0000-0000-0000C7810000}"/>
    <cellStyle name="Normal 80 17" xfId="33220" xr:uid="{00000000-0005-0000-0000-0000C8810000}"/>
    <cellStyle name="Normal 80 18" xfId="33221" xr:uid="{00000000-0005-0000-0000-0000C9810000}"/>
    <cellStyle name="Normal 80 19" xfId="33222" xr:uid="{00000000-0005-0000-0000-0000CA810000}"/>
    <cellStyle name="Normal 80 2" xfId="33223" xr:uid="{00000000-0005-0000-0000-0000CB810000}"/>
    <cellStyle name="Normal 80 2 2" xfId="33224" xr:uid="{00000000-0005-0000-0000-0000CC810000}"/>
    <cellStyle name="Normal 80 2 3" xfId="33225" xr:uid="{00000000-0005-0000-0000-0000CD810000}"/>
    <cellStyle name="Normal 80 2 4" xfId="33226" xr:uid="{00000000-0005-0000-0000-0000CE810000}"/>
    <cellStyle name="Normal 80 2 5" xfId="33227" xr:uid="{00000000-0005-0000-0000-0000CF810000}"/>
    <cellStyle name="Normal 80 2 6" xfId="33228" xr:uid="{00000000-0005-0000-0000-0000D0810000}"/>
    <cellStyle name="Normal 80 3" xfId="33229" xr:uid="{00000000-0005-0000-0000-0000D1810000}"/>
    <cellStyle name="Normal 80 4" xfId="33230" xr:uid="{00000000-0005-0000-0000-0000D2810000}"/>
    <cellStyle name="Normal 80 5" xfId="33231" xr:uid="{00000000-0005-0000-0000-0000D3810000}"/>
    <cellStyle name="Normal 80 6" xfId="33232" xr:uid="{00000000-0005-0000-0000-0000D4810000}"/>
    <cellStyle name="Normal 80 7" xfId="33233" xr:uid="{00000000-0005-0000-0000-0000D5810000}"/>
    <cellStyle name="Normal 80 8" xfId="33234" xr:uid="{00000000-0005-0000-0000-0000D6810000}"/>
    <cellStyle name="Normal 80 9" xfId="33235" xr:uid="{00000000-0005-0000-0000-0000D7810000}"/>
    <cellStyle name="Normal 81" xfId="33236" xr:uid="{00000000-0005-0000-0000-0000D8810000}"/>
    <cellStyle name="Normal 81 10" xfId="33237" xr:uid="{00000000-0005-0000-0000-0000D9810000}"/>
    <cellStyle name="Normal 81 11" xfId="33238" xr:uid="{00000000-0005-0000-0000-0000DA810000}"/>
    <cellStyle name="Normal 81 12" xfId="33239" xr:uid="{00000000-0005-0000-0000-0000DB810000}"/>
    <cellStyle name="Normal 81 13" xfId="33240" xr:uid="{00000000-0005-0000-0000-0000DC810000}"/>
    <cellStyle name="Normal 81 14" xfId="33241" xr:uid="{00000000-0005-0000-0000-0000DD810000}"/>
    <cellStyle name="Normal 81 15" xfId="33242" xr:uid="{00000000-0005-0000-0000-0000DE810000}"/>
    <cellStyle name="Normal 81 16" xfId="33243" xr:uid="{00000000-0005-0000-0000-0000DF810000}"/>
    <cellStyle name="Normal 81 17" xfId="33244" xr:uid="{00000000-0005-0000-0000-0000E0810000}"/>
    <cellStyle name="Normal 81 18" xfId="33245" xr:uid="{00000000-0005-0000-0000-0000E1810000}"/>
    <cellStyle name="Normal 81 19" xfId="33246" xr:uid="{00000000-0005-0000-0000-0000E2810000}"/>
    <cellStyle name="Normal 81 2" xfId="33247" xr:uid="{00000000-0005-0000-0000-0000E3810000}"/>
    <cellStyle name="Normal 81 2 2" xfId="33248" xr:uid="{00000000-0005-0000-0000-0000E4810000}"/>
    <cellStyle name="Normal 81 2 3" xfId="33249" xr:uid="{00000000-0005-0000-0000-0000E5810000}"/>
    <cellStyle name="Normal 81 2 4" xfId="33250" xr:uid="{00000000-0005-0000-0000-0000E6810000}"/>
    <cellStyle name="Normal 81 2 5" xfId="33251" xr:uid="{00000000-0005-0000-0000-0000E7810000}"/>
    <cellStyle name="Normal 81 2 6" xfId="33252" xr:uid="{00000000-0005-0000-0000-0000E8810000}"/>
    <cellStyle name="Normal 81 3" xfId="33253" xr:uid="{00000000-0005-0000-0000-0000E9810000}"/>
    <cellStyle name="Normal 81 4" xfId="33254" xr:uid="{00000000-0005-0000-0000-0000EA810000}"/>
    <cellStyle name="Normal 81 5" xfId="33255" xr:uid="{00000000-0005-0000-0000-0000EB810000}"/>
    <cellStyle name="Normal 81 6" xfId="33256" xr:uid="{00000000-0005-0000-0000-0000EC810000}"/>
    <cellStyle name="Normal 81 7" xfId="33257" xr:uid="{00000000-0005-0000-0000-0000ED810000}"/>
    <cellStyle name="Normal 81 8" xfId="33258" xr:uid="{00000000-0005-0000-0000-0000EE810000}"/>
    <cellStyle name="Normal 81 9" xfId="33259" xr:uid="{00000000-0005-0000-0000-0000EF810000}"/>
    <cellStyle name="Normal 82" xfId="33260" xr:uid="{00000000-0005-0000-0000-0000F0810000}"/>
    <cellStyle name="Normal 82 2" xfId="33261" xr:uid="{00000000-0005-0000-0000-0000F1810000}"/>
    <cellStyle name="Normal 82 3" xfId="33262" xr:uid="{00000000-0005-0000-0000-0000F2810000}"/>
    <cellStyle name="Normal 82 4" xfId="33263" xr:uid="{00000000-0005-0000-0000-0000F3810000}"/>
    <cellStyle name="Normal 82 5" xfId="33264" xr:uid="{00000000-0005-0000-0000-0000F4810000}"/>
    <cellStyle name="Normal 82 6" xfId="33265" xr:uid="{00000000-0005-0000-0000-0000F5810000}"/>
    <cellStyle name="Normal 83" xfId="33266" xr:uid="{00000000-0005-0000-0000-0000F6810000}"/>
    <cellStyle name="Normal 83 2" xfId="33267" xr:uid="{00000000-0005-0000-0000-0000F7810000}"/>
    <cellStyle name="Normal 83 3" xfId="33268" xr:uid="{00000000-0005-0000-0000-0000F8810000}"/>
    <cellStyle name="Normal 83 4" xfId="33269" xr:uid="{00000000-0005-0000-0000-0000F9810000}"/>
    <cellStyle name="Normal 83 5" xfId="33270" xr:uid="{00000000-0005-0000-0000-0000FA810000}"/>
    <cellStyle name="Normal 83 6" xfId="33271" xr:uid="{00000000-0005-0000-0000-0000FB810000}"/>
    <cellStyle name="Normal 84" xfId="33272" xr:uid="{00000000-0005-0000-0000-0000FC810000}"/>
    <cellStyle name="Normal 84 10" xfId="33273" xr:uid="{00000000-0005-0000-0000-0000FD810000}"/>
    <cellStyle name="Normal 84 11" xfId="33274" xr:uid="{00000000-0005-0000-0000-0000FE810000}"/>
    <cellStyle name="Normal 84 12" xfId="33275" xr:uid="{00000000-0005-0000-0000-0000FF810000}"/>
    <cellStyle name="Normal 84 13" xfId="33276" xr:uid="{00000000-0005-0000-0000-000000820000}"/>
    <cellStyle name="Normal 84 14" xfId="33277" xr:uid="{00000000-0005-0000-0000-000001820000}"/>
    <cellStyle name="Normal 84 15" xfId="33278" xr:uid="{00000000-0005-0000-0000-000002820000}"/>
    <cellStyle name="Normal 84 16" xfId="33279" xr:uid="{00000000-0005-0000-0000-000003820000}"/>
    <cellStyle name="Normal 84 17" xfId="33280" xr:uid="{00000000-0005-0000-0000-000004820000}"/>
    <cellStyle name="Normal 84 18" xfId="33281" xr:uid="{00000000-0005-0000-0000-000005820000}"/>
    <cellStyle name="Normal 84 2" xfId="33282" xr:uid="{00000000-0005-0000-0000-000006820000}"/>
    <cellStyle name="Normal 84 2 2" xfId="33283" xr:uid="{00000000-0005-0000-0000-000007820000}"/>
    <cellStyle name="Normal 84 2 3" xfId="33284" xr:uid="{00000000-0005-0000-0000-000008820000}"/>
    <cellStyle name="Normal 84 2 4" xfId="33285" xr:uid="{00000000-0005-0000-0000-000009820000}"/>
    <cellStyle name="Normal 84 2 5" xfId="33286" xr:uid="{00000000-0005-0000-0000-00000A820000}"/>
    <cellStyle name="Normal 84 2 6" xfId="33287" xr:uid="{00000000-0005-0000-0000-00000B820000}"/>
    <cellStyle name="Normal 84 3" xfId="33288" xr:uid="{00000000-0005-0000-0000-00000C820000}"/>
    <cellStyle name="Normal 84 4" xfId="33289" xr:uid="{00000000-0005-0000-0000-00000D820000}"/>
    <cellStyle name="Normal 84 5" xfId="33290" xr:uid="{00000000-0005-0000-0000-00000E820000}"/>
    <cellStyle name="Normal 84 6" xfId="33291" xr:uid="{00000000-0005-0000-0000-00000F820000}"/>
    <cellStyle name="Normal 84 7" xfId="33292" xr:uid="{00000000-0005-0000-0000-000010820000}"/>
    <cellStyle name="Normal 84 8" xfId="33293" xr:uid="{00000000-0005-0000-0000-000011820000}"/>
    <cellStyle name="Normal 84 9" xfId="33294" xr:uid="{00000000-0005-0000-0000-000012820000}"/>
    <cellStyle name="Normal 85" xfId="33295" xr:uid="{00000000-0005-0000-0000-000013820000}"/>
    <cellStyle name="Normal 85 10" xfId="33296" xr:uid="{00000000-0005-0000-0000-000014820000}"/>
    <cellStyle name="Normal 85 11" xfId="33297" xr:uid="{00000000-0005-0000-0000-000015820000}"/>
    <cellStyle name="Normal 85 12" xfId="33298" xr:uid="{00000000-0005-0000-0000-000016820000}"/>
    <cellStyle name="Normal 85 13" xfId="33299" xr:uid="{00000000-0005-0000-0000-000017820000}"/>
    <cellStyle name="Normal 85 14" xfId="33300" xr:uid="{00000000-0005-0000-0000-000018820000}"/>
    <cellStyle name="Normal 85 15" xfId="33301" xr:uid="{00000000-0005-0000-0000-000019820000}"/>
    <cellStyle name="Normal 85 16" xfId="33302" xr:uid="{00000000-0005-0000-0000-00001A820000}"/>
    <cellStyle name="Normal 85 17" xfId="33303" xr:uid="{00000000-0005-0000-0000-00001B820000}"/>
    <cellStyle name="Normal 85 2" xfId="33304" xr:uid="{00000000-0005-0000-0000-00001C820000}"/>
    <cellStyle name="Normal 85 2 2" xfId="33305" xr:uid="{00000000-0005-0000-0000-00001D820000}"/>
    <cellStyle name="Normal 85 2 3" xfId="33306" xr:uid="{00000000-0005-0000-0000-00001E820000}"/>
    <cellStyle name="Normal 85 2 4" xfId="33307" xr:uid="{00000000-0005-0000-0000-00001F820000}"/>
    <cellStyle name="Normal 85 2 5" xfId="33308" xr:uid="{00000000-0005-0000-0000-000020820000}"/>
    <cellStyle name="Normal 85 2 6" xfId="33309" xr:uid="{00000000-0005-0000-0000-000021820000}"/>
    <cellStyle name="Normal 85 3" xfId="33310" xr:uid="{00000000-0005-0000-0000-000022820000}"/>
    <cellStyle name="Normal 85 4" xfId="33311" xr:uid="{00000000-0005-0000-0000-000023820000}"/>
    <cellStyle name="Normal 85 5" xfId="33312" xr:uid="{00000000-0005-0000-0000-000024820000}"/>
    <cellStyle name="Normal 85 6" xfId="33313" xr:uid="{00000000-0005-0000-0000-000025820000}"/>
    <cellStyle name="Normal 85 7" xfId="33314" xr:uid="{00000000-0005-0000-0000-000026820000}"/>
    <cellStyle name="Normal 85 8" xfId="33315" xr:uid="{00000000-0005-0000-0000-000027820000}"/>
    <cellStyle name="Normal 85 9" xfId="33316" xr:uid="{00000000-0005-0000-0000-000028820000}"/>
    <cellStyle name="Normal 86" xfId="33317" xr:uid="{00000000-0005-0000-0000-000029820000}"/>
    <cellStyle name="Normal 86 10" xfId="33318" xr:uid="{00000000-0005-0000-0000-00002A820000}"/>
    <cellStyle name="Normal 86 11" xfId="33319" xr:uid="{00000000-0005-0000-0000-00002B820000}"/>
    <cellStyle name="Normal 86 12" xfId="33320" xr:uid="{00000000-0005-0000-0000-00002C820000}"/>
    <cellStyle name="Normal 86 13" xfId="33321" xr:uid="{00000000-0005-0000-0000-00002D820000}"/>
    <cellStyle name="Normal 86 14" xfId="33322" xr:uid="{00000000-0005-0000-0000-00002E820000}"/>
    <cellStyle name="Normal 86 15" xfId="33323" xr:uid="{00000000-0005-0000-0000-00002F820000}"/>
    <cellStyle name="Normal 86 16" xfId="33324" xr:uid="{00000000-0005-0000-0000-000030820000}"/>
    <cellStyle name="Normal 86 2" xfId="33325" xr:uid="{00000000-0005-0000-0000-000031820000}"/>
    <cellStyle name="Normal 86 2 2" xfId="33326" xr:uid="{00000000-0005-0000-0000-000032820000}"/>
    <cellStyle name="Normal 86 2 3" xfId="33327" xr:uid="{00000000-0005-0000-0000-000033820000}"/>
    <cellStyle name="Normal 86 2 4" xfId="33328" xr:uid="{00000000-0005-0000-0000-000034820000}"/>
    <cellStyle name="Normal 86 2 5" xfId="33329" xr:uid="{00000000-0005-0000-0000-000035820000}"/>
    <cellStyle name="Normal 86 2 6" xfId="33330" xr:uid="{00000000-0005-0000-0000-000036820000}"/>
    <cellStyle name="Normal 86 3" xfId="33331" xr:uid="{00000000-0005-0000-0000-000037820000}"/>
    <cellStyle name="Normal 86 4" xfId="33332" xr:uid="{00000000-0005-0000-0000-000038820000}"/>
    <cellStyle name="Normal 86 5" xfId="33333" xr:uid="{00000000-0005-0000-0000-000039820000}"/>
    <cellStyle name="Normal 86 6" xfId="33334" xr:uid="{00000000-0005-0000-0000-00003A820000}"/>
    <cellStyle name="Normal 86 7" xfId="33335" xr:uid="{00000000-0005-0000-0000-00003B820000}"/>
    <cellStyle name="Normal 86 8" xfId="33336" xr:uid="{00000000-0005-0000-0000-00003C820000}"/>
    <cellStyle name="Normal 86 9" xfId="33337" xr:uid="{00000000-0005-0000-0000-00003D820000}"/>
    <cellStyle name="Normal 87" xfId="33338" xr:uid="{00000000-0005-0000-0000-00003E820000}"/>
    <cellStyle name="Normal 87 10" xfId="33339" xr:uid="{00000000-0005-0000-0000-00003F820000}"/>
    <cellStyle name="Normal 87 11" xfId="33340" xr:uid="{00000000-0005-0000-0000-000040820000}"/>
    <cellStyle name="Normal 87 12" xfId="33341" xr:uid="{00000000-0005-0000-0000-000041820000}"/>
    <cellStyle name="Normal 87 13" xfId="33342" xr:uid="{00000000-0005-0000-0000-000042820000}"/>
    <cellStyle name="Normal 87 14" xfId="33343" xr:uid="{00000000-0005-0000-0000-000043820000}"/>
    <cellStyle name="Normal 87 15" xfId="33344" xr:uid="{00000000-0005-0000-0000-000044820000}"/>
    <cellStyle name="Normal 87 2" xfId="33345" xr:uid="{00000000-0005-0000-0000-000045820000}"/>
    <cellStyle name="Normal 87 2 2" xfId="33346" xr:uid="{00000000-0005-0000-0000-000046820000}"/>
    <cellStyle name="Normal 87 2 3" xfId="33347" xr:uid="{00000000-0005-0000-0000-000047820000}"/>
    <cellStyle name="Normal 87 2 4" xfId="33348" xr:uid="{00000000-0005-0000-0000-000048820000}"/>
    <cellStyle name="Normal 87 2 5" xfId="33349" xr:uid="{00000000-0005-0000-0000-000049820000}"/>
    <cellStyle name="Normal 87 2 6" xfId="33350" xr:uid="{00000000-0005-0000-0000-00004A820000}"/>
    <cellStyle name="Normal 87 3" xfId="33351" xr:uid="{00000000-0005-0000-0000-00004B820000}"/>
    <cellStyle name="Normal 87 4" xfId="33352" xr:uid="{00000000-0005-0000-0000-00004C820000}"/>
    <cellStyle name="Normal 87 5" xfId="33353" xr:uid="{00000000-0005-0000-0000-00004D820000}"/>
    <cellStyle name="Normal 87 6" xfId="33354" xr:uid="{00000000-0005-0000-0000-00004E820000}"/>
    <cellStyle name="Normal 87 7" xfId="33355" xr:uid="{00000000-0005-0000-0000-00004F820000}"/>
    <cellStyle name="Normal 87 8" xfId="33356" xr:uid="{00000000-0005-0000-0000-000050820000}"/>
    <cellStyle name="Normal 87 9" xfId="33357" xr:uid="{00000000-0005-0000-0000-000051820000}"/>
    <cellStyle name="Normal 88" xfId="33358" xr:uid="{00000000-0005-0000-0000-000052820000}"/>
    <cellStyle name="Normal 88 2" xfId="33359" xr:uid="{00000000-0005-0000-0000-000053820000}"/>
    <cellStyle name="Normal 88 3" xfId="33360" xr:uid="{00000000-0005-0000-0000-000054820000}"/>
    <cellStyle name="Normal 88 4" xfId="33361" xr:uid="{00000000-0005-0000-0000-000055820000}"/>
    <cellStyle name="Normal 88 5" xfId="33362" xr:uid="{00000000-0005-0000-0000-000056820000}"/>
    <cellStyle name="Normal 88 6" xfId="33363" xr:uid="{00000000-0005-0000-0000-000057820000}"/>
    <cellStyle name="Normal 89" xfId="33364" xr:uid="{00000000-0005-0000-0000-000058820000}"/>
    <cellStyle name="Normal 89 2" xfId="33365" xr:uid="{00000000-0005-0000-0000-000059820000}"/>
    <cellStyle name="Normal 89 3" xfId="33366" xr:uid="{00000000-0005-0000-0000-00005A820000}"/>
    <cellStyle name="Normal 89 4" xfId="33367" xr:uid="{00000000-0005-0000-0000-00005B820000}"/>
    <cellStyle name="Normal 89 5" xfId="33368" xr:uid="{00000000-0005-0000-0000-00005C820000}"/>
    <cellStyle name="Normal 89 6" xfId="33369" xr:uid="{00000000-0005-0000-0000-00005D820000}"/>
    <cellStyle name="Normal 9" xfId="33370" xr:uid="{00000000-0005-0000-0000-00005E820000}"/>
    <cellStyle name="Normal 9 2" xfId="33371" xr:uid="{00000000-0005-0000-0000-00005F820000}"/>
    <cellStyle name="Normal 9 2 10" xfId="33372" xr:uid="{00000000-0005-0000-0000-000060820000}"/>
    <cellStyle name="Normal 9 2 11" xfId="33373" xr:uid="{00000000-0005-0000-0000-000061820000}"/>
    <cellStyle name="Normal 9 2 12" xfId="33374" xr:uid="{00000000-0005-0000-0000-000062820000}"/>
    <cellStyle name="Normal 9 2 13" xfId="33375" xr:uid="{00000000-0005-0000-0000-000063820000}"/>
    <cellStyle name="Normal 9 2 14" xfId="33376" xr:uid="{00000000-0005-0000-0000-000064820000}"/>
    <cellStyle name="Normal 9 2 15" xfId="33377" xr:uid="{00000000-0005-0000-0000-000065820000}"/>
    <cellStyle name="Normal 9 2 16" xfId="33378" xr:uid="{00000000-0005-0000-0000-000066820000}"/>
    <cellStyle name="Normal 9 2 17" xfId="33379" xr:uid="{00000000-0005-0000-0000-000067820000}"/>
    <cellStyle name="Normal 9 2 18" xfId="33380" xr:uid="{00000000-0005-0000-0000-000068820000}"/>
    <cellStyle name="Normal 9 2 19" xfId="33381" xr:uid="{00000000-0005-0000-0000-000069820000}"/>
    <cellStyle name="Normal 9 2 2" xfId="33382" xr:uid="{00000000-0005-0000-0000-00006A820000}"/>
    <cellStyle name="Normal 9 2 2 2" xfId="33383" xr:uid="{00000000-0005-0000-0000-00006B820000}"/>
    <cellStyle name="Normal 9 2 2 2 10" xfId="33384" xr:uid="{00000000-0005-0000-0000-00006C820000}"/>
    <cellStyle name="Normal 9 2 2 2 10 2" xfId="33385" xr:uid="{00000000-0005-0000-0000-00006D820000}"/>
    <cellStyle name="Normal 9 2 2 2 10 3" xfId="33386" xr:uid="{00000000-0005-0000-0000-00006E820000}"/>
    <cellStyle name="Normal 9 2 2 2 10 4" xfId="33387" xr:uid="{00000000-0005-0000-0000-00006F820000}"/>
    <cellStyle name="Normal 9 2 2 2 10 5" xfId="33388" xr:uid="{00000000-0005-0000-0000-000070820000}"/>
    <cellStyle name="Normal 9 2 2 2 10 6" xfId="33389" xr:uid="{00000000-0005-0000-0000-000071820000}"/>
    <cellStyle name="Normal 9 2 2 2 11" xfId="33390" xr:uid="{00000000-0005-0000-0000-000072820000}"/>
    <cellStyle name="Normal 9 2 2 2 11 2" xfId="33391" xr:uid="{00000000-0005-0000-0000-000073820000}"/>
    <cellStyle name="Normal 9 2 2 2 11 3" xfId="33392" xr:uid="{00000000-0005-0000-0000-000074820000}"/>
    <cellStyle name="Normal 9 2 2 2 11 4" xfId="33393" xr:uid="{00000000-0005-0000-0000-000075820000}"/>
    <cellStyle name="Normal 9 2 2 2 11 5" xfId="33394" xr:uid="{00000000-0005-0000-0000-000076820000}"/>
    <cellStyle name="Normal 9 2 2 2 11 6" xfId="33395" xr:uid="{00000000-0005-0000-0000-000077820000}"/>
    <cellStyle name="Normal 9 2 2 2 12" xfId="33396" xr:uid="{00000000-0005-0000-0000-000078820000}"/>
    <cellStyle name="Normal 9 2 2 2 13" xfId="33397" xr:uid="{00000000-0005-0000-0000-000079820000}"/>
    <cellStyle name="Normal 9 2 2 2 14" xfId="33398" xr:uid="{00000000-0005-0000-0000-00007A820000}"/>
    <cellStyle name="Normal 9 2 2 2 15" xfId="33399" xr:uid="{00000000-0005-0000-0000-00007B820000}"/>
    <cellStyle name="Normal 9 2 2 2 16" xfId="33400" xr:uid="{00000000-0005-0000-0000-00007C820000}"/>
    <cellStyle name="Normal 9 2 2 2 17" xfId="33401" xr:uid="{00000000-0005-0000-0000-00007D820000}"/>
    <cellStyle name="Normal 9 2 2 2 18" xfId="33402" xr:uid="{00000000-0005-0000-0000-00007E820000}"/>
    <cellStyle name="Normal 9 2 2 2 19" xfId="33403" xr:uid="{00000000-0005-0000-0000-00007F820000}"/>
    <cellStyle name="Normal 9 2 2 2 2" xfId="33404" xr:uid="{00000000-0005-0000-0000-000080820000}"/>
    <cellStyle name="Normal 9 2 2 2 2 10" xfId="33405" xr:uid="{00000000-0005-0000-0000-000081820000}"/>
    <cellStyle name="Normal 9 2 2 2 2 10 2" xfId="33406" xr:uid="{00000000-0005-0000-0000-000082820000}"/>
    <cellStyle name="Normal 9 2 2 2 2 10 3" xfId="33407" xr:uid="{00000000-0005-0000-0000-000083820000}"/>
    <cellStyle name="Normal 9 2 2 2 2 10 4" xfId="33408" xr:uid="{00000000-0005-0000-0000-000084820000}"/>
    <cellStyle name="Normal 9 2 2 2 2 10 5" xfId="33409" xr:uid="{00000000-0005-0000-0000-000085820000}"/>
    <cellStyle name="Normal 9 2 2 2 2 10 6" xfId="33410" xr:uid="{00000000-0005-0000-0000-000086820000}"/>
    <cellStyle name="Normal 9 2 2 2 2 11" xfId="33411" xr:uid="{00000000-0005-0000-0000-000087820000}"/>
    <cellStyle name="Normal 9 2 2 2 2 12" xfId="33412" xr:uid="{00000000-0005-0000-0000-000088820000}"/>
    <cellStyle name="Normal 9 2 2 2 2 13" xfId="33413" xr:uid="{00000000-0005-0000-0000-000089820000}"/>
    <cellStyle name="Normal 9 2 2 2 2 14" xfId="33414" xr:uid="{00000000-0005-0000-0000-00008A820000}"/>
    <cellStyle name="Normal 9 2 2 2 2 15" xfId="33415" xr:uid="{00000000-0005-0000-0000-00008B820000}"/>
    <cellStyle name="Normal 9 2 2 2 2 2" xfId="33416" xr:uid="{00000000-0005-0000-0000-00008C820000}"/>
    <cellStyle name="Normal 9 2 2 2 2 2 10" xfId="33417" xr:uid="{00000000-0005-0000-0000-00008D820000}"/>
    <cellStyle name="Normal 9 2 2 2 2 2 11" xfId="33418" xr:uid="{00000000-0005-0000-0000-00008E820000}"/>
    <cellStyle name="Normal 9 2 2 2 2 2 12" xfId="33419" xr:uid="{00000000-0005-0000-0000-00008F820000}"/>
    <cellStyle name="Normal 9 2 2 2 2 2 13" xfId="33420" xr:uid="{00000000-0005-0000-0000-000090820000}"/>
    <cellStyle name="Normal 9 2 2 2 2 2 14" xfId="33421" xr:uid="{00000000-0005-0000-0000-000091820000}"/>
    <cellStyle name="Normal 9 2 2 2 2 2 2" xfId="33422" xr:uid="{00000000-0005-0000-0000-000092820000}"/>
    <cellStyle name="Normal 9 2 2 2 2 2 2 2" xfId="33423" xr:uid="{00000000-0005-0000-0000-000093820000}"/>
    <cellStyle name="Normal 9 2 2 2 2 2 2 3" xfId="33424" xr:uid="{00000000-0005-0000-0000-000094820000}"/>
    <cellStyle name="Normal 9 2 2 2 2 2 2 4" xfId="33425" xr:uid="{00000000-0005-0000-0000-000095820000}"/>
    <cellStyle name="Normal 9 2 2 2 2 2 2 5" xfId="33426" xr:uid="{00000000-0005-0000-0000-000096820000}"/>
    <cellStyle name="Normal 9 2 2 2 2 2 2 6" xfId="33427" xr:uid="{00000000-0005-0000-0000-000097820000}"/>
    <cellStyle name="Normal 9 2 2 2 2 2 3" xfId="33428" xr:uid="{00000000-0005-0000-0000-000098820000}"/>
    <cellStyle name="Normal 9 2 2 2 2 2 3 2" xfId="33429" xr:uid="{00000000-0005-0000-0000-000099820000}"/>
    <cellStyle name="Normal 9 2 2 2 2 2 3 3" xfId="33430" xr:uid="{00000000-0005-0000-0000-00009A820000}"/>
    <cellStyle name="Normal 9 2 2 2 2 2 3 4" xfId="33431" xr:uid="{00000000-0005-0000-0000-00009B820000}"/>
    <cellStyle name="Normal 9 2 2 2 2 2 3 5" xfId="33432" xr:uid="{00000000-0005-0000-0000-00009C820000}"/>
    <cellStyle name="Normal 9 2 2 2 2 2 3 6" xfId="33433" xr:uid="{00000000-0005-0000-0000-00009D820000}"/>
    <cellStyle name="Normal 9 2 2 2 2 2 4" xfId="33434" xr:uid="{00000000-0005-0000-0000-00009E820000}"/>
    <cellStyle name="Normal 9 2 2 2 2 2 4 2" xfId="33435" xr:uid="{00000000-0005-0000-0000-00009F820000}"/>
    <cellStyle name="Normal 9 2 2 2 2 2 4 3" xfId="33436" xr:uid="{00000000-0005-0000-0000-0000A0820000}"/>
    <cellStyle name="Normal 9 2 2 2 2 2 4 4" xfId="33437" xr:uid="{00000000-0005-0000-0000-0000A1820000}"/>
    <cellStyle name="Normal 9 2 2 2 2 2 4 5" xfId="33438" xr:uid="{00000000-0005-0000-0000-0000A2820000}"/>
    <cellStyle name="Normal 9 2 2 2 2 2 4 6" xfId="33439" xr:uid="{00000000-0005-0000-0000-0000A3820000}"/>
    <cellStyle name="Normal 9 2 2 2 2 2 5" xfId="33440" xr:uid="{00000000-0005-0000-0000-0000A4820000}"/>
    <cellStyle name="Normal 9 2 2 2 2 2 5 2" xfId="33441" xr:uid="{00000000-0005-0000-0000-0000A5820000}"/>
    <cellStyle name="Normal 9 2 2 2 2 2 5 3" xfId="33442" xr:uid="{00000000-0005-0000-0000-0000A6820000}"/>
    <cellStyle name="Normal 9 2 2 2 2 2 5 4" xfId="33443" xr:uid="{00000000-0005-0000-0000-0000A7820000}"/>
    <cellStyle name="Normal 9 2 2 2 2 2 5 5" xfId="33444" xr:uid="{00000000-0005-0000-0000-0000A8820000}"/>
    <cellStyle name="Normal 9 2 2 2 2 2 5 6" xfId="33445" xr:uid="{00000000-0005-0000-0000-0000A9820000}"/>
    <cellStyle name="Normal 9 2 2 2 2 2 6" xfId="33446" xr:uid="{00000000-0005-0000-0000-0000AA820000}"/>
    <cellStyle name="Normal 9 2 2 2 2 2 6 2" xfId="33447" xr:uid="{00000000-0005-0000-0000-0000AB820000}"/>
    <cellStyle name="Normal 9 2 2 2 2 2 6 3" xfId="33448" xr:uid="{00000000-0005-0000-0000-0000AC820000}"/>
    <cellStyle name="Normal 9 2 2 2 2 2 6 4" xfId="33449" xr:uid="{00000000-0005-0000-0000-0000AD820000}"/>
    <cellStyle name="Normal 9 2 2 2 2 2 6 5" xfId="33450" xr:uid="{00000000-0005-0000-0000-0000AE820000}"/>
    <cellStyle name="Normal 9 2 2 2 2 2 6 6" xfId="33451" xr:uid="{00000000-0005-0000-0000-0000AF820000}"/>
    <cellStyle name="Normal 9 2 2 2 2 2 7" xfId="33452" xr:uid="{00000000-0005-0000-0000-0000B0820000}"/>
    <cellStyle name="Normal 9 2 2 2 2 2 7 2" xfId="33453" xr:uid="{00000000-0005-0000-0000-0000B1820000}"/>
    <cellStyle name="Normal 9 2 2 2 2 2 7 3" xfId="33454" xr:uid="{00000000-0005-0000-0000-0000B2820000}"/>
    <cellStyle name="Normal 9 2 2 2 2 2 7 4" xfId="33455" xr:uid="{00000000-0005-0000-0000-0000B3820000}"/>
    <cellStyle name="Normal 9 2 2 2 2 2 7 5" xfId="33456" xr:uid="{00000000-0005-0000-0000-0000B4820000}"/>
    <cellStyle name="Normal 9 2 2 2 2 2 7 6" xfId="33457" xr:uid="{00000000-0005-0000-0000-0000B5820000}"/>
    <cellStyle name="Normal 9 2 2 2 2 2 8" xfId="33458" xr:uid="{00000000-0005-0000-0000-0000B6820000}"/>
    <cellStyle name="Normal 9 2 2 2 2 2 8 2" xfId="33459" xr:uid="{00000000-0005-0000-0000-0000B7820000}"/>
    <cellStyle name="Normal 9 2 2 2 2 2 8 3" xfId="33460" xr:uid="{00000000-0005-0000-0000-0000B8820000}"/>
    <cellStyle name="Normal 9 2 2 2 2 2 8 4" xfId="33461" xr:uid="{00000000-0005-0000-0000-0000B9820000}"/>
    <cellStyle name="Normal 9 2 2 2 2 2 8 5" xfId="33462" xr:uid="{00000000-0005-0000-0000-0000BA820000}"/>
    <cellStyle name="Normal 9 2 2 2 2 2 8 6" xfId="33463" xr:uid="{00000000-0005-0000-0000-0000BB820000}"/>
    <cellStyle name="Normal 9 2 2 2 2 2 9" xfId="33464" xr:uid="{00000000-0005-0000-0000-0000BC820000}"/>
    <cellStyle name="Normal 9 2 2 2 2 2 9 2" xfId="33465" xr:uid="{00000000-0005-0000-0000-0000BD820000}"/>
    <cellStyle name="Normal 9 2 2 2 2 2 9 3" xfId="33466" xr:uid="{00000000-0005-0000-0000-0000BE820000}"/>
    <cellStyle name="Normal 9 2 2 2 2 2 9 4" xfId="33467" xr:uid="{00000000-0005-0000-0000-0000BF820000}"/>
    <cellStyle name="Normal 9 2 2 2 2 2 9 5" xfId="33468" xr:uid="{00000000-0005-0000-0000-0000C0820000}"/>
    <cellStyle name="Normal 9 2 2 2 2 2 9 6" xfId="33469" xr:uid="{00000000-0005-0000-0000-0000C1820000}"/>
    <cellStyle name="Normal 9 2 2 2 2 3" xfId="33470" xr:uid="{00000000-0005-0000-0000-0000C2820000}"/>
    <cellStyle name="Normal 9 2 2 2 2 3 2" xfId="33471" xr:uid="{00000000-0005-0000-0000-0000C3820000}"/>
    <cellStyle name="Normal 9 2 2 2 2 3 3" xfId="33472" xr:uid="{00000000-0005-0000-0000-0000C4820000}"/>
    <cellStyle name="Normal 9 2 2 2 2 3 4" xfId="33473" xr:uid="{00000000-0005-0000-0000-0000C5820000}"/>
    <cellStyle name="Normal 9 2 2 2 2 3 5" xfId="33474" xr:uid="{00000000-0005-0000-0000-0000C6820000}"/>
    <cellStyle name="Normal 9 2 2 2 2 3 6" xfId="33475" xr:uid="{00000000-0005-0000-0000-0000C7820000}"/>
    <cellStyle name="Normal 9 2 2 2 2 4" xfId="33476" xr:uid="{00000000-0005-0000-0000-0000C8820000}"/>
    <cellStyle name="Normal 9 2 2 2 2 4 2" xfId="33477" xr:uid="{00000000-0005-0000-0000-0000C9820000}"/>
    <cellStyle name="Normal 9 2 2 2 2 4 3" xfId="33478" xr:uid="{00000000-0005-0000-0000-0000CA820000}"/>
    <cellStyle name="Normal 9 2 2 2 2 4 4" xfId="33479" xr:uid="{00000000-0005-0000-0000-0000CB820000}"/>
    <cellStyle name="Normal 9 2 2 2 2 4 5" xfId="33480" xr:uid="{00000000-0005-0000-0000-0000CC820000}"/>
    <cellStyle name="Normal 9 2 2 2 2 4 6" xfId="33481" xr:uid="{00000000-0005-0000-0000-0000CD820000}"/>
    <cellStyle name="Normal 9 2 2 2 2 5" xfId="33482" xr:uid="{00000000-0005-0000-0000-0000CE820000}"/>
    <cellStyle name="Normal 9 2 2 2 2 5 2" xfId="33483" xr:uid="{00000000-0005-0000-0000-0000CF820000}"/>
    <cellStyle name="Normal 9 2 2 2 2 5 3" xfId="33484" xr:uid="{00000000-0005-0000-0000-0000D0820000}"/>
    <cellStyle name="Normal 9 2 2 2 2 5 4" xfId="33485" xr:uid="{00000000-0005-0000-0000-0000D1820000}"/>
    <cellStyle name="Normal 9 2 2 2 2 5 5" xfId="33486" xr:uid="{00000000-0005-0000-0000-0000D2820000}"/>
    <cellStyle name="Normal 9 2 2 2 2 5 6" xfId="33487" xr:uid="{00000000-0005-0000-0000-0000D3820000}"/>
    <cellStyle name="Normal 9 2 2 2 2 6" xfId="33488" xr:uid="{00000000-0005-0000-0000-0000D4820000}"/>
    <cellStyle name="Normal 9 2 2 2 2 6 2" xfId="33489" xr:uid="{00000000-0005-0000-0000-0000D5820000}"/>
    <cellStyle name="Normal 9 2 2 2 2 6 3" xfId="33490" xr:uid="{00000000-0005-0000-0000-0000D6820000}"/>
    <cellStyle name="Normal 9 2 2 2 2 6 4" xfId="33491" xr:uid="{00000000-0005-0000-0000-0000D7820000}"/>
    <cellStyle name="Normal 9 2 2 2 2 6 5" xfId="33492" xr:uid="{00000000-0005-0000-0000-0000D8820000}"/>
    <cellStyle name="Normal 9 2 2 2 2 6 6" xfId="33493" xr:uid="{00000000-0005-0000-0000-0000D9820000}"/>
    <cellStyle name="Normal 9 2 2 2 2 7" xfId="33494" xr:uid="{00000000-0005-0000-0000-0000DA820000}"/>
    <cellStyle name="Normal 9 2 2 2 2 7 2" xfId="33495" xr:uid="{00000000-0005-0000-0000-0000DB820000}"/>
    <cellStyle name="Normal 9 2 2 2 2 7 3" xfId="33496" xr:uid="{00000000-0005-0000-0000-0000DC820000}"/>
    <cellStyle name="Normal 9 2 2 2 2 7 4" xfId="33497" xr:uid="{00000000-0005-0000-0000-0000DD820000}"/>
    <cellStyle name="Normal 9 2 2 2 2 7 5" xfId="33498" xr:uid="{00000000-0005-0000-0000-0000DE820000}"/>
    <cellStyle name="Normal 9 2 2 2 2 7 6" xfId="33499" xr:uid="{00000000-0005-0000-0000-0000DF820000}"/>
    <cellStyle name="Normal 9 2 2 2 2 8" xfId="33500" xr:uid="{00000000-0005-0000-0000-0000E0820000}"/>
    <cellStyle name="Normal 9 2 2 2 2 8 2" xfId="33501" xr:uid="{00000000-0005-0000-0000-0000E1820000}"/>
    <cellStyle name="Normal 9 2 2 2 2 8 3" xfId="33502" xr:uid="{00000000-0005-0000-0000-0000E2820000}"/>
    <cellStyle name="Normal 9 2 2 2 2 8 4" xfId="33503" xr:uid="{00000000-0005-0000-0000-0000E3820000}"/>
    <cellStyle name="Normal 9 2 2 2 2 8 5" xfId="33504" xr:uid="{00000000-0005-0000-0000-0000E4820000}"/>
    <cellStyle name="Normal 9 2 2 2 2 8 6" xfId="33505" xr:uid="{00000000-0005-0000-0000-0000E5820000}"/>
    <cellStyle name="Normal 9 2 2 2 2 9" xfId="33506" xr:uid="{00000000-0005-0000-0000-0000E6820000}"/>
    <cellStyle name="Normal 9 2 2 2 2 9 2" xfId="33507" xr:uid="{00000000-0005-0000-0000-0000E7820000}"/>
    <cellStyle name="Normal 9 2 2 2 2 9 3" xfId="33508" xr:uid="{00000000-0005-0000-0000-0000E8820000}"/>
    <cellStyle name="Normal 9 2 2 2 2 9 4" xfId="33509" xr:uid="{00000000-0005-0000-0000-0000E9820000}"/>
    <cellStyle name="Normal 9 2 2 2 2 9 5" xfId="33510" xr:uid="{00000000-0005-0000-0000-0000EA820000}"/>
    <cellStyle name="Normal 9 2 2 2 2 9 6" xfId="33511" xr:uid="{00000000-0005-0000-0000-0000EB820000}"/>
    <cellStyle name="Normal 9 2 2 2 20" xfId="33512" xr:uid="{00000000-0005-0000-0000-0000EC820000}"/>
    <cellStyle name="Normal 9 2 2 2 21" xfId="33513" xr:uid="{00000000-0005-0000-0000-0000ED820000}"/>
    <cellStyle name="Normal 9 2 2 2 22" xfId="33514" xr:uid="{00000000-0005-0000-0000-0000EE820000}"/>
    <cellStyle name="Normal 9 2 2 2 23" xfId="33515" xr:uid="{00000000-0005-0000-0000-0000EF820000}"/>
    <cellStyle name="Normal 9 2 2 2 24" xfId="33516" xr:uid="{00000000-0005-0000-0000-0000F0820000}"/>
    <cellStyle name="Normal 9 2 2 2 25" xfId="33517" xr:uid="{00000000-0005-0000-0000-0000F1820000}"/>
    <cellStyle name="Normal 9 2 2 2 26" xfId="33518" xr:uid="{00000000-0005-0000-0000-0000F2820000}"/>
    <cellStyle name="Normal 9 2 2 2 27" xfId="33519" xr:uid="{00000000-0005-0000-0000-0000F3820000}"/>
    <cellStyle name="Normal 9 2 2 2 28" xfId="33520" xr:uid="{00000000-0005-0000-0000-0000F4820000}"/>
    <cellStyle name="Normal 9 2 2 2 29" xfId="33521" xr:uid="{00000000-0005-0000-0000-0000F5820000}"/>
    <cellStyle name="Normal 9 2 2 2 3" xfId="33522" xr:uid="{00000000-0005-0000-0000-0000F6820000}"/>
    <cellStyle name="Normal 9 2 2 2 3 10" xfId="33523" xr:uid="{00000000-0005-0000-0000-0000F7820000}"/>
    <cellStyle name="Normal 9 2 2 2 3 11" xfId="33524" xr:uid="{00000000-0005-0000-0000-0000F8820000}"/>
    <cellStyle name="Normal 9 2 2 2 3 12" xfId="33525" xr:uid="{00000000-0005-0000-0000-0000F9820000}"/>
    <cellStyle name="Normal 9 2 2 2 3 13" xfId="33526" xr:uid="{00000000-0005-0000-0000-0000FA820000}"/>
    <cellStyle name="Normal 9 2 2 2 3 14" xfId="33527" xr:uid="{00000000-0005-0000-0000-0000FB820000}"/>
    <cellStyle name="Normal 9 2 2 2 3 2" xfId="33528" xr:uid="{00000000-0005-0000-0000-0000FC820000}"/>
    <cellStyle name="Normal 9 2 2 2 3 2 2" xfId="33529" xr:uid="{00000000-0005-0000-0000-0000FD820000}"/>
    <cellStyle name="Normal 9 2 2 2 3 2 3" xfId="33530" xr:uid="{00000000-0005-0000-0000-0000FE820000}"/>
    <cellStyle name="Normal 9 2 2 2 3 2 4" xfId="33531" xr:uid="{00000000-0005-0000-0000-0000FF820000}"/>
    <cellStyle name="Normal 9 2 2 2 3 2 5" xfId="33532" xr:uid="{00000000-0005-0000-0000-000000830000}"/>
    <cellStyle name="Normal 9 2 2 2 3 2 6" xfId="33533" xr:uid="{00000000-0005-0000-0000-000001830000}"/>
    <cellStyle name="Normal 9 2 2 2 3 3" xfId="33534" xr:uid="{00000000-0005-0000-0000-000002830000}"/>
    <cellStyle name="Normal 9 2 2 2 3 3 2" xfId="33535" xr:uid="{00000000-0005-0000-0000-000003830000}"/>
    <cellStyle name="Normal 9 2 2 2 3 3 3" xfId="33536" xr:uid="{00000000-0005-0000-0000-000004830000}"/>
    <cellStyle name="Normal 9 2 2 2 3 3 4" xfId="33537" xr:uid="{00000000-0005-0000-0000-000005830000}"/>
    <cellStyle name="Normal 9 2 2 2 3 3 5" xfId="33538" xr:uid="{00000000-0005-0000-0000-000006830000}"/>
    <cellStyle name="Normal 9 2 2 2 3 3 6" xfId="33539" xr:uid="{00000000-0005-0000-0000-000007830000}"/>
    <cellStyle name="Normal 9 2 2 2 3 4" xfId="33540" xr:uid="{00000000-0005-0000-0000-000008830000}"/>
    <cellStyle name="Normal 9 2 2 2 3 4 2" xfId="33541" xr:uid="{00000000-0005-0000-0000-000009830000}"/>
    <cellStyle name="Normal 9 2 2 2 3 4 3" xfId="33542" xr:uid="{00000000-0005-0000-0000-00000A830000}"/>
    <cellStyle name="Normal 9 2 2 2 3 4 4" xfId="33543" xr:uid="{00000000-0005-0000-0000-00000B830000}"/>
    <cellStyle name="Normal 9 2 2 2 3 4 5" xfId="33544" xr:uid="{00000000-0005-0000-0000-00000C830000}"/>
    <cellStyle name="Normal 9 2 2 2 3 4 6" xfId="33545" xr:uid="{00000000-0005-0000-0000-00000D830000}"/>
    <cellStyle name="Normal 9 2 2 2 3 5" xfId="33546" xr:uid="{00000000-0005-0000-0000-00000E830000}"/>
    <cellStyle name="Normal 9 2 2 2 3 5 2" xfId="33547" xr:uid="{00000000-0005-0000-0000-00000F830000}"/>
    <cellStyle name="Normal 9 2 2 2 3 5 3" xfId="33548" xr:uid="{00000000-0005-0000-0000-000010830000}"/>
    <cellStyle name="Normal 9 2 2 2 3 5 4" xfId="33549" xr:uid="{00000000-0005-0000-0000-000011830000}"/>
    <cellStyle name="Normal 9 2 2 2 3 5 5" xfId="33550" xr:uid="{00000000-0005-0000-0000-000012830000}"/>
    <cellStyle name="Normal 9 2 2 2 3 5 6" xfId="33551" xr:uid="{00000000-0005-0000-0000-000013830000}"/>
    <cellStyle name="Normal 9 2 2 2 3 6" xfId="33552" xr:uid="{00000000-0005-0000-0000-000014830000}"/>
    <cellStyle name="Normal 9 2 2 2 3 6 2" xfId="33553" xr:uid="{00000000-0005-0000-0000-000015830000}"/>
    <cellStyle name="Normal 9 2 2 2 3 6 3" xfId="33554" xr:uid="{00000000-0005-0000-0000-000016830000}"/>
    <cellStyle name="Normal 9 2 2 2 3 6 4" xfId="33555" xr:uid="{00000000-0005-0000-0000-000017830000}"/>
    <cellStyle name="Normal 9 2 2 2 3 6 5" xfId="33556" xr:uid="{00000000-0005-0000-0000-000018830000}"/>
    <cellStyle name="Normal 9 2 2 2 3 6 6" xfId="33557" xr:uid="{00000000-0005-0000-0000-000019830000}"/>
    <cellStyle name="Normal 9 2 2 2 3 7" xfId="33558" xr:uid="{00000000-0005-0000-0000-00001A830000}"/>
    <cellStyle name="Normal 9 2 2 2 3 7 2" xfId="33559" xr:uid="{00000000-0005-0000-0000-00001B830000}"/>
    <cellStyle name="Normal 9 2 2 2 3 7 3" xfId="33560" xr:uid="{00000000-0005-0000-0000-00001C830000}"/>
    <cellStyle name="Normal 9 2 2 2 3 7 4" xfId="33561" xr:uid="{00000000-0005-0000-0000-00001D830000}"/>
    <cellStyle name="Normal 9 2 2 2 3 7 5" xfId="33562" xr:uid="{00000000-0005-0000-0000-00001E830000}"/>
    <cellStyle name="Normal 9 2 2 2 3 7 6" xfId="33563" xr:uid="{00000000-0005-0000-0000-00001F830000}"/>
    <cellStyle name="Normal 9 2 2 2 3 8" xfId="33564" xr:uid="{00000000-0005-0000-0000-000020830000}"/>
    <cellStyle name="Normal 9 2 2 2 3 8 2" xfId="33565" xr:uid="{00000000-0005-0000-0000-000021830000}"/>
    <cellStyle name="Normal 9 2 2 2 3 8 3" xfId="33566" xr:uid="{00000000-0005-0000-0000-000022830000}"/>
    <cellStyle name="Normal 9 2 2 2 3 8 4" xfId="33567" xr:uid="{00000000-0005-0000-0000-000023830000}"/>
    <cellStyle name="Normal 9 2 2 2 3 8 5" xfId="33568" xr:uid="{00000000-0005-0000-0000-000024830000}"/>
    <cellStyle name="Normal 9 2 2 2 3 8 6" xfId="33569" xr:uid="{00000000-0005-0000-0000-000025830000}"/>
    <cellStyle name="Normal 9 2 2 2 3 9" xfId="33570" xr:uid="{00000000-0005-0000-0000-000026830000}"/>
    <cellStyle name="Normal 9 2 2 2 3 9 2" xfId="33571" xr:uid="{00000000-0005-0000-0000-000027830000}"/>
    <cellStyle name="Normal 9 2 2 2 3 9 3" xfId="33572" xr:uid="{00000000-0005-0000-0000-000028830000}"/>
    <cellStyle name="Normal 9 2 2 2 3 9 4" xfId="33573" xr:uid="{00000000-0005-0000-0000-000029830000}"/>
    <cellStyle name="Normal 9 2 2 2 3 9 5" xfId="33574" xr:uid="{00000000-0005-0000-0000-00002A830000}"/>
    <cellStyle name="Normal 9 2 2 2 3 9 6" xfId="33575" xr:uid="{00000000-0005-0000-0000-00002B830000}"/>
    <cellStyle name="Normal 9 2 2 2 30" xfId="33576" xr:uid="{00000000-0005-0000-0000-00002C830000}"/>
    <cellStyle name="Normal 9 2 2 2 31" xfId="33577" xr:uid="{00000000-0005-0000-0000-00002D830000}"/>
    <cellStyle name="Normal 9 2 2 2 4" xfId="33578" xr:uid="{00000000-0005-0000-0000-00002E830000}"/>
    <cellStyle name="Normal 9 2 2 2 4 2" xfId="33579" xr:uid="{00000000-0005-0000-0000-00002F830000}"/>
    <cellStyle name="Normal 9 2 2 2 4 3" xfId="33580" xr:uid="{00000000-0005-0000-0000-000030830000}"/>
    <cellStyle name="Normal 9 2 2 2 4 4" xfId="33581" xr:uid="{00000000-0005-0000-0000-000031830000}"/>
    <cellStyle name="Normal 9 2 2 2 4 5" xfId="33582" xr:uid="{00000000-0005-0000-0000-000032830000}"/>
    <cellStyle name="Normal 9 2 2 2 4 6" xfId="33583" xr:uid="{00000000-0005-0000-0000-000033830000}"/>
    <cellStyle name="Normal 9 2 2 2 5" xfId="33584" xr:uid="{00000000-0005-0000-0000-000034830000}"/>
    <cellStyle name="Normal 9 2 2 2 5 2" xfId="33585" xr:uid="{00000000-0005-0000-0000-000035830000}"/>
    <cellStyle name="Normal 9 2 2 2 5 3" xfId="33586" xr:uid="{00000000-0005-0000-0000-000036830000}"/>
    <cellStyle name="Normal 9 2 2 2 5 4" xfId="33587" xr:uid="{00000000-0005-0000-0000-000037830000}"/>
    <cellStyle name="Normal 9 2 2 2 5 5" xfId="33588" xr:uid="{00000000-0005-0000-0000-000038830000}"/>
    <cellStyle name="Normal 9 2 2 2 5 6" xfId="33589" xr:uid="{00000000-0005-0000-0000-000039830000}"/>
    <cellStyle name="Normal 9 2 2 2 6" xfId="33590" xr:uid="{00000000-0005-0000-0000-00003A830000}"/>
    <cellStyle name="Normal 9 2 2 2 6 2" xfId="33591" xr:uid="{00000000-0005-0000-0000-00003B830000}"/>
    <cellStyle name="Normal 9 2 2 2 6 3" xfId="33592" xr:uid="{00000000-0005-0000-0000-00003C830000}"/>
    <cellStyle name="Normal 9 2 2 2 6 4" xfId="33593" xr:uid="{00000000-0005-0000-0000-00003D830000}"/>
    <cellStyle name="Normal 9 2 2 2 6 5" xfId="33594" xr:uid="{00000000-0005-0000-0000-00003E830000}"/>
    <cellStyle name="Normal 9 2 2 2 6 6" xfId="33595" xr:uid="{00000000-0005-0000-0000-00003F830000}"/>
    <cellStyle name="Normal 9 2 2 2 7" xfId="33596" xr:uid="{00000000-0005-0000-0000-000040830000}"/>
    <cellStyle name="Normal 9 2 2 2 7 2" xfId="33597" xr:uid="{00000000-0005-0000-0000-000041830000}"/>
    <cellStyle name="Normal 9 2 2 2 7 3" xfId="33598" xr:uid="{00000000-0005-0000-0000-000042830000}"/>
    <cellStyle name="Normal 9 2 2 2 7 4" xfId="33599" xr:uid="{00000000-0005-0000-0000-000043830000}"/>
    <cellStyle name="Normal 9 2 2 2 7 5" xfId="33600" xr:uid="{00000000-0005-0000-0000-000044830000}"/>
    <cellStyle name="Normal 9 2 2 2 7 6" xfId="33601" xr:uid="{00000000-0005-0000-0000-000045830000}"/>
    <cellStyle name="Normal 9 2 2 2 8" xfId="33602" xr:uid="{00000000-0005-0000-0000-000046830000}"/>
    <cellStyle name="Normal 9 2 2 2 8 2" xfId="33603" xr:uid="{00000000-0005-0000-0000-000047830000}"/>
    <cellStyle name="Normal 9 2 2 2 8 3" xfId="33604" xr:uid="{00000000-0005-0000-0000-000048830000}"/>
    <cellStyle name="Normal 9 2 2 2 8 4" xfId="33605" xr:uid="{00000000-0005-0000-0000-000049830000}"/>
    <cellStyle name="Normal 9 2 2 2 8 5" xfId="33606" xr:uid="{00000000-0005-0000-0000-00004A830000}"/>
    <cellStyle name="Normal 9 2 2 2 8 6" xfId="33607" xr:uid="{00000000-0005-0000-0000-00004B830000}"/>
    <cellStyle name="Normal 9 2 2 2 9" xfId="33608" xr:uid="{00000000-0005-0000-0000-00004C830000}"/>
    <cellStyle name="Normal 9 2 2 2 9 2" xfId="33609" xr:uid="{00000000-0005-0000-0000-00004D830000}"/>
    <cellStyle name="Normal 9 2 2 2 9 3" xfId="33610" xr:uid="{00000000-0005-0000-0000-00004E830000}"/>
    <cellStyle name="Normal 9 2 2 2 9 4" xfId="33611" xr:uid="{00000000-0005-0000-0000-00004F830000}"/>
    <cellStyle name="Normal 9 2 2 2 9 5" xfId="33612" xr:uid="{00000000-0005-0000-0000-000050830000}"/>
    <cellStyle name="Normal 9 2 2 2 9 6" xfId="33613" xr:uid="{00000000-0005-0000-0000-000051830000}"/>
    <cellStyle name="Normal 9 2 2 3" xfId="33614" xr:uid="{00000000-0005-0000-0000-000052830000}"/>
    <cellStyle name="Normal 9 2 2 3 10" xfId="33615" xr:uid="{00000000-0005-0000-0000-000053830000}"/>
    <cellStyle name="Normal 9 2 2 3 10 2" xfId="33616" xr:uid="{00000000-0005-0000-0000-000054830000}"/>
    <cellStyle name="Normal 9 2 2 3 10 3" xfId="33617" xr:uid="{00000000-0005-0000-0000-000055830000}"/>
    <cellStyle name="Normal 9 2 2 3 10 4" xfId="33618" xr:uid="{00000000-0005-0000-0000-000056830000}"/>
    <cellStyle name="Normal 9 2 2 3 10 5" xfId="33619" xr:uid="{00000000-0005-0000-0000-000057830000}"/>
    <cellStyle name="Normal 9 2 2 3 10 6" xfId="33620" xr:uid="{00000000-0005-0000-0000-000058830000}"/>
    <cellStyle name="Normal 9 2 2 3 11" xfId="33621" xr:uid="{00000000-0005-0000-0000-000059830000}"/>
    <cellStyle name="Normal 9 2 2 3 11 2" xfId="33622" xr:uid="{00000000-0005-0000-0000-00005A830000}"/>
    <cellStyle name="Normal 9 2 2 3 11 3" xfId="33623" xr:uid="{00000000-0005-0000-0000-00005B830000}"/>
    <cellStyle name="Normal 9 2 2 3 11 4" xfId="33624" xr:uid="{00000000-0005-0000-0000-00005C830000}"/>
    <cellStyle name="Normal 9 2 2 3 11 5" xfId="33625" xr:uid="{00000000-0005-0000-0000-00005D830000}"/>
    <cellStyle name="Normal 9 2 2 3 11 6" xfId="33626" xr:uid="{00000000-0005-0000-0000-00005E830000}"/>
    <cellStyle name="Normal 9 2 2 3 12" xfId="33627" xr:uid="{00000000-0005-0000-0000-00005F830000}"/>
    <cellStyle name="Normal 9 2 2 3 13" xfId="33628" xr:uid="{00000000-0005-0000-0000-000060830000}"/>
    <cellStyle name="Normal 9 2 2 3 14" xfId="33629" xr:uid="{00000000-0005-0000-0000-000061830000}"/>
    <cellStyle name="Normal 9 2 2 3 15" xfId="33630" xr:uid="{00000000-0005-0000-0000-000062830000}"/>
    <cellStyle name="Normal 9 2 2 3 16" xfId="33631" xr:uid="{00000000-0005-0000-0000-000063830000}"/>
    <cellStyle name="Normal 9 2 2 3 17" xfId="33632" xr:uid="{00000000-0005-0000-0000-000064830000}"/>
    <cellStyle name="Normal 9 2 2 3 18" xfId="33633" xr:uid="{00000000-0005-0000-0000-000065830000}"/>
    <cellStyle name="Normal 9 2 2 3 19" xfId="33634" xr:uid="{00000000-0005-0000-0000-000066830000}"/>
    <cellStyle name="Normal 9 2 2 3 2" xfId="33635" xr:uid="{00000000-0005-0000-0000-000067830000}"/>
    <cellStyle name="Normal 9 2 2 3 2 10" xfId="33636" xr:uid="{00000000-0005-0000-0000-000068830000}"/>
    <cellStyle name="Normal 9 2 2 3 2 10 2" xfId="33637" xr:uid="{00000000-0005-0000-0000-000069830000}"/>
    <cellStyle name="Normal 9 2 2 3 2 10 3" xfId="33638" xr:uid="{00000000-0005-0000-0000-00006A830000}"/>
    <cellStyle name="Normal 9 2 2 3 2 10 4" xfId="33639" xr:uid="{00000000-0005-0000-0000-00006B830000}"/>
    <cellStyle name="Normal 9 2 2 3 2 10 5" xfId="33640" xr:uid="{00000000-0005-0000-0000-00006C830000}"/>
    <cellStyle name="Normal 9 2 2 3 2 10 6" xfId="33641" xr:uid="{00000000-0005-0000-0000-00006D830000}"/>
    <cellStyle name="Normal 9 2 2 3 2 11" xfId="33642" xr:uid="{00000000-0005-0000-0000-00006E830000}"/>
    <cellStyle name="Normal 9 2 2 3 2 12" xfId="33643" xr:uid="{00000000-0005-0000-0000-00006F830000}"/>
    <cellStyle name="Normal 9 2 2 3 2 13" xfId="33644" xr:uid="{00000000-0005-0000-0000-000070830000}"/>
    <cellStyle name="Normal 9 2 2 3 2 14" xfId="33645" xr:uid="{00000000-0005-0000-0000-000071830000}"/>
    <cellStyle name="Normal 9 2 2 3 2 15" xfId="33646" xr:uid="{00000000-0005-0000-0000-000072830000}"/>
    <cellStyle name="Normal 9 2 2 3 2 2" xfId="33647" xr:uid="{00000000-0005-0000-0000-000073830000}"/>
    <cellStyle name="Normal 9 2 2 3 2 2 10" xfId="33648" xr:uid="{00000000-0005-0000-0000-000074830000}"/>
    <cellStyle name="Normal 9 2 2 3 2 2 11" xfId="33649" xr:uid="{00000000-0005-0000-0000-000075830000}"/>
    <cellStyle name="Normal 9 2 2 3 2 2 12" xfId="33650" xr:uid="{00000000-0005-0000-0000-000076830000}"/>
    <cellStyle name="Normal 9 2 2 3 2 2 13" xfId="33651" xr:uid="{00000000-0005-0000-0000-000077830000}"/>
    <cellStyle name="Normal 9 2 2 3 2 2 14" xfId="33652" xr:uid="{00000000-0005-0000-0000-000078830000}"/>
    <cellStyle name="Normal 9 2 2 3 2 2 2" xfId="33653" xr:uid="{00000000-0005-0000-0000-000079830000}"/>
    <cellStyle name="Normal 9 2 2 3 2 2 2 2" xfId="33654" xr:uid="{00000000-0005-0000-0000-00007A830000}"/>
    <cellStyle name="Normal 9 2 2 3 2 2 2 3" xfId="33655" xr:uid="{00000000-0005-0000-0000-00007B830000}"/>
    <cellStyle name="Normal 9 2 2 3 2 2 2 4" xfId="33656" xr:uid="{00000000-0005-0000-0000-00007C830000}"/>
    <cellStyle name="Normal 9 2 2 3 2 2 2 5" xfId="33657" xr:uid="{00000000-0005-0000-0000-00007D830000}"/>
    <cellStyle name="Normal 9 2 2 3 2 2 2 6" xfId="33658" xr:uid="{00000000-0005-0000-0000-00007E830000}"/>
    <cellStyle name="Normal 9 2 2 3 2 2 3" xfId="33659" xr:uid="{00000000-0005-0000-0000-00007F830000}"/>
    <cellStyle name="Normal 9 2 2 3 2 2 3 2" xfId="33660" xr:uid="{00000000-0005-0000-0000-000080830000}"/>
    <cellStyle name="Normal 9 2 2 3 2 2 3 3" xfId="33661" xr:uid="{00000000-0005-0000-0000-000081830000}"/>
    <cellStyle name="Normal 9 2 2 3 2 2 3 4" xfId="33662" xr:uid="{00000000-0005-0000-0000-000082830000}"/>
    <cellStyle name="Normal 9 2 2 3 2 2 3 5" xfId="33663" xr:uid="{00000000-0005-0000-0000-000083830000}"/>
    <cellStyle name="Normal 9 2 2 3 2 2 3 6" xfId="33664" xr:uid="{00000000-0005-0000-0000-000084830000}"/>
    <cellStyle name="Normal 9 2 2 3 2 2 4" xfId="33665" xr:uid="{00000000-0005-0000-0000-000085830000}"/>
    <cellStyle name="Normal 9 2 2 3 2 2 4 2" xfId="33666" xr:uid="{00000000-0005-0000-0000-000086830000}"/>
    <cellStyle name="Normal 9 2 2 3 2 2 4 3" xfId="33667" xr:uid="{00000000-0005-0000-0000-000087830000}"/>
    <cellStyle name="Normal 9 2 2 3 2 2 4 4" xfId="33668" xr:uid="{00000000-0005-0000-0000-000088830000}"/>
    <cellStyle name="Normal 9 2 2 3 2 2 4 5" xfId="33669" xr:uid="{00000000-0005-0000-0000-000089830000}"/>
    <cellStyle name="Normal 9 2 2 3 2 2 4 6" xfId="33670" xr:uid="{00000000-0005-0000-0000-00008A830000}"/>
    <cellStyle name="Normal 9 2 2 3 2 2 5" xfId="33671" xr:uid="{00000000-0005-0000-0000-00008B830000}"/>
    <cellStyle name="Normal 9 2 2 3 2 2 5 2" xfId="33672" xr:uid="{00000000-0005-0000-0000-00008C830000}"/>
    <cellStyle name="Normal 9 2 2 3 2 2 5 3" xfId="33673" xr:uid="{00000000-0005-0000-0000-00008D830000}"/>
    <cellStyle name="Normal 9 2 2 3 2 2 5 4" xfId="33674" xr:uid="{00000000-0005-0000-0000-00008E830000}"/>
    <cellStyle name="Normal 9 2 2 3 2 2 5 5" xfId="33675" xr:uid="{00000000-0005-0000-0000-00008F830000}"/>
    <cellStyle name="Normal 9 2 2 3 2 2 5 6" xfId="33676" xr:uid="{00000000-0005-0000-0000-000090830000}"/>
    <cellStyle name="Normal 9 2 2 3 2 2 6" xfId="33677" xr:uid="{00000000-0005-0000-0000-000091830000}"/>
    <cellStyle name="Normal 9 2 2 3 2 2 6 2" xfId="33678" xr:uid="{00000000-0005-0000-0000-000092830000}"/>
    <cellStyle name="Normal 9 2 2 3 2 2 6 3" xfId="33679" xr:uid="{00000000-0005-0000-0000-000093830000}"/>
    <cellStyle name="Normal 9 2 2 3 2 2 6 4" xfId="33680" xr:uid="{00000000-0005-0000-0000-000094830000}"/>
    <cellStyle name="Normal 9 2 2 3 2 2 6 5" xfId="33681" xr:uid="{00000000-0005-0000-0000-000095830000}"/>
    <cellStyle name="Normal 9 2 2 3 2 2 6 6" xfId="33682" xr:uid="{00000000-0005-0000-0000-000096830000}"/>
    <cellStyle name="Normal 9 2 2 3 2 2 7" xfId="33683" xr:uid="{00000000-0005-0000-0000-000097830000}"/>
    <cellStyle name="Normal 9 2 2 3 2 2 7 2" xfId="33684" xr:uid="{00000000-0005-0000-0000-000098830000}"/>
    <cellStyle name="Normal 9 2 2 3 2 2 7 3" xfId="33685" xr:uid="{00000000-0005-0000-0000-000099830000}"/>
    <cellStyle name="Normal 9 2 2 3 2 2 7 4" xfId="33686" xr:uid="{00000000-0005-0000-0000-00009A830000}"/>
    <cellStyle name="Normal 9 2 2 3 2 2 7 5" xfId="33687" xr:uid="{00000000-0005-0000-0000-00009B830000}"/>
    <cellStyle name="Normal 9 2 2 3 2 2 7 6" xfId="33688" xr:uid="{00000000-0005-0000-0000-00009C830000}"/>
    <cellStyle name="Normal 9 2 2 3 2 2 8" xfId="33689" xr:uid="{00000000-0005-0000-0000-00009D830000}"/>
    <cellStyle name="Normal 9 2 2 3 2 2 8 2" xfId="33690" xr:uid="{00000000-0005-0000-0000-00009E830000}"/>
    <cellStyle name="Normal 9 2 2 3 2 2 8 3" xfId="33691" xr:uid="{00000000-0005-0000-0000-00009F830000}"/>
    <cellStyle name="Normal 9 2 2 3 2 2 8 4" xfId="33692" xr:uid="{00000000-0005-0000-0000-0000A0830000}"/>
    <cellStyle name="Normal 9 2 2 3 2 2 8 5" xfId="33693" xr:uid="{00000000-0005-0000-0000-0000A1830000}"/>
    <cellStyle name="Normal 9 2 2 3 2 2 8 6" xfId="33694" xr:uid="{00000000-0005-0000-0000-0000A2830000}"/>
    <cellStyle name="Normal 9 2 2 3 2 2 9" xfId="33695" xr:uid="{00000000-0005-0000-0000-0000A3830000}"/>
    <cellStyle name="Normal 9 2 2 3 2 2 9 2" xfId="33696" xr:uid="{00000000-0005-0000-0000-0000A4830000}"/>
    <cellStyle name="Normal 9 2 2 3 2 2 9 3" xfId="33697" xr:uid="{00000000-0005-0000-0000-0000A5830000}"/>
    <cellStyle name="Normal 9 2 2 3 2 2 9 4" xfId="33698" xr:uid="{00000000-0005-0000-0000-0000A6830000}"/>
    <cellStyle name="Normal 9 2 2 3 2 2 9 5" xfId="33699" xr:uid="{00000000-0005-0000-0000-0000A7830000}"/>
    <cellStyle name="Normal 9 2 2 3 2 2 9 6" xfId="33700" xr:uid="{00000000-0005-0000-0000-0000A8830000}"/>
    <cellStyle name="Normal 9 2 2 3 2 3" xfId="33701" xr:uid="{00000000-0005-0000-0000-0000A9830000}"/>
    <cellStyle name="Normal 9 2 2 3 2 3 2" xfId="33702" xr:uid="{00000000-0005-0000-0000-0000AA830000}"/>
    <cellStyle name="Normal 9 2 2 3 2 3 3" xfId="33703" xr:uid="{00000000-0005-0000-0000-0000AB830000}"/>
    <cellStyle name="Normal 9 2 2 3 2 3 4" xfId="33704" xr:uid="{00000000-0005-0000-0000-0000AC830000}"/>
    <cellStyle name="Normal 9 2 2 3 2 3 5" xfId="33705" xr:uid="{00000000-0005-0000-0000-0000AD830000}"/>
    <cellStyle name="Normal 9 2 2 3 2 3 6" xfId="33706" xr:uid="{00000000-0005-0000-0000-0000AE830000}"/>
    <cellStyle name="Normal 9 2 2 3 2 4" xfId="33707" xr:uid="{00000000-0005-0000-0000-0000AF830000}"/>
    <cellStyle name="Normal 9 2 2 3 2 4 2" xfId="33708" xr:uid="{00000000-0005-0000-0000-0000B0830000}"/>
    <cellStyle name="Normal 9 2 2 3 2 4 3" xfId="33709" xr:uid="{00000000-0005-0000-0000-0000B1830000}"/>
    <cellStyle name="Normal 9 2 2 3 2 4 4" xfId="33710" xr:uid="{00000000-0005-0000-0000-0000B2830000}"/>
    <cellStyle name="Normal 9 2 2 3 2 4 5" xfId="33711" xr:uid="{00000000-0005-0000-0000-0000B3830000}"/>
    <cellStyle name="Normal 9 2 2 3 2 4 6" xfId="33712" xr:uid="{00000000-0005-0000-0000-0000B4830000}"/>
    <cellStyle name="Normal 9 2 2 3 2 5" xfId="33713" xr:uid="{00000000-0005-0000-0000-0000B5830000}"/>
    <cellStyle name="Normal 9 2 2 3 2 5 2" xfId="33714" xr:uid="{00000000-0005-0000-0000-0000B6830000}"/>
    <cellStyle name="Normal 9 2 2 3 2 5 3" xfId="33715" xr:uid="{00000000-0005-0000-0000-0000B7830000}"/>
    <cellStyle name="Normal 9 2 2 3 2 5 4" xfId="33716" xr:uid="{00000000-0005-0000-0000-0000B8830000}"/>
    <cellStyle name="Normal 9 2 2 3 2 5 5" xfId="33717" xr:uid="{00000000-0005-0000-0000-0000B9830000}"/>
    <cellStyle name="Normal 9 2 2 3 2 5 6" xfId="33718" xr:uid="{00000000-0005-0000-0000-0000BA830000}"/>
    <cellStyle name="Normal 9 2 2 3 2 6" xfId="33719" xr:uid="{00000000-0005-0000-0000-0000BB830000}"/>
    <cellStyle name="Normal 9 2 2 3 2 6 2" xfId="33720" xr:uid="{00000000-0005-0000-0000-0000BC830000}"/>
    <cellStyle name="Normal 9 2 2 3 2 6 3" xfId="33721" xr:uid="{00000000-0005-0000-0000-0000BD830000}"/>
    <cellStyle name="Normal 9 2 2 3 2 6 4" xfId="33722" xr:uid="{00000000-0005-0000-0000-0000BE830000}"/>
    <cellStyle name="Normal 9 2 2 3 2 6 5" xfId="33723" xr:uid="{00000000-0005-0000-0000-0000BF830000}"/>
    <cellStyle name="Normal 9 2 2 3 2 6 6" xfId="33724" xr:uid="{00000000-0005-0000-0000-0000C0830000}"/>
    <cellStyle name="Normal 9 2 2 3 2 7" xfId="33725" xr:uid="{00000000-0005-0000-0000-0000C1830000}"/>
    <cellStyle name="Normal 9 2 2 3 2 7 2" xfId="33726" xr:uid="{00000000-0005-0000-0000-0000C2830000}"/>
    <cellStyle name="Normal 9 2 2 3 2 7 3" xfId="33727" xr:uid="{00000000-0005-0000-0000-0000C3830000}"/>
    <cellStyle name="Normal 9 2 2 3 2 7 4" xfId="33728" xr:uid="{00000000-0005-0000-0000-0000C4830000}"/>
    <cellStyle name="Normal 9 2 2 3 2 7 5" xfId="33729" xr:uid="{00000000-0005-0000-0000-0000C5830000}"/>
    <cellStyle name="Normal 9 2 2 3 2 7 6" xfId="33730" xr:uid="{00000000-0005-0000-0000-0000C6830000}"/>
    <cellStyle name="Normal 9 2 2 3 2 8" xfId="33731" xr:uid="{00000000-0005-0000-0000-0000C7830000}"/>
    <cellStyle name="Normal 9 2 2 3 2 8 2" xfId="33732" xr:uid="{00000000-0005-0000-0000-0000C8830000}"/>
    <cellStyle name="Normal 9 2 2 3 2 8 3" xfId="33733" xr:uid="{00000000-0005-0000-0000-0000C9830000}"/>
    <cellStyle name="Normal 9 2 2 3 2 8 4" xfId="33734" xr:uid="{00000000-0005-0000-0000-0000CA830000}"/>
    <cellStyle name="Normal 9 2 2 3 2 8 5" xfId="33735" xr:uid="{00000000-0005-0000-0000-0000CB830000}"/>
    <cellStyle name="Normal 9 2 2 3 2 8 6" xfId="33736" xr:uid="{00000000-0005-0000-0000-0000CC830000}"/>
    <cellStyle name="Normal 9 2 2 3 2 9" xfId="33737" xr:uid="{00000000-0005-0000-0000-0000CD830000}"/>
    <cellStyle name="Normal 9 2 2 3 2 9 2" xfId="33738" xr:uid="{00000000-0005-0000-0000-0000CE830000}"/>
    <cellStyle name="Normal 9 2 2 3 2 9 3" xfId="33739" xr:uid="{00000000-0005-0000-0000-0000CF830000}"/>
    <cellStyle name="Normal 9 2 2 3 2 9 4" xfId="33740" xr:uid="{00000000-0005-0000-0000-0000D0830000}"/>
    <cellStyle name="Normal 9 2 2 3 2 9 5" xfId="33741" xr:uid="{00000000-0005-0000-0000-0000D1830000}"/>
    <cellStyle name="Normal 9 2 2 3 2 9 6" xfId="33742" xr:uid="{00000000-0005-0000-0000-0000D2830000}"/>
    <cellStyle name="Normal 9 2 2 3 20" xfId="33743" xr:uid="{00000000-0005-0000-0000-0000D3830000}"/>
    <cellStyle name="Normal 9 2 2 3 21" xfId="33744" xr:uid="{00000000-0005-0000-0000-0000D4830000}"/>
    <cellStyle name="Normal 9 2 2 3 22" xfId="33745" xr:uid="{00000000-0005-0000-0000-0000D5830000}"/>
    <cellStyle name="Normal 9 2 2 3 23" xfId="33746" xr:uid="{00000000-0005-0000-0000-0000D6830000}"/>
    <cellStyle name="Normal 9 2 2 3 24" xfId="33747" xr:uid="{00000000-0005-0000-0000-0000D7830000}"/>
    <cellStyle name="Normal 9 2 2 3 25" xfId="33748" xr:uid="{00000000-0005-0000-0000-0000D8830000}"/>
    <cellStyle name="Normal 9 2 2 3 26" xfId="33749" xr:uid="{00000000-0005-0000-0000-0000D9830000}"/>
    <cellStyle name="Normal 9 2 2 3 27" xfId="33750" xr:uid="{00000000-0005-0000-0000-0000DA830000}"/>
    <cellStyle name="Normal 9 2 2 3 28" xfId="33751" xr:uid="{00000000-0005-0000-0000-0000DB830000}"/>
    <cellStyle name="Normal 9 2 2 3 29" xfId="33752" xr:uid="{00000000-0005-0000-0000-0000DC830000}"/>
    <cellStyle name="Normal 9 2 2 3 3" xfId="33753" xr:uid="{00000000-0005-0000-0000-0000DD830000}"/>
    <cellStyle name="Normal 9 2 2 3 3 10" xfId="33754" xr:uid="{00000000-0005-0000-0000-0000DE830000}"/>
    <cellStyle name="Normal 9 2 2 3 3 11" xfId="33755" xr:uid="{00000000-0005-0000-0000-0000DF830000}"/>
    <cellStyle name="Normal 9 2 2 3 3 12" xfId="33756" xr:uid="{00000000-0005-0000-0000-0000E0830000}"/>
    <cellStyle name="Normal 9 2 2 3 3 13" xfId="33757" xr:uid="{00000000-0005-0000-0000-0000E1830000}"/>
    <cellStyle name="Normal 9 2 2 3 3 14" xfId="33758" xr:uid="{00000000-0005-0000-0000-0000E2830000}"/>
    <cellStyle name="Normal 9 2 2 3 3 2" xfId="33759" xr:uid="{00000000-0005-0000-0000-0000E3830000}"/>
    <cellStyle name="Normal 9 2 2 3 3 2 2" xfId="33760" xr:uid="{00000000-0005-0000-0000-0000E4830000}"/>
    <cellStyle name="Normal 9 2 2 3 3 2 3" xfId="33761" xr:uid="{00000000-0005-0000-0000-0000E5830000}"/>
    <cellStyle name="Normal 9 2 2 3 3 2 4" xfId="33762" xr:uid="{00000000-0005-0000-0000-0000E6830000}"/>
    <cellStyle name="Normal 9 2 2 3 3 2 5" xfId="33763" xr:uid="{00000000-0005-0000-0000-0000E7830000}"/>
    <cellStyle name="Normal 9 2 2 3 3 2 6" xfId="33764" xr:uid="{00000000-0005-0000-0000-0000E8830000}"/>
    <cellStyle name="Normal 9 2 2 3 3 3" xfId="33765" xr:uid="{00000000-0005-0000-0000-0000E9830000}"/>
    <cellStyle name="Normal 9 2 2 3 3 3 2" xfId="33766" xr:uid="{00000000-0005-0000-0000-0000EA830000}"/>
    <cellStyle name="Normal 9 2 2 3 3 3 3" xfId="33767" xr:uid="{00000000-0005-0000-0000-0000EB830000}"/>
    <cellStyle name="Normal 9 2 2 3 3 3 4" xfId="33768" xr:uid="{00000000-0005-0000-0000-0000EC830000}"/>
    <cellStyle name="Normal 9 2 2 3 3 3 5" xfId="33769" xr:uid="{00000000-0005-0000-0000-0000ED830000}"/>
    <cellStyle name="Normal 9 2 2 3 3 3 6" xfId="33770" xr:uid="{00000000-0005-0000-0000-0000EE830000}"/>
    <cellStyle name="Normal 9 2 2 3 3 4" xfId="33771" xr:uid="{00000000-0005-0000-0000-0000EF830000}"/>
    <cellStyle name="Normal 9 2 2 3 3 4 2" xfId="33772" xr:uid="{00000000-0005-0000-0000-0000F0830000}"/>
    <cellStyle name="Normal 9 2 2 3 3 4 3" xfId="33773" xr:uid="{00000000-0005-0000-0000-0000F1830000}"/>
    <cellStyle name="Normal 9 2 2 3 3 4 4" xfId="33774" xr:uid="{00000000-0005-0000-0000-0000F2830000}"/>
    <cellStyle name="Normal 9 2 2 3 3 4 5" xfId="33775" xr:uid="{00000000-0005-0000-0000-0000F3830000}"/>
    <cellStyle name="Normal 9 2 2 3 3 4 6" xfId="33776" xr:uid="{00000000-0005-0000-0000-0000F4830000}"/>
    <cellStyle name="Normal 9 2 2 3 3 5" xfId="33777" xr:uid="{00000000-0005-0000-0000-0000F5830000}"/>
    <cellStyle name="Normal 9 2 2 3 3 5 2" xfId="33778" xr:uid="{00000000-0005-0000-0000-0000F6830000}"/>
    <cellStyle name="Normal 9 2 2 3 3 5 3" xfId="33779" xr:uid="{00000000-0005-0000-0000-0000F7830000}"/>
    <cellStyle name="Normal 9 2 2 3 3 5 4" xfId="33780" xr:uid="{00000000-0005-0000-0000-0000F8830000}"/>
    <cellStyle name="Normal 9 2 2 3 3 5 5" xfId="33781" xr:uid="{00000000-0005-0000-0000-0000F9830000}"/>
    <cellStyle name="Normal 9 2 2 3 3 5 6" xfId="33782" xr:uid="{00000000-0005-0000-0000-0000FA830000}"/>
    <cellStyle name="Normal 9 2 2 3 3 6" xfId="33783" xr:uid="{00000000-0005-0000-0000-0000FB830000}"/>
    <cellStyle name="Normal 9 2 2 3 3 6 2" xfId="33784" xr:uid="{00000000-0005-0000-0000-0000FC830000}"/>
    <cellStyle name="Normal 9 2 2 3 3 6 3" xfId="33785" xr:uid="{00000000-0005-0000-0000-0000FD830000}"/>
    <cellStyle name="Normal 9 2 2 3 3 6 4" xfId="33786" xr:uid="{00000000-0005-0000-0000-0000FE830000}"/>
    <cellStyle name="Normal 9 2 2 3 3 6 5" xfId="33787" xr:uid="{00000000-0005-0000-0000-0000FF830000}"/>
    <cellStyle name="Normal 9 2 2 3 3 6 6" xfId="33788" xr:uid="{00000000-0005-0000-0000-000000840000}"/>
    <cellStyle name="Normal 9 2 2 3 3 7" xfId="33789" xr:uid="{00000000-0005-0000-0000-000001840000}"/>
    <cellStyle name="Normal 9 2 2 3 3 7 2" xfId="33790" xr:uid="{00000000-0005-0000-0000-000002840000}"/>
    <cellStyle name="Normal 9 2 2 3 3 7 3" xfId="33791" xr:uid="{00000000-0005-0000-0000-000003840000}"/>
    <cellStyle name="Normal 9 2 2 3 3 7 4" xfId="33792" xr:uid="{00000000-0005-0000-0000-000004840000}"/>
    <cellStyle name="Normal 9 2 2 3 3 7 5" xfId="33793" xr:uid="{00000000-0005-0000-0000-000005840000}"/>
    <cellStyle name="Normal 9 2 2 3 3 7 6" xfId="33794" xr:uid="{00000000-0005-0000-0000-000006840000}"/>
    <cellStyle name="Normal 9 2 2 3 3 8" xfId="33795" xr:uid="{00000000-0005-0000-0000-000007840000}"/>
    <cellStyle name="Normal 9 2 2 3 3 8 2" xfId="33796" xr:uid="{00000000-0005-0000-0000-000008840000}"/>
    <cellStyle name="Normal 9 2 2 3 3 8 3" xfId="33797" xr:uid="{00000000-0005-0000-0000-000009840000}"/>
    <cellStyle name="Normal 9 2 2 3 3 8 4" xfId="33798" xr:uid="{00000000-0005-0000-0000-00000A840000}"/>
    <cellStyle name="Normal 9 2 2 3 3 8 5" xfId="33799" xr:uid="{00000000-0005-0000-0000-00000B840000}"/>
    <cellStyle name="Normal 9 2 2 3 3 8 6" xfId="33800" xr:uid="{00000000-0005-0000-0000-00000C840000}"/>
    <cellStyle name="Normal 9 2 2 3 3 9" xfId="33801" xr:uid="{00000000-0005-0000-0000-00000D840000}"/>
    <cellStyle name="Normal 9 2 2 3 3 9 2" xfId="33802" xr:uid="{00000000-0005-0000-0000-00000E840000}"/>
    <cellStyle name="Normal 9 2 2 3 3 9 3" xfId="33803" xr:uid="{00000000-0005-0000-0000-00000F840000}"/>
    <cellStyle name="Normal 9 2 2 3 3 9 4" xfId="33804" xr:uid="{00000000-0005-0000-0000-000010840000}"/>
    <cellStyle name="Normal 9 2 2 3 3 9 5" xfId="33805" xr:uid="{00000000-0005-0000-0000-000011840000}"/>
    <cellStyle name="Normal 9 2 2 3 3 9 6" xfId="33806" xr:uid="{00000000-0005-0000-0000-000012840000}"/>
    <cellStyle name="Normal 9 2 2 3 30" xfId="33807" xr:uid="{00000000-0005-0000-0000-000013840000}"/>
    <cellStyle name="Normal 9 2 2 3 31" xfId="33808" xr:uid="{00000000-0005-0000-0000-000014840000}"/>
    <cellStyle name="Normal 9 2 2 3 4" xfId="33809" xr:uid="{00000000-0005-0000-0000-000015840000}"/>
    <cellStyle name="Normal 9 2 2 3 4 2" xfId="33810" xr:uid="{00000000-0005-0000-0000-000016840000}"/>
    <cellStyle name="Normal 9 2 2 3 4 3" xfId="33811" xr:uid="{00000000-0005-0000-0000-000017840000}"/>
    <cellStyle name="Normal 9 2 2 3 4 4" xfId="33812" xr:uid="{00000000-0005-0000-0000-000018840000}"/>
    <cellStyle name="Normal 9 2 2 3 4 5" xfId="33813" xr:uid="{00000000-0005-0000-0000-000019840000}"/>
    <cellStyle name="Normal 9 2 2 3 4 6" xfId="33814" xr:uid="{00000000-0005-0000-0000-00001A840000}"/>
    <cellStyle name="Normal 9 2 2 3 5" xfId="33815" xr:uid="{00000000-0005-0000-0000-00001B840000}"/>
    <cellStyle name="Normal 9 2 2 3 5 2" xfId="33816" xr:uid="{00000000-0005-0000-0000-00001C840000}"/>
    <cellStyle name="Normal 9 2 2 3 5 3" xfId="33817" xr:uid="{00000000-0005-0000-0000-00001D840000}"/>
    <cellStyle name="Normal 9 2 2 3 5 4" xfId="33818" xr:uid="{00000000-0005-0000-0000-00001E840000}"/>
    <cellStyle name="Normal 9 2 2 3 5 5" xfId="33819" xr:uid="{00000000-0005-0000-0000-00001F840000}"/>
    <cellStyle name="Normal 9 2 2 3 5 6" xfId="33820" xr:uid="{00000000-0005-0000-0000-000020840000}"/>
    <cellStyle name="Normal 9 2 2 3 6" xfId="33821" xr:uid="{00000000-0005-0000-0000-000021840000}"/>
    <cellStyle name="Normal 9 2 2 3 6 2" xfId="33822" xr:uid="{00000000-0005-0000-0000-000022840000}"/>
    <cellStyle name="Normal 9 2 2 3 6 3" xfId="33823" xr:uid="{00000000-0005-0000-0000-000023840000}"/>
    <cellStyle name="Normal 9 2 2 3 6 4" xfId="33824" xr:uid="{00000000-0005-0000-0000-000024840000}"/>
    <cellStyle name="Normal 9 2 2 3 6 5" xfId="33825" xr:uid="{00000000-0005-0000-0000-000025840000}"/>
    <cellStyle name="Normal 9 2 2 3 6 6" xfId="33826" xr:uid="{00000000-0005-0000-0000-000026840000}"/>
    <cellStyle name="Normal 9 2 2 3 7" xfId="33827" xr:uid="{00000000-0005-0000-0000-000027840000}"/>
    <cellStyle name="Normal 9 2 2 3 7 2" xfId="33828" xr:uid="{00000000-0005-0000-0000-000028840000}"/>
    <cellStyle name="Normal 9 2 2 3 7 3" xfId="33829" xr:uid="{00000000-0005-0000-0000-000029840000}"/>
    <cellStyle name="Normal 9 2 2 3 7 4" xfId="33830" xr:uid="{00000000-0005-0000-0000-00002A840000}"/>
    <cellStyle name="Normal 9 2 2 3 7 5" xfId="33831" xr:uid="{00000000-0005-0000-0000-00002B840000}"/>
    <cellStyle name="Normal 9 2 2 3 7 6" xfId="33832" xr:uid="{00000000-0005-0000-0000-00002C840000}"/>
    <cellStyle name="Normal 9 2 2 3 8" xfId="33833" xr:uid="{00000000-0005-0000-0000-00002D840000}"/>
    <cellStyle name="Normal 9 2 2 3 8 2" xfId="33834" xr:uid="{00000000-0005-0000-0000-00002E840000}"/>
    <cellStyle name="Normal 9 2 2 3 8 3" xfId="33835" xr:uid="{00000000-0005-0000-0000-00002F840000}"/>
    <cellStyle name="Normal 9 2 2 3 8 4" xfId="33836" xr:uid="{00000000-0005-0000-0000-000030840000}"/>
    <cellStyle name="Normal 9 2 2 3 8 5" xfId="33837" xr:uid="{00000000-0005-0000-0000-000031840000}"/>
    <cellStyle name="Normal 9 2 2 3 8 6" xfId="33838" xr:uid="{00000000-0005-0000-0000-000032840000}"/>
    <cellStyle name="Normal 9 2 2 3 9" xfId="33839" xr:uid="{00000000-0005-0000-0000-000033840000}"/>
    <cellStyle name="Normal 9 2 2 3 9 2" xfId="33840" xr:uid="{00000000-0005-0000-0000-000034840000}"/>
    <cellStyle name="Normal 9 2 2 3 9 3" xfId="33841" xr:uid="{00000000-0005-0000-0000-000035840000}"/>
    <cellStyle name="Normal 9 2 2 3 9 4" xfId="33842" xr:uid="{00000000-0005-0000-0000-000036840000}"/>
    <cellStyle name="Normal 9 2 2 3 9 5" xfId="33843" xr:uid="{00000000-0005-0000-0000-000037840000}"/>
    <cellStyle name="Normal 9 2 2 3 9 6" xfId="33844" xr:uid="{00000000-0005-0000-0000-000038840000}"/>
    <cellStyle name="Normal 9 2 2 4" xfId="33845" xr:uid="{00000000-0005-0000-0000-000039840000}"/>
    <cellStyle name="Normal 9 2 2 4 10" xfId="33846" xr:uid="{00000000-0005-0000-0000-00003A840000}"/>
    <cellStyle name="Normal 9 2 2 4 10 2" xfId="33847" xr:uid="{00000000-0005-0000-0000-00003B840000}"/>
    <cellStyle name="Normal 9 2 2 4 10 3" xfId="33848" xr:uid="{00000000-0005-0000-0000-00003C840000}"/>
    <cellStyle name="Normal 9 2 2 4 10 4" xfId="33849" xr:uid="{00000000-0005-0000-0000-00003D840000}"/>
    <cellStyle name="Normal 9 2 2 4 10 5" xfId="33850" xr:uid="{00000000-0005-0000-0000-00003E840000}"/>
    <cellStyle name="Normal 9 2 2 4 10 6" xfId="33851" xr:uid="{00000000-0005-0000-0000-00003F840000}"/>
    <cellStyle name="Normal 9 2 2 4 11" xfId="33852" xr:uid="{00000000-0005-0000-0000-000040840000}"/>
    <cellStyle name="Normal 9 2 2 4 11 2" xfId="33853" xr:uid="{00000000-0005-0000-0000-000041840000}"/>
    <cellStyle name="Normal 9 2 2 4 11 3" xfId="33854" xr:uid="{00000000-0005-0000-0000-000042840000}"/>
    <cellStyle name="Normal 9 2 2 4 11 4" xfId="33855" xr:uid="{00000000-0005-0000-0000-000043840000}"/>
    <cellStyle name="Normal 9 2 2 4 11 5" xfId="33856" xr:uid="{00000000-0005-0000-0000-000044840000}"/>
    <cellStyle name="Normal 9 2 2 4 11 6" xfId="33857" xr:uid="{00000000-0005-0000-0000-000045840000}"/>
    <cellStyle name="Normal 9 2 2 4 12" xfId="33858" xr:uid="{00000000-0005-0000-0000-000046840000}"/>
    <cellStyle name="Normal 9 2 2 4 13" xfId="33859" xr:uid="{00000000-0005-0000-0000-000047840000}"/>
    <cellStyle name="Normal 9 2 2 4 14" xfId="33860" xr:uid="{00000000-0005-0000-0000-000048840000}"/>
    <cellStyle name="Normal 9 2 2 4 15" xfId="33861" xr:uid="{00000000-0005-0000-0000-000049840000}"/>
    <cellStyle name="Normal 9 2 2 4 16" xfId="33862" xr:uid="{00000000-0005-0000-0000-00004A840000}"/>
    <cellStyle name="Normal 9 2 2 4 17" xfId="33863" xr:uid="{00000000-0005-0000-0000-00004B840000}"/>
    <cellStyle name="Normal 9 2 2 4 18" xfId="33864" xr:uid="{00000000-0005-0000-0000-00004C840000}"/>
    <cellStyle name="Normal 9 2 2 4 19" xfId="33865" xr:uid="{00000000-0005-0000-0000-00004D840000}"/>
    <cellStyle name="Normal 9 2 2 4 2" xfId="33866" xr:uid="{00000000-0005-0000-0000-00004E840000}"/>
    <cellStyle name="Normal 9 2 2 4 2 10" xfId="33867" xr:uid="{00000000-0005-0000-0000-00004F840000}"/>
    <cellStyle name="Normal 9 2 2 4 2 10 2" xfId="33868" xr:uid="{00000000-0005-0000-0000-000050840000}"/>
    <cellStyle name="Normal 9 2 2 4 2 10 3" xfId="33869" xr:uid="{00000000-0005-0000-0000-000051840000}"/>
    <cellStyle name="Normal 9 2 2 4 2 10 4" xfId="33870" xr:uid="{00000000-0005-0000-0000-000052840000}"/>
    <cellStyle name="Normal 9 2 2 4 2 10 5" xfId="33871" xr:uid="{00000000-0005-0000-0000-000053840000}"/>
    <cellStyle name="Normal 9 2 2 4 2 10 6" xfId="33872" xr:uid="{00000000-0005-0000-0000-000054840000}"/>
    <cellStyle name="Normal 9 2 2 4 2 11" xfId="33873" xr:uid="{00000000-0005-0000-0000-000055840000}"/>
    <cellStyle name="Normal 9 2 2 4 2 12" xfId="33874" xr:uid="{00000000-0005-0000-0000-000056840000}"/>
    <cellStyle name="Normal 9 2 2 4 2 13" xfId="33875" xr:uid="{00000000-0005-0000-0000-000057840000}"/>
    <cellStyle name="Normal 9 2 2 4 2 14" xfId="33876" xr:uid="{00000000-0005-0000-0000-000058840000}"/>
    <cellStyle name="Normal 9 2 2 4 2 15" xfId="33877" xr:uid="{00000000-0005-0000-0000-000059840000}"/>
    <cellStyle name="Normal 9 2 2 4 2 2" xfId="33878" xr:uid="{00000000-0005-0000-0000-00005A840000}"/>
    <cellStyle name="Normal 9 2 2 4 2 2 10" xfId="33879" xr:uid="{00000000-0005-0000-0000-00005B840000}"/>
    <cellStyle name="Normal 9 2 2 4 2 2 11" xfId="33880" xr:uid="{00000000-0005-0000-0000-00005C840000}"/>
    <cellStyle name="Normal 9 2 2 4 2 2 12" xfId="33881" xr:uid="{00000000-0005-0000-0000-00005D840000}"/>
    <cellStyle name="Normal 9 2 2 4 2 2 13" xfId="33882" xr:uid="{00000000-0005-0000-0000-00005E840000}"/>
    <cellStyle name="Normal 9 2 2 4 2 2 14" xfId="33883" xr:uid="{00000000-0005-0000-0000-00005F840000}"/>
    <cellStyle name="Normal 9 2 2 4 2 2 2" xfId="33884" xr:uid="{00000000-0005-0000-0000-000060840000}"/>
    <cellStyle name="Normal 9 2 2 4 2 2 2 2" xfId="33885" xr:uid="{00000000-0005-0000-0000-000061840000}"/>
    <cellStyle name="Normal 9 2 2 4 2 2 2 3" xfId="33886" xr:uid="{00000000-0005-0000-0000-000062840000}"/>
    <cellStyle name="Normal 9 2 2 4 2 2 2 4" xfId="33887" xr:uid="{00000000-0005-0000-0000-000063840000}"/>
    <cellStyle name="Normal 9 2 2 4 2 2 2 5" xfId="33888" xr:uid="{00000000-0005-0000-0000-000064840000}"/>
    <cellStyle name="Normal 9 2 2 4 2 2 2 6" xfId="33889" xr:uid="{00000000-0005-0000-0000-000065840000}"/>
    <cellStyle name="Normal 9 2 2 4 2 2 3" xfId="33890" xr:uid="{00000000-0005-0000-0000-000066840000}"/>
    <cellStyle name="Normal 9 2 2 4 2 2 3 2" xfId="33891" xr:uid="{00000000-0005-0000-0000-000067840000}"/>
    <cellStyle name="Normal 9 2 2 4 2 2 3 3" xfId="33892" xr:uid="{00000000-0005-0000-0000-000068840000}"/>
    <cellStyle name="Normal 9 2 2 4 2 2 3 4" xfId="33893" xr:uid="{00000000-0005-0000-0000-000069840000}"/>
    <cellStyle name="Normal 9 2 2 4 2 2 3 5" xfId="33894" xr:uid="{00000000-0005-0000-0000-00006A840000}"/>
    <cellStyle name="Normal 9 2 2 4 2 2 3 6" xfId="33895" xr:uid="{00000000-0005-0000-0000-00006B840000}"/>
    <cellStyle name="Normal 9 2 2 4 2 2 4" xfId="33896" xr:uid="{00000000-0005-0000-0000-00006C840000}"/>
    <cellStyle name="Normal 9 2 2 4 2 2 4 2" xfId="33897" xr:uid="{00000000-0005-0000-0000-00006D840000}"/>
    <cellStyle name="Normal 9 2 2 4 2 2 4 3" xfId="33898" xr:uid="{00000000-0005-0000-0000-00006E840000}"/>
    <cellStyle name="Normal 9 2 2 4 2 2 4 4" xfId="33899" xr:uid="{00000000-0005-0000-0000-00006F840000}"/>
    <cellStyle name="Normal 9 2 2 4 2 2 4 5" xfId="33900" xr:uid="{00000000-0005-0000-0000-000070840000}"/>
    <cellStyle name="Normal 9 2 2 4 2 2 4 6" xfId="33901" xr:uid="{00000000-0005-0000-0000-000071840000}"/>
    <cellStyle name="Normal 9 2 2 4 2 2 5" xfId="33902" xr:uid="{00000000-0005-0000-0000-000072840000}"/>
    <cellStyle name="Normal 9 2 2 4 2 2 5 2" xfId="33903" xr:uid="{00000000-0005-0000-0000-000073840000}"/>
    <cellStyle name="Normal 9 2 2 4 2 2 5 3" xfId="33904" xr:uid="{00000000-0005-0000-0000-000074840000}"/>
    <cellStyle name="Normal 9 2 2 4 2 2 5 4" xfId="33905" xr:uid="{00000000-0005-0000-0000-000075840000}"/>
    <cellStyle name="Normal 9 2 2 4 2 2 5 5" xfId="33906" xr:uid="{00000000-0005-0000-0000-000076840000}"/>
    <cellStyle name="Normal 9 2 2 4 2 2 5 6" xfId="33907" xr:uid="{00000000-0005-0000-0000-000077840000}"/>
    <cellStyle name="Normal 9 2 2 4 2 2 6" xfId="33908" xr:uid="{00000000-0005-0000-0000-000078840000}"/>
    <cellStyle name="Normal 9 2 2 4 2 2 6 2" xfId="33909" xr:uid="{00000000-0005-0000-0000-000079840000}"/>
    <cellStyle name="Normal 9 2 2 4 2 2 6 3" xfId="33910" xr:uid="{00000000-0005-0000-0000-00007A840000}"/>
    <cellStyle name="Normal 9 2 2 4 2 2 6 4" xfId="33911" xr:uid="{00000000-0005-0000-0000-00007B840000}"/>
    <cellStyle name="Normal 9 2 2 4 2 2 6 5" xfId="33912" xr:uid="{00000000-0005-0000-0000-00007C840000}"/>
    <cellStyle name="Normal 9 2 2 4 2 2 6 6" xfId="33913" xr:uid="{00000000-0005-0000-0000-00007D840000}"/>
    <cellStyle name="Normal 9 2 2 4 2 2 7" xfId="33914" xr:uid="{00000000-0005-0000-0000-00007E840000}"/>
    <cellStyle name="Normal 9 2 2 4 2 2 7 2" xfId="33915" xr:uid="{00000000-0005-0000-0000-00007F840000}"/>
    <cellStyle name="Normal 9 2 2 4 2 2 7 3" xfId="33916" xr:uid="{00000000-0005-0000-0000-000080840000}"/>
    <cellStyle name="Normal 9 2 2 4 2 2 7 4" xfId="33917" xr:uid="{00000000-0005-0000-0000-000081840000}"/>
    <cellStyle name="Normal 9 2 2 4 2 2 7 5" xfId="33918" xr:uid="{00000000-0005-0000-0000-000082840000}"/>
    <cellStyle name="Normal 9 2 2 4 2 2 7 6" xfId="33919" xr:uid="{00000000-0005-0000-0000-000083840000}"/>
    <cellStyle name="Normal 9 2 2 4 2 2 8" xfId="33920" xr:uid="{00000000-0005-0000-0000-000084840000}"/>
    <cellStyle name="Normal 9 2 2 4 2 2 8 2" xfId="33921" xr:uid="{00000000-0005-0000-0000-000085840000}"/>
    <cellStyle name="Normal 9 2 2 4 2 2 8 3" xfId="33922" xr:uid="{00000000-0005-0000-0000-000086840000}"/>
    <cellStyle name="Normal 9 2 2 4 2 2 8 4" xfId="33923" xr:uid="{00000000-0005-0000-0000-000087840000}"/>
    <cellStyle name="Normal 9 2 2 4 2 2 8 5" xfId="33924" xr:uid="{00000000-0005-0000-0000-000088840000}"/>
    <cellStyle name="Normal 9 2 2 4 2 2 8 6" xfId="33925" xr:uid="{00000000-0005-0000-0000-000089840000}"/>
    <cellStyle name="Normal 9 2 2 4 2 2 9" xfId="33926" xr:uid="{00000000-0005-0000-0000-00008A840000}"/>
    <cellStyle name="Normal 9 2 2 4 2 2 9 2" xfId="33927" xr:uid="{00000000-0005-0000-0000-00008B840000}"/>
    <cellStyle name="Normal 9 2 2 4 2 2 9 3" xfId="33928" xr:uid="{00000000-0005-0000-0000-00008C840000}"/>
    <cellStyle name="Normal 9 2 2 4 2 2 9 4" xfId="33929" xr:uid="{00000000-0005-0000-0000-00008D840000}"/>
    <cellStyle name="Normal 9 2 2 4 2 2 9 5" xfId="33930" xr:uid="{00000000-0005-0000-0000-00008E840000}"/>
    <cellStyle name="Normal 9 2 2 4 2 2 9 6" xfId="33931" xr:uid="{00000000-0005-0000-0000-00008F840000}"/>
    <cellStyle name="Normal 9 2 2 4 2 3" xfId="33932" xr:uid="{00000000-0005-0000-0000-000090840000}"/>
    <cellStyle name="Normal 9 2 2 4 2 3 2" xfId="33933" xr:uid="{00000000-0005-0000-0000-000091840000}"/>
    <cellStyle name="Normal 9 2 2 4 2 3 3" xfId="33934" xr:uid="{00000000-0005-0000-0000-000092840000}"/>
    <cellStyle name="Normal 9 2 2 4 2 3 4" xfId="33935" xr:uid="{00000000-0005-0000-0000-000093840000}"/>
    <cellStyle name="Normal 9 2 2 4 2 3 5" xfId="33936" xr:uid="{00000000-0005-0000-0000-000094840000}"/>
    <cellStyle name="Normal 9 2 2 4 2 3 6" xfId="33937" xr:uid="{00000000-0005-0000-0000-000095840000}"/>
    <cellStyle name="Normal 9 2 2 4 2 4" xfId="33938" xr:uid="{00000000-0005-0000-0000-000096840000}"/>
    <cellStyle name="Normal 9 2 2 4 2 4 2" xfId="33939" xr:uid="{00000000-0005-0000-0000-000097840000}"/>
    <cellStyle name="Normal 9 2 2 4 2 4 3" xfId="33940" xr:uid="{00000000-0005-0000-0000-000098840000}"/>
    <cellStyle name="Normal 9 2 2 4 2 4 4" xfId="33941" xr:uid="{00000000-0005-0000-0000-000099840000}"/>
    <cellStyle name="Normal 9 2 2 4 2 4 5" xfId="33942" xr:uid="{00000000-0005-0000-0000-00009A840000}"/>
    <cellStyle name="Normal 9 2 2 4 2 4 6" xfId="33943" xr:uid="{00000000-0005-0000-0000-00009B840000}"/>
    <cellStyle name="Normal 9 2 2 4 2 5" xfId="33944" xr:uid="{00000000-0005-0000-0000-00009C840000}"/>
    <cellStyle name="Normal 9 2 2 4 2 5 2" xfId="33945" xr:uid="{00000000-0005-0000-0000-00009D840000}"/>
    <cellStyle name="Normal 9 2 2 4 2 5 3" xfId="33946" xr:uid="{00000000-0005-0000-0000-00009E840000}"/>
    <cellStyle name="Normal 9 2 2 4 2 5 4" xfId="33947" xr:uid="{00000000-0005-0000-0000-00009F840000}"/>
    <cellStyle name="Normal 9 2 2 4 2 5 5" xfId="33948" xr:uid="{00000000-0005-0000-0000-0000A0840000}"/>
    <cellStyle name="Normal 9 2 2 4 2 5 6" xfId="33949" xr:uid="{00000000-0005-0000-0000-0000A1840000}"/>
    <cellStyle name="Normal 9 2 2 4 2 6" xfId="33950" xr:uid="{00000000-0005-0000-0000-0000A2840000}"/>
    <cellStyle name="Normal 9 2 2 4 2 6 2" xfId="33951" xr:uid="{00000000-0005-0000-0000-0000A3840000}"/>
    <cellStyle name="Normal 9 2 2 4 2 6 3" xfId="33952" xr:uid="{00000000-0005-0000-0000-0000A4840000}"/>
    <cellStyle name="Normal 9 2 2 4 2 6 4" xfId="33953" xr:uid="{00000000-0005-0000-0000-0000A5840000}"/>
    <cellStyle name="Normal 9 2 2 4 2 6 5" xfId="33954" xr:uid="{00000000-0005-0000-0000-0000A6840000}"/>
    <cellStyle name="Normal 9 2 2 4 2 6 6" xfId="33955" xr:uid="{00000000-0005-0000-0000-0000A7840000}"/>
    <cellStyle name="Normal 9 2 2 4 2 7" xfId="33956" xr:uid="{00000000-0005-0000-0000-0000A8840000}"/>
    <cellStyle name="Normal 9 2 2 4 2 7 2" xfId="33957" xr:uid="{00000000-0005-0000-0000-0000A9840000}"/>
    <cellStyle name="Normal 9 2 2 4 2 7 3" xfId="33958" xr:uid="{00000000-0005-0000-0000-0000AA840000}"/>
    <cellStyle name="Normal 9 2 2 4 2 7 4" xfId="33959" xr:uid="{00000000-0005-0000-0000-0000AB840000}"/>
    <cellStyle name="Normal 9 2 2 4 2 7 5" xfId="33960" xr:uid="{00000000-0005-0000-0000-0000AC840000}"/>
    <cellStyle name="Normal 9 2 2 4 2 7 6" xfId="33961" xr:uid="{00000000-0005-0000-0000-0000AD840000}"/>
    <cellStyle name="Normal 9 2 2 4 2 8" xfId="33962" xr:uid="{00000000-0005-0000-0000-0000AE840000}"/>
    <cellStyle name="Normal 9 2 2 4 2 8 2" xfId="33963" xr:uid="{00000000-0005-0000-0000-0000AF840000}"/>
    <cellStyle name="Normal 9 2 2 4 2 8 3" xfId="33964" xr:uid="{00000000-0005-0000-0000-0000B0840000}"/>
    <cellStyle name="Normal 9 2 2 4 2 8 4" xfId="33965" xr:uid="{00000000-0005-0000-0000-0000B1840000}"/>
    <cellStyle name="Normal 9 2 2 4 2 8 5" xfId="33966" xr:uid="{00000000-0005-0000-0000-0000B2840000}"/>
    <cellStyle name="Normal 9 2 2 4 2 8 6" xfId="33967" xr:uid="{00000000-0005-0000-0000-0000B3840000}"/>
    <cellStyle name="Normal 9 2 2 4 2 9" xfId="33968" xr:uid="{00000000-0005-0000-0000-0000B4840000}"/>
    <cellStyle name="Normal 9 2 2 4 2 9 2" xfId="33969" xr:uid="{00000000-0005-0000-0000-0000B5840000}"/>
    <cellStyle name="Normal 9 2 2 4 2 9 3" xfId="33970" xr:uid="{00000000-0005-0000-0000-0000B6840000}"/>
    <cellStyle name="Normal 9 2 2 4 2 9 4" xfId="33971" xr:uid="{00000000-0005-0000-0000-0000B7840000}"/>
    <cellStyle name="Normal 9 2 2 4 2 9 5" xfId="33972" xr:uid="{00000000-0005-0000-0000-0000B8840000}"/>
    <cellStyle name="Normal 9 2 2 4 2 9 6" xfId="33973" xr:uid="{00000000-0005-0000-0000-0000B9840000}"/>
    <cellStyle name="Normal 9 2 2 4 20" xfId="33974" xr:uid="{00000000-0005-0000-0000-0000BA840000}"/>
    <cellStyle name="Normal 9 2 2 4 21" xfId="33975" xr:uid="{00000000-0005-0000-0000-0000BB840000}"/>
    <cellStyle name="Normal 9 2 2 4 22" xfId="33976" xr:uid="{00000000-0005-0000-0000-0000BC840000}"/>
    <cellStyle name="Normal 9 2 2 4 23" xfId="33977" xr:uid="{00000000-0005-0000-0000-0000BD840000}"/>
    <cellStyle name="Normal 9 2 2 4 24" xfId="33978" xr:uid="{00000000-0005-0000-0000-0000BE840000}"/>
    <cellStyle name="Normal 9 2 2 4 25" xfId="33979" xr:uid="{00000000-0005-0000-0000-0000BF840000}"/>
    <cellStyle name="Normal 9 2 2 4 26" xfId="33980" xr:uid="{00000000-0005-0000-0000-0000C0840000}"/>
    <cellStyle name="Normal 9 2 2 4 27" xfId="33981" xr:uid="{00000000-0005-0000-0000-0000C1840000}"/>
    <cellStyle name="Normal 9 2 2 4 28" xfId="33982" xr:uid="{00000000-0005-0000-0000-0000C2840000}"/>
    <cellStyle name="Normal 9 2 2 4 29" xfId="33983" xr:uid="{00000000-0005-0000-0000-0000C3840000}"/>
    <cellStyle name="Normal 9 2 2 4 3" xfId="33984" xr:uid="{00000000-0005-0000-0000-0000C4840000}"/>
    <cellStyle name="Normal 9 2 2 4 3 10" xfId="33985" xr:uid="{00000000-0005-0000-0000-0000C5840000}"/>
    <cellStyle name="Normal 9 2 2 4 3 11" xfId="33986" xr:uid="{00000000-0005-0000-0000-0000C6840000}"/>
    <cellStyle name="Normal 9 2 2 4 3 12" xfId="33987" xr:uid="{00000000-0005-0000-0000-0000C7840000}"/>
    <cellStyle name="Normal 9 2 2 4 3 13" xfId="33988" xr:uid="{00000000-0005-0000-0000-0000C8840000}"/>
    <cellStyle name="Normal 9 2 2 4 3 14" xfId="33989" xr:uid="{00000000-0005-0000-0000-0000C9840000}"/>
    <cellStyle name="Normal 9 2 2 4 3 2" xfId="33990" xr:uid="{00000000-0005-0000-0000-0000CA840000}"/>
    <cellStyle name="Normal 9 2 2 4 3 2 2" xfId="33991" xr:uid="{00000000-0005-0000-0000-0000CB840000}"/>
    <cellStyle name="Normal 9 2 2 4 3 2 3" xfId="33992" xr:uid="{00000000-0005-0000-0000-0000CC840000}"/>
    <cellStyle name="Normal 9 2 2 4 3 2 4" xfId="33993" xr:uid="{00000000-0005-0000-0000-0000CD840000}"/>
    <cellStyle name="Normal 9 2 2 4 3 2 5" xfId="33994" xr:uid="{00000000-0005-0000-0000-0000CE840000}"/>
    <cellStyle name="Normal 9 2 2 4 3 2 6" xfId="33995" xr:uid="{00000000-0005-0000-0000-0000CF840000}"/>
    <cellStyle name="Normal 9 2 2 4 3 3" xfId="33996" xr:uid="{00000000-0005-0000-0000-0000D0840000}"/>
    <cellStyle name="Normal 9 2 2 4 3 3 2" xfId="33997" xr:uid="{00000000-0005-0000-0000-0000D1840000}"/>
    <cellStyle name="Normal 9 2 2 4 3 3 3" xfId="33998" xr:uid="{00000000-0005-0000-0000-0000D2840000}"/>
    <cellStyle name="Normal 9 2 2 4 3 3 4" xfId="33999" xr:uid="{00000000-0005-0000-0000-0000D3840000}"/>
    <cellStyle name="Normal 9 2 2 4 3 3 5" xfId="34000" xr:uid="{00000000-0005-0000-0000-0000D4840000}"/>
    <cellStyle name="Normal 9 2 2 4 3 3 6" xfId="34001" xr:uid="{00000000-0005-0000-0000-0000D5840000}"/>
    <cellStyle name="Normal 9 2 2 4 3 4" xfId="34002" xr:uid="{00000000-0005-0000-0000-0000D6840000}"/>
    <cellStyle name="Normal 9 2 2 4 3 4 2" xfId="34003" xr:uid="{00000000-0005-0000-0000-0000D7840000}"/>
    <cellStyle name="Normal 9 2 2 4 3 4 3" xfId="34004" xr:uid="{00000000-0005-0000-0000-0000D8840000}"/>
    <cellStyle name="Normal 9 2 2 4 3 4 4" xfId="34005" xr:uid="{00000000-0005-0000-0000-0000D9840000}"/>
    <cellStyle name="Normal 9 2 2 4 3 4 5" xfId="34006" xr:uid="{00000000-0005-0000-0000-0000DA840000}"/>
    <cellStyle name="Normal 9 2 2 4 3 4 6" xfId="34007" xr:uid="{00000000-0005-0000-0000-0000DB840000}"/>
    <cellStyle name="Normal 9 2 2 4 3 5" xfId="34008" xr:uid="{00000000-0005-0000-0000-0000DC840000}"/>
    <cellStyle name="Normal 9 2 2 4 3 5 2" xfId="34009" xr:uid="{00000000-0005-0000-0000-0000DD840000}"/>
    <cellStyle name="Normal 9 2 2 4 3 5 3" xfId="34010" xr:uid="{00000000-0005-0000-0000-0000DE840000}"/>
    <cellStyle name="Normal 9 2 2 4 3 5 4" xfId="34011" xr:uid="{00000000-0005-0000-0000-0000DF840000}"/>
    <cellStyle name="Normal 9 2 2 4 3 5 5" xfId="34012" xr:uid="{00000000-0005-0000-0000-0000E0840000}"/>
    <cellStyle name="Normal 9 2 2 4 3 5 6" xfId="34013" xr:uid="{00000000-0005-0000-0000-0000E1840000}"/>
    <cellStyle name="Normal 9 2 2 4 3 6" xfId="34014" xr:uid="{00000000-0005-0000-0000-0000E2840000}"/>
    <cellStyle name="Normal 9 2 2 4 3 6 2" xfId="34015" xr:uid="{00000000-0005-0000-0000-0000E3840000}"/>
    <cellStyle name="Normal 9 2 2 4 3 6 3" xfId="34016" xr:uid="{00000000-0005-0000-0000-0000E4840000}"/>
    <cellStyle name="Normal 9 2 2 4 3 6 4" xfId="34017" xr:uid="{00000000-0005-0000-0000-0000E5840000}"/>
    <cellStyle name="Normal 9 2 2 4 3 6 5" xfId="34018" xr:uid="{00000000-0005-0000-0000-0000E6840000}"/>
    <cellStyle name="Normal 9 2 2 4 3 6 6" xfId="34019" xr:uid="{00000000-0005-0000-0000-0000E7840000}"/>
    <cellStyle name="Normal 9 2 2 4 3 7" xfId="34020" xr:uid="{00000000-0005-0000-0000-0000E8840000}"/>
    <cellStyle name="Normal 9 2 2 4 3 7 2" xfId="34021" xr:uid="{00000000-0005-0000-0000-0000E9840000}"/>
    <cellStyle name="Normal 9 2 2 4 3 7 3" xfId="34022" xr:uid="{00000000-0005-0000-0000-0000EA840000}"/>
    <cellStyle name="Normal 9 2 2 4 3 7 4" xfId="34023" xr:uid="{00000000-0005-0000-0000-0000EB840000}"/>
    <cellStyle name="Normal 9 2 2 4 3 7 5" xfId="34024" xr:uid="{00000000-0005-0000-0000-0000EC840000}"/>
    <cellStyle name="Normal 9 2 2 4 3 7 6" xfId="34025" xr:uid="{00000000-0005-0000-0000-0000ED840000}"/>
    <cellStyle name="Normal 9 2 2 4 3 8" xfId="34026" xr:uid="{00000000-0005-0000-0000-0000EE840000}"/>
    <cellStyle name="Normal 9 2 2 4 3 8 2" xfId="34027" xr:uid="{00000000-0005-0000-0000-0000EF840000}"/>
    <cellStyle name="Normal 9 2 2 4 3 8 3" xfId="34028" xr:uid="{00000000-0005-0000-0000-0000F0840000}"/>
    <cellStyle name="Normal 9 2 2 4 3 8 4" xfId="34029" xr:uid="{00000000-0005-0000-0000-0000F1840000}"/>
    <cellStyle name="Normal 9 2 2 4 3 8 5" xfId="34030" xr:uid="{00000000-0005-0000-0000-0000F2840000}"/>
    <cellStyle name="Normal 9 2 2 4 3 8 6" xfId="34031" xr:uid="{00000000-0005-0000-0000-0000F3840000}"/>
    <cellStyle name="Normal 9 2 2 4 3 9" xfId="34032" xr:uid="{00000000-0005-0000-0000-0000F4840000}"/>
    <cellStyle name="Normal 9 2 2 4 3 9 2" xfId="34033" xr:uid="{00000000-0005-0000-0000-0000F5840000}"/>
    <cellStyle name="Normal 9 2 2 4 3 9 3" xfId="34034" xr:uid="{00000000-0005-0000-0000-0000F6840000}"/>
    <cellStyle name="Normal 9 2 2 4 3 9 4" xfId="34035" xr:uid="{00000000-0005-0000-0000-0000F7840000}"/>
    <cellStyle name="Normal 9 2 2 4 3 9 5" xfId="34036" xr:uid="{00000000-0005-0000-0000-0000F8840000}"/>
    <cellStyle name="Normal 9 2 2 4 3 9 6" xfId="34037" xr:uid="{00000000-0005-0000-0000-0000F9840000}"/>
    <cellStyle name="Normal 9 2 2 4 30" xfId="34038" xr:uid="{00000000-0005-0000-0000-0000FA840000}"/>
    <cellStyle name="Normal 9 2 2 4 31" xfId="34039" xr:uid="{00000000-0005-0000-0000-0000FB840000}"/>
    <cellStyle name="Normal 9 2 2 4 4" xfId="34040" xr:uid="{00000000-0005-0000-0000-0000FC840000}"/>
    <cellStyle name="Normal 9 2 2 4 4 2" xfId="34041" xr:uid="{00000000-0005-0000-0000-0000FD840000}"/>
    <cellStyle name="Normal 9 2 2 4 4 3" xfId="34042" xr:uid="{00000000-0005-0000-0000-0000FE840000}"/>
    <cellStyle name="Normal 9 2 2 4 4 4" xfId="34043" xr:uid="{00000000-0005-0000-0000-0000FF840000}"/>
    <cellStyle name="Normal 9 2 2 4 4 5" xfId="34044" xr:uid="{00000000-0005-0000-0000-000000850000}"/>
    <cellStyle name="Normal 9 2 2 4 4 6" xfId="34045" xr:uid="{00000000-0005-0000-0000-000001850000}"/>
    <cellStyle name="Normal 9 2 2 4 5" xfId="34046" xr:uid="{00000000-0005-0000-0000-000002850000}"/>
    <cellStyle name="Normal 9 2 2 4 5 2" xfId="34047" xr:uid="{00000000-0005-0000-0000-000003850000}"/>
    <cellStyle name="Normal 9 2 2 4 5 3" xfId="34048" xr:uid="{00000000-0005-0000-0000-000004850000}"/>
    <cellStyle name="Normal 9 2 2 4 5 4" xfId="34049" xr:uid="{00000000-0005-0000-0000-000005850000}"/>
    <cellStyle name="Normal 9 2 2 4 5 5" xfId="34050" xr:uid="{00000000-0005-0000-0000-000006850000}"/>
    <cellStyle name="Normal 9 2 2 4 5 6" xfId="34051" xr:uid="{00000000-0005-0000-0000-000007850000}"/>
    <cellStyle name="Normal 9 2 2 4 6" xfId="34052" xr:uid="{00000000-0005-0000-0000-000008850000}"/>
    <cellStyle name="Normal 9 2 2 4 6 2" xfId="34053" xr:uid="{00000000-0005-0000-0000-000009850000}"/>
    <cellStyle name="Normal 9 2 2 4 6 3" xfId="34054" xr:uid="{00000000-0005-0000-0000-00000A850000}"/>
    <cellStyle name="Normal 9 2 2 4 6 4" xfId="34055" xr:uid="{00000000-0005-0000-0000-00000B850000}"/>
    <cellStyle name="Normal 9 2 2 4 6 5" xfId="34056" xr:uid="{00000000-0005-0000-0000-00000C850000}"/>
    <cellStyle name="Normal 9 2 2 4 6 6" xfId="34057" xr:uid="{00000000-0005-0000-0000-00000D850000}"/>
    <cellStyle name="Normal 9 2 2 4 7" xfId="34058" xr:uid="{00000000-0005-0000-0000-00000E850000}"/>
    <cellStyle name="Normal 9 2 2 4 7 2" xfId="34059" xr:uid="{00000000-0005-0000-0000-00000F850000}"/>
    <cellStyle name="Normal 9 2 2 4 7 3" xfId="34060" xr:uid="{00000000-0005-0000-0000-000010850000}"/>
    <cellStyle name="Normal 9 2 2 4 7 4" xfId="34061" xr:uid="{00000000-0005-0000-0000-000011850000}"/>
    <cellStyle name="Normal 9 2 2 4 7 5" xfId="34062" xr:uid="{00000000-0005-0000-0000-000012850000}"/>
    <cellStyle name="Normal 9 2 2 4 7 6" xfId="34063" xr:uid="{00000000-0005-0000-0000-000013850000}"/>
    <cellStyle name="Normal 9 2 2 4 8" xfId="34064" xr:uid="{00000000-0005-0000-0000-000014850000}"/>
    <cellStyle name="Normal 9 2 2 4 8 2" xfId="34065" xr:uid="{00000000-0005-0000-0000-000015850000}"/>
    <cellStyle name="Normal 9 2 2 4 8 3" xfId="34066" xr:uid="{00000000-0005-0000-0000-000016850000}"/>
    <cellStyle name="Normal 9 2 2 4 8 4" xfId="34067" xr:uid="{00000000-0005-0000-0000-000017850000}"/>
    <cellStyle name="Normal 9 2 2 4 8 5" xfId="34068" xr:uid="{00000000-0005-0000-0000-000018850000}"/>
    <cellStyle name="Normal 9 2 2 4 8 6" xfId="34069" xr:uid="{00000000-0005-0000-0000-000019850000}"/>
    <cellStyle name="Normal 9 2 2 4 9" xfId="34070" xr:uid="{00000000-0005-0000-0000-00001A850000}"/>
    <cellStyle name="Normal 9 2 2 4 9 2" xfId="34071" xr:uid="{00000000-0005-0000-0000-00001B850000}"/>
    <cellStyle name="Normal 9 2 2 4 9 3" xfId="34072" xr:uid="{00000000-0005-0000-0000-00001C850000}"/>
    <cellStyle name="Normal 9 2 2 4 9 4" xfId="34073" xr:uid="{00000000-0005-0000-0000-00001D850000}"/>
    <cellStyle name="Normal 9 2 2 4 9 5" xfId="34074" xr:uid="{00000000-0005-0000-0000-00001E850000}"/>
    <cellStyle name="Normal 9 2 2 4 9 6" xfId="34075" xr:uid="{00000000-0005-0000-0000-00001F850000}"/>
    <cellStyle name="Normal 9 2 20" xfId="34076" xr:uid="{00000000-0005-0000-0000-000020850000}"/>
    <cellStyle name="Normal 9 2 21" xfId="34077" xr:uid="{00000000-0005-0000-0000-000021850000}"/>
    <cellStyle name="Normal 9 2 22" xfId="34078" xr:uid="{00000000-0005-0000-0000-000022850000}"/>
    <cellStyle name="Normal 9 2 23" xfId="34079" xr:uid="{00000000-0005-0000-0000-000023850000}"/>
    <cellStyle name="Normal 9 2 24" xfId="34080" xr:uid="{00000000-0005-0000-0000-000024850000}"/>
    <cellStyle name="Normal 9 2 25" xfId="34081" xr:uid="{00000000-0005-0000-0000-000025850000}"/>
    <cellStyle name="Normal 9 2 26" xfId="34082" xr:uid="{00000000-0005-0000-0000-000026850000}"/>
    <cellStyle name="Normal 9 2 27" xfId="34083" xr:uid="{00000000-0005-0000-0000-000027850000}"/>
    <cellStyle name="Normal 9 2 28" xfId="34084" xr:uid="{00000000-0005-0000-0000-000028850000}"/>
    <cellStyle name="Normal 9 2 29" xfId="34085" xr:uid="{00000000-0005-0000-0000-000029850000}"/>
    <cellStyle name="Normal 9 2 3" xfId="34086" xr:uid="{00000000-0005-0000-0000-00002A850000}"/>
    <cellStyle name="Normal 9 2 30" xfId="34087" xr:uid="{00000000-0005-0000-0000-00002B850000}"/>
    <cellStyle name="Normal 9 2 31" xfId="34088" xr:uid="{00000000-0005-0000-0000-00002C850000}"/>
    <cellStyle name="Normal 9 2 32" xfId="34089" xr:uid="{00000000-0005-0000-0000-00002D850000}"/>
    <cellStyle name="Normal 9 2 33" xfId="34090" xr:uid="{00000000-0005-0000-0000-00002E850000}"/>
    <cellStyle name="Normal 9 2 34" xfId="34091" xr:uid="{00000000-0005-0000-0000-00002F850000}"/>
    <cellStyle name="Normal 9 2 35" xfId="34092" xr:uid="{00000000-0005-0000-0000-000030850000}"/>
    <cellStyle name="Normal 9 2 4" xfId="34093" xr:uid="{00000000-0005-0000-0000-000031850000}"/>
    <cellStyle name="Normal 9 2 5" xfId="34094" xr:uid="{00000000-0005-0000-0000-000032850000}"/>
    <cellStyle name="Normal 9 2 6" xfId="34095" xr:uid="{00000000-0005-0000-0000-000033850000}"/>
    <cellStyle name="Normal 9 2 7" xfId="34096" xr:uid="{00000000-0005-0000-0000-000034850000}"/>
    <cellStyle name="Normal 9 2 8" xfId="34097" xr:uid="{00000000-0005-0000-0000-000035850000}"/>
    <cellStyle name="Normal 9 2 9" xfId="34098" xr:uid="{00000000-0005-0000-0000-000036850000}"/>
    <cellStyle name="Normal 9 3" xfId="34099" xr:uid="{00000000-0005-0000-0000-000037850000}"/>
    <cellStyle name="Normal 9 3 10" xfId="34100" xr:uid="{00000000-0005-0000-0000-000038850000}"/>
    <cellStyle name="Normal 9 3 10 2" xfId="34101" xr:uid="{00000000-0005-0000-0000-000039850000}"/>
    <cellStyle name="Normal 9 3 10 3" xfId="34102" xr:uid="{00000000-0005-0000-0000-00003A850000}"/>
    <cellStyle name="Normal 9 3 10 4" xfId="34103" xr:uid="{00000000-0005-0000-0000-00003B850000}"/>
    <cellStyle name="Normal 9 3 10 5" xfId="34104" xr:uid="{00000000-0005-0000-0000-00003C850000}"/>
    <cellStyle name="Normal 9 3 10 6" xfId="34105" xr:uid="{00000000-0005-0000-0000-00003D850000}"/>
    <cellStyle name="Normal 9 3 11" xfId="34106" xr:uid="{00000000-0005-0000-0000-00003E850000}"/>
    <cellStyle name="Normal 9 3 11 2" xfId="34107" xr:uid="{00000000-0005-0000-0000-00003F850000}"/>
    <cellStyle name="Normal 9 3 11 3" xfId="34108" xr:uid="{00000000-0005-0000-0000-000040850000}"/>
    <cellStyle name="Normal 9 3 11 4" xfId="34109" xr:uid="{00000000-0005-0000-0000-000041850000}"/>
    <cellStyle name="Normal 9 3 11 5" xfId="34110" xr:uid="{00000000-0005-0000-0000-000042850000}"/>
    <cellStyle name="Normal 9 3 11 6" xfId="34111" xr:uid="{00000000-0005-0000-0000-000043850000}"/>
    <cellStyle name="Normal 9 3 12" xfId="34112" xr:uid="{00000000-0005-0000-0000-000044850000}"/>
    <cellStyle name="Normal 9 3 13" xfId="34113" xr:uid="{00000000-0005-0000-0000-000045850000}"/>
    <cellStyle name="Normal 9 3 14" xfId="34114" xr:uid="{00000000-0005-0000-0000-000046850000}"/>
    <cellStyle name="Normal 9 3 15" xfId="34115" xr:uid="{00000000-0005-0000-0000-000047850000}"/>
    <cellStyle name="Normal 9 3 16" xfId="34116" xr:uid="{00000000-0005-0000-0000-000048850000}"/>
    <cellStyle name="Normal 9 3 17" xfId="34117" xr:uid="{00000000-0005-0000-0000-000049850000}"/>
    <cellStyle name="Normal 9 3 18" xfId="34118" xr:uid="{00000000-0005-0000-0000-00004A850000}"/>
    <cellStyle name="Normal 9 3 19" xfId="34119" xr:uid="{00000000-0005-0000-0000-00004B850000}"/>
    <cellStyle name="Normal 9 3 2" xfId="34120" xr:uid="{00000000-0005-0000-0000-00004C850000}"/>
    <cellStyle name="Normal 9 3 2 10" xfId="34121" xr:uid="{00000000-0005-0000-0000-00004D850000}"/>
    <cellStyle name="Normal 9 3 2 10 2" xfId="34122" xr:uid="{00000000-0005-0000-0000-00004E850000}"/>
    <cellStyle name="Normal 9 3 2 10 3" xfId="34123" xr:uid="{00000000-0005-0000-0000-00004F850000}"/>
    <cellStyle name="Normal 9 3 2 10 4" xfId="34124" xr:uid="{00000000-0005-0000-0000-000050850000}"/>
    <cellStyle name="Normal 9 3 2 10 5" xfId="34125" xr:uid="{00000000-0005-0000-0000-000051850000}"/>
    <cellStyle name="Normal 9 3 2 10 6" xfId="34126" xr:uid="{00000000-0005-0000-0000-000052850000}"/>
    <cellStyle name="Normal 9 3 2 11" xfId="34127" xr:uid="{00000000-0005-0000-0000-000053850000}"/>
    <cellStyle name="Normal 9 3 2 12" xfId="34128" xr:uid="{00000000-0005-0000-0000-000054850000}"/>
    <cellStyle name="Normal 9 3 2 13" xfId="34129" xr:uid="{00000000-0005-0000-0000-000055850000}"/>
    <cellStyle name="Normal 9 3 2 14" xfId="34130" xr:uid="{00000000-0005-0000-0000-000056850000}"/>
    <cellStyle name="Normal 9 3 2 15" xfId="34131" xr:uid="{00000000-0005-0000-0000-000057850000}"/>
    <cellStyle name="Normal 9 3 2 2" xfId="34132" xr:uid="{00000000-0005-0000-0000-000058850000}"/>
    <cellStyle name="Normal 9 3 2 2 10" xfId="34133" xr:uid="{00000000-0005-0000-0000-000059850000}"/>
    <cellStyle name="Normal 9 3 2 2 11" xfId="34134" xr:uid="{00000000-0005-0000-0000-00005A850000}"/>
    <cellStyle name="Normal 9 3 2 2 12" xfId="34135" xr:uid="{00000000-0005-0000-0000-00005B850000}"/>
    <cellStyle name="Normal 9 3 2 2 13" xfId="34136" xr:uid="{00000000-0005-0000-0000-00005C850000}"/>
    <cellStyle name="Normal 9 3 2 2 14" xfId="34137" xr:uid="{00000000-0005-0000-0000-00005D850000}"/>
    <cellStyle name="Normal 9 3 2 2 2" xfId="34138" xr:uid="{00000000-0005-0000-0000-00005E850000}"/>
    <cellStyle name="Normal 9 3 2 2 2 2" xfId="34139" xr:uid="{00000000-0005-0000-0000-00005F850000}"/>
    <cellStyle name="Normal 9 3 2 2 2 3" xfId="34140" xr:uid="{00000000-0005-0000-0000-000060850000}"/>
    <cellStyle name="Normal 9 3 2 2 2 4" xfId="34141" xr:uid="{00000000-0005-0000-0000-000061850000}"/>
    <cellStyle name="Normal 9 3 2 2 2 5" xfId="34142" xr:uid="{00000000-0005-0000-0000-000062850000}"/>
    <cellStyle name="Normal 9 3 2 2 2 6" xfId="34143" xr:uid="{00000000-0005-0000-0000-000063850000}"/>
    <cellStyle name="Normal 9 3 2 2 3" xfId="34144" xr:uid="{00000000-0005-0000-0000-000064850000}"/>
    <cellStyle name="Normal 9 3 2 2 3 2" xfId="34145" xr:uid="{00000000-0005-0000-0000-000065850000}"/>
    <cellStyle name="Normal 9 3 2 2 3 3" xfId="34146" xr:uid="{00000000-0005-0000-0000-000066850000}"/>
    <cellStyle name="Normal 9 3 2 2 3 4" xfId="34147" xr:uid="{00000000-0005-0000-0000-000067850000}"/>
    <cellStyle name="Normal 9 3 2 2 3 5" xfId="34148" xr:uid="{00000000-0005-0000-0000-000068850000}"/>
    <cellStyle name="Normal 9 3 2 2 3 6" xfId="34149" xr:uid="{00000000-0005-0000-0000-000069850000}"/>
    <cellStyle name="Normal 9 3 2 2 4" xfId="34150" xr:uid="{00000000-0005-0000-0000-00006A850000}"/>
    <cellStyle name="Normal 9 3 2 2 4 2" xfId="34151" xr:uid="{00000000-0005-0000-0000-00006B850000}"/>
    <cellStyle name="Normal 9 3 2 2 4 3" xfId="34152" xr:uid="{00000000-0005-0000-0000-00006C850000}"/>
    <cellStyle name="Normal 9 3 2 2 4 4" xfId="34153" xr:uid="{00000000-0005-0000-0000-00006D850000}"/>
    <cellStyle name="Normal 9 3 2 2 4 5" xfId="34154" xr:uid="{00000000-0005-0000-0000-00006E850000}"/>
    <cellStyle name="Normal 9 3 2 2 4 6" xfId="34155" xr:uid="{00000000-0005-0000-0000-00006F850000}"/>
    <cellStyle name="Normal 9 3 2 2 5" xfId="34156" xr:uid="{00000000-0005-0000-0000-000070850000}"/>
    <cellStyle name="Normal 9 3 2 2 5 2" xfId="34157" xr:uid="{00000000-0005-0000-0000-000071850000}"/>
    <cellStyle name="Normal 9 3 2 2 5 3" xfId="34158" xr:uid="{00000000-0005-0000-0000-000072850000}"/>
    <cellStyle name="Normal 9 3 2 2 5 4" xfId="34159" xr:uid="{00000000-0005-0000-0000-000073850000}"/>
    <cellStyle name="Normal 9 3 2 2 5 5" xfId="34160" xr:uid="{00000000-0005-0000-0000-000074850000}"/>
    <cellStyle name="Normal 9 3 2 2 5 6" xfId="34161" xr:uid="{00000000-0005-0000-0000-000075850000}"/>
    <cellStyle name="Normal 9 3 2 2 6" xfId="34162" xr:uid="{00000000-0005-0000-0000-000076850000}"/>
    <cellStyle name="Normal 9 3 2 2 6 2" xfId="34163" xr:uid="{00000000-0005-0000-0000-000077850000}"/>
    <cellStyle name="Normal 9 3 2 2 6 3" xfId="34164" xr:uid="{00000000-0005-0000-0000-000078850000}"/>
    <cellStyle name="Normal 9 3 2 2 6 4" xfId="34165" xr:uid="{00000000-0005-0000-0000-000079850000}"/>
    <cellStyle name="Normal 9 3 2 2 6 5" xfId="34166" xr:uid="{00000000-0005-0000-0000-00007A850000}"/>
    <cellStyle name="Normal 9 3 2 2 6 6" xfId="34167" xr:uid="{00000000-0005-0000-0000-00007B850000}"/>
    <cellStyle name="Normal 9 3 2 2 7" xfId="34168" xr:uid="{00000000-0005-0000-0000-00007C850000}"/>
    <cellStyle name="Normal 9 3 2 2 7 2" xfId="34169" xr:uid="{00000000-0005-0000-0000-00007D850000}"/>
    <cellStyle name="Normal 9 3 2 2 7 3" xfId="34170" xr:uid="{00000000-0005-0000-0000-00007E850000}"/>
    <cellStyle name="Normal 9 3 2 2 7 4" xfId="34171" xr:uid="{00000000-0005-0000-0000-00007F850000}"/>
    <cellStyle name="Normal 9 3 2 2 7 5" xfId="34172" xr:uid="{00000000-0005-0000-0000-000080850000}"/>
    <cellStyle name="Normal 9 3 2 2 7 6" xfId="34173" xr:uid="{00000000-0005-0000-0000-000081850000}"/>
    <cellStyle name="Normal 9 3 2 2 8" xfId="34174" xr:uid="{00000000-0005-0000-0000-000082850000}"/>
    <cellStyle name="Normal 9 3 2 2 8 2" xfId="34175" xr:uid="{00000000-0005-0000-0000-000083850000}"/>
    <cellStyle name="Normal 9 3 2 2 8 3" xfId="34176" xr:uid="{00000000-0005-0000-0000-000084850000}"/>
    <cellStyle name="Normal 9 3 2 2 8 4" xfId="34177" xr:uid="{00000000-0005-0000-0000-000085850000}"/>
    <cellStyle name="Normal 9 3 2 2 8 5" xfId="34178" xr:uid="{00000000-0005-0000-0000-000086850000}"/>
    <cellStyle name="Normal 9 3 2 2 8 6" xfId="34179" xr:uid="{00000000-0005-0000-0000-000087850000}"/>
    <cellStyle name="Normal 9 3 2 2 9" xfId="34180" xr:uid="{00000000-0005-0000-0000-000088850000}"/>
    <cellStyle name="Normal 9 3 2 2 9 2" xfId="34181" xr:uid="{00000000-0005-0000-0000-000089850000}"/>
    <cellStyle name="Normal 9 3 2 2 9 3" xfId="34182" xr:uid="{00000000-0005-0000-0000-00008A850000}"/>
    <cellStyle name="Normal 9 3 2 2 9 4" xfId="34183" xr:uid="{00000000-0005-0000-0000-00008B850000}"/>
    <cellStyle name="Normal 9 3 2 2 9 5" xfId="34184" xr:uid="{00000000-0005-0000-0000-00008C850000}"/>
    <cellStyle name="Normal 9 3 2 2 9 6" xfId="34185" xr:uid="{00000000-0005-0000-0000-00008D850000}"/>
    <cellStyle name="Normal 9 3 2 3" xfId="34186" xr:uid="{00000000-0005-0000-0000-00008E850000}"/>
    <cellStyle name="Normal 9 3 2 3 2" xfId="34187" xr:uid="{00000000-0005-0000-0000-00008F850000}"/>
    <cellStyle name="Normal 9 3 2 3 3" xfId="34188" xr:uid="{00000000-0005-0000-0000-000090850000}"/>
    <cellStyle name="Normal 9 3 2 3 4" xfId="34189" xr:uid="{00000000-0005-0000-0000-000091850000}"/>
    <cellStyle name="Normal 9 3 2 3 5" xfId="34190" xr:uid="{00000000-0005-0000-0000-000092850000}"/>
    <cellStyle name="Normal 9 3 2 3 6" xfId="34191" xr:uid="{00000000-0005-0000-0000-000093850000}"/>
    <cellStyle name="Normal 9 3 2 4" xfId="34192" xr:uid="{00000000-0005-0000-0000-000094850000}"/>
    <cellStyle name="Normal 9 3 2 4 2" xfId="34193" xr:uid="{00000000-0005-0000-0000-000095850000}"/>
    <cellStyle name="Normal 9 3 2 4 3" xfId="34194" xr:uid="{00000000-0005-0000-0000-000096850000}"/>
    <cellStyle name="Normal 9 3 2 4 4" xfId="34195" xr:uid="{00000000-0005-0000-0000-000097850000}"/>
    <cellStyle name="Normal 9 3 2 4 5" xfId="34196" xr:uid="{00000000-0005-0000-0000-000098850000}"/>
    <cellStyle name="Normal 9 3 2 4 6" xfId="34197" xr:uid="{00000000-0005-0000-0000-000099850000}"/>
    <cellStyle name="Normal 9 3 2 5" xfId="34198" xr:uid="{00000000-0005-0000-0000-00009A850000}"/>
    <cellStyle name="Normal 9 3 2 5 2" xfId="34199" xr:uid="{00000000-0005-0000-0000-00009B850000}"/>
    <cellStyle name="Normal 9 3 2 5 3" xfId="34200" xr:uid="{00000000-0005-0000-0000-00009C850000}"/>
    <cellStyle name="Normal 9 3 2 5 4" xfId="34201" xr:uid="{00000000-0005-0000-0000-00009D850000}"/>
    <cellStyle name="Normal 9 3 2 5 5" xfId="34202" xr:uid="{00000000-0005-0000-0000-00009E850000}"/>
    <cellStyle name="Normal 9 3 2 5 6" xfId="34203" xr:uid="{00000000-0005-0000-0000-00009F850000}"/>
    <cellStyle name="Normal 9 3 2 6" xfId="34204" xr:uid="{00000000-0005-0000-0000-0000A0850000}"/>
    <cellStyle name="Normal 9 3 2 6 2" xfId="34205" xr:uid="{00000000-0005-0000-0000-0000A1850000}"/>
    <cellStyle name="Normal 9 3 2 6 3" xfId="34206" xr:uid="{00000000-0005-0000-0000-0000A2850000}"/>
    <cellStyle name="Normal 9 3 2 6 4" xfId="34207" xr:uid="{00000000-0005-0000-0000-0000A3850000}"/>
    <cellStyle name="Normal 9 3 2 6 5" xfId="34208" xr:uid="{00000000-0005-0000-0000-0000A4850000}"/>
    <cellStyle name="Normal 9 3 2 6 6" xfId="34209" xr:uid="{00000000-0005-0000-0000-0000A5850000}"/>
    <cellStyle name="Normal 9 3 2 7" xfId="34210" xr:uid="{00000000-0005-0000-0000-0000A6850000}"/>
    <cellStyle name="Normal 9 3 2 7 2" xfId="34211" xr:uid="{00000000-0005-0000-0000-0000A7850000}"/>
    <cellStyle name="Normal 9 3 2 7 3" xfId="34212" xr:uid="{00000000-0005-0000-0000-0000A8850000}"/>
    <cellStyle name="Normal 9 3 2 7 4" xfId="34213" xr:uid="{00000000-0005-0000-0000-0000A9850000}"/>
    <cellStyle name="Normal 9 3 2 7 5" xfId="34214" xr:uid="{00000000-0005-0000-0000-0000AA850000}"/>
    <cellStyle name="Normal 9 3 2 7 6" xfId="34215" xr:uid="{00000000-0005-0000-0000-0000AB850000}"/>
    <cellStyle name="Normal 9 3 2 8" xfId="34216" xr:uid="{00000000-0005-0000-0000-0000AC850000}"/>
    <cellStyle name="Normal 9 3 2 8 2" xfId="34217" xr:uid="{00000000-0005-0000-0000-0000AD850000}"/>
    <cellStyle name="Normal 9 3 2 8 3" xfId="34218" xr:uid="{00000000-0005-0000-0000-0000AE850000}"/>
    <cellStyle name="Normal 9 3 2 8 4" xfId="34219" xr:uid="{00000000-0005-0000-0000-0000AF850000}"/>
    <cellStyle name="Normal 9 3 2 8 5" xfId="34220" xr:uid="{00000000-0005-0000-0000-0000B0850000}"/>
    <cellStyle name="Normal 9 3 2 8 6" xfId="34221" xr:uid="{00000000-0005-0000-0000-0000B1850000}"/>
    <cellStyle name="Normal 9 3 2 9" xfId="34222" xr:uid="{00000000-0005-0000-0000-0000B2850000}"/>
    <cellStyle name="Normal 9 3 2 9 2" xfId="34223" xr:uid="{00000000-0005-0000-0000-0000B3850000}"/>
    <cellStyle name="Normal 9 3 2 9 3" xfId="34224" xr:uid="{00000000-0005-0000-0000-0000B4850000}"/>
    <cellStyle name="Normal 9 3 2 9 4" xfId="34225" xr:uid="{00000000-0005-0000-0000-0000B5850000}"/>
    <cellStyle name="Normal 9 3 2 9 5" xfId="34226" xr:uid="{00000000-0005-0000-0000-0000B6850000}"/>
    <cellStyle name="Normal 9 3 2 9 6" xfId="34227" xr:uid="{00000000-0005-0000-0000-0000B7850000}"/>
    <cellStyle name="Normal 9 3 20" xfId="34228" xr:uid="{00000000-0005-0000-0000-0000B8850000}"/>
    <cellStyle name="Normal 9 3 21" xfId="34229" xr:uid="{00000000-0005-0000-0000-0000B9850000}"/>
    <cellStyle name="Normal 9 3 22" xfId="34230" xr:uid="{00000000-0005-0000-0000-0000BA850000}"/>
    <cellStyle name="Normal 9 3 23" xfId="34231" xr:uid="{00000000-0005-0000-0000-0000BB850000}"/>
    <cellStyle name="Normal 9 3 24" xfId="34232" xr:uid="{00000000-0005-0000-0000-0000BC850000}"/>
    <cellStyle name="Normal 9 3 25" xfId="34233" xr:uid="{00000000-0005-0000-0000-0000BD850000}"/>
    <cellStyle name="Normal 9 3 26" xfId="34234" xr:uid="{00000000-0005-0000-0000-0000BE850000}"/>
    <cellStyle name="Normal 9 3 27" xfId="34235" xr:uid="{00000000-0005-0000-0000-0000BF850000}"/>
    <cellStyle name="Normal 9 3 28" xfId="34236" xr:uid="{00000000-0005-0000-0000-0000C0850000}"/>
    <cellStyle name="Normal 9 3 29" xfId="34237" xr:uid="{00000000-0005-0000-0000-0000C1850000}"/>
    <cellStyle name="Normal 9 3 3" xfId="34238" xr:uid="{00000000-0005-0000-0000-0000C2850000}"/>
    <cellStyle name="Normal 9 3 3 10" xfId="34239" xr:uid="{00000000-0005-0000-0000-0000C3850000}"/>
    <cellStyle name="Normal 9 3 3 11" xfId="34240" xr:uid="{00000000-0005-0000-0000-0000C4850000}"/>
    <cellStyle name="Normal 9 3 3 12" xfId="34241" xr:uid="{00000000-0005-0000-0000-0000C5850000}"/>
    <cellStyle name="Normal 9 3 3 13" xfId="34242" xr:uid="{00000000-0005-0000-0000-0000C6850000}"/>
    <cellStyle name="Normal 9 3 3 14" xfId="34243" xr:uid="{00000000-0005-0000-0000-0000C7850000}"/>
    <cellStyle name="Normal 9 3 3 2" xfId="34244" xr:uid="{00000000-0005-0000-0000-0000C8850000}"/>
    <cellStyle name="Normal 9 3 3 2 2" xfId="34245" xr:uid="{00000000-0005-0000-0000-0000C9850000}"/>
    <cellStyle name="Normal 9 3 3 2 3" xfId="34246" xr:uid="{00000000-0005-0000-0000-0000CA850000}"/>
    <cellStyle name="Normal 9 3 3 2 4" xfId="34247" xr:uid="{00000000-0005-0000-0000-0000CB850000}"/>
    <cellStyle name="Normal 9 3 3 2 5" xfId="34248" xr:uid="{00000000-0005-0000-0000-0000CC850000}"/>
    <cellStyle name="Normal 9 3 3 2 6" xfId="34249" xr:uid="{00000000-0005-0000-0000-0000CD850000}"/>
    <cellStyle name="Normal 9 3 3 3" xfId="34250" xr:uid="{00000000-0005-0000-0000-0000CE850000}"/>
    <cellStyle name="Normal 9 3 3 3 2" xfId="34251" xr:uid="{00000000-0005-0000-0000-0000CF850000}"/>
    <cellStyle name="Normal 9 3 3 3 3" xfId="34252" xr:uid="{00000000-0005-0000-0000-0000D0850000}"/>
    <cellStyle name="Normal 9 3 3 3 4" xfId="34253" xr:uid="{00000000-0005-0000-0000-0000D1850000}"/>
    <cellStyle name="Normal 9 3 3 3 5" xfId="34254" xr:uid="{00000000-0005-0000-0000-0000D2850000}"/>
    <cellStyle name="Normal 9 3 3 3 6" xfId="34255" xr:uid="{00000000-0005-0000-0000-0000D3850000}"/>
    <cellStyle name="Normal 9 3 3 4" xfId="34256" xr:uid="{00000000-0005-0000-0000-0000D4850000}"/>
    <cellStyle name="Normal 9 3 3 4 2" xfId="34257" xr:uid="{00000000-0005-0000-0000-0000D5850000}"/>
    <cellStyle name="Normal 9 3 3 4 3" xfId="34258" xr:uid="{00000000-0005-0000-0000-0000D6850000}"/>
    <cellStyle name="Normal 9 3 3 4 4" xfId="34259" xr:uid="{00000000-0005-0000-0000-0000D7850000}"/>
    <cellStyle name="Normal 9 3 3 4 5" xfId="34260" xr:uid="{00000000-0005-0000-0000-0000D8850000}"/>
    <cellStyle name="Normal 9 3 3 4 6" xfId="34261" xr:uid="{00000000-0005-0000-0000-0000D9850000}"/>
    <cellStyle name="Normal 9 3 3 5" xfId="34262" xr:uid="{00000000-0005-0000-0000-0000DA850000}"/>
    <cellStyle name="Normal 9 3 3 5 2" xfId="34263" xr:uid="{00000000-0005-0000-0000-0000DB850000}"/>
    <cellStyle name="Normal 9 3 3 5 3" xfId="34264" xr:uid="{00000000-0005-0000-0000-0000DC850000}"/>
    <cellStyle name="Normal 9 3 3 5 4" xfId="34265" xr:uid="{00000000-0005-0000-0000-0000DD850000}"/>
    <cellStyle name="Normal 9 3 3 5 5" xfId="34266" xr:uid="{00000000-0005-0000-0000-0000DE850000}"/>
    <cellStyle name="Normal 9 3 3 5 6" xfId="34267" xr:uid="{00000000-0005-0000-0000-0000DF850000}"/>
    <cellStyle name="Normal 9 3 3 6" xfId="34268" xr:uid="{00000000-0005-0000-0000-0000E0850000}"/>
    <cellStyle name="Normal 9 3 3 6 2" xfId="34269" xr:uid="{00000000-0005-0000-0000-0000E1850000}"/>
    <cellStyle name="Normal 9 3 3 6 3" xfId="34270" xr:uid="{00000000-0005-0000-0000-0000E2850000}"/>
    <cellStyle name="Normal 9 3 3 6 4" xfId="34271" xr:uid="{00000000-0005-0000-0000-0000E3850000}"/>
    <cellStyle name="Normal 9 3 3 6 5" xfId="34272" xr:uid="{00000000-0005-0000-0000-0000E4850000}"/>
    <cellStyle name="Normal 9 3 3 6 6" xfId="34273" xr:uid="{00000000-0005-0000-0000-0000E5850000}"/>
    <cellStyle name="Normal 9 3 3 7" xfId="34274" xr:uid="{00000000-0005-0000-0000-0000E6850000}"/>
    <cellStyle name="Normal 9 3 3 7 2" xfId="34275" xr:uid="{00000000-0005-0000-0000-0000E7850000}"/>
    <cellStyle name="Normal 9 3 3 7 3" xfId="34276" xr:uid="{00000000-0005-0000-0000-0000E8850000}"/>
    <cellStyle name="Normal 9 3 3 7 4" xfId="34277" xr:uid="{00000000-0005-0000-0000-0000E9850000}"/>
    <cellStyle name="Normal 9 3 3 7 5" xfId="34278" xr:uid="{00000000-0005-0000-0000-0000EA850000}"/>
    <cellStyle name="Normal 9 3 3 7 6" xfId="34279" xr:uid="{00000000-0005-0000-0000-0000EB850000}"/>
    <cellStyle name="Normal 9 3 3 8" xfId="34280" xr:uid="{00000000-0005-0000-0000-0000EC850000}"/>
    <cellStyle name="Normal 9 3 3 8 2" xfId="34281" xr:uid="{00000000-0005-0000-0000-0000ED850000}"/>
    <cellStyle name="Normal 9 3 3 8 3" xfId="34282" xr:uid="{00000000-0005-0000-0000-0000EE850000}"/>
    <cellStyle name="Normal 9 3 3 8 4" xfId="34283" xr:uid="{00000000-0005-0000-0000-0000EF850000}"/>
    <cellStyle name="Normal 9 3 3 8 5" xfId="34284" xr:uid="{00000000-0005-0000-0000-0000F0850000}"/>
    <cellStyle name="Normal 9 3 3 8 6" xfId="34285" xr:uid="{00000000-0005-0000-0000-0000F1850000}"/>
    <cellStyle name="Normal 9 3 3 9" xfId="34286" xr:uid="{00000000-0005-0000-0000-0000F2850000}"/>
    <cellStyle name="Normal 9 3 3 9 2" xfId="34287" xr:uid="{00000000-0005-0000-0000-0000F3850000}"/>
    <cellStyle name="Normal 9 3 3 9 3" xfId="34288" xr:uid="{00000000-0005-0000-0000-0000F4850000}"/>
    <cellStyle name="Normal 9 3 3 9 4" xfId="34289" xr:uid="{00000000-0005-0000-0000-0000F5850000}"/>
    <cellStyle name="Normal 9 3 3 9 5" xfId="34290" xr:uid="{00000000-0005-0000-0000-0000F6850000}"/>
    <cellStyle name="Normal 9 3 3 9 6" xfId="34291" xr:uid="{00000000-0005-0000-0000-0000F7850000}"/>
    <cellStyle name="Normal 9 3 30" xfId="34292" xr:uid="{00000000-0005-0000-0000-0000F8850000}"/>
    <cellStyle name="Normal 9 3 31" xfId="34293" xr:uid="{00000000-0005-0000-0000-0000F9850000}"/>
    <cellStyle name="Normal 9 3 32" xfId="34294" xr:uid="{00000000-0005-0000-0000-0000FA850000}"/>
    <cellStyle name="Normal 9 3 33" xfId="34295" xr:uid="{00000000-0005-0000-0000-0000FB850000}"/>
    <cellStyle name="Normal 9 3 4" xfId="34296" xr:uid="{00000000-0005-0000-0000-0000FC850000}"/>
    <cellStyle name="Normal 9 3 4 2" xfId="34297" xr:uid="{00000000-0005-0000-0000-0000FD850000}"/>
    <cellStyle name="Normal 9 3 4 3" xfId="34298" xr:uid="{00000000-0005-0000-0000-0000FE850000}"/>
    <cellStyle name="Normal 9 3 4 4" xfId="34299" xr:uid="{00000000-0005-0000-0000-0000FF850000}"/>
    <cellStyle name="Normal 9 3 4 5" xfId="34300" xr:uid="{00000000-0005-0000-0000-000000860000}"/>
    <cellStyle name="Normal 9 3 4 6" xfId="34301" xr:uid="{00000000-0005-0000-0000-000001860000}"/>
    <cellStyle name="Normal 9 3 5" xfId="34302" xr:uid="{00000000-0005-0000-0000-000002860000}"/>
    <cellStyle name="Normal 9 3 5 2" xfId="34303" xr:uid="{00000000-0005-0000-0000-000003860000}"/>
    <cellStyle name="Normal 9 3 5 3" xfId="34304" xr:uid="{00000000-0005-0000-0000-000004860000}"/>
    <cellStyle name="Normal 9 3 5 4" xfId="34305" xr:uid="{00000000-0005-0000-0000-000005860000}"/>
    <cellStyle name="Normal 9 3 5 5" xfId="34306" xr:uid="{00000000-0005-0000-0000-000006860000}"/>
    <cellStyle name="Normal 9 3 5 6" xfId="34307" xr:uid="{00000000-0005-0000-0000-000007860000}"/>
    <cellStyle name="Normal 9 3 6" xfId="34308" xr:uid="{00000000-0005-0000-0000-000008860000}"/>
    <cellStyle name="Normal 9 3 6 2" xfId="34309" xr:uid="{00000000-0005-0000-0000-000009860000}"/>
    <cellStyle name="Normal 9 3 6 3" xfId="34310" xr:uid="{00000000-0005-0000-0000-00000A860000}"/>
    <cellStyle name="Normal 9 3 6 4" xfId="34311" xr:uid="{00000000-0005-0000-0000-00000B860000}"/>
    <cellStyle name="Normal 9 3 6 5" xfId="34312" xr:uid="{00000000-0005-0000-0000-00000C860000}"/>
    <cellStyle name="Normal 9 3 6 6" xfId="34313" xr:uid="{00000000-0005-0000-0000-00000D860000}"/>
    <cellStyle name="Normal 9 3 7" xfId="34314" xr:uid="{00000000-0005-0000-0000-00000E860000}"/>
    <cellStyle name="Normal 9 3 7 2" xfId="34315" xr:uid="{00000000-0005-0000-0000-00000F860000}"/>
    <cellStyle name="Normal 9 3 7 3" xfId="34316" xr:uid="{00000000-0005-0000-0000-000010860000}"/>
    <cellStyle name="Normal 9 3 7 4" xfId="34317" xr:uid="{00000000-0005-0000-0000-000011860000}"/>
    <cellStyle name="Normal 9 3 7 5" xfId="34318" xr:uid="{00000000-0005-0000-0000-000012860000}"/>
    <cellStyle name="Normal 9 3 7 6" xfId="34319" xr:uid="{00000000-0005-0000-0000-000013860000}"/>
    <cellStyle name="Normal 9 3 8" xfId="34320" xr:uid="{00000000-0005-0000-0000-000014860000}"/>
    <cellStyle name="Normal 9 3 8 2" xfId="34321" xr:uid="{00000000-0005-0000-0000-000015860000}"/>
    <cellStyle name="Normal 9 3 8 3" xfId="34322" xr:uid="{00000000-0005-0000-0000-000016860000}"/>
    <cellStyle name="Normal 9 3 8 4" xfId="34323" xr:uid="{00000000-0005-0000-0000-000017860000}"/>
    <cellStyle name="Normal 9 3 8 5" xfId="34324" xr:uid="{00000000-0005-0000-0000-000018860000}"/>
    <cellStyle name="Normal 9 3 8 6" xfId="34325" xr:uid="{00000000-0005-0000-0000-000019860000}"/>
    <cellStyle name="Normal 9 3 9" xfId="34326" xr:uid="{00000000-0005-0000-0000-00001A860000}"/>
    <cellStyle name="Normal 9 3 9 2" xfId="34327" xr:uid="{00000000-0005-0000-0000-00001B860000}"/>
    <cellStyle name="Normal 9 3 9 3" xfId="34328" xr:uid="{00000000-0005-0000-0000-00001C860000}"/>
    <cellStyle name="Normal 9 3 9 4" xfId="34329" xr:uid="{00000000-0005-0000-0000-00001D860000}"/>
    <cellStyle name="Normal 9 3 9 5" xfId="34330" xr:uid="{00000000-0005-0000-0000-00001E860000}"/>
    <cellStyle name="Normal 9 3 9 6" xfId="34331" xr:uid="{00000000-0005-0000-0000-00001F860000}"/>
    <cellStyle name="Normal 9 4" xfId="34332" xr:uid="{00000000-0005-0000-0000-000020860000}"/>
    <cellStyle name="Normal 9 4 10" xfId="34333" xr:uid="{00000000-0005-0000-0000-000021860000}"/>
    <cellStyle name="Normal 9 4 10 2" xfId="34334" xr:uid="{00000000-0005-0000-0000-000022860000}"/>
    <cellStyle name="Normal 9 4 10 3" xfId="34335" xr:uid="{00000000-0005-0000-0000-000023860000}"/>
    <cellStyle name="Normal 9 4 10 4" xfId="34336" xr:uid="{00000000-0005-0000-0000-000024860000}"/>
    <cellStyle name="Normal 9 4 10 5" xfId="34337" xr:uid="{00000000-0005-0000-0000-000025860000}"/>
    <cellStyle name="Normal 9 4 10 6" xfId="34338" xr:uid="{00000000-0005-0000-0000-000026860000}"/>
    <cellStyle name="Normal 9 4 11" xfId="34339" xr:uid="{00000000-0005-0000-0000-000027860000}"/>
    <cellStyle name="Normal 9 4 11 2" xfId="34340" xr:uid="{00000000-0005-0000-0000-000028860000}"/>
    <cellStyle name="Normal 9 4 11 3" xfId="34341" xr:uid="{00000000-0005-0000-0000-000029860000}"/>
    <cellStyle name="Normal 9 4 11 4" xfId="34342" xr:uid="{00000000-0005-0000-0000-00002A860000}"/>
    <cellStyle name="Normal 9 4 11 5" xfId="34343" xr:uid="{00000000-0005-0000-0000-00002B860000}"/>
    <cellStyle name="Normal 9 4 11 6" xfId="34344" xr:uid="{00000000-0005-0000-0000-00002C860000}"/>
    <cellStyle name="Normal 9 4 12" xfId="34345" xr:uid="{00000000-0005-0000-0000-00002D860000}"/>
    <cellStyle name="Normal 9 4 13" xfId="34346" xr:uid="{00000000-0005-0000-0000-00002E860000}"/>
    <cellStyle name="Normal 9 4 14" xfId="34347" xr:uid="{00000000-0005-0000-0000-00002F860000}"/>
    <cellStyle name="Normal 9 4 15" xfId="34348" xr:uid="{00000000-0005-0000-0000-000030860000}"/>
    <cellStyle name="Normal 9 4 16" xfId="34349" xr:uid="{00000000-0005-0000-0000-000031860000}"/>
    <cellStyle name="Normal 9 4 17" xfId="34350" xr:uid="{00000000-0005-0000-0000-000032860000}"/>
    <cellStyle name="Normal 9 4 18" xfId="34351" xr:uid="{00000000-0005-0000-0000-000033860000}"/>
    <cellStyle name="Normal 9 4 19" xfId="34352" xr:uid="{00000000-0005-0000-0000-000034860000}"/>
    <cellStyle name="Normal 9 4 2" xfId="34353" xr:uid="{00000000-0005-0000-0000-000035860000}"/>
    <cellStyle name="Normal 9 4 2 10" xfId="34354" xr:uid="{00000000-0005-0000-0000-000036860000}"/>
    <cellStyle name="Normal 9 4 2 10 2" xfId="34355" xr:uid="{00000000-0005-0000-0000-000037860000}"/>
    <cellStyle name="Normal 9 4 2 10 3" xfId="34356" xr:uid="{00000000-0005-0000-0000-000038860000}"/>
    <cellStyle name="Normal 9 4 2 10 4" xfId="34357" xr:uid="{00000000-0005-0000-0000-000039860000}"/>
    <cellStyle name="Normal 9 4 2 10 5" xfId="34358" xr:uid="{00000000-0005-0000-0000-00003A860000}"/>
    <cellStyle name="Normal 9 4 2 10 6" xfId="34359" xr:uid="{00000000-0005-0000-0000-00003B860000}"/>
    <cellStyle name="Normal 9 4 2 11" xfId="34360" xr:uid="{00000000-0005-0000-0000-00003C860000}"/>
    <cellStyle name="Normal 9 4 2 12" xfId="34361" xr:uid="{00000000-0005-0000-0000-00003D860000}"/>
    <cellStyle name="Normal 9 4 2 13" xfId="34362" xr:uid="{00000000-0005-0000-0000-00003E860000}"/>
    <cellStyle name="Normal 9 4 2 14" xfId="34363" xr:uid="{00000000-0005-0000-0000-00003F860000}"/>
    <cellStyle name="Normal 9 4 2 15" xfId="34364" xr:uid="{00000000-0005-0000-0000-000040860000}"/>
    <cellStyle name="Normal 9 4 2 2" xfId="34365" xr:uid="{00000000-0005-0000-0000-000041860000}"/>
    <cellStyle name="Normal 9 4 2 2 10" xfId="34366" xr:uid="{00000000-0005-0000-0000-000042860000}"/>
    <cellStyle name="Normal 9 4 2 2 11" xfId="34367" xr:uid="{00000000-0005-0000-0000-000043860000}"/>
    <cellStyle name="Normal 9 4 2 2 12" xfId="34368" xr:uid="{00000000-0005-0000-0000-000044860000}"/>
    <cellStyle name="Normal 9 4 2 2 13" xfId="34369" xr:uid="{00000000-0005-0000-0000-000045860000}"/>
    <cellStyle name="Normal 9 4 2 2 14" xfId="34370" xr:uid="{00000000-0005-0000-0000-000046860000}"/>
    <cellStyle name="Normal 9 4 2 2 2" xfId="34371" xr:uid="{00000000-0005-0000-0000-000047860000}"/>
    <cellStyle name="Normal 9 4 2 2 2 2" xfId="34372" xr:uid="{00000000-0005-0000-0000-000048860000}"/>
    <cellStyle name="Normal 9 4 2 2 2 3" xfId="34373" xr:uid="{00000000-0005-0000-0000-000049860000}"/>
    <cellStyle name="Normal 9 4 2 2 2 4" xfId="34374" xr:uid="{00000000-0005-0000-0000-00004A860000}"/>
    <cellStyle name="Normal 9 4 2 2 2 5" xfId="34375" xr:uid="{00000000-0005-0000-0000-00004B860000}"/>
    <cellStyle name="Normal 9 4 2 2 2 6" xfId="34376" xr:uid="{00000000-0005-0000-0000-00004C860000}"/>
    <cellStyle name="Normal 9 4 2 2 3" xfId="34377" xr:uid="{00000000-0005-0000-0000-00004D860000}"/>
    <cellStyle name="Normal 9 4 2 2 3 2" xfId="34378" xr:uid="{00000000-0005-0000-0000-00004E860000}"/>
    <cellStyle name="Normal 9 4 2 2 3 3" xfId="34379" xr:uid="{00000000-0005-0000-0000-00004F860000}"/>
    <cellStyle name="Normal 9 4 2 2 3 4" xfId="34380" xr:uid="{00000000-0005-0000-0000-000050860000}"/>
    <cellStyle name="Normal 9 4 2 2 3 5" xfId="34381" xr:uid="{00000000-0005-0000-0000-000051860000}"/>
    <cellStyle name="Normal 9 4 2 2 3 6" xfId="34382" xr:uid="{00000000-0005-0000-0000-000052860000}"/>
    <cellStyle name="Normal 9 4 2 2 4" xfId="34383" xr:uid="{00000000-0005-0000-0000-000053860000}"/>
    <cellStyle name="Normal 9 4 2 2 4 2" xfId="34384" xr:uid="{00000000-0005-0000-0000-000054860000}"/>
    <cellStyle name="Normal 9 4 2 2 4 3" xfId="34385" xr:uid="{00000000-0005-0000-0000-000055860000}"/>
    <cellStyle name="Normal 9 4 2 2 4 4" xfId="34386" xr:uid="{00000000-0005-0000-0000-000056860000}"/>
    <cellStyle name="Normal 9 4 2 2 4 5" xfId="34387" xr:uid="{00000000-0005-0000-0000-000057860000}"/>
    <cellStyle name="Normal 9 4 2 2 4 6" xfId="34388" xr:uid="{00000000-0005-0000-0000-000058860000}"/>
    <cellStyle name="Normal 9 4 2 2 5" xfId="34389" xr:uid="{00000000-0005-0000-0000-000059860000}"/>
    <cellStyle name="Normal 9 4 2 2 5 2" xfId="34390" xr:uid="{00000000-0005-0000-0000-00005A860000}"/>
    <cellStyle name="Normal 9 4 2 2 5 3" xfId="34391" xr:uid="{00000000-0005-0000-0000-00005B860000}"/>
    <cellStyle name="Normal 9 4 2 2 5 4" xfId="34392" xr:uid="{00000000-0005-0000-0000-00005C860000}"/>
    <cellStyle name="Normal 9 4 2 2 5 5" xfId="34393" xr:uid="{00000000-0005-0000-0000-00005D860000}"/>
    <cellStyle name="Normal 9 4 2 2 5 6" xfId="34394" xr:uid="{00000000-0005-0000-0000-00005E860000}"/>
    <cellStyle name="Normal 9 4 2 2 6" xfId="34395" xr:uid="{00000000-0005-0000-0000-00005F860000}"/>
    <cellStyle name="Normal 9 4 2 2 6 2" xfId="34396" xr:uid="{00000000-0005-0000-0000-000060860000}"/>
    <cellStyle name="Normal 9 4 2 2 6 3" xfId="34397" xr:uid="{00000000-0005-0000-0000-000061860000}"/>
    <cellStyle name="Normal 9 4 2 2 6 4" xfId="34398" xr:uid="{00000000-0005-0000-0000-000062860000}"/>
    <cellStyle name="Normal 9 4 2 2 6 5" xfId="34399" xr:uid="{00000000-0005-0000-0000-000063860000}"/>
    <cellStyle name="Normal 9 4 2 2 6 6" xfId="34400" xr:uid="{00000000-0005-0000-0000-000064860000}"/>
    <cellStyle name="Normal 9 4 2 2 7" xfId="34401" xr:uid="{00000000-0005-0000-0000-000065860000}"/>
    <cellStyle name="Normal 9 4 2 2 7 2" xfId="34402" xr:uid="{00000000-0005-0000-0000-000066860000}"/>
    <cellStyle name="Normal 9 4 2 2 7 3" xfId="34403" xr:uid="{00000000-0005-0000-0000-000067860000}"/>
    <cellStyle name="Normal 9 4 2 2 7 4" xfId="34404" xr:uid="{00000000-0005-0000-0000-000068860000}"/>
    <cellStyle name="Normal 9 4 2 2 7 5" xfId="34405" xr:uid="{00000000-0005-0000-0000-000069860000}"/>
    <cellStyle name="Normal 9 4 2 2 7 6" xfId="34406" xr:uid="{00000000-0005-0000-0000-00006A860000}"/>
    <cellStyle name="Normal 9 4 2 2 8" xfId="34407" xr:uid="{00000000-0005-0000-0000-00006B860000}"/>
    <cellStyle name="Normal 9 4 2 2 8 2" xfId="34408" xr:uid="{00000000-0005-0000-0000-00006C860000}"/>
    <cellStyle name="Normal 9 4 2 2 8 3" xfId="34409" xr:uid="{00000000-0005-0000-0000-00006D860000}"/>
    <cellStyle name="Normal 9 4 2 2 8 4" xfId="34410" xr:uid="{00000000-0005-0000-0000-00006E860000}"/>
    <cellStyle name="Normal 9 4 2 2 8 5" xfId="34411" xr:uid="{00000000-0005-0000-0000-00006F860000}"/>
    <cellStyle name="Normal 9 4 2 2 8 6" xfId="34412" xr:uid="{00000000-0005-0000-0000-000070860000}"/>
    <cellStyle name="Normal 9 4 2 2 9" xfId="34413" xr:uid="{00000000-0005-0000-0000-000071860000}"/>
    <cellStyle name="Normal 9 4 2 2 9 2" xfId="34414" xr:uid="{00000000-0005-0000-0000-000072860000}"/>
    <cellStyle name="Normal 9 4 2 2 9 3" xfId="34415" xr:uid="{00000000-0005-0000-0000-000073860000}"/>
    <cellStyle name="Normal 9 4 2 2 9 4" xfId="34416" xr:uid="{00000000-0005-0000-0000-000074860000}"/>
    <cellStyle name="Normal 9 4 2 2 9 5" xfId="34417" xr:uid="{00000000-0005-0000-0000-000075860000}"/>
    <cellStyle name="Normal 9 4 2 2 9 6" xfId="34418" xr:uid="{00000000-0005-0000-0000-000076860000}"/>
    <cellStyle name="Normal 9 4 2 3" xfId="34419" xr:uid="{00000000-0005-0000-0000-000077860000}"/>
    <cellStyle name="Normal 9 4 2 3 2" xfId="34420" xr:uid="{00000000-0005-0000-0000-000078860000}"/>
    <cellStyle name="Normal 9 4 2 3 3" xfId="34421" xr:uid="{00000000-0005-0000-0000-000079860000}"/>
    <cellStyle name="Normal 9 4 2 3 4" xfId="34422" xr:uid="{00000000-0005-0000-0000-00007A860000}"/>
    <cellStyle name="Normal 9 4 2 3 5" xfId="34423" xr:uid="{00000000-0005-0000-0000-00007B860000}"/>
    <cellStyle name="Normal 9 4 2 3 6" xfId="34424" xr:uid="{00000000-0005-0000-0000-00007C860000}"/>
    <cellStyle name="Normal 9 4 2 4" xfId="34425" xr:uid="{00000000-0005-0000-0000-00007D860000}"/>
    <cellStyle name="Normal 9 4 2 4 2" xfId="34426" xr:uid="{00000000-0005-0000-0000-00007E860000}"/>
    <cellStyle name="Normal 9 4 2 4 3" xfId="34427" xr:uid="{00000000-0005-0000-0000-00007F860000}"/>
    <cellStyle name="Normal 9 4 2 4 4" xfId="34428" xr:uid="{00000000-0005-0000-0000-000080860000}"/>
    <cellStyle name="Normal 9 4 2 4 5" xfId="34429" xr:uid="{00000000-0005-0000-0000-000081860000}"/>
    <cellStyle name="Normal 9 4 2 4 6" xfId="34430" xr:uid="{00000000-0005-0000-0000-000082860000}"/>
    <cellStyle name="Normal 9 4 2 5" xfId="34431" xr:uid="{00000000-0005-0000-0000-000083860000}"/>
    <cellStyle name="Normal 9 4 2 5 2" xfId="34432" xr:uid="{00000000-0005-0000-0000-000084860000}"/>
    <cellStyle name="Normal 9 4 2 5 3" xfId="34433" xr:uid="{00000000-0005-0000-0000-000085860000}"/>
    <cellStyle name="Normal 9 4 2 5 4" xfId="34434" xr:uid="{00000000-0005-0000-0000-000086860000}"/>
    <cellStyle name="Normal 9 4 2 5 5" xfId="34435" xr:uid="{00000000-0005-0000-0000-000087860000}"/>
    <cellStyle name="Normal 9 4 2 5 6" xfId="34436" xr:uid="{00000000-0005-0000-0000-000088860000}"/>
    <cellStyle name="Normal 9 4 2 6" xfId="34437" xr:uid="{00000000-0005-0000-0000-000089860000}"/>
    <cellStyle name="Normal 9 4 2 6 2" xfId="34438" xr:uid="{00000000-0005-0000-0000-00008A860000}"/>
    <cellStyle name="Normal 9 4 2 6 3" xfId="34439" xr:uid="{00000000-0005-0000-0000-00008B860000}"/>
    <cellStyle name="Normal 9 4 2 6 4" xfId="34440" xr:uid="{00000000-0005-0000-0000-00008C860000}"/>
    <cellStyle name="Normal 9 4 2 6 5" xfId="34441" xr:uid="{00000000-0005-0000-0000-00008D860000}"/>
    <cellStyle name="Normal 9 4 2 6 6" xfId="34442" xr:uid="{00000000-0005-0000-0000-00008E860000}"/>
    <cellStyle name="Normal 9 4 2 7" xfId="34443" xr:uid="{00000000-0005-0000-0000-00008F860000}"/>
    <cellStyle name="Normal 9 4 2 7 2" xfId="34444" xr:uid="{00000000-0005-0000-0000-000090860000}"/>
    <cellStyle name="Normal 9 4 2 7 3" xfId="34445" xr:uid="{00000000-0005-0000-0000-000091860000}"/>
    <cellStyle name="Normal 9 4 2 7 4" xfId="34446" xr:uid="{00000000-0005-0000-0000-000092860000}"/>
    <cellStyle name="Normal 9 4 2 7 5" xfId="34447" xr:uid="{00000000-0005-0000-0000-000093860000}"/>
    <cellStyle name="Normal 9 4 2 7 6" xfId="34448" xr:uid="{00000000-0005-0000-0000-000094860000}"/>
    <cellStyle name="Normal 9 4 2 8" xfId="34449" xr:uid="{00000000-0005-0000-0000-000095860000}"/>
    <cellStyle name="Normal 9 4 2 8 2" xfId="34450" xr:uid="{00000000-0005-0000-0000-000096860000}"/>
    <cellStyle name="Normal 9 4 2 8 3" xfId="34451" xr:uid="{00000000-0005-0000-0000-000097860000}"/>
    <cellStyle name="Normal 9 4 2 8 4" xfId="34452" xr:uid="{00000000-0005-0000-0000-000098860000}"/>
    <cellStyle name="Normal 9 4 2 8 5" xfId="34453" xr:uid="{00000000-0005-0000-0000-000099860000}"/>
    <cellStyle name="Normal 9 4 2 8 6" xfId="34454" xr:uid="{00000000-0005-0000-0000-00009A860000}"/>
    <cellStyle name="Normal 9 4 2 9" xfId="34455" xr:uid="{00000000-0005-0000-0000-00009B860000}"/>
    <cellStyle name="Normal 9 4 2 9 2" xfId="34456" xr:uid="{00000000-0005-0000-0000-00009C860000}"/>
    <cellStyle name="Normal 9 4 2 9 3" xfId="34457" xr:uid="{00000000-0005-0000-0000-00009D860000}"/>
    <cellStyle name="Normal 9 4 2 9 4" xfId="34458" xr:uid="{00000000-0005-0000-0000-00009E860000}"/>
    <cellStyle name="Normal 9 4 2 9 5" xfId="34459" xr:uid="{00000000-0005-0000-0000-00009F860000}"/>
    <cellStyle name="Normal 9 4 2 9 6" xfId="34460" xr:uid="{00000000-0005-0000-0000-0000A0860000}"/>
    <cellStyle name="Normal 9 4 20" xfId="34461" xr:uid="{00000000-0005-0000-0000-0000A1860000}"/>
    <cellStyle name="Normal 9 4 21" xfId="34462" xr:uid="{00000000-0005-0000-0000-0000A2860000}"/>
    <cellStyle name="Normal 9 4 22" xfId="34463" xr:uid="{00000000-0005-0000-0000-0000A3860000}"/>
    <cellStyle name="Normal 9 4 23" xfId="34464" xr:uid="{00000000-0005-0000-0000-0000A4860000}"/>
    <cellStyle name="Normal 9 4 24" xfId="34465" xr:uid="{00000000-0005-0000-0000-0000A5860000}"/>
    <cellStyle name="Normal 9 4 25" xfId="34466" xr:uid="{00000000-0005-0000-0000-0000A6860000}"/>
    <cellStyle name="Normal 9 4 26" xfId="34467" xr:uid="{00000000-0005-0000-0000-0000A7860000}"/>
    <cellStyle name="Normal 9 4 27" xfId="34468" xr:uid="{00000000-0005-0000-0000-0000A8860000}"/>
    <cellStyle name="Normal 9 4 28" xfId="34469" xr:uid="{00000000-0005-0000-0000-0000A9860000}"/>
    <cellStyle name="Normal 9 4 29" xfId="34470" xr:uid="{00000000-0005-0000-0000-0000AA860000}"/>
    <cellStyle name="Normal 9 4 3" xfId="34471" xr:uid="{00000000-0005-0000-0000-0000AB860000}"/>
    <cellStyle name="Normal 9 4 3 10" xfId="34472" xr:uid="{00000000-0005-0000-0000-0000AC860000}"/>
    <cellStyle name="Normal 9 4 3 11" xfId="34473" xr:uid="{00000000-0005-0000-0000-0000AD860000}"/>
    <cellStyle name="Normal 9 4 3 12" xfId="34474" xr:uid="{00000000-0005-0000-0000-0000AE860000}"/>
    <cellStyle name="Normal 9 4 3 13" xfId="34475" xr:uid="{00000000-0005-0000-0000-0000AF860000}"/>
    <cellStyle name="Normal 9 4 3 14" xfId="34476" xr:uid="{00000000-0005-0000-0000-0000B0860000}"/>
    <cellStyle name="Normal 9 4 3 2" xfId="34477" xr:uid="{00000000-0005-0000-0000-0000B1860000}"/>
    <cellStyle name="Normal 9 4 3 2 2" xfId="34478" xr:uid="{00000000-0005-0000-0000-0000B2860000}"/>
    <cellStyle name="Normal 9 4 3 2 3" xfId="34479" xr:uid="{00000000-0005-0000-0000-0000B3860000}"/>
    <cellStyle name="Normal 9 4 3 2 4" xfId="34480" xr:uid="{00000000-0005-0000-0000-0000B4860000}"/>
    <cellStyle name="Normal 9 4 3 2 5" xfId="34481" xr:uid="{00000000-0005-0000-0000-0000B5860000}"/>
    <cellStyle name="Normal 9 4 3 2 6" xfId="34482" xr:uid="{00000000-0005-0000-0000-0000B6860000}"/>
    <cellStyle name="Normal 9 4 3 3" xfId="34483" xr:uid="{00000000-0005-0000-0000-0000B7860000}"/>
    <cellStyle name="Normal 9 4 3 3 2" xfId="34484" xr:uid="{00000000-0005-0000-0000-0000B8860000}"/>
    <cellStyle name="Normal 9 4 3 3 3" xfId="34485" xr:uid="{00000000-0005-0000-0000-0000B9860000}"/>
    <cellStyle name="Normal 9 4 3 3 4" xfId="34486" xr:uid="{00000000-0005-0000-0000-0000BA860000}"/>
    <cellStyle name="Normal 9 4 3 3 5" xfId="34487" xr:uid="{00000000-0005-0000-0000-0000BB860000}"/>
    <cellStyle name="Normal 9 4 3 3 6" xfId="34488" xr:uid="{00000000-0005-0000-0000-0000BC860000}"/>
    <cellStyle name="Normal 9 4 3 4" xfId="34489" xr:uid="{00000000-0005-0000-0000-0000BD860000}"/>
    <cellStyle name="Normal 9 4 3 4 2" xfId="34490" xr:uid="{00000000-0005-0000-0000-0000BE860000}"/>
    <cellStyle name="Normal 9 4 3 4 3" xfId="34491" xr:uid="{00000000-0005-0000-0000-0000BF860000}"/>
    <cellStyle name="Normal 9 4 3 4 4" xfId="34492" xr:uid="{00000000-0005-0000-0000-0000C0860000}"/>
    <cellStyle name="Normal 9 4 3 4 5" xfId="34493" xr:uid="{00000000-0005-0000-0000-0000C1860000}"/>
    <cellStyle name="Normal 9 4 3 4 6" xfId="34494" xr:uid="{00000000-0005-0000-0000-0000C2860000}"/>
    <cellStyle name="Normal 9 4 3 5" xfId="34495" xr:uid="{00000000-0005-0000-0000-0000C3860000}"/>
    <cellStyle name="Normal 9 4 3 5 2" xfId="34496" xr:uid="{00000000-0005-0000-0000-0000C4860000}"/>
    <cellStyle name="Normal 9 4 3 5 3" xfId="34497" xr:uid="{00000000-0005-0000-0000-0000C5860000}"/>
    <cellStyle name="Normal 9 4 3 5 4" xfId="34498" xr:uid="{00000000-0005-0000-0000-0000C6860000}"/>
    <cellStyle name="Normal 9 4 3 5 5" xfId="34499" xr:uid="{00000000-0005-0000-0000-0000C7860000}"/>
    <cellStyle name="Normal 9 4 3 5 6" xfId="34500" xr:uid="{00000000-0005-0000-0000-0000C8860000}"/>
    <cellStyle name="Normal 9 4 3 6" xfId="34501" xr:uid="{00000000-0005-0000-0000-0000C9860000}"/>
    <cellStyle name="Normal 9 4 3 6 2" xfId="34502" xr:uid="{00000000-0005-0000-0000-0000CA860000}"/>
    <cellStyle name="Normal 9 4 3 6 3" xfId="34503" xr:uid="{00000000-0005-0000-0000-0000CB860000}"/>
    <cellStyle name="Normal 9 4 3 6 4" xfId="34504" xr:uid="{00000000-0005-0000-0000-0000CC860000}"/>
    <cellStyle name="Normal 9 4 3 6 5" xfId="34505" xr:uid="{00000000-0005-0000-0000-0000CD860000}"/>
    <cellStyle name="Normal 9 4 3 6 6" xfId="34506" xr:uid="{00000000-0005-0000-0000-0000CE860000}"/>
    <cellStyle name="Normal 9 4 3 7" xfId="34507" xr:uid="{00000000-0005-0000-0000-0000CF860000}"/>
    <cellStyle name="Normal 9 4 3 7 2" xfId="34508" xr:uid="{00000000-0005-0000-0000-0000D0860000}"/>
    <cellStyle name="Normal 9 4 3 7 3" xfId="34509" xr:uid="{00000000-0005-0000-0000-0000D1860000}"/>
    <cellStyle name="Normal 9 4 3 7 4" xfId="34510" xr:uid="{00000000-0005-0000-0000-0000D2860000}"/>
    <cellStyle name="Normal 9 4 3 7 5" xfId="34511" xr:uid="{00000000-0005-0000-0000-0000D3860000}"/>
    <cellStyle name="Normal 9 4 3 7 6" xfId="34512" xr:uid="{00000000-0005-0000-0000-0000D4860000}"/>
    <cellStyle name="Normal 9 4 3 8" xfId="34513" xr:uid="{00000000-0005-0000-0000-0000D5860000}"/>
    <cellStyle name="Normal 9 4 3 8 2" xfId="34514" xr:uid="{00000000-0005-0000-0000-0000D6860000}"/>
    <cellStyle name="Normal 9 4 3 8 3" xfId="34515" xr:uid="{00000000-0005-0000-0000-0000D7860000}"/>
    <cellStyle name="Normal 9 4 3 8 4" xfId="34516" xr:uid="{00000000-0005-0000-0000-0000D8860000}"/>
    <cellStyle name="Normal 9 4 3 8 5" xfId="34517" xr:uid="{00000000-0005-0000-0000-0000D9860000}"/>
    <cellStyle name="Normal 9 4 3 8 6" xfId="34518" xr:uid="{00000000-0005-0000-0000-0000DA860000}"/>
    <cellStyle name="Normal 9 4 3 9" xfId="34519" xr:uid="{00000000-0005-0000-0000-0000DB860000}"/>
    <cellStyle name="Normal 9 4 3 9 2" xfId="34520" xr:uid="{00000000-0005-0000-0000-0000DC860000}"/>
    <cellStyle name="Normal 9 4 3 9 3" xfId="34521" xr:uid="{00000000-0005-0000-0000-0000DD860000}"/>
    <cellStyle name="Normal 9 4 3 9 4" xfId="34522" xr:uid="{00000000-0005-0000-0000-0000DE860000}"/>
    <cellStyle name="Normal 9 4 3 9 5" xfId="34523" xr:uid="{00000000-0005-0000-0000-0000DF860000}"/>
    <cellStyle name="Normal 9 4 3 9 6" xfId="34524" xr:uid="{00000000-0005-0000-0000-0000E0860000}"/>
    <cellStyle name="Normal 9 4 30" xfId="34525" xr:uid="{00000000-0005-0000-0000-0000E1860000}"/>
    <cellStyle name="Normal 9 4 31" xfId="34526" xr:uid="{00000000-0005-0000-0000-0000E2860000}"/>
    <cellStyle name="Normal 9 4 4" xfId="34527" xr:uid="{00000000-0005-0000-0000-0000E3860000}"/>
    <cellStyle name="Normal 9 4 4 2" xfId="34528" xr:uid="{00000000-0005-0000-0000-0000E4860000}"/>
    <cellStyle name="Normal 9 4 4 3" xfId="34529" xr:uid="{00000000-0005-0000-0000-0000E5860000}"/>
    <cellStyle name="Normal 9 4 4 4" xfId="34530" xr:uid="{00000000-0005-0000-0000-0000E6860000}"/>
    <cellStyle name="Normal 9 4 4 5" xfId="34531" xr:uid="{00000000-0005-0000-0000-0000E7860000}"/>
    <cellStyle name="Normal 9 4 4 6" xfId="34532" xr:uid="{00000000-0005-0000-0000-0000E8860000}"/>
    <cellStyle name="Normal 9 4 5" xfId="34533" xr:uid="{00000000-0005-0000-0000-0000E9860000}"/>
    <cellStyle name="Normal 9 4 5 2" xfId="34534" xr:uid="{00000000-0005-0000-0000-0000EA860000}"/>
    <cellStyle name="Normal 9 4 5 3" xfId="34535" xr:uid="{00000000-0005-0000-0000-0000EB860000}"/>
    <cellStyle name="Normal 9 4 5 4" xfId="34536" xr:uid="{00000000-0005-0000-0000-0000EC860000}"/>
    <cellStyle name="Normal 9 4 5 5" xfId="34537" xr:uid="{00000000-0005-0000-0000-0000ED860000}"/>
    <cellStyle name="Normal 9 4 5 6" xfId="34538" xr:uid="{00000000-0005-0000-0000-0000EE860000}"/>
    <cellStyle name="Normal 9 4 6" xfId="34539" xr:uid="{00000000-0005-0000-0000-0000EF860000}"/>
    <cellStyle name="Normal 9 4 6 2" xfId="34540" xr:uid="{00000000-0005-0000-0000-0000F0860000}"/>
    <cellStyle name="Normal 9 4 6 3" xfId="34541" xr:uid="{00000000-0005-0000-0000-0000F1860000}"/>
    <cellStyle name="Normal 9 4 6 4" xfId="34542" xr:uid="{00000000-0005-0000-0000-0000F2860000}"/>
    <cellStyle name="Normal 9 4 6 5" xfId="34543" xr:uid="{00000000-0005-0000-0000-0000F3860000}"/>
    <cellStyle name="Normal 9 4 6 6" xfId="34544" xr:uid="{00000000-0005-0000-0000-0000F4860000}"/>
    <cellStyle name="Normal 9 4 7" xfId="34545" xr:uid="{00000000-0005-0000-0000-0000F5860000}"/>
    <cellStyle name="Normal 9 4 7 2" xfId="34546" xr:uid="{00000000-0005-0000-0000-0000F6860000}"/>
    <cellStyle name="Normal 9 4 7 3" xfId="34547" xr:uid="{00000000-0005-0000-0000-0000F7860000}"/>
    <cellStyle name="Normal 9 4 7 4" xfId="34548" xr:uid="{00000000-0005-0000-0000-0000F8860000}"/>
    <cellStyle name="Normal 9 4 7 5" xfId="34549" xr:uid="{00000000-0005-0000-0000-0000F9860000}"/>
    <cellStyle name="Normal 9 4 7 6" xfId="34550" xr:uid="{00000000-0005-0000-0000-0000FA860000}"/>
    <cellStyle name="Normal 9 4 8" xfId="34551" xr:uid="{00000000-0005-0000-0000-0000FB860000}"/>
    <cellStyle name="Normal 9 4 8 2" xfId="34552" xr:uid="{00000000-0005-0000-0000-0000FC860000}"/>
    <cellStyle name="Normal 9 4 8 3" xfId="34553" xr:uid="{00000000-0005-0000-0000-0000FD860000}"/>
    <cellStyle name="Normal 9 4 8 4" xfId="34554" xr:uid="{00000000-0005-0000-0000-0000FE860000}"/>
    <cellStyle name="Normal 9 4 8 5" xfId="34555" xr:uid="{00000000-0005-0000-0000-0000FF860000}"/>
    <cellStyle name="Normal 9 4 8 6" xfId="34556" xr:uid="{00000000-0005-0000-0000-000000870000}"/>
    <cellStyle name="Normal 9 4 9" xfId="34557" xr:uid="{00000000-0005-0000-0000-000001870000}"/>
    <cellStyle name="Normal 9 4 9 2" xfId="34558" xr:uid="{00000000-0005-0000-0000-000002870000}"/>
    <cellStyle name="Normal 9 4 9 3" xfId="34559" xr:uid="{00000000-0005-0000-0000-000003870000}"/>
    <cellStyle name="Normal 9 4 9 4" xfId="34560" xr:uid="{00000000-0005-0000-0000-000004870000}"/>
    <cellStyle name="Normal 9 4 9 5" xfId="34561" xr:uid="{00000000-0005-0000-0000-000005870000}"/>
    <cellStyle name="Normal 9 4 9 6" xfId="34562" xr:uid="{00000000-0005-0000-0000-000006870000}"/>
    <cellStyle name="Normal 9 5" xfId="34563" xr:uid="{00000000-0005-0000-0000-000007870000}"/>
    <cellStyle name="Normal 9 5 10" xfId="34564" xr:uid="{00000000-0005-0000-0000-000008870000}"/>
    <cellStyle name="Normal 9 5 10 2" xfId="34565" xr:uid="{00000000-0005-0000-0000-000009870000}"/>
    <cellStyle name="Normal 9 5 10 3" xfId="34566" xr:uid="{00000000-0005-0000-0000-00000A870000}"/>
    <cellStyle name="Normal 9 5 10 4" xfId="34567" xr:uid="{00000000-0005-0000-0000-00000B870000}"/>
    <cellStyle name="Normal 9 5 10 5" xfId="34568" xr:uid="{00000000-0005-0000-0000-00000C870000}"/>
    <cellStyle name="Normal 9 5 10 6" xfId="34569" xr:uid="{00000000-0005-0000-0000-00000D870000}"/>
    <cellStyle name="Normal 9 5 11" xfId="34570" xr:uid="{00000000-0005-0000-0000-00000E870000}"/>
    <cellStyle name="Normal 9 5 11 2" xfId="34571" xr:uid="{00000000-0005-0000-0000-00000F870000}"/>
    <cellStyle name="Normal 9 5 11 3" xfId="34572" xr:uid="{00000000-0005-0000-0000-000010870000}"/>
    <cellStyle name="Normal 9 5 11 4" xfId="34573" xr:uid="{00000000-0005-0000-0000-000011870000}"/>
    <cellStyle name="Normal 9 5 11 5" xfId="34574" xr:uid="{00000000-0005-0000-0000-000012870000}"/>
    <cellStyle name="Normal 9 5 11 6" xfId="34575" xr:uid="{00000000-0005-0000-0000-000013870000}"/>
    <cellStyle name="Normal 9 5 12" xfId="34576" xr:uid="{00000000-0005-0000-0000-000014870000}"/>
    <cellStyle name="Normal 9 5 13" xfId="34577" xr:uid="{00000000-0005-0000-0000-000015870000}"/>
    <cellStyle name="Normal 9 5 14" xfId="34578" xr:uid="{00000000-0005-0000-0000-000016870000}"/>
    <cellStyle name="Normal 9 5 15" xfId="34579" xr:uid="{00000000-0005-0000-0000-000017870000}"/>
    <cellStyle name="Normal 9 5 16" xfId="34580" xr:uid="{00000000-0005-0000-0000-000018870000}"/>
    <cellStyle name="Normal 9 5 17" xfId="34581" xr:uid="{00000000-0005-0000-0000-000019870000}"/>
    <cellStyle name="Normal 9 5 18" xfId="34582" xr:uid="{00000000-0005-0000-0000-00001A870000}"/>
    <cellStyle name="Normal 9 5 19" xfId="34583" xr:uid="{00000000-0005-0000-0000-00001B870000}"/>
    <cellStyle name="Normal 9 5 2" xfId="34584" xr:uid="{00000000-0005-0000-0000-00001C870000}"/>
    <cellStyle name="Normal 9 5 2 10" xfId="34585" xr:uid="{00000000-0005-0000-0000-00001D870000}"/>
    <cellStyle name="Normal 9 5 2 10 2" xfId="34586" xr:uid="{00000000-0005-0000-0000-00001E870000}"/>
    <cellStyle name="Normal 9 5 2 10 3" xfId="34587" xr:uid="{00000000-0005-0000-0000-00001F870000}"/>
    <cellStyle name="Normal 9 5 2 10 4" xfId="34588" xr:uid="{00000000-0005-0000-0000-000020870000}"/>
    <cellStyle name="Normal 9 5 2 10 5" xfId="34589" xr:uid="{00000000-0005-0000-0000-000021870000}"/>
    <cellStyle name="Normal 9 5 2 10 6" xfId="34590" xr:uid="{00000000-0005-0000-0000-000022870000}"/>
    <cellStyle name="Normal 9 5 2 11" xfId="34591" xr:uid="{00000000-0005-0000-0000-000023870000}"/>
    <cellStyle name="Normal 9 5 2 12" xfId="34592" xr:uid="{00000000-0005-0000-0000-000024870000}"/>
    <cellStyle name="Normal 9 5 2 13" xfId="34593" xr:uid="{00000000-0005-0000-0000-000025870000}"/>
    <cellStyle name="Normal 9 5 2 14" xfId="34594" xr:uid="{00000000-0005-0000-0000-000026870000}"/>
    <cellStyle name="Normal 9 5 2 15" xfId="34595" xr:uid="{00000000-0005-0000-0000-000027870000}"/>
    <cellStyle name="Normal 9 5 2 2" xfId="34596" xr:uid="{00000000-0005-0000-0000-000028870000}"/>
    <cellStyle name="Normal 9 5 2 2 10" xfId="34597" xr:uid="{00000000-0005-0000-0000-000029870000}"/>
    <cellStyle name="Normal 9 5 2 2 11" xfId="34598" xr:uid="{00000000-0005-0000-0000-00002A870000}"/>
    <cellStyle name="Normal 9 5 2 2 12" xfId="34599" xr:uid="{00000000-0005-0000-0000-00002B870000}"/>
    <cellStyle name="Normal 9 5 2 2 13" xfId="34600" xr:uid="{00000000-0005-0000-0000-00002C870000}"/>
    <cellStyle name="Normal 9 5 2 2 14" xfId="34601" xr:uid="{00000000-0005-0000-0000-00002D870000}"/>
    <cellStyle name="Normal 9 5 2 2 2" xfId="34602" xr:uid="{00000000-0005-0000-0000-00002E870000}"/>
    <cellStyle name="Normal 9 5 2 2 2 2" xfId="34603" xr:uid="{00000000-0005-0000-0000-00002F870000}"/>
    <cellStyle name="Normal 9 5 2 2 2 3" xfId="34604" xr:uid="{00000000-0005-0000-0000-000030870000}"/>
    <cellStyle name="Normal 9 5 2 2 2 4" xfId="34605" xr:uid="{00000000-0005-0000-0000-000031870000}"/>
    <cellStyle name="Normal 9 5 2 2 2 5" xfId="34606" xr:uid="{00000000-0005-0000-0000-000032870000}"/>
    <cellStyle name="Normal 9 5 2 2 2 6" xfId="34607" xr:uid="{00000000-0005-0000-0000-000033870000}"/>
    <cellStyle name="Normal 9 5 2 2 3" xfId="34608" xr:uid="{00000000-0005-0000-0000-000034870000}"/>
    <cellStyle name="Normal 9 5 2 2 3 2" xfId="34609" xr:uid="{00000000-0005-0000-0000-000035870000}"/>
    <cellStyle name="Normal 9 5 2 2 3 3" xfId="34610" xr:uid="{00000000-0005-0000-0000-000036870000}"/>
    <cellStyle name="Normal 9 5 2 2 3 4" xfId="34611" xr:uid="{00000000-0005-0000-0000-000037870000}"/>
    <cellStyle name="Normal 9 5 2 2 3 5" xfId="34612" xr:uid="{00000000-0005-0000-0000-000038870000}"/>
    <cellStyle name="Normal 9 5 2 2 3 6" xfId="34613" xr:uid="{00000000-0005-0000-0000-000039870000}"/>
    <cellStyle name="Normal 9 5 2 2 4" xfId="34614" xr:uid="{00000000-0005-0000-0000-00003A870000}"/>
    <cellStyle name="Normal 9 5 2 2 4 2" xfId="34615" xr:uid="{00000000-0005-0000-0000-00003B870000}"/>
    <cellStyle name="Normal 9 5 2 2 4 3" xfId="34616" xr:uid="{00000000-0005-0000-0000-00003C870000}"/>
    <cellStyle name="Normal 9 5 2 2 4 4" xfId="34617" xr:uid="{00000000-0005-0000-0000-00003D870000}"/>
    <cellStyle name="Normal 9 5 2 2 4 5" xfId="34618" xr:uid="{00000000-0005-0000-0000-00003E870000}"/>
    <cellStyle name="Normal 9 5 2 2 4 6" xfId="34619" xr:uid="{00000000-0005-0000-0000-00003F870000}"/>
    <cellStyle name="Normal 9 5 2 2 5" xfId="34620" xr:uid="{00000000-0005-0000-0000-000040870000}"/>
    <cellStyle name="Normal 9 5 2 2 5 2" xfId="34621" xr:uid="{00000000-0005-0000-0000-000041870000}"/>
    <cellStyle name="Normal 9 5 2 2 5 3" xfId="34622" xr:uid="{00000000-0005-0000-0000-000042870000}"/>
    <cellStyle name="Normal 9 5 2 2 5 4" xfId="34623" xr:uid="{00000000-0005-0000-0000-000043870000}"/>
    <cellStyle name="Normal 9 5 2 2 5 5" xfId="34624" xr:uid="{00000000-0005-0000-0000-000044870000}"/>
    <cellStyle name="Normal 9 5 2 2 5 6" xfId="34625" xr:uid="{00000000-0005-0000-0000-000045870000}"/>
    <cellStyle name="Normal 9 5 2 2 6" xfId="34626" xr:uid="{00000000-0005-0000-0000-000046870000}"/>
    <cellStyle name="Normal 9 5 2 2 6 2" xfId="34627" xr:uid="{00000000-0005-0000-0000-000047870000}"/>
    <cellStyle name="Normal 9 5 2 2 6 3" xfId="34628" xr:uid="{00000000-0005-0000-0000-000048870000}"/>
    <cellStyle name="Normal 9 5 2 2 6 4" xfId="34629" xr:uid="{00000000-0005-0000-0000-000049870000}"/>
    <cellStyle name="Normal 9 5 2 2 6 5" xfId="34630" xr:uid="{00000000-0005-0000-0000-00004A870000}"/>
    <cellStyle name="Normal 9 5 2 2 6 6" xfId="34631" xr:uid="{00000000-0005-0000-0000-00004B870000}"/>
    <cellStyle name="Normal 9 5 2 2 7" xfId="34632" xr:uid="{00000000-0005-0000-0000-00004C870000}"/>
    <cellStyle name="Normal 9 5 2 2 7 2" xfId="34633" xr:uid="{00000000-0005-0000-0000-00004D870000}"/>
    <cellStyle name="Normal 9 5 2 2 7 3" xfId="34634" xr:uid="{00000000-0005-0000-0000-00004E870000}"/>
    <cellStyle name="Normal 9 5 2 2 7 4" xfId="34635" xr:uid="{00000000-0005-0000-0000-00004F870000}"/>
    <cellStyle name="Normal 9 5 2 2 7 5" xfId="34636" xr:uid="{00000000-0005-0000-0000-000050870000}"/>
    <cellStyle name="Normal 9 5 2 2 7 6" xfId="34637" xr:uid="{00000000-0005-0000-0000-000051870000}"/>
    <cellStyle name="Normal 9 5 2 2 8" xfId="34638" xr:uid="{00000000-0005-0000-0000-000052870000}"/>
    <cellStyle name="Normal 9 5 2 2 8 2" xfId="34639" xr:uid="{00000000-0005-0000-0000-000053870000}"/>
    <cellStyle name="Normal 9 5 2 2 8 3" xfId="34640" xr:uid="{00000000-0005-0000-0000-000054870000}"/>
    <cellStyle name="Normal 9 5 2 2 8 4" xfId="34641" xr:uid="{00000000-0005-0000-0000-000055870000}"/>
    <cellStyle name="Normal 9 5 2 2 8 5" xfId="34642" xr:uid="{00000000-0005-0000-0000-000056870000}"/>
    <cellStyle name="Normal 9 5 2 2 8 6" xfId="34643" xr:uid="{00000000-0005-0000-0000-000057870000}"/>
    <cellStyle name="Normal 9 5 2 2 9" xfId="34644" xr:uid="{00000000-0005-0000-0000-000058870000}"/>
    <cellStyle name="Normal 9 5 2 2 9 2" xfId="34645" xr:uid="{00000000-0005-0000-0000-000059870000}"/>
    <cellStyle name="Normal 9 5 2 2 9 3" xfId="34646" xr:uid="{00000000-0005-0000-0000-00005A870000}"/>
    <cellStyle name="Normal 9 5 2 2 9 4" xfId="34647" xr:uid="{00000000-0005-0000-0000-00005B870000}"/>
    <cellStyle name="Normal 9 5 2 2 9 5" xfId="34648" xr:uid="{00000000-0005-0000-0000-00005C870000}"/>
    <cellStyle name="Normal 9 5 2 2 9 6" xfId="34649" xr:uid="{00000000-0005-0000-0000-00005D870000}"/>
    <cellStyle name="Normal 9 5 2 3" xfId="34650" xr:uid="{00000000-0005-0000-0000-00005E870000}"/>
    <cellStyle name="Normal 9 5 2 3 2" xfId="34651" xr:uid="{00000000-0005-0000-0000-00005F870000}"/>
    <cellStyle name="Normal 9 5 2 3 3" xfId="34652" xr:uid="{00000000-0005-0000-0000-000060870000}"/>
    <cellStyle name="Normal 9 5 2 3 4" xfId="34653" xr:uid="{00000000-0005-0000-0000-000061870000}"/>
    <cellStyle name="Normal 9 5 2 3 5" xfId="34654" xr:uid="{00000000-0005-0000-0000-000062870000}"/>
    <cellStyle name="Normal 9 5 2 3 6" xfId="34655" xr:uid="{00000000-0005-0000-0000-000063870000}"/>
    <cellStyle name="Normal 9 5 2 4" xfId="34656" xr:uid="{00000000-0005-0000-0000-000064870000}"/>
    <cellStyle name="Normal 9 5 2 4 2" xfId="34657" xr:uid="{00000000-0005-0000-0000-000065870000}"/>
    <cellStyle name="Normal 9 5 2 4 3" xfId="34658" xr:uid="{00000000-0005-0000-0000-000066870000}"/>
    <cellStyle name="Normal 9 5 2 4 4" xfId="34659" xr:uid="{00000000-0005-0000-0000-000067870000}"/>
    <cellStyle name="Normal 9 5 2 4 5" xfId="34660" xr:uid="{00000000-0005-0000-0000-000068870000}"/>
    <cellStyle name="Normal 9 5 2 4 6" xfId="34661" xr:uid="{00000000-0005-0000-0000-000069870000}"/>
    <cellStyle name="Normal 9 5 2 5" xfId="34662" xr:uid="{00000000-0005-0000-0000-00006A870000}"/>
    <cellStyle name="Normal 9 5 2 5 2" xfId="34663" xr:uid="{00000000-0005-0000-0000-00006B870000}"/>
    <cellStyle name="Normal 9 5 2 5 3" xfId="34664" xr:uid="{00000000-0005-0000-0000-00006C870000}"/>
    <cellStyle name="Normal 9 5 2 5 4" xfId="34665" xr:uid="{00000000-0005-0000-0000-00006D870000}"/>
    <cellStyle name="Normal 9 5 2 5 5" xfId="34666" xr:uid="{00000000-0005-0000-0000-00006E870000}"/>
    <cellStyle name="Normal 9 5 2 5 6" xfId="34667" xr:uid="{00000000-0005-0000-0000-00006F870000}"/>
    <cellStyle name="Normal 9 5 2 6" xfId="34668" xr:uid="{00000000-0005-0000-0000-000070870000}"/>
    <cellStyle name="Normal 9 5 2 6 2" xfId="34669" xr:uid="{00000000-0005-0000-0000-000071870000}"/>
    <cellStyle name="Normal 9 5 2 6 3" xfId="34670" xr:uid="{00000000-0005-0000-0000-000072870000}"/>
    <cellStyle name="Normal 9 5 2 6 4" xfId="34671" xr:uid="{00000000-0005-0000-0000-000073870000}"/>
    <cellStyle name="Normal 9 5 2 6 5" xfId="34672" xr:uid="{00000000-0005-0000-0000-000074870000}"/>
    <cellStyle name="Normal 9 5 2 6 6" xfId="34673" xr:uid="{00000000-0005-0000-0000-000075870000}"/>
    <cellStyle name="Normal 9 5 2 7" xfId="34674" xr:uid="{00000000-0005-0000-0000-000076870000}"/>
    <cellStyle name="Normal 9 5 2 7 2" xfId="34675" xr:uid="{00000000-0005-0000-0000-000077870000}"/>
    <cellStyle name="Normal 9 5 2 7 3" xfId="34676" xr:uid="{00000000-0005-0000-0000-000078870000}"/>
    <cellStyle name="Normal 9 5 2 7 4" xfId="34677" xr:uid="{00000000-0005-0000-0000-000079870000}"/>
    <cellStyle name="Normal 9 5 2 7 5" xfId="34678" xr:uid="{00000000-0005-0000-0000-00007A870000}"/>
    <cellStyle name="Normal 9 5 2 7 6" xfId="34679" xr:uid="{00000000-0005-0000-0000-00007B870000}"/>
    <cellStyle name="Normal 9 5 2 8" xfId="34680" xr:uid="{00000000-0005-0000-0000-00007C870000}"/>
    <cellStyle name="Normal 9 5 2 8 2" xfId="34681" xr:uid="{00000000-0005-0000-0000-00007D870000}"/>
    <cellStyle name="Normal 9 5 2 8 3" xfId="34682" xr:uid="{00000000-0005-0000-0000-00007E870000}"/>
    <cellStyle name="Normal 9 5 2 8 4" xfId="34683" xr:uid="{00000000-0005-0000-0000-00007F870000}"/>
    <cellStyle name="Normal 9 5 2 8 5" xfId="34684" xr:uid="{00000000-0005-0000-0000-000080870000}"/>
    <cellStyle name="Normal 9 5 2 8 6" xfId="34685" xr:uid="{00000000-0005-0000-0000-000081870000}"/>
    <cellStyle name="Normal 9 5 2 9" xfId="34686" xr:uid="{00000000-0005-0000-0000-000082870000}"/>
    <cellStyle name="Normal 9 5 2 9 2" xfId="34687" xr:uid="{00000000-0005-0000-0000-000083870000}"/>
    <cellStyle name="Normal 9 5 2 9 3" xfId="34688" xr:uid="{00000000-0005-0000-0000-000084870000}"/>
    <cellStyle name="Normal 9 5 2 9 4" xfId="34689" xr:uid="{00000000-0005-0000-0000-000085870000}"/>
    <cellStyle name="Normal 9 5 2 9 5" xfId="34690" xr:uid="{00000000-0005-0000-0000-000086870000}"/>
    <cellStyle name="Normal 9 5 2 9 6" xfId="34691" xr:uid="{00000000-0005-0000-0000-000087870000}"/>
    <cellStyle name="Normal 9 5 20" xfId="34692" xr:uid="{00000000-0005-0000-0000-000088870000}"/>
    <cellStyle name="Normal 9 5 21" xfId="34693" xr:uid="{00000000-0005-0000-0000-000089870000}"/>
    <cellStyle name="Normal 9 5 22" xfId="34694" xr:uid="{00000000-0005-0000-0000-00008A870000}"/>
    <cellStyle name="Normal 9 5 23" xfId="34695" xr:uid="{00000000-0005-0000-0000-00008B870000}"/>
    <cellStyle name="Normal 9 5 24" xfId="34696" xr:uid="{00000000-0005-0000-0000-00008C870000}"/>
    <cellStyle name="Normal 9 5 25" xfId="34697" xr:uid="{00000000-0005-0000-0000-00008D870000}"/>
    <cellStyle name="Normal 9 5 26" xfId="34698" xr:uid="{00000000-0005-0000-0000-00008E870000}"/>
    <cellStyle name="Normal 9 5 27" xfId="34699" xr:uid="{00000000-0005-0000-0000-00008F870000}"/>
    <cellStyle name="Normal 9 5 28" xfId="34700" xr:uid="{00000000-0005-0000-0000-000090870000}"/>
    <cellStyle name="Normal 9 5 29" xfId="34701" xr:uid="{00000000-0005-0000-0000-000091870000}"/>
    <cellStyle name="Normal 9 5 3" xfId="34702" xr:uid="{00000000-0005-0000-0000-000092870000}"/>
    <cellStyle name="Normal 9 5 3 10" xfId="34703" xr:uid="{00000000-0005-0000-0000-000093870000}"/>
    <cellStyle name="Normal 9 5 3 11" xfId="34704" xr:uid="{00000000-0005-0000-0000-000094870000}"/>
    <cellStyle name="Normal 9 5 3 12" xfId="34705" xr:uid="{00000000-0005-0000-0000-000095870000}"/>
    <cellStyle name="Normal 9 5 3 13" xfId="34706" xr:uid="{00000000-0005-0000-0000-000096870000}"/>
    <cellStyle name="Normal 9 5 3 14" xfId="34707" xr:uid="{00000000-0005-0000-0000-000097870000}"/>
    <cellStyle name="Normal 9 5 3 2" xfId="34708" xr:uid="{00000000-0005-0000-0000-000098870000}"/>
    <cellStyle name="Normal 9 5 3 2 2" xfId="34709" xr:uid="{00000000-0005-0000-0000-000099870000}"/>
    <cellStyle name="Normal 9 5 3 2 3" xfId="34710" xr:uid="{00000000-0005-0000-0000-00009A870000}"/>
    <cellStyle name="Normal 9 5 3 2 4" xfId="34711" xr:uid="{00000000-0005-0000-0000-00009B870000}"/>
    <cellStyle name="Normal 9 5 3 2 5" xfId="34712" xr:uid="{00000000-0005-0000-0000-00009C870000}"/>
    <cellStyle name="Normal 9 5 3 2 6" xfId="34713" xr:uid="{00000000-0005-0000-0000-00009D870000}"/>
    <cellStyle name="Normal 9 5 3 3" xfId="34714" xr:uid="{00000000-0005-0000-0000-00009E870000}"/>
    <cellStyle name="Normal 9 5 3 3 2" xfId="34715" xr:uid="{00000000-0005-0000-0000-00009F870000}"/>
    <cellStyle name="Normal 9 5 3 3 3" xfId="34716" xr:uid="{00000000-0005-0000-0000-0000A0870000}"/>
    <cellStyle name="Normal 9 5 3 3 4" xfId="34717" xr:uid="{00000000-0005-0000-0000-0000A1870000}"/>
    <cellStyle name="Normal 9 5 3 3 5" xfId="34718" xr:uid="{00000000-0005-0000-0000-0000A2870000}"/>
    <cellStyle name="Normal 9 5 3 3 6" xfId="34719" xr:uid="{00000000-0005-0000-0000-0000A3870000}"/>
    <cellStyle name="Normal 9 5 3 4" xfId="34720" xr:uid="{00000000-0005-0000-0000-0000A4870000}"/>
    <cellStyle name="Normal 9 5 3 4 2" xfId="34721" xr:uid="{00000000-0005-0000-0000-0000A5870000}"/>
    <cellStyle name="Normal 9 5 3 4 3" xfId="34722" xr:uid="{00000000-0005-0000-0000-0000A6870000}"/>
    <cellStyle name="Normal 9 5 3 4 4" xfId="34723" xr:uid="{00000000-0005-0000-0000-0000A7870000}"/>
    <cellStyle name="Normal 9 5 3 4 5" xfId="34724" xr:uid="{00000000-0005-0000-0000-0000A8870000}"/>
    <cellStyle name="Normal 9 5 3 4 6" xfId="34725" xr:uid="{00000000-0005-0000-0000-0000A9870000}"/>
    <cellStyle name="Normal 9 5 3 5" xfId="34726" xr:uid="{00000000-0005-0000-0000-0000AA870000}"/>
    <cellStyle name="Normal 9 5 3 5 2" xfId="34727" xr:uid="{00000000-0005-0000-0000-0000AB870000}"/>
    <cellStyle name="Normal 9 5 3 5 3" xfId="34728" xr:uid="{00000000-0005-0000-0000-0000AC870000}"/>
    <cellStyle name="Normal 9 5 3 5 4" xfId="34729" xr:uid="{00000000-0005-0000-0000-0000AD870000}"/>
    <cellStyle name="Normal 9 5 3 5 5" xfId="34730" xr:uid="{00000000-0005-0000-0000-0000AE870000}"/>
    <cellStyle name="Normal 9 5 3 5 6" xfId="34731" xr:uid="{00000000-0005-0000-0000-0000AF870000}"/>
    <cellStyle name="Normal 9 5 3 6" xfId="34732" xr:uid="{00000000-0005-0000-0000-0000B0870000}"/>
    <cellStyle name="Normal 9 5 3 6 2" xfId="34733" xr:uid="{00000000-0005-0000-0000-0000B1870000}"/>
    <cellStyle name="Normal 9 5 3 6 3" xfId="34734" xr:uid="{00000000-0005-0000-0000-0000B2870000}"/>
    <cellStyle name="Normal 9 5 3 6 4" xfId="34735" xr:uid="{00000000-0005-0000-0000-0000B3870000}"/>
    <cellStyle name="Normal 9 5 3 6 5" xfId="34736" xr:uid="{00000000-0005-0000-0000-0000B4870000}"/>
    <cellStyle name="Normal 9 5 3 6 6" xfId="34737" xr:uid="{00000000-0005-0000-0000-0000B5870000}"/>
    <cellStyle name="Normal 9 5 3 7" xfId="34738" xr:uid="{00000000-0005-0000-0000-0000B6870000}"/>
    <cellStyle name="Normal 9 5 3 7 2" xfId="34739" xr:uid="{00000000-0005-0000-0000-0000B7870000}"/>
    <cellStyle name="Normal 9 5 3 7 3" xfId="34740" xr:uid="{00000000-0005-0000-0000-0000B8870000}"/>
    <cellStyle name="Normal 9 5 3 7 4" xfId="34741" xr:uid="{00000000-0005-0000-0000-0000B9870000}"/>
    <cellStyle name="Normal 9 5 3 7 5" xfId="34742" xr:uid="{00000000-0005-0000-0000-0000BA870000}"/>
    <cellStyle name="Normal 9 5 3 7 6" xfId="34743" xr:uid="{00000000-0005-0000-0000-0000BB870000}"/>
    <cellStyle name="Normal 9 5 3 8" xfId="34744" xr:uid="{00000000-0005-0000-0000-0000BC870000}"/>
    <cellStyle name="Normal 9 5 3 8 2" xfId="34745" xr:uid="{00000000-0005-0000-0000-0000BD870000}"/>
    <cellStyle name="Normal 9 5 3 8 3" xfId="34746" xr:uid="{00000000-0005-0000-0000-0000BE870000}"/>
    <cellStyle name="Normal 9 5 3 8 4" xfId="34747" xr:uid="{00000000-0005-0000-0000-0000BF870000}"/>
    <cellStyle name="Normal 9 5 3 8 5" xfId="34748" xr:uid="{00000000-0005-0000-0000-0000C0870000}"/>
    <cellStyle name="Normal 9 5 3 8 6" xfId="34749" xr:uid="{00000000-0005-0000-0000-0000C1870000}"/>
    <cellStyle name="Normal 9 5 3 9" xfId="34750" xr:uid="{00000000-0005-0000-0000-0000C2870000}"/>
    <cellStyle name="Normal 9 5 3 9 2" xfId="34751" xr:uid="{00000000-0005-0000-0000-0000C3870000}"/>
    <cellStyle name="Normal 9 5 3 9 3" xfId="34752" xr:uid="{00000000-0005-0000-0000-0000C4870000}"/>
    <cellStyle name="Normal 9 5 3 9 4" xfId="34753" xr:uid="{00000000-0005-0000-0000-0000C5870000}"/>
    <cellStyle name="Normal 9 5 3 9 5" xfId="34754" xr:uid="{00000000-0005-0000-0000-0000C6870000}"/>
    <cellStyle name="Normal 9 5 3 9 6" xfId="34755" xr:uid="{00000000-0005-0000-0000-0000C7870000}"/>
    <cellStyle name="Normal 9 5 30" xfId="34756" xr:uid="{00000000-0005-0000-0000-0000C8870000}"/>
    <cellStyle name="Normal 9 5 31" xfId="34757" xr:uid="{00000000-0005-0000-0000-0000C9870000}"/>
    <cellStyle name="Normal 9 5 4" xfId="34758" xr:uid="{00000000-0005-0000-0000-0000CA870000}"/>
    <cellStyle name="Normal 9 5 4 2" xfId="34759" xr:uid="{00000000-0005-0000-0000-0000CB870000}"/>
    <cellStyle name="Normal 9 5 4 3" xfId="34760" xr:uid="{00000000-0005-0000-0000-0000CC870000}"/>
    <cellStyle name="Normal 9 5 4 4" xfId="34761" xr:uid="{00000000-0005-0000-0000-0000CD870000}"/>
    <cellStyle name="Normal 9 5 4 5" xfId="34762" xr:uid="{00000000-0005-0000-0000-0000CE870000}"/>
    <cellStyle name="Normal 9 5 4 6" xfId="34763" xr:uid="{00000000-0005-0000-0000-0000CF870000}"/>
    <cellStyle name="Normal 9 5 5" xfId="34764" xr:uid="{00000000-0005-0000-0000-0000D0870000}"/>
    <cellStyle name="Normal 9 5 5 2" xfId="34765" xr:uid="{00000000-0005-0000-0000-0000D1870000}"/>
    <cellStyle name="Normal 9 5 5 3" xfId="34766" xr:uid="{00000000-0005-0000-0000-0000D2870000}"/>
    <cellStyle name="Normal 9 5 5 4" xfId="34767" xr:uid="{00000000-0005-0000-0000-0000D3870000}"/>
    <cellStyle name="Normal 9 5 5 5" xfId="34768" xr:uid="{00000000-0005-0000-0000-0000D4870000}"/>
    <cellStyle name="Normal 9 5 5 6" xfId="34769" xr:uid="{00000000-0005-0000-0000-0000D5870000}"/>
    <cellStyle name="Normal 9 5 6" xfId="34770" xr:uid="{00000000-0005-0000-0000-0000D6870000}"/>
    <cellStyle name="Normal 9 5 6 2" xfId="34771" xr:uid="{00000000-0005-0000-0000-0000D7870000}"/>
    <cellStyle name="Normal 9 5 6 3" xfId="34772" xr:uid="{00000000-0005-0000-0000-0000D8870000}"/>
    <cellStyle name="Normal 9 5 6 4" xfId="34773" xr:uid="{00000000-0005-0000-0000-0000D9870000}"/>
    <cellStyle name="Normal 9 5 6 5" xfId="34774" xr:uid="{00000000-0005-0000-0000-0000DA870000}"/>
    <cellStyle name="Normal 9 5 6 6" xfId="34775" xr:uid="{00000000-0005-0000-0000-0000DB870000}"/>
    <cellStyle name="Normal 9 5 7" xfId="34776" xr:uid="{00000000-0005-0000-0000-0000DC870000}"/>
    <cellStyle name="Normal 9 5 7 2" xfId="34777" xr:uid="{00000000-0005-0000-0000-0000DD870000}"/>
    <cellStyle name="Normal 9 5 7 3" xfId="34778" xr:uid="{00000000-0005-0000-0000-0000DE870000}"/>
    <cellStyle name="Normal 9 5 7 4" xfId="34779" xr:uid="{00000000-0005-0000-0000-0000DF870000}"/>
    <cellStyle name="Normal 9 5 7 5" xfId="34780" xr:uid="{00000000-0005-0000-0000-0000E0870000}"/>
    <cellStyle name="Normal 9 5 7 6" xfId="34781" xr:uid="{00000000-0005-0000-0000-0000E1870000}"/>
    <cellStyle name="Normal 9 5 8" xfId="34782" xr:uid="{00000000-0005-0000-0000-0000E2870000}"/>
    <cellStyle name="Normal 9 5 8 2" xfId="34783" xr:uid="{00000000-0005-0000-0000-0000E3870000}"/>
    <cellStyle name="Normal 9 5 8 3" xfId="34784" xr:uid="{00000000-0005-0000-0000-0000E4870000}"/>
    <cellStyle name="Normal 9 5 8 4" xfId="34785" xr:uid="{00000000-0005-0000-0000-0000E5870000}"/>
    <cellStyle name="Normal 9 5 8 5" xfId="34786" xr:uid="{00000000-0005-0000-0000-0000E6870000}"/>
    <cellStyle name="Normal 9 5 8 6" xfId="34787" xr:uid="{00000000-0005-0000-0000-0000E7870000}"/>
    <cellStyle name="Normal 9 5 9" xfId="34788" xr:uid="{00000000-0005-0000-0000-0000E8870000}"/>
    <cellStyle name="Normal 9 5 9 2" xfId="34789" xr:uid="{00000000-0005-0000-0000-0000E9870000}"/>
    <cellStyle name="Normal 9 5 9 3" xfId="34790" xr:uid="{00000000-0005-0000-0000-0000EA870000}"/>
    <cellStyle name="Normal 9 5 9 4" xfId="34791" xr:uid="{00000000-0005-0000-0000-0000EB870000}"/>
    <cellStyle name="Normal 9 5 9 5" xfId="34792" xr:uid="{00000000-0005-0000-0000-0000EC870000}"/>
    <cellStyle name="Normal 9 5 9 6" xfId="34793" xr:uid="{00000000-0005-0000-0000-0000ED870000}"/>
    <cellStyle name="Normal 9 6" xfId="34794" xr:uid="{00000000-0005-0000-0000-0000EE870000}"/>
    <cellStyle name="Normal 90" xfId="34795" xr:uid="{00000000-0005-0000-0000-0000EF870000}"/>
    <cellStyle name="Normal 90 10" xfId="34796" xr:uid="{00000000-0005-0000-0000-0000F0870000}"/>
    <cellStyle name="Normal 90 11" xfId="34797" xr:uid="{00000000-0005-0000-0000-0000F1870000}"/>
    <cellStyle name="Normal 90 12" xfId="34798" xr:uid="{00000000-0005-0000-0000-0000F2870000}"/>
    <cellStyle name="Normal 90 13" xfId="34799" xr:uid="{00000000-0005-0000-0000-0000F3870000}"/>
    <cellStyle name="Normal 90 14" xfId="34800" xr:uid="{00000000-0005-0000-0000-0000F4870000}"/>
    <cellStyle name="Normal 90 2" xfId="34801" xr:uid="{00000000-0005-0000-0000-0000F5870000}"/>
    <cellStyle name="Normal 90 2 2" xfId="34802" xr:uid="{00000000-0005-0000-0000-0000F6870000}"/>
    <cellStyle name="Normal 90 2 3" xfId="34803" xr:uid="{00000000-0005-0000-0000-0000F7870000}"/>
    <cellStyle name="Normal 90 2 4" xfId="34804" xr:uid="{00000000-0005-0000-0000-0000F8870000}"/>
    <cellStyle name="Normal 90 2 5" xfId="34805" xr:uid="{00000000-0005-0000-0000-0000F9870000}"/>
    <cellStyle name="Normal 90 2 6" xfId="34806" xr:uid="{00000000-0005-0000-0000-0000FA870000}"/>
    <cellStyle name="Normal 90 3" xfId="34807" xr:uid="{00000000-0005-0000-0000-0000FB870000}"/>
    <cellStyle name="Normal 90 4" xfId="34808" xr:uid="{00000000-0005-0000-0000-0000FC870000}"/>
    <cellStyle name="Normal 90 5" xfId="34809" xr:uid="{00000000-0005-0000-0000-0000FD870000}"/>
    <cellStyle name="Normal 90 6" xfId="34810" xr:uid="{00000000-0005-0000-0000-0000FE870000}"/>
    <cellStyle name="Normal 90 7" xfId="34811" xr:uid="{00000000-0005-0000-0000-0000FF870000}"/>
    <cellStyle name="Normal 90 8" xfId="34812" xr:uid="{00000000-0005-0000-0000-000000880000}"/>
    <cellStyle name="Normal 90 9" xfId="34813" xr:uid="{00000000-0005-0000-0000-000001880000}"/>
    <cellStyle name="Normal 91" xfId="34814" xr:uid="{00000000-0005-0000-0000-000002880000}"/>
    <cellStyle name="Normal 91 2" xfId="34815" xr:uid="{00000000-0005-0000-0000-000003880000}"/>
    <cellStyle name="Normal 91 3" xfId="34816" xr:uid="{00000000-0005-0000-0000-000004880000}"/>
    <cellStyle name="Normal 91 4" xfId="34817" xr:uid="{00000000-0005-0000-0000-000005880000}"/>
    <cellStyle name="Normal 91 5" xfId="34818" xr:uid="{00000000-0005-0000-0000-000006880000}"/>
    <cellStyle name="Normal 91 6" xfId="34819" xr:uid="{00000000-0005-0000-0000-000007880000}"/>
    <cellStyle name="Normal 92" xfId="34820" xr:uid="{00000000-0005-0000-0000-000008880000}"/>
    <cellStyle name="Normal 92 10" xfId="34821" xr:uid="{00000000-0005-0000-0000-000009880000}"/>
    <cellStyle name="Normal 92 11" xfId="34822" xr:uid="{00000000-0005-0000-0000-00000A880000}"/>
    <cellStyle name="Normal 92 2" xfId="34823" xr:uid="{00000000-0005-0000-0000-00000B880000}"/>
    <cellStyle name="Normal 92 2 2" xfId="34824" xr:uid="{00000000-0005-0000-0000-00000C880000}"/>
    <cellStyle name="Normal 92 2 3" xfId="34825" xr:uid="{00000000-0005-0000-0000-00000D880000}"/>
    <cellStyle name="Normal 92 2 4" xfId="34826" xr:uid="{00000000-0005-0000-0000-00000E880000}"/>
    <cellStyle name="Normal 92 2 5" xfId="34827" xr:uid="{00000000-0005-0000-0000-00000F880000}"/>
    <cellStyle name="Normal 92 2 6" xfId="34828" xr:uid="{00000000-0005-0000-0000-000010880000}"/>
    <cellStyle name="Normal 92 3" xfId="34829" xr:uid="{00000000-0005-0000-0000-000011880000}"/>
    <cellStyle name="Normal 92 4" xfId="34830" xr:uid="{00000000-0005-0000-0000-000012880000}"/>
    <cellStyle name="Normal 92 5" xfId="34831" xr:uid="{00000000-0005-0000-0000-000013880000}"/>
    <cellStyle name="Normal 92 6" xfId="34832" xr:uid="{00000000-0005-0000-0000-000014880000}"/>
    <cellStyle name="Normal 92 7" xfId="34833" xr:uid="{00000000-0005-0000-0000-000015880000}"/>
    <cellStyle name="Normal 92 8" xfId="34834" xr:uid="{00000000-0005-0000-0000-000016880000}"/>
    <cellStyle name="Normal 92 9" xfId="34835" xr:uid="{00000000-0005-0000-0000-000017880000}"/>
    <cellStyle name="Normal 93" xfId="34836" xr:uid="{00000000-0005-0000-0000-000018880000}"/>
    <cellStyle name="Normal 93 10" xfId="34837" xr:uid="{00000000-0005-0000-0000-000019880000}"/>
    <cellStyle name="Normal 93 2" xfId="34838" xr:uid="{00000000-0005-0000-0000-00001A880000}"/>
    <cellStyle name="Normal 93 2 2" xfId="34839" xr:uid="{00000000-0005-0000-0000-00001B880000}"/>
    <cellStyle name="Normal 93 2 3" xfId="34840" xr:uid="{00000000-0005-0000-0000-00001C880000}"/>
    <cellStyle name="Normal 93 2 4" xfId="34841" xr:uid="{00000000-0005-0000-0000-00001D880000}"/>
    <cellStyle name="Normal 93 2 5" xfId="34842" xr:uid="{00000000-0005-0000-0000-00001E880000}"/>
    <cellStyle name="Normal 93 2 6" xfId="34843" xr:uid="{00000000-0005-0000-0000-00001F880000}"/>
    <cellStyle name="Normal 93 3" xfId="34844" xr:uid="{00000000-0005-0000-0000-000020880000}"/>
    <cellStyle name="Normal 93 4" xfId="34845" xr:uid="{00000000-0005-0000-0000-000021880000}"/>
    <cellStyle name="Normal 93 5" xfId="34846" xr:uid="{00000000-0005-0000-0000-000022880000}"/>
    <cellStyle name="Normal 93 6" xfId="34847" xr:uid="{00000000-0005-0000-0000-000023880000}"/>
    <cellStyle name="Normal 93 7" xfId="34848" xr:uid="{00000000-0005-0000-0000-000024880000}"/>
    <cellStyle name="Normal 93 8" xfId="34849" xr:uid="{00000000-0005-0000-0000-000025880000}"/>
    <cellStyle name="Normal 93 9" xfId="34850" xr:uid="{00000000-0005-0000-0000-000026880000}"/>
    <cellStyle name="Normal 94" xfId="34851" xr:uid="{00000000-0005-0000-0000-000027880000}"/>
    <cellStyle name="Normal 94 10" xfId="34852" xr:uid="{00000000-0005-0000-0000-000028880000}"/>
    <cellStyle name="Normal 94 2" xfId="34853" xr:uid="{00000000-0005-0000-0000-000029880000}"/>
    <cellStyle name="Normal 94 2 2" xfId="34854" xr:uid="{00000000-0005-0000-0000-00002A880000}"/>
    <cellStyle name="Normal 94 2 3" xfId="34855" xr:uid="{00000000-0005-0000-0000-00002B880000}"/>
    <cellStyle name="Normal 94 2 4" xfId="34856" xr:uid="{00000000-0005-0000-0000-00002C880000}"/>
    <cellStyle name="Normal 94 2 5" xfId="34857" xr:uid="{00000000-0005-0000-0000-00002D880000}"/>
    <cellStyle name="Normal 94 2 6" xfId="34858" xr:uid="{00000000-0005-0000-0000-00002E880000}"/>
    <cellStyle name="Normal 94 3" xfId="34859" xr:uid="{00000000-0005-0000-0000-00002F880000}"/>
    <cellStyle name="Normal 94 4" xfId="34860" xr:uid="{00000000-0005-0000-0000-000030880000}"/>
    <cellStyle name="Normal 94 5" xfId="34861" xr:uid="{00000000-0005-0000-0000-000031880000}"/>
    <cellStyle name="Normal 94 6" xfId="34862" xr:uid="{00000000-0005-0000-0000-000032880000}"/>
    <cellStyle name="Normal 94 7" xfId="34863" xr:uid="{00000000-0005-0000-0000-000033880000}"/>
    <cellStyle name="Normal 94 8" xfId="34864" xr:uid="{00000000-0005-0000-0000-000034880000}"/>
    <cellStyle name="Normal 94 9" xfId="34865" xr:uid="{00000000-0005-0000-0000-000035880000}"/>
    <cellStyle name="Normal 95" xfId="34866" xr:uid="{00000000-0005-0000-0000-000036880000}"/>
    <cellStyle name="Normal 95 10" xfId="34867" xr:uid="{00000000-0005-0000-0000-000037880000}"/>
    <cellStyle name="Normal 95 2" xfId="34868" xr:uid="{00000000-0005-0000-0000-000038880000}"/>
    <cellStyle name="Normal 95 2 2" xfId="34869" xr:uid="{00000000-0005-0000-0000-000039880000}"/>
    <cellStyle name="Normal 95 2 3" xfId="34870" xr:uid="{00000000-0005-0000-0000-00003A880000}"/>
    <cellStyle name="Normal 95 2 4" xfId="34871" xr:uid="{00000000-0005-0000-0000-00003B880000}"/>
    <cellStyle name="Normal 95 2 5" xfId="34872" xr:uid="{00000000-0005-0000-0000-00003C880000}"/>
    <cellStyle name="Normal 95 2 6" xfId="34873" xr:uid="{00000000-0005-0000-0000-00003D880000}"/>
    <cellStyle name="Normal 95 3" xfId="34874" xr:uid="{00000000-0005-0000-0000-00003E880000}"/>
    <cellStyle name="Normal 95 4" xfId="34875" xr:uid="{00000000-0005-0000-0000-00003F880000}"/>
    <cellStyle name="Normal 95 5" xfId="34876" xr:uid="{00000000-0005-0000-0000-000040880000}"/>
    <cellStyle name="Normal 95 6" xfId="34877" xr:uid="{00000000-0005-0000-0000-000041880000}"/>
    <cellStyle name="Normal 95 7" xfId="34878" xr:uid="{00000000-0005-0000-0000-000042880000}"/>
    <cellStyle name="Normal 95 8" xfId="34879" xr:uid="{00000000-0005-0000-0000-000043880000}"/>
    <cellStyle name="Normal 95 9" xfId="34880" xr:uid="{00000000-0005-0000-0000-000044880000}"/>
    <cellStyle name="Normal 96" xfId="34881" xr:uid="{00000000-0005-0000-0000-000045880000}"/>
    <cellStyle name="Normal 96 2" xfId="34882" xr:uid="{00000000-0005-0000-0000-000046880000}"/>
    <cellStyle name="Normal 96 3" xfId="34883" xr:uid="{00000000-0005-0000-0000-000047880000}"/>
    <cellStyle name="Normal 96 4" xfId="34884" xr:uid="{00000000-0005-0000-0000-000048880000}"/>
    <cellStyle name="Normal 96 5" xfId="34885" xr:uid="{00000000-0005-0000-0000-000049880000}"/>
    <cellStyle name="Normal 96 6" xfId="34886" xr:uid="{00000000-0005-0000-0000-00004A880000}"/>
    <cellStyle name="Normal 97" xfId="34887" xr:uid="{00000000-0005-0000-0000-00004B880000}"/>
    <cellStyle name="Normal 97 2" xfId="34888" xr:uid="{00000000-0005-0000-0000-00004C880000}"/>
    <cellStyle name="Normal 97 2 2" xfId="34889" xr:uid="{00000000-0005-0000-0000-00004D880000}"/>
    <cellStyle name="Normal 97 2 3" xfId="34890" xr:uid="{00000000-0005-0000-0000-00004E880000}"/>
    <cellStyle name="Normal 97 2 4" xfId="34891" xr:uid="{00000000-0005-0000-0000-00004F880000}"/>
    <cellStyle name="Normal 97 2 5" xfId="34892" xr:uid="{00000000-0005-0000-0000-000050880000}"/>
    <cellStyle name="Normal 97 2 6" xfId="34893" xr:uid="{00000000-0005-0000-0000-000051880000}"/>
    <cellStyle name="Normal 97 3" xfId="34894" xr:uid="{00000000-0005-0000-0000-000052880000}"/>
    <cellStyle name="Normal 97 4" xfId="34895" xr:uid="{00000000-0005-0000-0000-000053880000}"/>
    <cellStyle name="Normal 97 5" xfId="34896" xr:uid="{00000000-0005-0000-0000-000054880000}"/>
    <cellStyle name="Normal 97 6" xfId="34897" xr:uid="{00000000-0005-0000-0000-000055880000}"/>
    <cellStyle name="Normal 97 7" xfId="34898" xr:uid="{00000000-0005-0000-0000-000056880000}"/>
    <cellStyle name="Normal 97 8" xfId="34899" xr:uid="{00000000-0005-0000-0000-000057880000}"/>
    <cellStyle name="Normal 97 9" xfId="34900" xr:uid="{00000000-0005-0000-0000-000058880000}"/>
    <cellStyle name="Normal 98" xfId="34901" xr:uid="{00000000-0005-0000-0000-000059880000}"/>
    <cellStyle name="Normal 98 2" xfId="34902" xr:uid="{00000000-0005-0000-0000-00005A880000}"/>
    <cellStyle name="Normal 98 2 2" xfId="34903" xr:uid="{00000000-0005-0000-0000-00005B880000}"/>
    <cellStyle name="Normal 98 2 3" xfId="34904" xr:uid="{00000000-0005-0000-0000-00005C880000}"/>
    <cellStyle name="Normal 98 2 4" xfId="34905" xr:uid="{00000000-0005-0000-0000-00005D880000}"/>
    <cellStyle name="Normal 98 2 5" xfId="34906" xr:uid="{00000000-0005-0000-0000-00005E880000}"/>
    <cellStyle name="Normal 98 2 6" xfId="34907" xr:uid="{00000000-0005-0000-0000-00005F880000}"/>
    <cellStyle name="Normal 98 3" xfId="34908" xr:uid="{00000000-0005-0000-0000-000060880000}"/>
    <cellStyle name="Normal 98 4" xfId="34909" xr:uid="{00000000-0005-0000-0000-000061880000}"/>
    <cellStyle name="Normal 98 5" xfId="34910" xr:uid="{00000000-0005-0000-0000-000062880000}"/>
    <cellStyle name="Normal 98 6" xfId="34911" xr:uid="{00000000-0005-0000-0000-000063880000}"/>
    <cellStyle name="Normal 98 7" xfId="34912" xr:uid="{00000000-0005-0000-0000-000064880000}"/>
    <cellStyle name="Normal 98 8" xfId="34913" xr:uid="{00000000-0005-0000-0000-000065880000}"/>
    <cellStyle name="Normal 99" xfId="34914" xr:uid="{00000000-0005-0000-0000-000066880000}"/>
    <cellStyle name="Normal 99 2" xfId="34915" xr:uid="{00000000-0005-0000-0000-000067880000}"/>
    <cellStyle name="Normal 99 3" xfId="34916" xr:uid="{00000000-0005-0000-0000-000068880000}"/>
    <cellStyle name="Normal 99 4" xfId="34917" xr:uid="{00000000-0005-0000-0000-000069880000}"/>
    <cellStyle name="Normal 99 5" xfId="34918" xr:uid="{00000000-0005-0000-0000-00006A880000}"/>
    <cellStyle name="Normal 99 6" xfId="34919" xr:uid="{00000000-0005-0000-0000-00006B880000}"/>
    <cellStyle name="Note 10" xfId="34920" xr:uid="{00000000-0005-0000-0000-00006C880000}"/>
    <cellStyle name="Note 11" xfId="34921" xr:uid="{00000000-0005-0000-0000-00006D880000}"/>
    <cellStyle name="Note 12" xfId="34922" xr:uid="{00000000-0005-0000-0000-00006E880000}"/>
    <cellStyle name="Note 13" xfId="34923" xr:uid="{00000000-0005-0000-0000-00006F880000}"/>
    <cellStyle name="Note 14" xfId="34924" xr:uid="{00000000-0005-0000-0000-000070880000}"/>
    <cellStyle name="Note 15" xfId="34925" xr:uid="{00000000-0005-0000-0000-000071880000}"/>
    <cellStyle name="Note 16" xfId="34926" xr:uid="{00000000-0005-0000-0000-000072880000}"/>
    <cellStyle name="Note 17" xfId="34927" xr:uid="{00000000-0005-0000-0000-000073880000}"/>
    <cellStyle name="Note 18" xfId="34928" xr:uid="{00000000-0005-0000-0000-000074880000}"/>
    <cellStyle name="Note 19" xfId="34929" xr:uid="{00000000-0005-0000-0000-000075880000}"/>
    <cellStyle name="Note 2" xfId="34930" xr:uid="{00000000-0005-0000-0000-000076880000}"/>
    <cellStyle name="Note 2 2" xfId="34931" xr:uid="{00000000-0005-0000-0000-000077880000}"/>
    <cellStyle name="Note 2 2 10" xfId="34932" xr:uid="{00000000-0005-0000-0000-000078880000}"/>
    <cellStyle name="Note 2 2 11" xfId="34933" xr:uid="{00000000-0005-0000-0000-000079880000}"/>
    <cellStyle name="Note 2 2 12" xfId="34934" xr:uid="{00000000-0005-0000-0000-00007A880000}"/>
    <cellStyle name="Note 2 2 13" xfId="34935" xr:uid="{00000000-0005-0000-0000-00007B880000}"/>
    <cellStyle name="Note 2 2 14" xfId="34936" xr:uid="{00000000-0005-0000-0000-00007C880000}"/>
    <cellStyle name="Note 2 2 15" xfId="34937" xr:uid="{00000000-0005-0000-0000-00007D880000}"/>
    <cellStyle name="Note 2 2 16" xfId="34938" xr:uid="{00000000-0005-0000-0000-00007E880000}"/>
    <cellStyle name="Note 2 2 17" xfId="34939" xr:uid="{00000000-0005-0000-0000-00007F880000}"/>
    <cellStyle name="Note 2 2 18" xfId="34940" xr:uid="{00000000-0005-0000-0000-000080880000}"/>
    <cellStyle name="Note 2 2 19" xfId="34941" xr:uid="{00000000-0005-0000-0000-000081880000}"/>
    <cellStyle name="Note 2 2 2" xfId="34942" xr:uid="{00000000-0005-0000-0000-000082880000}"/>
    <cellStyle name="Note 2 2 2 2" xfId="34943" xr:uid="{00000000-0005-0000-0000-000083880000}"/>
    <cellStyle name="Note 2 2 2 3" xfId="34944" xr:uid="{00000000-0005-0000-0000-000084880000}"/>
    <cellStyle name="Note 2 2 2 4" xfId="34945" xr:uid="{00000000-0005-0000-0000-000085880000}"/>
    <cellStyle name="Note 2 2 2 5" xfId="34946" xr:uid="{00000000-0005-0000-0000-000086880000}"/>
    <cellStyle name="Note 2 2 3" xfId="34947" xr:uid="{00000000-0005-0000-0000-000087880000}"/>
    <cellStyle name="Note 2 2 4" xfId="34948" xr:uid="{00000000-0005-0000-0000-000088880000}"/>
    <cellStyle name="Note 2 2 5" xfId="34949" xr:uid="{00000000-0005-0000-0000-000089880000}"/>
    <cellStyle name="Note 2 2 6" xfId="34950" xr:uid="{00000000-0005-0000-0000-00008A880000}"/>
    <cellStyle name="Note 2 2 7" xfId="34951" xr:uid="{00000000-0005-0000-0000-00008B880000}"/>
    <cellStyle name="Note 2 2 8" xfId="34952" xr:uid="{00000000-0005-0000-0000-00008C880000}"/>
    <cellStyle name="Note 2 2 9" xfId="34953" xr:uid="{00000000-0005-0000-0000-00008D880000}"/>
    <cellStyle name="Note 2 3" xfId="34954" xr:uid="{00000000-0005-0000-0000-00008E880000}"/>
    <cellStyle name="Note 2 3 2" xfId="34955" xr:uid="{00000000-0005-0000-0000-00008F880000}"/>
    <cellStyle name="Note 2 3 3" xfId="34956" xr:uid="{00000000-0005-0000-0000-000090880000}"/>
    <cellStyle name="Note 2 3 4" xfId="34957" xr:uid="{00000000-0005-0000-0000-000091880000}"/>
    <cellStyle name="Note 2 3 5" xfId="34958" xr:uid="{00000000-0005-0000-0000-000092880000}"/>
    <cellStyle name="Note 2 4" xfId="34959" xr:uid="{00000000-0005-0000-0000-000093880000}"/>
    <cellStyle name="Note 2 4 2" xfId="34960" xr:uid="{00000000-0005-0000-0000-000094880000}"/>
    <cellStyle name="Note 2 4 3" xfId="34961" xr:uid="{00000000-0005-0000-0000-000095880000}"/>
    <cellStyle name="Note 2 4 4" xfId="34962" xr:uid="{00000000-0005-0000-0000-000096880000}"/>
    <cellStyle name="Note 2 4 5" xfId="34963" xr:uid="{00000000-0005-0000-0000-000097880000}"/>
    <cellStyle name="Note 2 5" xfId="34964" xr:uid="{00000000-0005-0000-0000-000098880000}"/>
    <cellStyle name="Note 2 5 2" xfId="34965" xr:uid="{00000000-0005-0000-0000-000099880000}"/>
    <cellStyle name="Note 2 5 3" xfId="34966" xr:uid="{00000000-0005-0000-0000-00009A880000}"/>
    <cellStyle name="Note 2 5 4" xfId="34967" xr:uid="{00000000-0005-0000-0000-00009B880000}"/>
    <cellStyle name="Note 2 5 5" xfId="34968" xr:uid="{00000000-0005-0000-0000-00009C880000}"/>
    <cellStyle name="Note 2 6" xfId="34969" xr:uid="{00000000-0005-0000-0000-00009D880000}"/>
    <cellStyle name="Note 2 7" xfId="34970" xr:uid="{00000000-0005-0000-0000-00009E880000}"/>
    <cellStyle name="Note 2 8" xfId="34971" xr:uid="{00000000-0005-0000-0000-00009F880000}"/>
    <cellStyle name="Note 2 9" xfId="34972" xr:uid="{00000000-0005-0000-0000-0000A0880000}"/>
    <cellStyle name="Note 20" xfId="34973" xr:uid="{00000000-0005-0000-0000-0000A1880000}"/>
    <cellStyle name="Note 21" xfId="34974" xr:uid="{00000000-0005-0000-0000-0000A2880000}"/>
    <cellStyle name="Note 22" xfId="34975" xr:uid="{00000000-0005-0000-0000-0000A3880000}"/>
    <cellStyle name="Note 23" xfId="34976" xr:uid="{00000000-0005-0000-0000-0000A4880000}"/>
    <cellStyle name="Note 24" xfId="34977" xr:uid="{00000000-0005-0000-0000-0000A5880000}"/>
    <cellStyle name="Note 25" xfId="34978" xr:uid="{00000000-0005-0000-0000-0000A6880000}"/>
    <cellStyle name="Note 26" xfId="34979" xr:uid="{00000000-0005-0000-0000-0000A7880000}"/>
    <cellStyle name="Note 26 2" xfId="34980" xr:uid="{00000000-0005-0000-0000-0000A8880000}"/>
    <cellStyle name="Note 26 3" xfId="34981" xr:uid="{00000000-0005-0000-0000-0000A9880000}"/>
    <cellStyle name="Note 26 4" xfId="34982" xr:uid="{00000000-0005-0000-0000-0000AA880000}"/>
    <cellStyle name="Note 26 5" xfId="34983" xr:uid="{00000000-0005-0000-0000-0000AB880000}"/>
    <cellStyle name="Note 27" xfId="34984" xr:uid="{00000000-0005-0000-0000-0000AC880000}"/>
    <cellStyle name="Note 27 2" xfId="34985" xr:uid="{00000000-0005-0000-0000-0000AD880000}"/>
    <cellStyle name="Note 27 3" xfId="34986" xr:uid="{00000000-0005-0000-0000-0000AE880000}"/>
    <cellStyle name="Note 27 4" xfId="34987" xr:uid="{00000000-0005-0000-0000-0000AF880000}"/>
    <cellStyle name="Note 27 5" xfId="34988" xr:uid="{00000000-0005-0000-0000-0000B0880000}"/>
    <cellStyle name="Note 28" xfId="34989" xr:uid="{00000000-0005-0000-0000-0000B1880000}"/>
    <cellStyle name="Note 28 2" xfId="34990" xr:uid="{00000000-0005-0000-0000-0000B2880000}"/>
    <cellStyle name="Note 28 3" xfId="34991" xr:uid="{00000000-0005-0000-0000-0000B3880000}"/>
    <cellStyle name="Note 28 4" xfId="34992" xr:uid="{00000000-0005-0000-0000-0000B4880000}"/>
    <cellStyle name="Note 28 5" xfId="34993" xr:uid="{00000000-0005-0000-0000-0000B5880000}"/>
    <cellStyle name="Note 29" xfId="34994" xr:uid="{00000000-0005-0000-0000-0000B6880000}"/>
    <cellStyle name="Note 3" xfId="34995" xr:uid="{00000000-0005-0000-0000-0000B7880000}"/>
    <cellStyle name="Note 3 2" xfId="34996" xr:uid="{00000000-0005-0000-0000-0000B8880000}"/>
    <cellStyle name="Note 3 2 2" xfId="34997" xr:uid="{00000000-0005-0000-0000-0000B9880000}"/>
    <cellStyle name="Note 3 2 2 2" xfId="34998" xr:uid="{00000000-0005-0000-0000-0000BA880000}"/>
    <cellStyle name="Note 3 2 2 3" xfId="34999" xr:uid="{00000000-0005-0000-0000-0000BB880000}"/>
    <cellStyle name="Note 3 2 2 4" xfId="35000" xr:uid="{00000000-0005-0000-0000-0000BC880000}"/>
    <cellStyle name="Note 3 2 2 5" xfId="35001" xr:uid="{00000000-0005-0000-0000-0000BD880000}"/>
    <cellStyle name="Note 3 2 3" xfId="35002" xr:uid="{00000000-0005-0000-0000-0000BE880000}"/>
    <cellStyle name="Note 3 2 4" xfId="35003" xr:uid="{00000000-0005-0000-0000-0000BF880000}"/>
    <cellStyle name="Note 3 2 5" xfId="35004" xr:uid="{00000000-0005-0000-0000-0000C0880000}"/>
    <cellStyle name="Note 3 2 6" xfId="35005" xr:uid="{00000000-0005-0000-0000-0000C1880000}"/>
    <cellStyle name="Note 3 3" xfId="35006" xr:uid="{00000000-0005-0000-0000-0000C2880000}"/>
    <cellStyle name="Note 3 3 2" xfId="35007" xr:uid="{00000000-0005-0000-0000-0000C3880000}"/>
    <cellStyle name="Note 3 3 3" xfId="35008" xr:uid="{00000000-0005-0000-0000-0000C4880000}"/>
    <cellStyle name="Note 3 3 4" xfId="35009" xr:uid="{00000000-0005-0000-0000-0000C5880000}"/>
    <cellStyle name="Note 3 3 5" xfId="35010" xr:uid="{00000000-0005-0000-0000-0000C6880000}"/>
    <cellStyle name="Note 3 4" xfId="35011" xr:uid="{00000000-0005-0000-0000-0000C7880000}"/>
    <cellStyle name="Note 3 5" xfId="35012" xr:uid="{00000000-0005-0000-0000-0000C8880000}"/>
    <cellStyle name="Note 3 6" xfId="35013" xr:uid="{00000000-0005-0000-0000-0000C9880000}"/>
    <cellStyle name="Note 3 7" xfId="35014" xr:uid="{00000000-0005-0000-0000-0000CA880000}"/>
    <cellStyle name="Note 30" xfId="35015" xr:uid="{00000000-0005-0000-0000-0000CB880000}"/>
    <cellStyle name="Note 31" xfId="35016" xr:uid="{00000000-0005-0000-0000-0000CC880000}"/>
    <cellStyle name="Note 32" xfId="35017" xr:uid="{00000000-0005-0000-0000-0000CD880000}"/>
    <cellStyle name="Note 33" xfId="35018" xr:uid="{00000000-0005-0000-0000-0000CE880000}"/>
    <cellStyle name="Note 34" xfId="35019" xr:uid="{00000000-0005-0000-0000-0000CF880000}"/>
    <cellStyle name="Note 35" xfId="35020" xr:uid="{00000000-0005-0000-0000-0000D0880000}"/>
    <cellStyle name="Note 36" xfId="35021" xr:uid="{00000000-0005-0000-0000-0000D1880000}"/>
    <cellStyle name="Note 37" xfId="35022" xr:uid="{00000000-0005-0000-0000-0000D2880000}"/>
    <cellStyle name="Note 38" xfId="35023" xr:uid="{00000000-0005-0000-0000-0000D3880000}"/>
    <cellStyle name="Note 39" xfId="35024" xr:uid="{00000000-0005-0000-0000-0000D4880000}"/>
    <cellStyle name="Note 4" xfId="35025" xr:uid="{00000000-0005-0000-0000-0000D5880000}"/>
    <cellStyle name="Note 4 2" xfId="35026" xr:uid="{00000000-0005-0000-0000-0000D6880000}"/>
    <cellStyle name="Note 4 2 2" xfId="35027" xr:uid="{00000000-0005-0000-0000-0000D7880000}"/>
    <cellStyle name="Note 4 2 2 2" xfId="35028" xr:uid="{00000000-0005-0000-0000-0000D8880000}"/>
    <cellStyle name="Note 4 2 2 3" xfId="35029" xr:uid="{00000000-0005-0000-0000-0000D9880000}"/>
    <cellStyle name="Note 4 2 2 4" xfId="35030" xr:uid="{00000000-0005-0000-0000-0000DA880000}"/>
    <cellStyle name="Note 4 2 2 5" xfId="35031" xr:uid="{00000000-0005-0000-0000-0000DB880000}"/>
    <cellStyle name="Note 4 2 3" xfId="35032" xr:uid="{00000000-0005-0000-0000-0000DC880000}"/>
    <cellStyle name="Note 4 2 4" xfId="35033" xr:uid="{00000000-0005-0000-0000-0000DD880000}"/>
    <cellStyle name="Note 4 2 5" xfId="35034" xr:uid="{00000000-0005-0000-0000-0000DE880000}"/>
    <cellStyle name="Note 4 2 6" xfId="35035" xr:uid="{00000000-0005-0000-0000-0000DF880000}"/>
    <cellStyle name="Note 4 3" xfId="35036" xr:uid="{00000000-0005-0000-0000-0000E0880000}"/>
    <cellStyle name="Note 4 3 2" xfId="35037" xr:uid="{00000000-0005-0000-0000-0000E1880000}"/>
    <cellStyle name="Note 4 3 3" xfId="35038" xr:uid="{00000000-0005-0000-0000-0000E2880000}"/>
    <cellStyle name="Note 4 3 4" xfId="35039" xr:uid="{00000000-0005-0000-0000-0000E3880000}"/>
    <cellStyle name="Note 4 3 5" xfId="35040" xr:uid="{00000000-0005-0000-0000-0000E4880000}"/>
    <cellStyle name="Note 4 4" xfId="35041" xr:uid="{00000000-0005-0000-0000-0000E5880000}"/>
    <cellStyle name="Note 4 5" xfId="35042" xr:uid="{00000000-0005-0000-0000-0000E6880000}"/>
    <cellStyle name="Note 4 6" xfId="35043" xr:uid="{00000000-0005-0000-0000-0000E7880000}"/>
    <cellStyle name="Note 4 7" xfId="35044" xr:uid="{00000000-0005-0000-0000-0000E8880000}"/>
    <cellStyle name="Note 40" xfId="35045" xr:uid="{00000000-0005-0000-0000-0000E9880000}"/>
    <cellStyle name="Note 41" xfId="35046" xr:uid="{00000000-0005-0000-0000-0000EA880000}"/>
    <cellStyle name="Note 42" xfId="35047" xr:uid="{00000000-0005-0000-0000-0000EB880000}"/>
    <cellStyle name="Note 43" xfId="35048" xr:uid="{00000000-0005-0000-0000-0000EC880000}"/>
    <cellStyle name="Note 5" xfId="35049" xr:uid="{00000000-0005-0000-0000-0000ED880000}"/>
    <cellStyle name="Note 5 2" xfId="35050" xr:uid="{00000000-0005-0000-0000-0000EE880000}"/>
    <cellStyle name="Note 5 2 2" xfId="35051" xr:uid="{00000000-0005-0000-0000-0000EF880000}"/>
    <cellStyle name="Note 5 2 3" xfId="35052" xr:uid="{00000000-0005-0000-0000-0000F0880000}"/>
    <cellStyle name="Note 5 2 4" xfId="35053" xr:uid="{00000000-0005-0000-0000-0000F1880000}"/>
    <cellStyle name="Note 5 2 5" xfId="35054" xr:uid="{00000000-0005-0000-0000-0000F2880000}"/>
    <cellStyle name="Note 5 3" xfId="35055" xr:uid="{00000000-0005-0000-0000-0000F3880000}"/>
    <cellStyle name="Note 5 4" xfId="35056" xr:uid="{00000000-0005-0000-0000-0000F4880000}"/>
    <cellStyle name="Note 5 5" xfId="35057" xr:uid="{00000000-0005-0000-0000-0000F5880000}"/>
    <cellStyle name="Note 5 6" xfId="35058" xr:uid="{00000000-0005-0000-0000-0000F6880000}"/>
    <cellStyle name="Note 6" xfId="35059" xr:uid="{00000000-0005-0000-0000-0000F7880000}"/>
    <cellStyle name="Note 6 2" xfId="35060" xr:uid="{00000000-0005-0000-0000-0000F8880000}"/>
    <cellStyle name="Note 6 3" xfId="35061" xr:uid="{00000000-0005-0000-0000-0000F9880000}"/>
    <cellStyle name="Note 6 4" xfId="35062" xr:uid="{00000000-0005-0000-0000-0000FA880000}"/>
    <cellStyle name="Note 6 5" xfId="35063" xr:uid="{00000000-0005-0000-0000-0000FB880000}"/>
    <cellStyle name="Note 7" xfId="35064" xr:uid="{00000000-0005-0000-0000-0000FC880000}"/>
    <cellStyle name="Note 7 2" xfId="35065" xr:uid="{00000000-0005-0000-0000-0000FD880000}"/>
    <cellStyle name="Note 7 3" xfId="35066" xr:uid="{00000000-0005-0000-0000-0000FE880000}"/>
    <cellStyle name="Note 7 4" xfId="35067" xr:uid="{00000000-0005-0000-0000-0000FF880000}"/>
    <cellStyle name="Note 7 5" xfId="35068" xr:uid="{00000000-0005-0000-0000-000000890000}"/>
    <cellStyle name="Note 8" xfId="35069" xr:uid="{00000000-0005-0000-0000-000001890000}"/>
    <cellStyle name="Note 8 2" xfId="35070" xr:uid="{00000000-0005-0000-0000-000002890000}"/>
    <cellStyle name="Note 8 3" xfId="35071" xr:uid="{00000000-0005-0000-0000-000003890000}"/>
    <cellStyle name="Note 8 4" xfId="35072" xr:uid="{00000000-0005-0000-0000-000004890000}"/>
    <cellStyle name="Note 8 5" xfId="35073" xr:uid="{00000000-0005-0000-0000-000005890000}"/>
    <cellStyle name="Note 9" xfId="35074" xr:uid="{00000000-0005-0000-0000-000006890000}"/>
    <cellStyle name="Note 9 2" xfId="35075" xr:uid="{00000000-0005-0000-0000-000007890000}"/>
    <cellStyle name="Note 9 2 2" xfId="35076" xr:uid="{00000000-0005-0000-0000-000008890000}"/>
    <cellStyle name="Note 9 2 3" xfId="35077" xr:uid="{00000000-0005-0000-0000-000009890000}"/>
    <cellStyle name="Note 9 2 4" xfId="35078" xr:uid="{00000000-0005-0000-0000-00000A890000}"/>
    <cellStyle name="Note 9 2 5" xfId="35079" xr:uid="{00000000-0005-0000-0000-00000B890000}"/>
    <cellStyle name="Note 9 3" xfId="35080" xr:uid="{00000000-0005-0000-0000-00000C890000}"/>
    <cellStyle name="Note 9 4" xfId="35081" xr:uid="{00000000-0005-0000-0000-00000D890000}"/>
    <cellStyle name="Note 9 5" xfId="35082" xr:uid="{00000000-0005-0000-0000-00000E890000}"/>
    <cellStyle name="Note 9 6" xfId="35083" xr:uid="{00000000-0005-0000-0000-00000F890000}"/>
    <cellStyle name="Note 9 7" xfId="35084" xr:uid="{00000000-0005-0000-0000-000010890000}"/>
    <cellStyle name="Output 10" xfId="35085" xr:uid="{00000000-0005-0000-0000-000011890000}"/>
    <cellStyle name="Output 10 2" xfId="35086" xr:uid="{00000000-0005-0000-0000-000012890000}"/>
    <cellStyle name="Output 10 3" xfId="35087" xr:uid="{00000000-0005-0000-0000-000013890000}"/>
    <cellStyle name="Output 10 4" xfId="35088" xr:uid="{00000000-0005-0000-0000-000014890000}"/>
    <cellStyle name="Output 11" xfId="35089" xr:uid="{00000000-0005-0000-0000-000015890000}"/>
    <cellStyle name="Output 11 2" xfId="35090" xr:uid="{00000000-0005-0000-0000-000016890000}"/>
    <cellStyle name="Output 11 3" xfId="35091" xr:uid="{00000000-0005-0000-0000-000017890000}"/>
    <cellStyle name="Output 11 4" xfId="35092" xr:uid="{00000000-0005-0000-0000-000018890000}"/>
    <cellStyle name="Output 12" xfId="35093" xr:uid="{00000000-0005-0000-0000-000019890000}"/>
    <cellStyle name="Output 12 2" xfId="35094" xr:uid="{00000000-0005-0000-0000-00001A890000}"/>
    <cellStyle name="Output 12 3" xfId="35095" xr:uid="{00000000-0005-0000-0000-00001B890000}"/>
    <cellStyle name="Output 12 4" xfId="35096" xr:uid="{00000000-0005-0000-0000-00001C890000}"/>
    <cellStyle name="Output 13" xfId="35097" xr:uid="{00000000-0005-0000-0000-00001D890000}"/>
    <cellStyle name="Output 14" xfId="35098" xr:uid="{00000000-0005-0000-0000-00001E890000}"/>
    <cellStyle name="Output 15" xfId="35099" xr:uid="{00000000-0005-0000-0000-00001F890000}"/>
    <cellStyle name="Output 16" xfId="35100" xr:uid="{00000000-0005-0000-0000-000020890000}"/>
    <cellStyle name="Output 17" xfId="35101" xr:uid="{00000000-0005-0000-0000-000021890000}"/>
    <cellStyle name="Output 18" xfId="35102" xr:uid="{00000000-0005-0000-0000-000022890000}"/>
    <cellStyle name="Output 19" xfId="35103" xr:uid="{00000000-0005-0000-0000-000023890000}"/>
    <cellStyle name="Output 2" xfId="35104" xr:uid="{00000000-0005-0000-0000-000024890000}"/>
    <cellStyle name="Output 2 2" xfId="35105" xr:uid="{00000000-0005-0000-0000-000025890000}"/>
    <cellStyle name="Output 2 2 2" xfId="35106" xr:uid="{00000000-0005-0000-0000-000026890000}"/>
    <cellStyle name="Output 2 2 3" xfId="35107" xr:uid="{00000000-0005-0000-0000-000027890000}"/>
    <cellStyle name="Output 2 2 4" xfId="35108" xr:uid="{00000000-0005-0000-0000-000028890000}"/>
    <cellStyle name="Output 2 3" xfId="35109" xr:uid="{00000000-0005-0000-0000-000029890000}"/>
    <cellStyle name="Output 2 3 2" xfId="35110" xr:uid="{00000000-0005-0000-0000-00002A890000}"/>
    <cellStyle name="Output 2 3 3" xfId="35111" xr:uid="{00000000-0005-0000-0000-00002B890000}"/>
    <cellStyle name="Output 2 3 4" xfId="35112" xr:uid="{00000000-0005-0000-0000-00002C890000}"/>
    <cellStyle name="Output 2 4" xfId="35113" xr:uid="{00000000-0005-0000-0000-00002D890000}"/>
    <cellStyle name="Output 2 4 2" xfId="35114" xr:uid="{00000000-0005-0000-0000-00002E890000}"/>
    <cellStyle name="Output 2 4 3" xfId="35115" xr:uid="{00000000-0005-0000-0000-00002F890000}"/>
    <cellStyle name="Output 2 4 4" xfId="35116" xr:uid="{00000000-0005-0000-0000-000030890000}"/>
    <cellStyle name="Output 2 5" xfId="35117" xr:uid="{00000000-0005-0000-0000-000031890000}"/>
    <cellStyle name="Output 2 6" xfId="35118" xr:uid="{00000000-0005-0000-0000-000032890000}"/>
    <cellStyle name="Output 2 7" xfId="35119" xr:uid="{00000000-0005-0000-0000-000033890000}"/>
    <cellStyle name="Output 20" xfId="35120" xr:uid="{00000000-0005-0000-0000-000034890000}"/>
    <cellStyle name="Output 21" xfId="35121" xr:uid="{00000000-0005-0000-0000-000035890000}"/>
    <cellStyle name="Output 22" xfId="35122" xr:uid="{00000000-0005-0000-0000-000036890000}"/>
    <cellStyle name="Output 23" xfId="35123" xr:uid="{00000000-0005-0000-0000-000037890000}"/>
    <cellStyle name="Output 24" xfId="35124" xr:uid="{00000000-0005-0000-0000-000038890000}"/>
    <cellStyle name="Output 25" xfId="35125" xr:uid="{00000000-0005-0000-0000-000039890000}"/>
    <cellStyle name="Output 26" xfId="35126" xr:uid="{00000000-0005-0000-0000-00003A890000}"/>
    <cellStyle name="Output 27" xfId="35127" xr:uid="{00000000-0005-0000-0000-00003B890000}"/>
    <cellStyle name="Output 28" xfId="35128" xr:uid="{00000000-0005-0000-0000-00003C890000}"/>
    <cellStyle name="Output 29" xfId="35129" xr:uid="{00000000-0005-0000-0000-00003D890000}"/>
    <cellStyle name="Output 3" xfId="35130" xr:uid="{00000000-0005-0000-0000-00003E890000}"/>
    <cellStyle name="Output 3 2" xfId="35131" xr:uid="{00000000-0005-0000-0000-00003F890000}"/>
    <cellStyle name="Output 3 3" xfId="35132" xr:uid="{00000000-0005-0000-0000-000040890000}"/>
    <cellStyle name="Output 3 4" xfId="35133" xr:uid="{00000000-0005-0000-0000-000041890000}"/>
    <cellStyle name="Output 30" xfId="35134" xr:uid="{00000000-0005-0000-0000-000042890000}"/>
    <cellStyle name="Output 31" xfId="35135" xr:uid="{00000000-0005-0000-0000-000043890000}"/>
    <cellStyle name="Output 32" xfId="35136" xr:uid="{00000000-0005-0000-0000-000044890000}"/>
    <cellStyle name="Output 33" xfId="35137" xr:uid="{00000000-0005-0000-0000-000045890000}"/>
    <cellStyle name="Output 34" xfId="35138" xr:uid="{00000000-0005-0000-0000-000046890000}"/>
    <cellStyle name="Output 35" xfId="35139" xr:uid="{00000000-0005-0000-0000-000047890000}"/>
    <cellStyle name="Output 36" xfId="35140" xr:uid="{00000000-0005-0000-0000-000048890000}"/>
    <cellStyle name="Output 37" xfId="35141" xr:uid="{00000000-0005-0000-0000-000049890000}"/>
    <cellStyle name="Output 38" xfId="35142" xr:uid="{00000000-0005-0000-0000-00004A890000}"/>
    <cellStyle name="Output 39" xfId="35143" xr:uid="{00000000-0005-0000-0000-00004B890000}"/>
    <cellStyle name="Output 4" xfId="35144" xr:uid="{00000000-0005-0000-0000-00004C890000}"/>
    <cellStyle name="Output 4 2" xfId="35145" xr:uid="{00000000-0005-0000-0000-00004D890000}"/>
    <cellStyle name="Output 4 3" xfId="35146" xr:uid="{00000000-0005-0000-0000-00004E890000}"/>
    <cellStyle name="Output 4 4" xfId="35147" xr:uid="{00000000-0005-0000-0000-00004F890000}"/>
    <cellStyle name="Output 40" xfId="35148" xr:uid="{00000000-0005-0000-0000-000050890000}"/>
    <cellStyle name="Output 41" xfId="35149" xr:uid="{00000000-0005-0000-0000-000051890000}"/>
    <cellStyle name="Output 42" xfId="35150" xr:uid="{00000000-0005-0000-0000-000052890000}"/>
    <cellStyle name="Output 43" xfId="35151" xr:uid="{00000000-0005-0000-0000-000053890000}"/>
    <cellStyle name="Output 5" xfId="35152" xr:uid="{00000000-0005-0000-0000-000054890000}"/>
    <cellStyle name="Output 5 2" xfId="35153" xr:uid="{00000000-0005-0000-0000-000055890000}"/>
    <cellStyle name="Output 5 3" xfId="35154" xr:uid="{00000000-0005-0000-0000-000056890000}"/>
    <cellStyle name="Output 5 4" xfId="35155" xr:uid="{00000000-0005-0000-0000-000057890000}"/>
    <cellStyle name="Output 6" xfId="35156" xr:uid="{00000000-0005-0000-0000-000058890000}"/>
    <cellStyle name="Output 6 2" xfId="35157" xr:uid="{00000000-0005-0000-0000-000059890000}"/>
    <cellStyle name="Output 6 3" xfId="35158" xr:uid="{00000000-0005-0000-0000-00005A890000}"/>
    <cellStyle name="Output 6 4" xfId="35159" xr:uid="{00000000-0005-0000-0000-00005B890000}"/>
    <cellStyle name="Output 7" xfId="35160" xr:uid="{00000000-0005-0000-0000-00005C890000}"/>
    <cellStyle name="Output 7 2" xfId="35161" xr:uid="{00000000-0005-0000-0000-00005D890000}"/>
    <cellStyle name="Output 7 3" xfId="35162" xr:uid="{00000000-0005-0000-0000-00005E890000}"/>
    <cellStyle name="Output 7 4" xfId="35163" xr:uid="{00000000-0005-0000-0000-00005F890000}"/>
    <cellStyle name="Output 8" xfId="35164" xr:uid="{00000000-0005-0000-0000-000060890000}"/>
    <cellStyle name="Output 8 2" xfId="35165" xr:uid="{00000000-0005-0000-0000-000061890000}"/>
    <cellStyle name="Output 8 3" xfId="35166" xr:uid="{00000000-0005-0000-0000-000062890000}"/>
    <cellStyle name="Output 8 4" xfId="35167" xr:uid="{00000000-0005-0000-0000-000063890000}"/>
    <cellStyle name="Output 9" xfId="35168" xr:uid="{00000000-0005-0000-0000-000064890000}"/>
    <cellStyle name="Output 9 2" xfId="35169" xr:uid="{00000000-0005-0000-0000-000065890000}"/>
    <cellStyle name="Output 9 2 2" xfId="35170" xr:uid="{00000000-0005-0000-0000-000066890000}"/>
    <cellStyle name="Output 9 2 3" xfId="35171" xr:uid="{00000000-0005-0000-0000-000067890000}"/>
    <cellStyle name="Output 9 2 4" xfId="35172" xr:uid="{00000000-0005-0000-0000-000068890000}"/>
    <cellStyle name="Output 9 3" xfId="35173" xr:uid="{00000000-0005-0000-0000-000069890000}"/>
    <cellStyle name="Output 9 4" xfId="35174" xr:uid="{00000000-0005-0000-0000-00006A890000}"/>
    <cellStyle name="Output 9 5" xfId="35175" xr:uid="{00000000-0005-0000-0000-00006B890000}"/>
    <cellStyle name="Output 9 6" xfId="35176" xr:uid="{00000000-0005-0000-0000-00006C890000}"/>
    <cellStyle name="Percent 10" xfId="35177" xr:uid="{00000000-0005-0000-0000-00006D890000}"/>
    <cellStyle name="Percent 11" xfId="35178" xr:uid="{00000000-0005-0000-0000-00006E890000}"/>
    <cellStyle name="Percent 12" xfId="35179" xr:uid="{00000000-0005-0000-0000-00006F890000}"/>
    <cellStyle name="Percent 13" xfId="35180" xr:uid="{00000000-0005-0000-0000-000070890000}"/>
    <cellStyle name="Percent 14" xfId="35181" xr:uid="{00000000-0005-0000-0000-000071890000}"/>
    <cellStyle name="Percent 15" xfId="35182" xr:uid="{00000000-0005-0000-0000-000072890000}"/>
    <cellStyle name="Percent 16" xfId="35183" xr:uid="{00000000-0005-0000-0000-000073890000}"/>
    <cellStyle name="Percent 17" xfId="35184" xr:uid="{00000000-0005-0000-0000-000074890000}"/>
    <cellStyle name="Percent 18" xfId="35185" xr:uid="{00000000-0005-0000-0000-000075890000}"/>
    <cellStyle name="Percent 19" xfId="35186" xr:uid="{00000000-0005-0000-0000-000076890000}"/>
    <cellStyle name="Percent 2" xfId="35187" xr:uid="{00000000-0005-0000-0000-000077890000}"/>
    <cellStyle name="Percent 2 2" xfId="35188" xr:uid="{00000000-0005-0000-0000-000078890000}"/>
    <cellStyle name="Percent 20" xfId="35189" xr:uid="{00000000-0005-0000-0000-000079890000}"/>
    <cellStyle name="Percent 21" xfId="35190" xr:uid="{00000000-0005-0000-0000-00007A890000}"/>
    <cellStyle name="Percent 22" xfId="35191" xr:uid="{00000000-0005-0000-0000-00007B890000}"/>
    <cellStyle name="Percent 23" xfId="35192" xr:uid="{00000000-0005-0000-0000-00007C890000}"/>
    <cellStyle name="Percent 24" xfId="35193" xr:uid="{00000000-0005-0000-0000-00007D890000}"/>
    <cellStyle name="Percent 25" xfId="35194" xr:uid="{00000000-0005-0000-0000-00007E890000}"/>
    <cellStyle name="Percent 26" xfId="35195" xr:uid="{00000000-0005-0000-0000-00007F890000}"/>
    <cellStyle name="Percent 27" xfId="35196" xr:uid="{00000000-0005-0000-0000-000080890000}"/>
    <cellStyle name="Percent 28" xfId="35197" xr:uid="{00000000-0005-0000-0000-000081890000}"/>
    <cellStyle name="Percent 29" xfId="35198" xr:uid="{00000000-0005-0000-0000-000082890000}"/>
    <cellStyle name="Percent 3" xfId="35199" xr:uid="{00000000-0005-0000-0000-000083890000}"/>
    <cellStyle name="Percent 3 10" xfId="35200" xr:uid="{00000000-0005-0000-0000-000084890000}"/>
    <cellStyle name="Percent 3 11" xfId="35201" xr:uid="{00000000-0005-0000-0000-000085890000}"/>
    <cellStyle name="Percent 3 12" xfId="35202" xr:uid="{00000000-0005-0000-0000-000086890000}"/>
    <cellStyle name="Percent 3 13" xfId="35203" xr:uid="{00000000-0005-0000-0000-000087890000}"/>
    <cellStyle name="Percent 3 14" xfId="35204" xr:uid="{00000000-0005-0000-0000-000088890000}"/>
    <cellStyle name="Percent 3 15" xfId="35205" xr:uid="{00000000-0005-0000-0000-000089890000}"/>
    <cellStyle name="Percent 3 2" xfId="35206" xr:uid="{00000000-0005-0000-0000-00008A890000}"/>
    <cellStyle name="Percent 3 3" xfId="35207" xr:uid="{00000000-0005-0000-0000-00008B890000}"/>
    <cellStyle name="Percent 3 4" xfId="35208" xr:uid="{00000000-0005-0000-0000-00008C890000}"/>
    <cellStyle name="Percent 3 5" xfId="35209" xr:uid="{00000000-0005-0000-0000-00008D890000}"/>
    <cellStyle name="Percent 3 6" xfId="35210" xr:uid="{00000000-0005-0000-0000-00008E890000}"/>
    <cellStyle name="Percent 3 7" xfId="35211" xr:uid="{00000000-0005-0000-0000-00008F890000}"/>
    <cellStyle name="Percent 3 8" xfId="35212" xr:uid="{00000000-0005-0000-0000-000090890000}"/>
    <cellStyle name="Percent 3 9" xfId="35213" xr:uid="{00000000-0005-0000-0000-000091890000}"/>
    <cellStyle name="Percent 30" xfId="35214" xr:uid="{00000000-0005-0000-0000-000092890000}"/>
    <cellStyle name="Percent 31" xfId="35215" xr:uid="{00000000-0005-0000-0000-000093890000}"/>
    <cellStyle name="Percent 32" xfId="35216" xr:uid="{00000000-0005-0000-0000-000094890000}"/>
    <cellStyle name="Percent 33" xfId="35217" xr:uid="{00000000-0005-0000-0000-000095890000}"/>
    <cellStyle name="Percent 34" xfId="35218" xr:uid="{00000000-0005-0000-0000-000096890000}"/>
    <cellStyle name="Percent 35" xfId="35219" xr:uid="{00000000-0005-0000-0000-000097890000}"/>
    <cellStyle name="Percent 36" xfId="35220" xr:uid="{00000000-0005-0000-0000-000098890000}"/>
    <cellStyle name="Percent 37" xfId="35221" xr:uid="{00000000-0005-0000-0000-000099890000}"/>
    <cellStyle name="Percent 4" xfId="35222" xr:uid="{00000000-0005-0000-0000-00009A890000}"/>
    <cellStyle name="Percent 5" xfId="35223" xr:uid="{00000000-0005-0000-0000-00009B890000}"/>
    <cellStyle name="Percent 6" xfId="35224" xr:uid="{00000000-0005-0000-0000-00009C890000}"/>
    <cellStyle name="Percent 7" xfId="35225" xr:uid="{00000000-0005-0000-0000-00009D890000}"/>
    <cellStyle name="Percent 8" xfId="35226" xr:uid="{00000000-0005-0000-0000-00009E890000}"/>
    <cellStyle name="Percent 9" xfId="35227" xr:uid="{00000000-0005-0000-0000-00009F890000}"/>
    <cellStyle name="Sheet Title" xfId="35228" xr:uid="{00000000-0005-0000-0000-0000A0890000}"/>
    <cellStyle name="Title 10" xfId="35229" xr:uid="{00000000-0005-0000-0000-0000A1890000}"/>
    <cellStyle name="Title 11" xfId="35230" xr:uid="{00000000-0005-0000-0000-0000A2890000}"/>
    <cellStyle name="Title 12" xfId="35231" xr:uid="{00000000-0005-0000-0000-0000A3890000}"/>
    <cellStyle name="Title 13" xfId="35232" xr:uid="{00000000-0005-0000-0000-0000A4890000}"/>
    <cellStyle name="Title 14" xfId="35233" xr:uid="{00000000-0005-0000-0000-0000A5890000}"/>
    <cellStyle name="Title 15" xfId="35234" xr:uid="{00000000-0005-0000-0000-0000A6890000}"/>
    <cellStyle name="Title 16" xfId="35235" xr:uid="{00000000-0005-0000-0000-0000A7890000}"/>
    <cellStyle name="Title 17" xfId="35236" xr:uid="{00000000-0005-0000-0000-0000A8890000}"/>
    <cellStyle name="Title 18" xfId="35237" xr:uid="{00000000-0005-0000-0000-0000A9890000}"/>
    <cellStyle name="Title 19" xfId="35238" xr:uid="{00000000-0005-0000-0000-0000AA890000}"/>
    <cellStyle name="Title 2" xfId="35239" xr:uid="{00000000-0005-0000-0000-0000AB890000}"/>
    <cellStyle name="Title 2 2" xfId="35240" xr:uid="{00000000-0005-0000-0000-0000AC890000}"/>
    <cellStyle name="Title 20" xfId="35241" xr:uid="{00000000-0005-0000-0000-0000AD890000}"/>
    <cellStyle name="Title 21" xfId="35242" xr:uid="{00000000-0005-0000-0000-0000AE890000}"/>
    <cellStyle name="Title 22" xfId="35243" xr:uid="{00000000-0005-0000-0000-0000AF890000}"/>
    <cellStyle name="Title 23" xfId="35244" xr:uid="{00000000-0005-0000-0000-0000B0890000}"/>
    <cellStyle name="Title 24" xfId="35245" xr:uid="{00000000-0005-0000-0000-0000B1890000}"/>
    <cellStyle name="Title 25" xfId="35246" xr:uid="{00000000-0005-0000-0000-0000B2890000}"/>
    <cellStyle name="Title 26" xfId="35247" xr:uid="{00000000-0005-0000-0000-0000B3890000}"/>
    <cellStyle name="Title 27" xfId="35248" xr:uid="{00000000-0005-0000-0000-0000B4890000}"/>
    <cellStyle name="Title 28" xfId="35249" xr:uid="{00000000-0005-0000-0000-0000B5890000}"/>
    <cellStyle name="Title 29" xfId="35250" xr:uid="{00000000-0005-0000-0000-0000B6890000}"/>
    <cellStyle name="Title 3" xfId="35251" xr:uid="{00000000-0005-0000-0000-0000B7890000}"/>
    <cellStyle name="Title 30" xfId="35252" xr:uid="{00000000-0005-0000-0000-0000B8890000}"/>
    <cellStyle name="Title 31" xfId="35253" xr:uid="{00000000-0005-0000-0000-0000B9890000}"/>
    <cellStyle name="Title 32" xfId="35254" xr:uid="{00000000-0005-0000-0000-0000BA890000}"/>
    <cellStyle name="Title 33" xfId="35255" xr:uid="{00000000-0005-0000-0000-0000BB890000}"/>
    <cellStyle name="Title 34" xfId="35256" xr:uid="{00000000-0005-0000-0000-0000BC890000}"/>
    <cellStyle name="Title 35" xfId="35257" xr:uid="{00000000-0005-0000-0000-0000BD890000}"/>
    <cellStyle name="Title 36" xfId="35258" xr:uid="{00000000-0005-0000-0000-0000BE890000}"/>
    <cellStyle name="Title 37" xfId="35259" xr:uid="{00000000-0005-0000-0000-0000BF890000}"/>
    <cellStyle name="Title 38" xfId="35260" xr:uid="{00000000-0005-0000-0000-0000C0890000}"/>
    <cellStyle name="Title 39" xfId="35261" xr:uid="{00000000-0005-0000-0000-0000C1890000}"/>
    <cellStyle name="Title 4" xfId="35262" xr:uid="{00000000-0005-0000-0000-0000C2890000}"/>
    <cellStyle name="Title 40" xfId="35263" xr:uid="{00000000-0005-0000-0000-0000C3890000}"/>
    <cellStyle name="Title 41" xfId="35264" xr:uid="{00000000-0005-0000-0000-0000C4890000}"/>
    <cellStyle name="Title 42" xfId="35265" xr:uid="{00000000-0005-0000-0000-0000C5890000}"/>
    <cellStyle name="Title 5" xfId="35266" xr:uid="{00000000-0005-0000-0000-0000C6890000}"/>
    <cellStyle name="Title 6" xfId="35267" xr:uid="{00000000-0005-0000-0000-0000C7890000}"/>
    <cellStyle name="Title 7" xfId="35268" xr:uid="{00000000-0005-0000-0000-0000C8890000}"/>
    <cellStyle name="Title 8" xfId="35269" xr:uid="{00000000-0005-0000-0000-0000C9890000}"/>
    <cellStyle name="Title 9" xfId="35270" xr:uid="{00000000-0005-0000-0000-0000CA890000}"/>
    <cellStyle name="Title 9 2" xfId="35271" xr:uid="{00000000-0005-0000-0000-0000CB890000}"/>
    <cellStyle name="Title 9 3" xfId="35272" xr:uid="{00000000-0005-0000-0000-0000CC890000}"/>
    <cellStyle name="Total 10" xfId="35273" xr:uid="{00000000-0005-0000-0000-0000CD890000}"/>
    <cellStyle name="Total 10 2" xfId="35274" xr:uid="{00000000-0005-0000-0000-0000CE890000}"/>
    <cellStyle name="Total 10 3" xfId="35275" xr:uid="{00000000-0005-0000-0000-0000CF890000}"/>
    <cellStyle name="Total 10 4" xfId="35276" xr:uid="{00000000-0005-0000-0000-0000D0890000}"/>
    <cellStyle name="Total 11" xfId="35277" xr:uid="{00000000-0005-0000-0000-0000D1890000}"/>
    <cellStyle name="Total 11 2" xfId="35278" xr:uid="{00000000-0005-0000-0000-0000D2890000}"/>
    <cellStyle name="Total 11 3" xfId="35279" xr:uid="{00000000-0005-0000-0000-0000D3890000}"/>
    <cellStyle name="Total 11 4" xfId="35280" xr:uid="{00000000-0005-0000-0000-0000D4890000}"/>
    <cellStyle name="Total 12" xfId="35281" xr:uid="{00000000-0005-0000-0000-0000D5890000}"/>
    <cellStyle name="Total 12 2" xfId="35282" xr:uid="{00000000-0005-0000-0000-0000D6890000}"/>
    <cellStyle name="Total 12 3" xfId="35283" xr:uid="{00000000-0005-0000-0000-0000D7890000}"/>
    <cellStyle name="Total 12 4" xfId="35284" xr:uid="{00000000-0005-0000-0000-0000D8890000}"/>
    <cellStyle name="Total 13" xfId="35285" xr:uid="{00000000-0005-0000-0000-0000D9890000}"/>
    <cellStyle name="Total 14" xfId="35286" xr:uid="{00000000-0005-0000-0000-0000DA890000}"/>
    <cellStyle name="Total 15" xfId="35287" xr:uid="{00000000-0005-0000-0000-0000DB890000}"/>
    <cellStyle name="Total 16" xfId="35288" xr:uid="{00000000-0005-0000-0000-0000DC890000}"/>
    <cellStyle name="Total 17" xfId="35289" xr:uid="{00000000-0005-0000-0000-0000DD890000}"/>
    <cellStyle name="Total 18" xfId="35290" xr:uid="{00000000-0005-0000-0000-0000DE890000}"/>
    <cellStyle name="Total 19" xfId="35291" xr:uid="{00000000-0005-0000-0000-0000DF890000}"/>
    <cellStyle name="Total 2" xfId="35292" xr:uid="{00000000-0005-0000-0000-0000E0890000}"/>
    <cellStyle name="Total 2 2" xfId="35293" xr:uid="{00000000-0005-0000-0000-0000E1890000}"/>
    <cellStyle name="Total 2 2 2" xfId="35294" xr:uid="{00000000-0005-0000-0000-0000E2890000}"/>
    <cellStyle name="Total 2 2 3" xfId="35295" xr:uid="{00000000-0005-0000-0000-0000E3890000}"/>
    <cellStyle name="Total 2 2 4" xfId="35296" xr:uid="{00000000-0005-0000-0000-0000E4890000}"/>
    <cellStyle name="Total 2 3" xfId="35297" xr:uid="{00000000-0005-0000-0000-0000E5890000}"/>
    <cellStyle name="Total 2 3 2" xfId="35298" xr:uid="{00000000-0005-0000-0000-0000E6890000}"/>
    <cellStyle name="Total 2 3 3" xfId="35299" xr:uid="{00000000-0005-0000-0000-0000E7890000}"/>
    <cellStyle name="Total 2 3 4" xfId="35300" xr:uid="{00000000-0005-0000-0000-0000E8890000}"/>
    <cellStyle name="Total 2 4" xfId="35301" xr:uid="{00000000-0005-0000-0000-0000E9890000}"/>
    <cellStyle name="Total 2 4 2" xfId="35302" xr:uid="{00000000-0005-0000-0000-0000EA890000}"/>
    <cellStyle name="Total 2 4 3" xfId="35303" xr:uid="{00000000-0005-0000-0000-0000EB890000}"/>
    <cellStyle name="Total 2 4 4" xfId="35304" xr:uid="{00000000-0005-0000-0000-0000EC890000}"/>
    <cellStyle name="Total 2 5" xfId="35305" xr:uid="{00000000-0005-0000-0000-0000ED890000}"/>
    <cellStyle name="Total 2 6" xfId="35306" xr:uid="{00000000-0005-0000-0000-0000EE890000}"/>
    <cellStyle name="Total 2 7" xfId="35307" xr:uid="{00000000-0005-0000-0000-0000EF890000}"/>
    <cellStyle name="Total 20" xfId="35308" xr:uid="{00000000-0005-0000-0000-0000F0890000}"/>
    <cellStyle name="Total 21" xfId="35309" xr:uid="{00000000-0005-0000-0000-0000F1890000}"/>
    <cellStyle name="Total 22" xfId="35310" xr:uid="{00000000-0005-0000-0000-0000F2890000}"/>
    <cellStyle name="Total 23" xfId="35311" xr:uid="{00000000-0005-0000-0000-0000F3890000}"/>
    <cellStyle name="Total 24" xfId="35312" xr:uid="{00000000-0005-0000-0000-0000F4890000}"/>
    <cellStyle name="Total 25" xfId="35313" xr:uid="{00000000-0005-0000-0000-0000F5890000}"/>
    <cellStyle name="Total 26" xfId="35314" xr:uid="{00000000-0005-0000-0000-0000F6890000}"/>
    <cellStyle name="Total 27" xfId="35315" xr:uid="{00000000-0005-0000-0000-0000F7890000}"/>
    <cellStyle name="Total 28" xfId="35316" xr:uid="{00000000-0005-0000-0000-0000F8890000}"/>
    <cellStyle name="Total 29" xfId="35317" xr:uid="{00000000-0005-0000-0000-0000F9890000}"/>
    <cellStyle name="Total 3" xfId="35318" xr:uid="{00000000-0005-0000-0000-0000FA890000}"/>
    <cellStyle name="Total 3 2" xfId="35319" xr:uid="{00000000-0005-0000-0000-0000FB890000}"/>
    <cellStyle name="Total 3 3" xfId="35320" xr:uid="{00000000-0005-0000-0000-0000FC890000}"/>
    <cellStyle name="Total 3 4" xfId="35321" xr:uid="{00000000-0005-0000-0000-0000FD890000}"/>
    <cellStyle name="Total 30" xfId="35322" xr:uid="{00000000-0005-0000-0000-0000FE890000}"/>
    <cellStyle name="Total 31" xfId="35323" xr:uid="{00000000-0005-0000-0000-0000FF890000}"/>
    <cellStyle name="Total 32" xfId="35324" xr:uid="{00000000-0005-0000-0000-0000008A0000}"/>
    <cellStyle name="Total 33" xfId="35325" xr:uid="{00000000-0005-0000-0000-0000018A0000}"/>
    <cellStyle name="Total 34" xfId="35326" xr:uid="{00000000-0005-0000-0000-0000028A0000}"/>
    <cellStyle name="Total 35" xfId="35327" xr:uid="{00000000-0005-0000-0000-0000038A0000}"/>
    <cellStyle name="Total 36" xfId="35328" xr:uid="{00000000-0005-0000-0000-0000048A0000}"/>
    <cellStyle name="Total 37" xfId="35329" xr:uid="{00000000-0005-0000-0000-0000058A0000}"/>
    <cellStyle name="Total 38" xfId="35330" xr:uid="{00000000-0005-0000-0000-0000068A0000}"/>
    <cellStyle name="Total 39" xfId="35331" xr:uid="{00000000-0005-0000-0000-0000078A0000}"/>
    <cellStyle name="Total 4" xfId="35332" xr:uid="{00000000-0005-0000-0000-0000088A0000}"/>
    <cellStyle name="Total 4 2" xfId="35333" xr:uid="{00000000-0005-0000-0000-0000098A0000}"/>
    <cellStyle name="Total 4 3" xfId="35334" xr:uid="{00000000-0005-0000-0000-00000A8A0000}"/>
    <cellStyle name="Total 4 4" xfId="35335" xr:uid="{00000000-0005-0000-0000-00000B8A0000}"/>
    <cellStyle name="Total 40" xfId="35336" xr:uid="{00000000-0005-0000-0000-00000C8A0000}"/>
    <cellStyle name="Total 41" xfId="35337" xr:uid="{00000000-0005-0000-0000-00000D8A0000}"/>
    <cellStyle name="Total 42" xfId="35338" xr:uid="{00000000-0005-0000-0000-00000E8A0000}"/>
    <cellStyle name="Total 43" xfId="35339" xr:uid="{00000000-0005-0000-0000-00000F8A0000}"/>
    <cellStyle name="Total 5" xfId="35340" xr:uid="{00000000-0005-0000-0000-0000108A0000}"/>
    <cellStyle name="Total 5 2" xfId="35341" xr:uid="{00000000-0005-0000-0000-0000118A0000}"/>
    <cellStyle name="Total 5 3" xfId="35342" xr:uid="{00000000-0005-0000-0000-0000128A0000}"/>
    <cellStyle name="Total 5 4" xfId="35343" xr:uid="{00000000-0005-0000-0000-0000138A0000}"/>
    <cellStyle name="Total 6" xfId="35344" xr:uid="{00000000-0005-0000-0000-0000148A0000}"/>
    <cellStyle name="Total 6 2" xfId="35345" xr:uid="{00000000-0005-0000-0000-0000158A0000}"/>
    <cellStyle name="Total 6 3" xfId="35346" xr:uid="{00000000-0005-0000-0000-0000168A0000}"/>
    <cellStyle name="Total 6 4" xfId="35347" xr:uid="{00000000-0005-0000-0000-0000178A0000}"/>
    <cellStyle name="Total 7" xfId="35348" xr:uid="{00000000-0005-0000-0000-0000188A0000}"/>
    <cellStyle name="Total 7 2" xfId="35349" xr:uid="{00000000-0005-0000-0000-0000198A0000}"/>
    <cellStyle name="Total 7 3" xfId="35350" xr:uid="{00000000-0005-0000-0000-00001A8A0000}"/>
    <cellStyle name="Total 7 4" xfId="35351" xr:uid="{00000000-0005-0000-0000-00001B8A0000}"/>
    <cellStyle name="Total 8" xfId="35352" xr:uid="{00000000-0005-0000-0000-00001C8A0000}"/>
    <cellStyle name="Total 8 2" xfId="35353" xr:uid="{00000000-0005-0000-0000-00001D8A0000}"/>
    <cellStyle name="Total 8 3" xfId="35354" xr:uid="{00000000-0005-0000-0000-00001E8A0000}"/>
    <cellStyle name="Total 8 4" xfId="35355" xr:uid="{00000000-0005-0000-0000-00001F8A0000}"/>
    <cellStyle name="Total 9" xfId="35356" xr:uid="{00000000-0005-0000-0000-0000208A0000}"/>
    <cellStyle name="Total 9 2" xfId="35357" xr:uid="{00000000-0005-0000-0000-0000218A0000}"/>
    <cellStyle name="Total 9 2 2" xfId="35358" xr:uid="{00000000-0005-0000-0000-0000228A0000}"/>
    <cellStyle name="Total 9 2 3" xfId="35359" xr:uid="{00000000-0005-0000-0000-0000238A0000}"/>
    <cellStyle name="Total 9 2 4" xfId="35360" xr:uid="{00000000-0005-0000-0000-0000248A0000}"/>
    <cellStyle name="Total 9 3" xfId="35361" xr:uid="{00000000-0005-0000-0000-0000258A0000}"/>
    <cellStyle name="Total 9 4" xfId="35362" xr:uid="{00000000-0005-0000-0000-0000268A0000}"/>
    <cellStyle name="Total 9 5" xfId="35363" xr:uid="{00000000-0005-0000-0000-0000278A0000}"/>
    <cellStyle name="Total 9 6" xfId="35364" xr:uid="{00000000-0005-0000-0000-0000288A0000}"/>
    <cellStyle name="Warning Text 10" xfId="35365" xr:uid="{00000000-0005-0000-0000-0000298A0000}"/>
    <cellStyle name="Warning Text 11" xfId="35366" xr:uid="{00000000-0005-0000-0000-00002A8A0000}"/>
    <cellStyle name="Warning Text 12" xfId="35367" xr:uid="{00000000-0005-0000-0000-00002B8A0000}"/>
    <cellStyle name="Warning Text 13" xfId="35368" xr:uid="{00000000-0005-0000-0000-00002C8A0000}"/>
    <cellStyle name="Warning Text 14" xfId="35369" xr:uid="{00000000-0005-0000-0000-00002D8A0000}"/>
    <cellStyle name="Warning Text 15" xfId="35370" xr:uid="{00000000-0005-0000-0000-00002E8A0000}"/>
    <cellStyle name="Warning Text 16" xfId="35371" xr:uid="{00000000-0005-0000-0000-00002F8A0000}"/>
    <cellStyle name="Warning Text 17" xfId="35372" xr:uid="{00000000-0005-0000-0000-0000308A0000}"/>
    <cellStyle name="Warning Text 18" xfId="35373" xr:uid="{00000000-0005-0000-0000-0000318A0000}"/>
    <cellStyle name="Warning Text 19" xfId="35374" xr:uid="{00000000-0005-0000-0000-0000328A0000}"/>
    <cellStyle name="Warning Text 2" xfId="35375" xr:uid="{00000000-0005-0000-0000-0000338A0000}"/>
    <cellStyle name="Warning Text 2 2" xfId="35376" xr:uid="{00000000-0005-0000-0000-0000348A0000}"/>
    <cellStyle name="Warning Text 2 3" xfId="35377" xr:uid="{00000000-0005-0000-0000-0000358A0000}"/>
    <cellStyle name="Warning Text 2 4" xfId="35378" xr:uid="{00000000-0005-0000-0000-0000368A0000}"/>
    <cellStyle name="Warning Text 20" xfId="35379" xr:uid="{00000000-0005-0000-0000-0000378A0000}"/>
    <cellStyle name="Warning Text 21" xfId="35380" xr:uid="{00000000-0005-0000-0000-0000388A0000}"/>
    <cellStyle name="Warning Text 22" xfId="35381" xr:uid="{00000000-0005-0000-0000-0000398A0000}"/>
    <cellStyle name="Warning Text 23" xfId="35382" xr:uid="{00000000-0005-0000-0000-00003A8A0000}"/>
    <cellStyle name="Warning Text 24" xfId="35383" xr:uid="{00000000-0005-0000-0000-00003B8A0000}"/>
    <cellStyle name="Warning Text 25" xfId="35384" xr:uid="{00000000-0005-0000-0000-00003C8A0000}"/>
    <cellStyle name="Warning Text 26" xfId="35385" xr:uid="{00000000-0005-0000-0000-00003D8A0000}"/>
    <cellStyle name="Warning Text 27" xfId="35386" xr:uid="{00000000-0005-0000-0000-00003E8A0000}"/>
    <cellStyle name="Warning Text 28" xfId="35387" xr:uid="{00000000-0005-0000-0000-00003F8A0000}"/>
    <cellStyle name="Warning Text 29" xfId="35388" xr:uid="{00000000-0005-0000-0000-0000408A0000}"/>
    <cellStyle name="Warning Text 3" xfId="35389" xr:uid="{00000000-0005-0000-0000-0000418A0000}"/>
    <cellStyle name="Warning Text 30" xfId="35390" xr:uid="{00000000-0005-0000-0000-0000428A0000}"/>
    <cellStyle name="Warning Text 31" xfId="35391" xr:uid="{00000000-0005-0000-0000-0000438A0000}"/>
    <cellStyle name="Warning Text 32" xfId="35392" xr:uid="{00000000-0005-0000-0000-0000448A0000}"/>
    <cellStyle name="Warning Text 33" xfId="35393" xr:uid="{00000000-0005-0000-0000-0000458A0000}"/>
    <cellStyle name="Warning Text 34" xfId="35394" xr:uid="{00000000-0005-0000-0000-0000468A0000}"/>
    <cellStyle name="Warning Text 35" xfId="35395" xr:uid="{00000000-0005-0000-0000-0000478A0000}"/>
    <cellStyle name="Warning Text 36" xfId="35396" xr:uid="{00000000-0005-0000-0000-0000488A0000}"/>
    <cellStyle name="Warning Text 37" xfId="35397" xr:uid="{00000000-0005-0000-0000-0000498A0000}"/>
    <cellStyle name="Warning Text 38" xfId="35398" xr:uid="{00000000-0005-0000-0000-00004A8A0000}"/>
    <cellStyle name="Warning Text 39" xfId="35399" xr:uid="{00000000-0005-0000-0000-00004B8A0000}"/>
    <cellStyle name="Warning Text 4" xfId="35400" xr:uid="{00000000-0005-0000-0000-00004C8A0000}"/>
    <cellStyle name="Warning Text 40" xfId="35401" xr:uid="{00000000-0005-0000-0000-00004D8A0000}"/>
    <cellStyle name="Warning Text 41" xfId="35402" xr:uid="{00000000-0005-0000-0000-00004E8A0000}"/>
    <cellStyle name="Warning Text 42" xfId="35403" xr:uid="{00000000-0005-0000-0000-00004F8A0000}"/>
    <cellStyle name="Warning Text 5" xfId="35404" xr:uid="{00000000-0005-0000-0000-0000508A0000}"/>
    <cellStyle name="Warning Text 6" xfId="35405" xr:uid="{00000000-0005-0000-0000-0000518A0000}"/>
    <cellStyle name="Warning Text 7" xfId="35406" xr:uid="{00000000-0005-0000-0000-0000528A0000}"/>
    <cellStyle name="Warning Text 8" xfId="35407" xr:uid="{00000000-0005-0000-0000-0000538A0000}"/>
    <cellStyle name="Warning Text 9" xfId="35408" xr:uid="{00000000-0005-0000-0000-0000548A0000}"/>
    <cellStyle name="Warning Text 9 2" xfId="35409" xr:uid="{00000000-0005-0000-0000-0000558A0000}"/>
    <cellStyle name="Warning Text 9 3" xfId="35410" xr:uid="{00000000-0005-0000-0000-0000568A0000}"/>
  </cellStyles>
  <dxfs count="0"/>
  <tableStyles count="0" defaultTableStyle="TableStyleMedium2" defaultPivotStyle="PivotStyleLight16"/>
  <colors>
    <mruColors>
      <color rgb="FF15EC04"/>
      <color rgb="FFFFCCFF"/>
      <color rgb="FF3333FF"/>
      <color rgb="FFFF6699"/>
      <color rgb="FFFF99FF"/>
      <color rgb="FFEF0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Calculator%20Sheet.xlsx" TargetMode="External"/><Relationship Id="rId1" Type="http://schemas.openxmlformats.org/officeDocument/2006/relationships/externalLinkPath" Target="/RATNA%20daily%20working%20folder/Heera%20Control%20room/Calculator%20Shee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ommon%20DPR/RATNA%20DPR.xlsx" TargetMode="External"/><Relationship Id="rId1" Type="http://schemas.openxmlformats.org/officeDocument/2006/relationships/externalLinkPath" Target="/RATNA%20daily%20working%20folder/Common%20DPR/RATNA%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ow r="4">
          <cell r="D4">
            <v>293.85989999999993</v>
          </cell>
          <cell r="I4">
            <v>0</v>
          </cell>
        </row>
        <row r="5">
          <cell r="D5">
            <v>267.15150000000006</v>
          </cell>
          <cell r="I5">
            <v>0</v>
          </cell>
        </row>
        <row r="6">
          <cell r="D6">
            <v>449.56979999999993</v>
          </cell>
          <cell r="I6">
            <v>0</v>
          </cell>
        </row>
        <row r="7">
          <cell r="D7">
            <v>863.62056000000007</v>
          </cell>
          <cell r="I7">
            <v>0</v>
          </cell>
        </row>
        <row r="8">
          <cell r="D8">
            <v>149.52599999999998</v>
          </cell>
          <cell r="I8">
            <v>0</v>
          </cell>
        </row>
        <row r="9">
          <cell r="D9">
            <v>411.27426000000003</v>
          </cell>
          <cell r="I9">
            <v>0</v>
          </cell>
        </row>
        <row r="10">
          <cell r="D10">
            <v>471.34710000000007</v>
          </cell>
          <cell r="I10">
            <v>0</v>
          </cell>
        </row>
        <row r="11">
          <cell r="D11">
            <v>306.52649999999994</v>
          </cell>
          <cell r="I11">
            <v>0</v>
          </cell>
        </row>
        <row r="12">
          <cell r="D12"/>
          <cell r="I12" t="str">
            <v>-</v>
          </cell>
        </row>
        <row r="13">
          <cell r="D13">
            <v>264.59999999999997</v>
          </cell>
          <cell r="I13">
            <v>0</v>
          </cell>
        </row>
        <row r="14">
          <cell r="D14">
            <v>514.16100000000006</v>
          </cell>
          <cell r="I14">
            <v>0</v>
          </cell>
        </row>
        <row r="15">
          <cell r="D15" t="str">
            <v>-</v>
          </cell>
          <cell r="I15">
            <v>0</v>
          </cell>
        </row>
        <row r="16">
          <cell r="D16">
            <v>96.444000000000017</v>
          </cell>
          <cell r="I16">
            <v>0</v>
          </cell>
        </row>
        <row r="17">
          <cell r="D17">
            <v>71.146706399999999</v>
          </cell>
        </row>
        <row r="18">
          <cell r="D18">
            <v>428.73749999999995</v>
          </cell>
          <cell r="I18">
            <v>0</v>
          </cell>
        </row>
        <row r="19">
          <cell r="D19">
            <v>181.75137749999999</v>
          </cell>
        </row>
        <row r="20">
          <cell r="D20">
            <v>181.94399999999996</v>
          </cell>
          <cell r="I20">
            <v>0</v>
          </cell>
        </row>
        <row r="21">
          <cell r="D21">
            <v>41.048370000000006</v>
          </cell>
          <cell r="I21">
            <v>0</v>
          </cell>
        </row>
        <row r="22">
          <cell r="D22">
            <v>971.08829999999978</v>
          </cell>
          <cell r="I22">
            <v>0</v>
          </cell>
        </row>
        <row r="23">
          <cell r="D23">
            <v>195.0102</v>
          </cell>
          <cell r="I23">
            <v>0</v>
          </cell>
        </row>
        <row r="24">
          <cell r="D24">
            <v>319.16879999999998</v>
          </cell>
          <cell r="I24">
            <v>0</v>
          </cell>
        </row>
        <row r="25">
          <cell r="D25">
            <v>164.10240000000005</v>
          </cell>
          <cell r="I25">
            <v>0</v>
          </cell>
        </row>
        <row r="26">
          <cell r="D26">
            <v>293.78250000000003</v>
          </cell>
          <cell r="I26">
            <v>0</v>
          </cell>
        </row>
        <row r="27">
          <cell r="D27">
            <v>205.16850000000005</v>
          </cell>
        </row>
        <row r="28">
          <cell r="D28">
            <v>538.20000000000005</v>
          </cell>
          <cell r="I28">
            <v>0</v>
          </cell>
        </row>
        <row r="29">
          <cell r="D29">
            <v>0</v>
          </cell>
          <cell r="I29">
            <v>0</v>
          </cell>
        </row>
        <row r="30">
          <cell r="D30">
            <v>0</v>
          </cell>
          <cell r="I30">
            <v>0</v>
          </cell>
        </row>
        <row r="31">
          <cell r="D31">
            <v>425.8116</v>
          </cell>
          <cell r="I31">
            <v>0</v>
          </cell>
        </row>
        <row r="32">
          <cell r="D32">
            <v>118.69199999999999</v>
          </cell>
          <cell r="I32">
            <v>0</v>
          </cell>
        </row>
        <row r="33">
          <cell r="D33">
            <v>26.997299999999999</v>
          </cell>
          <cell r="I33">
            <v>0</v>
          </cell>
        </row>
        <row r="34">
          <cell r="D34">
            <v>13.365</v>
          </cell>
          <cell r="I34">
            <v>0</v>
          </cell>
        </row>
        <row r="35">
          <cell r="D35">
            <v>544.30919999999992</v>
          </cell>
          <cell r="I35">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DPR"/>
      <sheetName val="FTHP AND FAT COMP"/>
      <sheetName val="R-12A"/>
      <sheetName val="R7A"/>
      <sheetName val="R9A"/>
      <sheetName val="R10A"/>
      <sheetName val="R9A#8"/>
      <sheetName val="R 13A"/>
      <sheetName val="R12B"/>
      <sheetName val="Sheet23"/>
      <sheetName val="Sheet3"/>
      <sheetName val="Sheet39"/>
      <sheetName val="Sheet38"/>
      <sheetName val="Sheet7"/>
      <sheetName val="CHEMICAL STORAGE TANK LEVEL"/>
      <sheetName val="POB"/>
      <sheetName val="Sheet41"/>
      <sheetName val="Sheet37"/>
      <sheetName val="Sheet35"/>
      <sheetName val="Sheet36"/>
      <sheetName val="POB E &amp; NE"/>
      <sheetName val="Sheet9"/>
      <sheetName val="Sheet24"/>
      <sheetName val="Sheet27"/>
      <sheetName val="Sheet28"/>
      <sheetName val="Sheet11"/>
      <sheetName val="Sheet12"/>
      <sheetName val="Sheet13"/>
      <sheetName val="Sheet14"/>
      <sheetName val="Sheet15"/>
      <sheetName val="Sheet16"/>
      <sheetName val="Sheet17"/>
      <sheetName val="HSD &amp; POT WATER"/>
      <sheetName val="Sheet10"/>
      <sheetName val="Sheet8"/>
      <sheetName val=" CON DAY"/>
      <sheetName val="HSD &amp; POT Water "/>
      <sheetName val="Sheet4"/>
      <sheetName val="Material Incoming Outgoing_"/>
      <sheetName val="Fuel &amp; Water status"/>
      <sheetName val="Material On Board"/>
      <sheetName val="Chemical Stock"/>
      <sheetName val="Maintenance Equipment Status"/>
      <sheetName val="Maintenance DPR"/>
      <sheetName val="H2S and CO2 data"/>
      <sheetName val="Sheet2"/>
      <sheetName val="Sheet1"/>
      <sheetName val="Sheet18"/>
      <sheetName val="Sheet19"/>
      <sheetName val="Sheet20"/>
      <sheetName val="Sheet21"/>
      <sheetName val="Sheet22"/>
      <sheetName val="Sheet26"/>
      <sheetName val="Link sheet for base"/>
      <sheetName val="Sheet31"/>
      <sheetName val="Link Sheet"/>
      <sheetName val="CHEMICAL LINK SHEET"/>
      <sheetName val="Sheet40"/>
      <sheetName val="Sheet29"/>
      <sheetName val="Sheet6"/>
      <sheetName val="Sheet34"/>
      <sheetName val="Sheet33"/>
      <sheetName val="Sheet32"/>
      <sheetName val="Sheet30"/>
      <sheetName val="Sheet25"/>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3">
          <cell r="C3">
            <v>36.18</v>
          </cell>
          <cell r="D3">
            <v>7</v>
          </cell>
        </row>
        <row r="4">
          <cell r="C4">
            <v>27.33</v>
          </cell>
          <cell r="D4">
            <v>25</v>
          </cell>
        </row>
        <row r="5">
          <cell r="C5">
            <v>21.24</v>
          </cell>
        </row>
        <row r="6">
          <cell r="C6">
            <v>29.65</v>
          </cell>
        </row>
        <row r="7">
          <cell r="C7">
            <v>23.26</v>
          </cell>
        </row>
        <row r="8">
          <cell r="C8">
            <v>36.25</v>
          </cell>
        </row>
        <row r="9">
          <cell r="C9">
            <v>26.84</v>
          </cell>
          <cell r="D9">
            <v>13</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5.bin"/><Relationship Id="rId13" Type="http://schemas.openxmlformats.org/officeDocument/2006/relationships/printerSettings" Target="../printerSettings/printerSettings30.bin"/><Relationship Id="rId3" Type="http://schemas.openxmlformats.org/officeDocument/2006/relationships/printerSettings" Target="../printerSettings/printerSettings20.bin"/><Relationship Id="rId7" Type="http://schemas.openxmlformats.org/officeDocument/2006/relationships/printerSettings" Target="../printerSettings/printerSettings24.bin"/><Relationship Id="rId12" Type="http://schemas.openxmlformats.org/officeDocument/2006/relationships/printerSettings" Target="../printerSettings/printerSettings29.bin"/><Relationship Id="rId17" Type="http://schemas.openxmlformats.org/officeDocument/2006/relationships/printerSettings" Target="../printerSettings/printerSettings34.bin"/><Relationship Id="rId2" Type="http://schemas.openxmlformats.org/officeDocument/2006/relationships/printerSettings" Target="../printerSettings/printerSettings19.bin"/><Relationship Id="rId16" Type="http://schemas.openxmlformats.org/officeDocument/2006/relationships/printerSettings" Target="../printerSettings/printerSettings33.bin"/><Relationship Id="rId1" Type="http://schemas.openxmlformats.org/officeDocument/2006/relationships/printerSettings" Target="../printerSettings/printerSettings18.bin"/><Relationship Id="rId6" Type="http://schemas.openxmlformats.org/officeDocument/2006/relationships/printerSettings" Target="../printerSettings/printerSettings23.bin"/><Relationship Id="rId11" Type="http://schemas.openxmlformats.org/officeDocument/2006/relationships/printerSettings" Target="../printerSettings/printerSettings28.bin"/><Relationship Id="rId5" Type="http://schemas.openxmlformats.org/officeDocument/2006/relationships/printerSettings" Target="../printerSettings/printerSettings22.bin"/><Relationship Id="rId15" Type="http://schemas.openxmlformats.org/officeDocument/2006/relationships/printerSettings" Target="../printerSettings/printerSettings32.bin"/><Relationship Id="rId10" Type="http://schemas.openxmlformats.org/officeDocument/2006/relationships/printerSettings" Target="../printerSettings/printerSettings27.bin"/><Relationship Id="rId4" Type="http://schemas.openxmlformats.org/officeDocument/2006/relationships/printerSettings" Target="../printerSettings/printerSettings21.bin"/><Relationship Id="rId9" Type="http://schemas.openxmlformats.org/officeDocument/2006/relationships/printerSettings" Target="../printerSettings/printerSettings26.bin"/><Relationship Id="rId14" Type="http://schemas.openxmlformats.org/officeDocument/2006/relationships/printerSettings" Target="../printerSettings/printerSettings31.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2.bin"/><Relationship Id="rId3" Type="http://schemas.openxmlformats.org/officeDocument/2006/relationships/printerSettings" Target="../printerSettings/printerSettings37.bin"/><Relationship Id="rId7" Type="http://schemas.openxmlformats.org/officeDocument/2006/relationships/printerSettings" Target="../printerSettings/printerSettings41.bin"/><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 Id="rId6" Type="http://schemas.openxmlformats.org/officeDocument/2006/relationships/printerSettings" Target="../printerSettings/printerSettings40.bin"/><Relationship Id="rId11" Type="http://schemas.openxmlformats.org/officeDocument/2006/relationships/printerSettings" Target="../printerSettings/printerSettings45.bin"/><Relationship Id="rId5" Type="http://schemas.openxmlformats.org/officeDocument/2006/relationships/printerSettings" Target="../printerSettings/printerSettings39.bin"/><Relationship Id="rId10" Type="http://schemas.openxmlformats.org/officeDocument/2006/relationships/printerSettings" Target="../printerSettings/printerSettings44.bin"/><Relationship Id="rId4" Type="http://schemas.openxmlformats.org/officeDocument/2006/relationships/printerSettings" Target="../printerSettings/printerSettings38.bin"/><Relationship Id="rId9"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4"/>
  <sheetViews>
    <sheetView tabSelected="1" topLeftCell="A40" zoomScaleSheetLayoutView="98" workbookViewId="0">
      <selection activeCell="H3" sqref="H3:H34"/>
    </sheetView>
  </sheetViews>
  <sheetFormatPr defaultColWidth="9.140625" defaultRowHeight="15" x14ac:dyDescent="0.25"/>
  <cols>
    <col min="1" max="1" width="40.140625" style="1" customWidth="1"/>
    <col min="2" max="2" width="11" style="1" customWidth="1"/>
    <col min="3" max="3" width="14" style="1" customWidth="1"/>
    <col min="4" max="4" width="25.5703125" style="1" customWidth="1"/>
    <col min="5" max="5" width="26" style="1" customWidth="1"/>
    <col min="6" max="6" width="44.5703125" style="1" customWidth="1"/>
    <col min="7" max="7" width="25.140625" style="1" customWidth="1"/>
    <col min="8" max="8" width="17.140625" style="1" customWidth="1"/>
    <col min="9" max="9" width="7.28515625" style="1" customWidth="1"/>
    <col min="10" max="10" width="18" style="1" customWidth="1"/>
    <col min="11" max="11" width="39" style="1" bestFit="1" customWidth="1"/>
    <col min="12" max="13" width="9.140625" style="1"/>
    <col min="14" max="14" width="12.140625" style="1" bestFit="1" customWidth="1"/>
    <col min="15" max="16384" width="9.140625" style="1"/>
  </cols>
  <sheetData>
    <row r="1" spans="1:10" ht="23.25" x14ac:dyDescent="0.35">
      <c r="A1" s="574" t="s">
        <v>1</v>
      </c>
      <c r="B1" s="575"/>
      <c r="C1" s="575"/>
      <c r="D1" s="575"/>
      <c r="E1" s="575"/>
      <c r="F1" s="575"/>
      <c r="G1" s="575"/>
      <c r="H1" s="575"/>
      <c r="J1" s="45"/>
    </row>
    <row r="2" spans="1:10" ht="62.25" customHeight="1" thickBot="1" x14ac:dyDescent="0.3">
      <c r="A2" s="2"/>
      <c r="B2" s="320" t="s">
        <v>0</v>
      </c>
      <c r="C2" s="321" t="s">
        <v>52</v>
      </c>
      <c r="D2" s="321" t="s">
        <v>36</v>
      </c>
      <c r="E2" s="321" t="s">
        <v>53</v>
      </c>
      <c r="F2" s="322" t="s">
        <v>54</v>
      </c>
      <c r="G2" s="323" t="s">
        <v>12</v>
      </c>
      <c r="H2" s="26" t="s">
        <v>11</v>
      </c>
    </row>
    <row r="3" spans="1:10" ht="15" customHeight="1" thickBot="1" x14ac:dyDescent="0.3">
      <c r="A3" s="576" t="s">
        <v>2</v>
      </c>
      <c r="B3" s="487">
        <v>1</v>
      </c>
      <c r="C3" s="490" t="s">
        <v>16</v>
      </c>
      <c r="D3" s="429">
        <v>1251</v>
      </c>
      <c r="E3" s="429">
        <f>[1]Sheet1!$D4</f>
        <v>293.85989999999993</v>
      </c>
      <c r="F3" s="430">
        <f>[1]Sheet1!$I4</f>
        <v>0</v>
      </c>
      <c r="G3" s="385" t="s">
        <v>15</v>
      </c>
      <c r="H3" s="583" t="s">
        <v>752</v>
      </c>
    </row>
    <row r="4" spans="1:10" ht="15" customHeight="1" thickBot="1" x14ac:dyDescent="0.3">
      <c r="A4" s="577"/>
      <c r="B4" s="488">
        <v>2</v>
      </c>
      <c r="C4" s="491" t="s">
        <v>17</v>
      </c>
      <c r="D4" s="431">
        <v>1155</v>
      </c>
      <c r="E4" s="429">
        <f>[1]Sheet1!$D5</f>
        <v>267.15150000000006</v>
      </c>
      <c r="F4" s="430">
        <f>[1]Sheet1!$I5</f>
        <v>0</v>
      </c>
      <c r="G4" s="385" t="s">
        <v>15</v>
      </c>
      <c r="H4" s="584"/>
    </row>
    <row r="5" spans="1:10" ht="15" customHeight="1" thickBot="1" x14ac:dyDescent="0.3">
      <c r="A5" s="577"/>
      <c r="B5" s="488">
        <v>3</v>
      </c>
      <c r="C5" s="491" t="s">
        <v>18</v>
      </c>
      <c r="D5" s="431">
        <v>1318</v>
      </c>
      <c r="E5" s="429">
        <f>[1]Sheet1!$D6</f>
        <v>449.56979999999993</v>
      </c>
      <c r="F5" s="430">
        <f>[1]Sheet1!$I6</f>
        <v>0</v>
      </c>
      <c r="G5" s="385" t="s">
        <v>15</v>
      </c>
      <c r="H5" s="584"/>
    </row>
    <row r="6" spans="1:10" ht="15" customHeight="1" thickBot="1" x14ac:dyDescent="0.3">
      <c r="A6" s="577"/>
      <c r="B6" s="488">
        <v>4</v>
      </c>
      <c r="C6" s="491" t="s">
        <v>652</v>
      </c>
      <c r="D6" s="431">
        <v>991</v>
      </c>
      <c r="E6" s="429">
        <f>[1]Sheet1!$D7</f>
        <v>863.62056000000007</v>
      </c>
      <c r="F6" s="430">
        <f>[1]Sheet1!$I7</f>
        <v>0</v>
      </c>
      <c r="G6" s="385" t="s">
        <v>612</v>
      </c>
      <c r="H6" s="584"/>
    </row>
    <row r="7" spans="1:10" ht="15" customHeight="1" thickBot="1" x14ac:dyDescent="0.3">
      <c r="A7" s="577"/>
      <c r="B7" s="488">
        <v>5</v>
      </c>
      <c r="C7" s="491" t="s">
        <v>676</v>
      </c>
      <c r="D7" s="544">
        <v>780</v>
      </c>
      <c r="E7" s="429">
        <f>[1]Sheet1!$D8</f>
        <v>149.52599999999998</v>
      </c>
      <c r="F7" s="430">
        <f>[1]Sheet1!$I8</f>
        <v>0</v>
      </c>
      <c r="G7" s="385" t="s">
        <v>612</v>
      </c>
      <c r="H7" s="584"/>
    </row>
    <row r="8" spans="1:10" ht="15" customHeight="1" thickBot="1" x14ac:dyDescent="0.3">
      <c r="A8" s="577"/>
      <c r="B8" s="488">
        <v>6</v>
      </c>
      <c r="C8" s="491" t="s">
        <v>19</v>
      </c>
      <c r="D8" s="544">
        <v>1199.4000000000001</v>
      </c>
      <c r="E8" s="429">
        <f>[1]Sheet1!$D9</f>
        <v>411.27426000000003</v>
      </c>
      <c r="F8" s="430">
        <f>[1]Sheet1!$I9</f>
        <v>0</v>
      </c>
      <c r="G8" s="385" t="s">
        <v>13</v>
      </c>
      <c r="H8" s="584"/>
    </row>
    <row r="9" spans="1:10" ht="15" customHeight="1" thickBot="1" x14ac:dyDescent="0.3">
      <c r="A9" s="577"/>
      <c r="B9" s="488">
        <v>7</v>
      </c>
      <c r="C9" s="491" t="s">
        <v>20</v>
      </c>
      <c r="D9" s="544">
        <v>1141</v>
      </c>
      <c r="E9" s="429">
        <f>[1]Sheet1!$D10</f>
        <v>471.34710000000007</v>
      </c>
      <c r="F9" s="430">
        <f>[1]Sheet1!$I10</f>
        <v>0</v>
      </c>
      <c r="G9" s="385" t="s">
        <v>13</v>
      </c>
      <c r="H9" s="584"/>
    </row>
    <row r="10" spans="1:10" ht="15" customHeight="1" thickBot="1" x14ac:dyDescent="0.3">
      <c r="A10" s="578"/>
      <c r="B10" s="489">
        <v>8</v>
      </c>
      <c r="C10" s="492" t="s">
        <v>21</v>
      </c>
      <c r="D10" s="431">
        <v>1295</v>
      </c>
      <c r="E10" s="429">
        <f>[1]Sheet1!$D11</f>
        <v>306.52649999999994</v>
      </c>
      <c r="F10" s="430">
        <f>[1]Sheet1!$I11</f>
        <v>0</v>
      </c>
      <c r="G10" s="385" t="s">
        <v>13</v>
      </c>
      <c r="H10" s="584"/>
    </row>
    <row r="11" spans="1:10" ht="15" customHeight="1" thickBot="1" x14ac:dyDescent="0.3">
      <c r="A11" s="585" t="s">
        <v>3</v>
      </c>
      <c r="B11" s="487">
        <v>9</v>
      </c>
      <c r="C11" s="496" t="s">
        <v>22</v>
      </c>
      <c r="D11" s="432"/>
      <c r="E11" s="429">
        <f>[1]Sheet1!$D12</f>
        <v>0</v>
      </c>
      <c r="F11" s="430" t="str">
        <f>[1]Sheet1!$I12</f>
        <v>-</v>
      </c>
      <c r="G11" s="381" t="s">
        <v>55</v>
      </c>
      <c r="H11" s="584"/>
    </row>
    <row r="12" spans="1:10" ht="15" customHeight="1" thickBot="1" x14ac:dyDescent="0.3">
      <c r="A12" s="586"/>
      <c r="B12" s="488">
        <v>10</v>
      </c>
      <c r="C12" s="497" t="s">
        <v>23</v>
      </c>
      <c r="D12" s="433">
        <v>300</v>
      </c>
      <c r="E12" s="429">
        <f>[1]Sheet1!$D13</f>
        <v>264.59999999999997</v>
      </c>
      <c r="F12" s="430">
        <f>[1]Sheet1!$I13</f>
        <v>0</v>
      </c>
      <c r="G12" s="382" t="s">
        <v>44</v>
      </c>
      <c r="H12" s="584"/>
    </row>
    <row r="13" spans="1:10" ht="15" customHeight="1" thickBot="1" x14ac:dyDescent="0.3">
      <c r="A13" s="586"/>
      <c r="B13" s="488">
        <v>11</v>
      </c>
      <c r="C13" s="389" t="s">
        <v>35</v>
      </c>
      <c r="D13" s="387">
        <v>695</v>
      </c>
      <c r="E13" s="429">
        <f>[1]Sheet1!$D14</f>
        <v>514.16100000000006</v>
      </c>
      <c r="F13" s="430">
        <f>[1]Sheet1!$I14</f>
        <v>0</v>
      </c>
      <c r="G13" s="513" t="s">
        <v>612</v>
      </c>
      <c r="H13" s="584"/>
    </row>
    <row r="14" spans="1:10" ht="15" customHeight="1" thickBot="1" x14ac:dyDescent="0.3">
      <c r="A14" s="586"/>
      <c r="B14" s="488">
        <v>12</v>
      </c>
      <c r="C14" s="498" t="s">
        <v>39</v>
      </c>
      <c r="D14" s="434">
        <v>0</v>
      </c>
      <c r="E14" s="429" t="str">
        <f>[1]Sheet1!$D15</f>
        <v>-</v>
      </c>
      <c r="F14" s="430">
        <f>[1]Sheet1!$I15</f>
        <v>0</v>
      </c>
      <c r="G14" s="383" t="s">
        <v>55</v>
      </c>
      <c r="H14" s="584"/>
    </row>
    <row r="15" spans="1:10" ht="15" customHeight="1" thickBot="1" x14ac:dyDescent="0.3">
      <c r="A15" s="586"/>
      <c r="B15" s="488">
        <v>13</v>
      </c>
      <c r="C15" s="491" t="s">
        <v>46</v>
      </c>
      <c r="D15" s="435">
        <v>380</v>
      </c>
      <c r="E15" s="429">
        <f>[1]Sheet1!$D16</f>
        <v>96.444000000000017</v>
      </c>
      <c r="F15" s="430">
        <f>[1]Sheet1!$I16</f>
        <v>0</v>
      </c>
      <c r="G15" s="385" t="s">
        <v>13</v>
      </c>
      <c r="H15" s="584"/>
    </row>
    <row r="16" spans="1:10" ht="15" customHeight="1" thickBot="1" x14ac:dyDescent="0.3">
      <c r="A16" s="587"/>
      <c r="B16" s="489">
        <v>14</v>
      </c>
      <c r="C16" s="499" t="s">
        <v>260</v>
      </c>
      <c r="D16" s="520">
        <v>135</v>
      </c>
      <c r="E16" s="429">
        <f>[1]Sheet1!$D17</f>
        <v>71.146706399999999</v>
      </c>
      <c r="F16" s="430">
        <v>30</v>
      </c>
      <c r="G16" s="384" t="s">
        <v>44</v>
      </c>
      <c r="H16" s="584"/>
    </row>
    <row r="17" spans="1:15" ht="15" customHeight="1" thickBot="1" x14ac:dyDescent="0.35">
      <c r="A17" s="581" t="s">
        <v>4</v>
      </c>
      <c r="B17" s="487">
        <v>15</v>
      </c>
      <c r="C17" s="515" t="s">
        <v>24</v>
      </c>
      <c r="D17" s="521">
        <v>515</v>
      </c>
      <c r="E17" s="429">
        <f>[1]Sheet1!$D18</f>
        <v>428.73749999999995</v>
      </c>
      <c r="F17" s="430">
        <f>[1]Sheet1!$I18</f>
        <v>0</v>
      </c>
      <c r="G17" s="385" t="s">
        <v>13</v>
      </c>
      <c r="H17" s="584"/>
      <c r="I17" s="205"/>
      <c r="N17" s="12"/>
      <c r="O17" s="15"/>
    </row>
    <row r="18" spans="1:15" ht="15" customHeight="1" thickBot="1" x14ac:dyDescent="0.35">
      <c r="A18" s="582"/>
      <c r="B18" s="488">
        <v>16</v>
      </c>
      <c r="C18" s="517" t="s">
        <v>25</v>
      </c>
      <c r="D18" s="524">
        <v>232.92499999999998</v>
      </c>
      <c r="E18" s="429">
        <f>[1]Sheet1!$D19</f>
        <v>181.75137749999999</v>
      </c>
      <c r="F18" s="430">
        <v>44</v>
      </c>
      <c r="G18" s="514" t="s">
        <v>44</v>
      </c>
      <c r="H18" s="584"/>
      <c r="N18" s="14"/>
      <c r="O18" s="15"/>
    </row>
    <row r="19" spans="1:15" ht="15" customHeight="1" thickBot="1" x14ac:dyDescent="0.35">
      <c r="A19" s="582"/>
      <c r="B19" s="488">
        <v>17</v>
      </c>
      <c r="C19" s="516" t="s">
        <v>26</v>
      </c>
      <c r="D19" s="521">
        <v>266</v>
      </c>
      <c r="E19" s="429">
        <f>[1]Sheet1!$D20</f>
        <v>181.94399999999996</v>
      </c>
      <c r="F19" s="430">
        <f>[1]Sheet1!$I20</f>
        <v>0</v>
      </c>
      <c r="G19" s="385" t="s">
        <v>13</v>
      </c>
      <c r="H19" s="584"/>
      <c r="N19" s="12"/>
      <c r="O19" s="15"/>
    </row>
    <row r="20" spans="1:15" ht="15" customHeight="1" thickBot="1" x14ac:dyDescent="0.35">
      <c r="A20" s="582"/>
      <c r="B20" s="488">
        <v>18</v>
      </c>
      <c r="C20" s="517" t="s">
        <v>27</v>
      </c>
      <c r="D20" s="522">
        <v>81.3</v>
      </c>
      <c r="E20" s="429">
        <f>[1]Sheet1!$D21</f>
        <v>41.048370000000006</v>
      </c>
      <c r="F20" s="430">
        <f>[1]Sheet1!$I21</f>
        <v>0</v>
      </c>
      <c r="G20" s="384" t="s">
        <v>44</v>
      </c>
      <c r="H20" s="584"/>
      <c r="N20" s="12"/>
      <c r="O20" s="15"/>
    </row>
    <row r="21" spans="1:15" ht="15" customHeight="1" thickBot="1" x14ac:dyDescent="0.35">
      <c r="A21" s="582"/>
      <c r="B21" s="488">
        <v>19</v>
      </c>
      <c r="C21" s="518" t="s">
        <v>28</v>
      </c>
      <c r="D21" s="523">
        <v>1169</v>
      </c>
      <c r="E21" s="429">
        <f>[1]Sheet1!$D22</f>
        <v>971.08829999999978</v>
      </c>
      <c r="F21" s="430">
        <f>[1]Sheet1!$I22</f>
        <v>0</v>
      </c>
      <c r="G21" s="390" t="s">
        <v>48</v>
      </c>
      <c r="H21" s="584"/>
      <c r="N21" s="12"/>
      <c r="O21" s="15"/>
    </row>
    <row r="22" spans="1:15" ht="15" customHeight="1" thickBot="1" x14ac:dyDescent="0.35">
      <c r="A22" s="582"/>
      <c r="B22" s="488">
        <v>20</v>
      </c>
      <c r="C22" s="518" t="s">
        <v>87</v>
      </c>
      <c r="D22" s="523">
        <v>231</v>
      </c>
      <c r="E22" s="429">
        <f>[1]Sheet1!$D23</f>
        <v>195.0102</v>
      </c>
      <c r="F22" s="430">
        <f>[1]Sheet1!$I23</f>
        <v>0</v>
      </c>
      <c r="G22" s="390" t="s">
        <v>48</v>
      </c>
      <c r="H22" s="584"/>
      <c r="N22" s="12"/>
      <c r="O22" s="15"/>
    </row>
    <row r="23" spans="1:15" ht="15" customHeight="1" thickBot="1" x14ac:dyDescent="0.35">
      <c r="A23" s="493"/>
      <c r="B23" s="489">
        <v>21</v>
      </c>
      <c r="C23" s="519" t="s">
        <v>123</v>
      </c>
      <c r="D23" s="545">
        <v>388</v>
      </c>
      <c r="E23" s="429">
        <f>[1]Sheet1!$D24</f>
        <v>319.16879999999998</v>
      </c>
      <c r="F23" s="430">
        <f>[1]Sheet1!$I24</f>
        <v>0</v>
      </c>
      <c r="G23" s="385" t="s">
        <v>13</v>
      </c>
      <c r="H23" s="584"/>
      <c r="N23" s="12"/>
      <c r="O23" s="15"/>
    </row>
    <row r="24" spans="1:15" ht="15" customHeight="1" thickBot="1" x14ac:dyDescent="0.35">
      <c r="A24" s="494"/>
      <c r="B24" s="487">
        <v>22</v>
      </c>
      <c r="C24" s="490" t="s">
        <v>57</v>
      </c>
      <c r="D24" s="546">
        <v>704</v>
      </c>
      <c r="E24" s="429">
        <f>[1]Sheet1!$D25</f>
        <v>164.10240000000005</v>
      </c>
      <c r="F24" s="430">
        <f>[1]Sheet1!$I25</f>
        <v>0</v>
      </c>
      <c r="G24" s="385" t="s">
        <v>13</v>
      </c>
      <c r="H24" s="584"/>
      <c r="N24" s="12"/>
      <c r="O24" s="15"/>
    </row>
    <row r="25" spans="1:15" ht="15" customHeight="1" thickBot="1" x14ac:dyDescent="0.35">
      <c r="A25" s="495" t="s">
        <v>9</v>
      </c>
      <c r="B25" s="488">
        <v>23</v>
      </c>
      <c r="C25" s="491" t="s">
        <v>58</v>
      </c>
      <c r="D25" s="438">
        <v>1187</v>
      </c>
      <c r="E25" s="429">
        <f>[1]Sheet1!$D26</f>
        <v>293.78250000000003</v>
      </c>
      <c r="F25" s="430">
        <f>[1]Sheet1!$I26</f>
        <v>0</v>
      </c>
      <c r="G25" s="385" t="s">
        <v>13</v>
      </c>
      <c r="H25" s="584"/>
      <c r="N25" s="12"/>
      <c r="O25" s="15"/>
    </row>
    <row r="26" spans="1:15" ht="15" customHeight="1" thickBot="1" x14ac:dyDescent="0.35">
      <c r="A26" s="504"/>
      <c r="B26" s="489">
        <v>24</v>
      </c>
      <c r="C26" s="389" t="s">
        <v>37</v>
      </c>
      <c r="D26" s="438">
        <v>635</v>
      </c>
      <c r="E26" s="429">
        <f>[1]Sheet1!$D27</f>
        <v>205.16850000000005</v>
      </c>
      <c r="F26" s="430">
        <v>72</v>
      </c>
      <c r="G26" s="480" t="s">
        <v>712</v>
      </c>
      <c r="H26" s="584"/>
      <c r="N26" s="12"/>
      <c r="O26" s="15"/>
    </row>
    <row r="27" spans="1:15" ht="15" customHeight="1" thickBot="1" x14ac:dyDescent="0.35">
      <c r="A27" s="579" t="s">
        <v>5</v>
      </c>
      <c r="B27" s="487">
        <v>25</v>
      </c>
      <c r="C27" s="490" t="s">
        <v>29</v>
      </c>
      <c r="D27" s="547">
        <v>650</v>
      </c>
      <c r="E27" s="429">
        <f>[1]Sheet1!$D28</f>
        <v>538.20000000000005</v>
      </c>
      <c r="F27" s="430">
        <f>[1]Sheet1!$I28</f>
        <v>0</v>
      </c>
      <c r="G27" s="385" t="s">
        <v>15</v>
      </c>
      <c r="H27" s="584"/>
      <c r="N27" s="12"/>
      <c r="O27" s="15"/>
    </row>
    <row r="28" spans="1:15" ht="15" customHeight="1" thickBot="1" x14ac:dyDescent="0.35">
      <c r="A28" s="580"/>
      <c r="B28" s="488">
        <v>26</v>
      </c>
      <c r="C28" s="500" t="s">
        <v>49</v>
      </c>
      <c r="D28" s="437">
        <v>0</v>
      </c>
      <c r="E28" s="429">
        <f>[1]Sheet1!$D29</f>
        <v>0</v>
      </c>
      <c r="F28" s="430">
        <f>[1]Sheet1!$I29</f>
        <v>0</v>
      </c>
      <c r="G28" s="541" t="s">
        <v>717</v>
      </c>
      <c r="H28" s="584"/>
      <c r="N28" s="12"/>
      <c r="O28" s="15"/>
    </row>
    <row r="29" spans="1:15" ht="15" customHeight="1" thickBot="1" x14ac:dyDescent="0.35">
      <c r="A29" s="580"/>
      <c r="B29" s="489">
        <v>27</v>
      </c>
      <c r="C29" s="388" t="s">
        <v>30</v>
      </c>
      <c r="D29" s="386">
        <v>0</v>
      </c>
      <c r="E29" s="429">
        <f>[1]Sheet1!$D30</f>
        <v>0</v>
      </c>
      <c r="F29" s="430">
        <f>[1]Sheet1!$I30</f>
        <v>0</v>
      </c>
      <c r="G29" s="541" t="s">
        <v>717</v>
      </c>
      <c r="H29" s="584"/>
      <c r="N29" s="12"/>
      <c r="O29" s="15"/>
    </row>
    <row r="30" spans="1:15" ht="15" customHeight="1" thickBot="1" x14ac:dyDescent="0.35">
      <c r="A30" s="579" t="s">
        <v>6</v>
      </c>
      <c r="B30" s="487">
        <v>28</v>
      </c>
      <c r="C30" s="501" t="s">
        <v>31</v>
      </c>
      <c r="D30" s="436">
        <v>886</v>
      </c>
      <c r="E30" s="429">
        <f>[1]Sheet1!$D31</f>
        <v>425.8116</v>
      </c>
      <c r="F30" s="430">
        <f>[1]Sheet1!$I31</f>
        <v>0</v>
      </c>
      <c r="G30" s="385" t="s">
        <v>13</v>
      </c>
      <c r="H30" s="584"/>
      <c r="N30" s="12"/>
      <c r="O30" s="14"/>
    </row>
    <row r="31" spans="1:15" ht="15" customHeight="1" thickBot="1" x14ac:dyDescent="0.35">
      <c r="A31" s="580"/>
      <c r="B31" s="488">
        <v>29</v>
      </c>
      <c r="C31" s="491" t="s">
        <v>32</v>
      </c>
      <c r="D31" s="435">
        <v>1099</v>
      </c>
      <c r="E31" s="429">
        <f>[1]Sheet1!$D32</f>
        <v>118.69199999999999</v>
      </c>
      <c r="F31" s="430">
        <f>[1]Sheet1!$I32</f>
        <v>0</v>
      </c>
      <c r="G31" s="385" t="s">
        <v>13</v>
      </c>
      <c r="H31" s="584"/>
      <c r="J31" s="406"/>
      <c r="K31" s="406"/>
      <c r="N31" s="12"/>
      <c r="O31" s="14"/>
    </row>
    <row r="32" spans="1:15" ht="15" customHeight="1" thickBot="1" x14ac:dyDescent="0.35">
      <c r="A32" s="580"/>
      <c r="B32" s="488">
        <v>30</v>
      </c>
      <c r="C32" s="500" t="s">
        <v>33</v>
      </c>
      <c r="D32" s="437">
        <v>30.3</v>
      </c>
      <c r="E32" s="429">
        <f>[1]Sheet1!$D33</f>
        <v>26.997299999999999</v>
      </c>
      <c r="F32" s="430">
        <f>[1]Sheet1!$I33</f>
        <v>0</v>
      </c>
      <c r="G32" s="390" t="s">
        <v>48</v>
      </c>
      <c r="H32" s="584"/>
      <c r="I32" s="19"/>
      <c r="J32" s="406"/>
      <c r="K32" s="406"/>
      <c r="N32" s="13"/>
      <c r="O32" s="14"/>
    </row>
    <row r="33" spans="1:15" ht="15" customHeight="1" thickBot="1" x14ac:dyDescent="0.35">
      <c r="A33" s="580"/>
      <c r="B33" s="488">
        <v>31</v>
      </c>
      <c r="C33" s="500" t="s">
        <v>34</v>
      </c>
      <c r="D33" s="437">
        <v>15</v>
      </c>
      <c r="E33" s="429">
        <f>[1]Sheet1!$D34</f>
        <v>13.365</v>
      </c>
      <c r="F33" s="430">
        <f>[1]Sheet1!$I34</f>
        <v>0</v>
      </c>
      <c r="G33" s="390" t="s">
        <v>48</v>
      </c>
      <c r="H33" s="584"/>
      <c r="J33" s="406"/>
      <c r="K33" s="406"/>
      <c r="N33" s="14"/>
      <c r="O33" s="15"/>
    </row>
    <row r="34" spans="1:15" ht="15" customHeight="1" thickBot="1" x14ac:dyDescent="0.35">
      <c r="A34" s="504"/>
      <c r="B34" s="489">
        <v>32</v>
      </c>
      <c r="C34" s="492" t="s">
        <v>261</v>
      </c>
      <c r="D34" s="439">
        <v>998</v>
      </c>
      <c r="E34" s="429">
        <f>[1]Sheet1!$D35</f>
        <v>544.30919999999992</v>
      </c>
      <c r="F34" s="430">
        <f>[1]Sheet1!$I35</f>
        <v>0</v>
      </c>
      <c r="G34" s="385" t="s">
        <v>13</v>
      </c>
      <c r="H34" s="584"/>
      <c r="J34" s="406"/>
      <c r="K34" s="406"/>
      <c r="N34" s="14"/>
      <c r="O34" s="15"/>
    </row>
    <row r="35" spans="1:15" ht="18" customHeight="1" x14ac:dyDescent="0.3">
      <c r="A35" s="588" t="s">
        <v>47</v>
      </c>
      <c r="B35" s="588"/>
      <c r="C35" s="589"/>
      <c r="D35" s="440">
        <f>SUM(D3:D34)</f>
        <v>19727.924999999999</v>
      </c>
      <c r="E35" s="441">
        <f>SUM(E3:E34)</f>
        <v>8808.404373899999</v>
      </c>
      <c r="F35" s="442">
        <f>SUM(F3:F34)</f>
        <v>146</v>
      </c>
      <c r="G35" s="598" t="s">
        <v>56</v>
      </c>
      <c r="H35" s="599"/>
      <c r="I35" s="18"/>
      <c r="M35" s="6"/>
      <c r="N35" s="12"/>
      <c r="O35" s="15"/>
    </row>
    <row r="36" spans="1:15" ht="30.75" x14ac:dyDescent="0.3">
      <c r="A36" s="503" t="s">
        <v>43</v>
      </c>
      <c r="B36" s="505">
        <v>19</v>
      </c>
      <c r="C36" s="502" t="s">
        <v>45</v>
      </c>
      <c r="D36" s="502"/>
      <c r="E36" s="507">
        <v>4</v>
      </c>
      <c r="F36" s="596" t="s">
        <v>40</v>
      </c>
      <c r="G36" s="597"/>
      <c r="H36" s="29" t="s">
        <v>62</v>
      </c>
      <c r="I36" s="27"/>
      <c r="M36" s="6"/>
      <c r="N36" s="12"/>
      <c r="O36" s="15"/>
    </row>
    <row r="37" spans="1:15" ht="19.5" thickBot="1" x14ac:dyDescent="0.35">
      <c r="A37" s="510" t="s">
        <v>14</v>
      </c>
      <c r="B37" s="506">
        <v>5</v>
      </c>
      <c r="C37" s="25" t="s">
        <v>42</v>
      </c>
      <c r="D37" s="25"/>
      <c r="E37" s="508">
        <v>4</v>
      </c>
      <c r="F37" s="600" t="s">
        <v>41</v>
      </c>
      <c r="G37" s="601"/>
      <c r="H37" s="20" t="s">
        <v>63</v>
      </c>
      <c r="I37" s="27"/>
      <c r="M37" s="6"/>
      <c r="N37" s="14"/>
      <c r="O37" s="15"/>
    </row>
    <row r="38" spans="1:15" ht="19.5" thickBot="1" x14ac:dyDescent="0.35">
      <c r="A38" s="511" t="s">
        <v>7</v>
      </c>
      <c r="B38" s="511" t="s">
        <v>190</v>
      </c>
      <c r="C38" s="512" t="s">
        <v>8</v>
      </c>
      <c r="D38" s="602" t="s">
        <v>50</v>
      </c>
      <c r="E38" s="603"/>
      <c r="F38" s="604"/>
      <c r="G38" s="604"/>
      <c r="H38" s="604"/>
      <c r="I38" s="604"/>
      <c r="J38" s="604"/>
      <c r="M38" s="6"/>
      <c r="N38" s="14"/>
      <c r="O38" s="15"/>
    </row>
    <row r="39" spans="1:15" ht="19.5" customHeight="1" thickBot="1" x14ac:dyDescent="0.35">
      <c r="A39" s="3" t="s">
        <v>2</v>
      </c>
      <c r="B39" s="7">
        <f>'[2]Fuel &amp; Water status'!$C$3</f>
        <v>36.18</v>
      </c>
      <c r="C39" s="533">
        <f>'[2]Fuel &amp; Water status'!$D$3</f>
        <v>7</v>
      </c>
      <c r="D39" s="609" t="s">
        <v>51</v>
      </c>
      <c r="E39" s="610"/>
      <c r="F39" s="543" t="s">
        <v>708</v>
      </c>
      <c r="G39" s="590" t="s">
        <v>61</v>
      </c>
      <c r="H39" s="591"/>
      <c r="I39" s="605" t="s">
        <v>185</v>
      </c>
      <c r="J39" s="606"/>
      <c r="N39" s="14"/>
      <c r="O39" s="16"/>
    </row>
    <row r="40" spans="1:15" ht="34.5" customHeight="1" x14ac:dyDescent="0.3">
      <c r="A40" s="4" t="s">
        <v>3</v>
      </c>
      <c r="B40" s="10">
        <f>'[2]Fuel &amp; Water status'!$C$4</f>
        <v>27.33</v>
      </c>
      <c r="C40" s="379">
        <f>'[2]Fuel &amp; Water status'!$D$4</f>
        <v>25</v>
      </c>
      <c r="D40" s="607" t="s">
        <v>710</v>
      </c>
      <c r="E40" s="608"/>
      <c r="F40" s="542" t="s">
        <v>719</v>
      </c>
      <c r="G40" s="594" t="s">
        <v>683</v>
      </c>
      <c r="H40" s="595"/>
      <c r="I40" s="592" t="s">
        <v>616</v>
      </c>
      <c r="J40" s="593"/>
      <c r="M40" s="6"/>
      <c r="N40" s="14"/>
      <c r="O40" s="15"/>
    </row>
    <row r="41" spans="1:15" ht="18.75" x14ac:dyDescent="0.3">
      <c r="A41" s="4" t="s">
        <v>60</v>
      </c>
      <c r="B41" s="8">
        <f>'[2]Fuel &amp; Water status'!$C$5</f>
        <v>21.24</v>
      </c>
      <c r="C41" s="566">
        <v>20</v>
      </c>
      <c r="D41" s="570" t="s">
        <v>711</v>
      </c>
      <c r="E41" s="571"/>
      <c r="F41" s="202"/>
      <c r="G41" s="203"/>
      <c r="H41" s="202"/>
      <c r="I41" s="568"/>
      <c r="J41" s="569"/>
      <c r="M41" s="6"/>
      <c r="N41" s="14"/>
      <c r="O41" s="15"/>
    </row>
    <row r="42" spans="1:15" ht="20.25" customHeight="1" x14ac:dyDescent="0.3">
      <c r="A42" s="4" t="s">
        <v>59</v>
      </c>
      <c r="B42" s="9">
        <f>'[2]Fuel &amp; Water status'!$C$6</f>
        <v>29.65</v>
      </c>
      <c r="C42" s="567"/>
      <c r="D42" s="570"/>
      <c r="E42" s="571"/>
      <c r="F42" s="404" t="s">
        <v>736</v>
      </c>
      <c r="G42" s="373" t="s">
        <v>334</v>
      </c>
      <c r="H42" s="374"/>
      <c r="I42" s="561" t="s">
        <v>615</v>
      </c>
      <c r="J42" s="562"/>
      <c r="M42" s="6"/>
      <c r="N42" s="14"/>
      <c r="O42" s="16"/>
    </row>
    <row r="43" spans="1:15" ht="18" customHeight="1" x14ac:dyDescent="0.3">
      <c r="A43" s="4" t="s">
        <v>9</v>
      </c>
      <c r="B43" s="28">
        <f>'[2]Fuel &amp; Water status'!$C$7</f>
        <v>23.26</v>
      </c>
      <c r="C43" s="380">
        <v>16</v>
      </c>
      <c r="D43" s="570"/>
      <c r="E43" s="571"/>
      <c r="F43" s="21"/>
      <c r="G43" s="375" t="s">
        <v>682</v>
      </c>
      <c r="H43" s="376"/>
      <c r="I43" s="561" t="s">
        <v>585</v>
      </c>
      <c r="J43" s="562"/>
      <c r="M43" s="6"/>
      <c r="N43" s="14"/>
      <c r="O43" s="15"/>
    </row>
    <row r="44" spans="1:15" ht="18.75" customHeight="1" x14ac:dyDescent="0.3">
      <c r="A44" s="4" t="s">
        <v>6</v>
      </c>
      <c r="B44" s="10">
        <f>'[2]Fuel &amp; Water status'!$C$8</f>
        <v>36.25</v>
      </c>
      <c r="C44" s="379">
        <v>22</v>
      </c>
      <c r="D44" s="570"/>
      <c r="E44" s="571"/>
      <c r="F44" s="21"/>
      <c r="G44" s="22"/>
      <c r="H44" s="21"/>
      <c r="I44" s="463"/>
      <c r="J44" s="464"/>
      <c r="M44" s="6"/>
      <c r="N44" s="14"/>
      <c r="O44" s="15"/>
    </row>
    <row r="45" spans="1:15" ht="19.5" thickBot="1" x14ac:dyDescent="0.35">
      <c r="A45" s="5" t="s">
        <v>5</v>
      </c>
      <c r="B45" s="11">
        <f>'[2]Fuel &amp; Water status'!$C$9</f>
        <v>26.84</v>
      </c>
      <c r="C45" s="379">
        <f>'[2]Fuel &amp; Water status'!$D$9</f>
        <v>13</v>
      </c>
      <c r="D45" s="572"/>
      <c r="E45" s="573"/>
      <c r="F45" s="24"/>
      <c r="G45" s="23"/>
      <c r="H45" s="24"/>
      <c r="I45" s="465"/>
      <c r="J45" s="466"/>
      <c r="M45" s="6"/>
      <c r="N45" s="17"/>
      <c r="O45" s="14"/>
    </row>
    <row r="46" spans="1:15" ht="30" customHeight="1" x14ac:dyDescent="0.3">
      <c r="A46" s="563" t="s">
        <v>10</v>
      </c>
      <c r="B46" s="564"/>
      <c r="C46" s="564"/>
      <c r="D46" s="565"/>
      <c r="E46" s="565"/>
      <c r="F46" s="564"/>
      <c r="G46" s="564"/>
      <c r="H46" s="564"/>
      <c r="I46" s="560">
        <f>(E35/2)-F35</f>
        <v>4258.2021869499995</v>
      </c>
      <c r="J46" s="560"/>
      <c r="M46" s="6"/>
      <c r="N46" s="14"/>
      <c r="O46" s="15"/>
    </row>
    <row r="47" spans="1:15" ht="30" customHeight="1" x14ac:dyDescent="0.3">
      <c r="A47" s="557" t="s">
        <v>751</v>
      </c>
      <c r="B47" s="558"/>
      <c r="C47" s="558"/>
      <c r="D47" s="558"/>
      <c r="E47" s="558"/>
      <c r="F47" s="558"/>
      <c r="G47" s="558"/>
      <c r="H47" s="558"/>
      <c r="I47" s="558"/>
      <c r="J47" s="559"/>
      <c r="M47" s="6"/>
      <c r="N47" s="14"/>
      <c r="O47" s="15"/>
    </row>
    <row r="48" spans="1:15" ht="75.75" customHeight="1" x14ac:dyDescent="0.25">
      <c r="A48" s="554" t="s">
        <v>746</v>
      </c>
      <c r="B48" s="555"/>
      <c r="C48" s="555"/>
      <c r="D48" s="555"/>
      <c r="E48" s="555"/>
      <c r="F48" s="555"/>
      <c r="G48" s="555"/>
      <c r="H48" s="555"/>
      <c r="I48" s="555"/>
      <c r="J48" s="556"/>
    </row>
    <row r="49" spans="1:15" ht="42" customHeight="1" x14ac:dyDescent="0.3">
      <c r="A49" s="557" t="s">
        <v>744</v>
      </c>
      <c r="B49" s="558"/>
      <c r="C49" s="558"/>
      <c r="D49" s="558"/>
      <c r="E49" s="558"/>
      <c r="F49" s="558"/>
      <c r="G49" s="558"/>
      <c r="H49" s="558"/>
      <c r="I49" s="558"/>
      <c r="J49" s="559"/>
      <c r="M49" s="6"/>
      <c r="N49" s="14"/>
      <c r="O49" s="15"/>
    </row>
    <row r="50" spans="1:15" ht="42" customHeight="1" x14ac:dyDescent="0.3">
      <c r="A50" s="557" t="s">
        <v>748</v>
      </c>
      <c r="B50" s="558"/>
      <c r="C50" s="558"/>
      <c r="D50" s="558"/>
      <c r="E50" s="558"/>
      <c r="F50" s="558"/>
      <c r="G50" s="558"/>
      <c r="H50" s="558"/>
      <c r="I50" s="558"/>
      <c r="J50" s="559"/>
      <c r="M50" s="6"/>
      <c r="N50" s="14"/>
      <c r="O50" s="15"/>
    </row>
    <row r="51" spans="1:15" ht="42" customHeight="1" x14ac:dyDescent="0.3">
      <c r="A51" s="557" t="s">
        <v>737</v>
      </c>
      <c r="B51" s="558"/>
      <c r="C51" s="558"/>
      <c r="D51" s="558"/>
      <c r="E51" s="558"/>
      <c r="F51" s="558"/>
      <c r="G51" s="558"/>
      <c r="H51" s="558"/>
      <c r="I51" s="558"/>
      <c r="J51" s="559"/>
      <c r="M51" s="6"/>
      <c r="N51" s="14"/>
      <c r="O51" s="15"/>
    </row>
    <row r="52" spans="1:15" ht="54" customHeight="1" x14ac:dyDescent="0.3">
      <c r="A52" s="557" t="s">
        <v>749</v>
      </c>
      <c r="B52" s="558"/>
      <c r="C52" s="558"/>
      <c r="D52" s="558"/>
      <c r="E52" s="558"/>
      <c r="F52" s="558"/>
      <c r="G52" s="558"/>
      <c r="H52" s="558"/>
      <c r="I52" s="558"/>
      <c r="J52" s="559"/>
      <c r="M52" s="6"/>
      <c r="N52" s="14"/>
      <c r="O52" s="15"/>
    </row>
    <row r="53" spans="1:15" ht="54" customHeight="1" x14ac:dyDescent="0.3">
      <c r="A53" s="557" t="s">
        <v>747</v>
      </c>
      <c r="B53" s="558"/>
      <c r="C53" s="558"/>
      <c r="D53" s="558"/>
      <c r="E53" s="558"/>
      <c r="F53" s="558"/>
      <c r="G53" s="558"/>
      <c r="H53" s="558"/>
      <c r="I53" s="558"/>
      <c r="J53" s="559"/>
      <c r="M53" s="6"/>
      <c r="N53" s="14"/>
      <c r="O53" s="15"/>
    </row>
    <row r="54" spans="1:15" s="537" customFormat="1" ht="24.75" customHeight="1" x14ac:dyDescent="0.3">
      <c r="A54" s="551" t="s">
        <v>750</v>
      </c>
      <c r="B54" s="552"/>
      <c r="C54" s="552"/>
      <c r="D54" s="552"/>
      <c r="E54" s="552"/>
      <c r="F54" s="552"/>
      <c r="G54" s="552"/>
      <c r="H54" s="552"/>
      <c r="I54" s="552"/>
      <c r="J54" s="553"/>
      <c r="M54" s="538"/>
      <c r="N54" s="539"/>
      <c r="O54" s="540"/>
    </row>
  </sheetData>
  <customSheetViews>
    <customSheetView guid="{C25DFEEE-C99A-4236-8B38-5775D1622BC8}" scale="98" fitToPage="1" topLeftCell="A26">
      <selection activeCell="A48" sqref="A48"/>
      <pageMargins left="0.25" right="0.25" top="0.75" bottom="0.75" header="0.3" footer="0.3"/>
      <pageSetup scale="41" fitToHeight="0" orientation="landscape" r:id="rId1"/>
    </customSheetView>
    <customSheetView guid="{84BCB69E-2FDC-413F-9E56-82D61B802F23}" scale="98" showPageBreaks="1" fitToPage="1" view="pageBreakPreview" topLeftCell="A34">
      <selection activeCell="D55" sqref="D55"/>
      <pageMargins left="0.25" right="0.25" top="0.75" bottom="0.75" header="0.3" footer="0.3"/>
      <pageSetup scale="41" fitToHeight="0" orientation="landscape" r:id="rId2"/>
    </customSheetView>
    <customSheetView guid="{AA3FA99D-26F1-4DA4-A7B4-C2A14CFF1A72}" scale="98" showPageBreaks="1" fitToPage="1" view="pageBreakPreview" topLeftCell="A19">
      <selection activeCell="C50" sqref="C50"/>
      <pageMargins left="0.25" right="0.25" top="0.75" bottom="0.75" header="0.3" footer="0.3"/>
      <pageSetup scale="33" fitToHeight="0" orientation="landscape" r:id="rId3"/>
    </customSheetView>
    <customSheetView guid="{D3FB0A7D-A6DF-422B-9189-7F890F37D0DC}" scale="98" fitToPage="1" topLeftCell="A16">
      <selection activeCell="A42" sqref="A42:H42"/>
      <pageMargins left="0.25" right="0.25" top="0.75" bottom="0.75" header="0.3" footer="0.3"/>
      <pageSetup scale="65" fitToHeight="0" orientation="landscape" r:id="rId4"/>
    </customSheetView>
    <customSheetView guid="{C285E4F1-A700-4AE8-BAB6-D703B211FFCD}" scale="98" fitToPage="1" topLeftCell="C1">
      <selection activeCell="I42" sqref="I42"/>
      <pageMargins left="0.25" right="0.25" top="0.75" bottom="0.75" header="0.3" footer="0.3"/>
      <pageSetup scale="65" fitToHeight="0" orientation="landscape" r:id="rId5"/>
    </customSheetView>
    <customSheetView guid="{4A21AB6B-B5B8-4FB9-9517-5430E92A9998}" scale="98" fitToPage="1" topLeftCell="A19">
      <selection activeCell="A44" sqref="A44"/>
      <pageMargins left="0.25" right="0.25" top="0.75" bottom="0.75" header="0.3" footer="0.3"/>
      <pageSetup scale="65" fitToHeight="0" orientation="landscape" r:id="rId6"/>
    </customSheetView>
    <customSheetView guid="{302905F9-7AA5-4A52-9D6E-32DEF95AB0A9}" scale="98" fitToPage="1" topLeftCell="A19">
      <selection activeCell="A43" sqref="A43:I43"/>
      <pageMargins left="0.25" right="0.25" top="0.75" bottom="0.75" header="0.3" footer="0.3"/>
      <pageSetup scale="65" fitToHeight="0" orientation="landscape" r:id="rId7"/>
    </customSheetView>
    <customSheetView guid="{1176EABB-6C4E-4738-9604-BF2FD7BB31F6}" fitToPage="1" topLeftCell="A27">
      <selection activeCell="C39" sqref="C39"/>
      <pageMargins left="0.25" right="0.25" top="0.75" bottom="0.75" header="0.3" footer="0.3"/>
      <pageSetup scale="33" fitToHeight="0" orientation="landscape" r:id="rId8"/>
    </customSheetView>
    <customSheetView guid="{28D06F0D-B554-48ED-BC78-EE3C848CEAFF}" scale="98" fitToPage="1" topLeftCell="A30">
      <selection activeCell="A45" sqref="A45:I45"/>
      <pageMargins left="0.25" right="0.25" top="0.75" bottom="0.75" header="0.3" footer="0.3"/>
      <pageSetup scale="65" fitToHeight="0" orientation="landscape" r:id="rId9"/>
    </customSheetView>
    <customSheetView guid="{8CF3887D-76B9-42DA-9030-D2FDE7A0EE67}" scale="98" showPageBreaks="1" fitToPage="1" view="pageBreakPreview" topLeftCell="A22">
      <selection activeCell="B35" sqref="B35"/>
      <pageMargins left="0.25" right="0.25" top="0.75" bottom="0.75" header="0.3" footer="0.3"/>
      <pageSetup scale="33" fitToHeight="0" orientation="landscape" r:id="rId10"/>
    </customSheetView>
    <customSheetView guid="{93113985-986B-4DE2-9E04-7E2F87348EC0}" scale="98" showPageBreaks="1" fitToPage="1" view="pageBreakPreview" topLeftCell="A27">
      <selection activeCell="A47" sqref="A47:E47"/>
      <pageMargins left="0.25" right="0.25" top="0.75" bottom="0.75" header="0.3" footer="0.3"/>
      <pageSetup scale="33" fitToHeight="0" orientation="landscape" r:id="rId11"/>
    </customSheetView>
    <customSheetView guid="{5C3B7966-2173-42B9-A6C8-6E8A3E55959D}" scale="98" fitToPage="1" topLeftCell="A21">
      <selection activeCell="G43" sqref="G43"/>
      <pageMargins left="0.25" right="0.25" top="0.75" bottom="0.75" header="0.3" footer="0.3"/>
      <pageSetup scale="41" fitToHeight="0" orientation="landscape" r:id="rId12"/>
    </customSheetView>
    <customSheetView guid="{78ED598E-7F8D-4E8C-A6B9-BABB5EBD4FA6}" scale="98" showPageBreaks="1" fitToPage="1" view="pageBreakPreview" topLeftCell="A21">
      <selection activeCell="A45" sqref="A45:J45"/>
      <pageMargins left="0.25" right="0.25" top="0.75" bottom="0.75" header="0.3" footer="0.3"/>
      <pageSetup scale="38" fitToHeight="0" orientation="landscape" r:id="rId13"/>
    </customSheetView>
    <customSheetView guid="{67D43945-87C9-49F0-B348-E61A6D541E46}" scale="98" fitToPage="1" topLeftCell="A31">
      <selection activeCell="A46" sqref="A46:J46"/>
      <pageMargins left="0.25" right="0.25" top="0.75" bottom="0.75" header="0.3" footer="0.3"/>
      <pageSetup scale="38" fitToHeight="0" orientation="landscape" r:id="rId14"/>
    </customSheetView>
    <customSheetView guid="{3D43EA6A-5CA3-482D-8DF3-AD9B0AC39A00}" scale="98" showPageBreaks="1" fitToPage="1" view="pageBreakPreview">
      <selection activeCell="A46" sqref="A46:J46"/>
      <pageMargins left="0.25" right="0.25" top="0.75" bottom="0.75" header="0.3" footer="0.3"/>
      <pageSetup scale="40" fitToHeight="0" orientation="landscape" r:id="rId15"/>
    </customSheetView>
    <customSheetView guid="{94833610-ABF8-4F5D-AABE-92971246E249}" scale="98" showPageBreaks="1" fitToPage="1" view="pageBreakPreview" topLeftCell="A24">
      <selection activeCell="A47" sqref="A47:J47"/>
      <pageMargins left="0.25" right="0.25" top="0.75" bottom="0.75" header="0.3" footer="0.3"/>
      <pageSetup scale="41" fitToHeight="0" orientation="landscape" r:id="rId16"/>
    </customSheetView>
  </customSheetViews>
  <mergeCells count="33">
    <mergeCell ref="A35:C35"/>
    <mergeCell ref="G39:H39"/>
    <mergeCell ref="I40:J40"/>
    <mergeCell ref="G40:H40"/>
    <mergeCell ref="F36:G36"/>
    <mergeCell ref="G35:H35"/>
    <mergeCell ref="F37:G37"/>
    <mergeCell ref="D38:J38"/>
    <mergeCell ref="I39:J39"/>
    <mergeCell ref="D40:E40"/>
    <mergeCell ref="D39:E39"/>
    <mergeCell ref="A1:H1"/>
    <mergeCell ref="A3:A10"/>
    <mergeCell ref="A30:A33"/>
    <mergeCell ref="A27:A29"/>
    <mergeCell ref="A17:A22"/>
    <mergeCell ref="H3:H34"/>
    <mergeCell ref="A11:A16"/>
    <mergeCell ref="I42:J42"/>
    <mergeCell ref="A46:H46"/>
    <mergeCell ref="I43:J43"/>
    <mergeCell ref="C41:C42"/>
    <mergeCell ref="I41:J41"/>
    <mergeCell ref="D41:E45"/>
    <mergeCell ref="A54:J54"/>
    <mergeCell ref="A48:J48"/>
    <mergeCell ref="A49:J49"/>
    <mergeCell ref="A47:J47"/>
    <mergeCell ref="I46:J46"/>
    <mergeCell ref="A52:J52"/>
    <mergeCell ref="A51:J51"/>
    <mergeCell ref="A50:J50"/>
    <mergeCell ref="A53:J53"/>
  </mergeCells>
  <phoneticPr fontId="23" type="noConversion"/>
  <pageMargins left="0.25" right="0.25" top="0.75" bottom="0.75" header="0.3" footer="0.3"/>
  <pageSetup scale="41" fitToHeight="0" orientation="landscape"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20" sqref="M20"/>
    </sheetView>
  </sheetViews>
  <sheetFormatPr defaultRowHeight="15" x14ac:dyDescent="0.25"/>
  <sheetData/>
  <customSheetViews>
    <customSheetView guid="{C25DFEEE-C99A-4236-8B38-5775D1622BC8}" state="hidden">
      <selection activeCell="M20" sqref="M20"/>
      <pageMargins left="0.7" right="0.7" top="0.75" bottom="0.75" header="0.3" footer="0.3"/>
    </customSheetView>
    <customSheetView guid="{84BCB69E-2FDC-413F-9E56-82D61B802F23}" state="hidden">
      <selection activeCell="M20" sqref="M20"/>
      <pageMargins left="0.7" right="0.7" top="0.75" bottom="0.75" header="0.3" footer="0.3"/>
    </customSheetView>
    <customSheetView guid="{AA3FA99D-26F1-4DA4-A7B4-C2A14CFF1A72}" state="hidden">
      <selection activeCell="M20" sqref="M20"/>
      <pageMargins left="0.7" right="0.7" top="0.75" bottom="0.75" header="0.3" footer="0.3"/>
    </customSheetView>
    <customSheetView guid="{D3FB0A7D-A6DF-422B-9189-7F890F37D0DC}" state="hidden">
      <selection activeCell="M20" sqref="M20"/>
      <pageMargins left="0.7" right="0.7" top="0.75" bottom="0.75" header="0.3" footer="0.3"/>
    </customSheetView>
    <customSheetView guid="{C285E4F1-A700-4AE8-BAB6-D703B211FFCD}" state="hidden">
      <selection activeCell="M20" sqref="M20"/>
      <pageMargins left="0.7" right="0.7" top="0.75" bottom="0.75" header="0.3" footer="0.3"/>
    </customSheetView>
    <customSheetView guid="{4A21AB6B-B5B8-4FB9-9517-5430E92A9998}" state="hidden">
      <selection activeCell="M20" sqref="M20"/>
      <pageMargins left="0.7" right="0.7" top="0.75" bottom="0.75" header="0.3" footer="0.3"/>
    </customSheetView>
    <customSheetView guid="{302905F9-7AA5-4A52-9D6E-32DEF95AB0A9}" state="hidden">
      <selection activeCell="M20" sqref="M20"/>
      <pageMargins left="0.7" right="0.7" top="0.75" bottom="0.75" header="0.3" footer="0.3"/>
    </customSheetView>
    <customSheetView guid="{1176EABB-6C4E-4738-9604-BF2FD7BB31F6}" state="hidden">
      <selection activeCell="M20" sqref="M20"/>
      <pageMargins left="0.7" right="0.7" top="0.75" bottom="0.75" header="0.3" footer="0.3"/>
    </customSheetView>
    <customSheetView guid="{28D06F0D-B554-48ED-BC78-EE3C848CEAFF}" state="hidden">
      <selection activeCell="M20" sqref="M20"/>
      <pageMargins left="0.7" right="0.7" top="0.75" bottom="0.75" header="0.3" footer="0.3"/>
    </customSheetView>
    <customSheetView guid="{8CF3887D-76B9-42DA-9030-D2FDE7A0EE67}" state="hidden">
      <selection activeCell="M20" sqref="M20"/>
      <pageMargins left="0.7" right="0.7" top="0.75" bottom="0.75" header="0.3" footer="0.3"/>
    </customSheetView>
    <customSheetView guid="{93113985-986B-4DE2-9E04-7E2F87348EC0}" state="hidden">
      <selection activeCell="M20" sqref="M20"/>
      <pageMargins left="0.7" right="0.7" top="0.75" bottom="0.75" header="0.3" footer="0.3"/>
    </customSheetView>
    <customSheetView guid="{5C3B7966-2173-42B9-A6C8-6E8A3E55959D}" state="hidden">
      <selection activeCell="M20" sqref="M20"/>
      <pageMargins left="0.7" right="0.7" top="0.75" bottom="0.75" header="0.3" footer="0.3"/>
    </customSheetView>
    <customSheetView guid="{78ED598E-7F8D-4E8C-A6B9-BABB5EBD4FA6}" state="hidden">
      <selection activeCell="M20" sqref="M20"/>
      <pageMargins left="0.7" right="0.7" top="0.75" bottom="0.75" header="0.3" footer="0.3"/>
    </customSheetView>
    <customSheetView guid="{67D43945-87C9-49F0-B348-E61A6D541E46}" state="hidden">
      <selection activeCell="M20" sqref="M20"/>
      <pageMargins left="0.7" right="0.7" top="0.75" bottom="0.75" header="0.3" footer="0.3"/>
    </customSheetView>
    <customSheetView guid="{3D43EA6A-5CA3-482D-8DF3-AD9B0AC39A00}" state="hidden">
      <selection activeCell="M20" sqref="M20"/>
      <pageMargins left="0.7" right="0.7" top="0.75" bottom="0.75" header="0.3" footer="0.3"/>
    </customSheetView>
    <customSheetView guid="{94833610-ABF8-4F5D-AABE-92971246E249}" state="hidden">
      <selection activeCell="M20" sqref="M20"/>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0"/>
  <sheetViews>
    <sheetView zoomScale="90" zoomScaleNormal="90" workbookViewId="0">
      <selection activeCell="A11" sqref="A11:K11"/>
    </sheetView>
  </sheetViews>
  <sheetFormatPr defaultRowHeight="15" x14ac:dyDescent="0.25"/>
  <cols>
    <col min="1" max="1" width="19.28515625" customWidth="1"/>
    <col min="2" max="2" width="22.5703125" customWidth="1"/>
    <col min="3" max="3" width="20.140625" customWidth="1"/>
    <col min="4" max="5" width="20.28515625" customWidth="1"/>
    <col min="6" max="6" width="22.28515625" customWidth="1"/>
    <col min="7" max="7" width="18.28515625" customWidth="1"/>
    <col min="8" max="8" width="19" customWidth="1"/>
    <col min="9" max="9" width="38.28515625" customWidth="1"/>
    <col min="10" max="10" width="15.5703125" customWidth="1"/>
    <col min="11" max="11" width="24" customWidth="1"/>
  </cols>
  <sheetData>
    <row r="1" spans="1:18" ht="23.25" customHeight="1" x14ac:dyDescent="0.35">
      <c r="A1" s="617" t="s">
        <v>64</v>
      </c>
      <c r="B1" s="618"/>
      <c r="C1" s="618"/>
      <c r="D1" s="618"/>
      <c r="E1" s="618"/>
      <c r="F1" s="618"/>
      <c r="G1" s="618"/>
      <c r="H1" s="618"/>
      <c r="I1" s="618"/>
      <c r="J1" s="618"/>
      <c r="K1" s="619"/>
    </row>
    <row r="2" spans="1:18" ht="30" x14ac:dyDescent="0.25">
      <c r="A2" s="357" t="s">
        <v>83</v>
      </c>
      <c r="B2" s="354" t="s">
        <v>84</v>
      </c>
      <c r="C2" s="355" t="str">
        <f>' Overall_Sheet (Oil Production)'!C2</f>
        <v>Well Name</v>
      </c>
      <c r="D2" s="355" t="s">
        <v>73</v>
      </c>
      <c r="E2" s="355" t="s">
        <v>587</v>
      </c>
      <c r="F2" s="355" t="s">
        <v>80</v>
      </c>
      <c r="G2" s="356" t="s">
        <v>330</v>
      </c>
      <c r="H2" s="32" t="s">
        <v>76</v>
      </c>
      <c r="I2" s="32" t="s">
        <v>82</v>
      </c>
      <c r="J2" s="32" t="s">
        <v>72</v>
      </c>
      <c r="K2" s="358" t="s">
        <v>77</v>
      </c>
    </row>
    <row r="3" spans="1:18" x14ac:dyDescent="0.25">
      <c r="A3" s="614" t="s">
        <v>85</v>
      </c>
      <c r="B3" s="622">
        <v>100.5</v>
      </c>
      <c r="C3" s="443" t="s">
        <v>322</v>
      </c>
      <c r="D3" s="444" t="s">
        <v>114</v>
      </c>
      <c r="E3" s="444">
        <v>23.29</v>
      </c>
      <c r="F3" s="444" t="s">
        <v>79</v>
      </c>
      <c r="G3" s="109">
        <v>6.15</v>
      </c>
      <c r="H3" s="443">
        <f t="shared" ref="H3:H8" si="0">G3*6.3</f>
        <v>38.745000000000005</v>
      </c>
      <c r="I3" s="443">
        <v>12</v>
      </c>
      <c r="J3" s="445">
        <f t="shared" ref="J3:J8" si="1">H3*I3</f>
        <v>464.94000000000005</v>
      </c>
      <c r="K3" s="446">
        <v>900</v>
      </c>
      <c r="L3" s="30"/>
      <c r="M3" s="534"/>
    </row>
    <row r="4" spans="1:18" x14ac:dyDescent="0.25">
      <c r="A4" s="620"/>
      <c r="B4" s="623"/>
      <c r="C4" s="443" t="s">
        <v>323</v>
      </c>
      <c r="D4" s="444" t="s">
        <v>86</v>
      </c>
      <c r="E4" s="444">
        <v>0</v>
      </c>
      <c r="F4" s="444" t="s">
        <v>79</v>
      </c>
      <c r="G4" s="38">
        <v>9.5</v>
      </c>
      <c r="H4" s="443">
        <f t="shared" si="0"/>
        <v>59.85</v>
      </c>
      <c r="I4" s="443">
        <v>12</v>
      </c>
      <c r="J4" s="445">
        <f t="shared" si="1"/>
        <v>718.2</v>
      </c>
      <c r="K4" s="446">
        <v>1400</v>
      </c>
      <c r="L4" s="30"/>
      <c r="M4" s="535"/>
    </row>
    <row r="5" spans="1:18" x14ac:dyDescent="0.25">
      <c r="A5" s="614" t="s">
        <v>743</v>
      </c>
      <c r="B5" s="622">
        <v>97.45</v>
      </c>
      <c r="C5" s="448" t="s">
        <v>324</v>
      </c>
      <c r="D5" s="444" t="s">
        <v>443</v>
      </c>
      <c r="E5" s="444" t="s">
        <v>38</v>
      </c>
      <c r="F5" s="444" t="s">
        <v>79</v>
      </c>
      <c r="G5" s="37">
        <v>3.6</v>
      </c>
      <c r="H5" s="443">
        <f t="shared" si="0"/>
        <v>22.68</v>
      </c>
      <c r="I5" s="443">
        <v>12</v>
      </c>
      <c r="J5" s="445">
        <f t="shared" si="1"/>
        <v>272.15999999999997</v>
      </c>
      <c r="K5" s="446">
        <v>500</v>
      </c>
      <c r="L5" s="30"/>
      <c r="M5" s="536"/>
    </row>
    <row r="6" spans="1:18" x14ac:dyDescent="0.25">
      <c r="A6" s="621"/>
      <c r="B6" s="623"/>
      <c r="C6" s="449" t="s">
        <v>317</v>
      </c>
      <c r="D6" s="450" t="s">
        <v>156</v>
      </c>
      <c r="E6" s="42">
        <v>50.4</v>
      </c>
      <c r="F6" s="450" t="s">
        <v>79</v>
      </c>
      <c r="G6" s="43">
        <v>10.58</v>
      </c>
      <c r="H6" s="443">
        <f t="shared" si="0"/>
        <v>66.653999999999996</v>
      </c>
      <c r="I6" s="443">
        <v>12</v>
      </c>
      <c r="J6" s="445">
        <f t="shared" si="1"/>
        <v>799.84799999999996</v>
      </c>
      <c r="K6" s="446">
        <v>1600</v>
      </c>
      <c r="L6" s="30"/>
      <c r="M6" s="535"/>
    </row>
    <row r="7" spans="1:18" x14ac:dyDescent="0.25">
      <c r="A7" s="613" t="s">
        <v>4</v>
      </c>
      <c r="B7" s="615">
        <v>100.86</v>
      </c>
      <c r="C7" s="443" t="s">
        <v>325</v>
      </c>
      <c r="D7" s="444" t="s">
        <v>158</v>
      </c>
      <c r="E7" s="452">
        <v>39.28</v>
      </c>
      <c r="F7" s="444" t="s">
        <v>79</v>
      </c>
      <c r="G7" s="43">
        <v>7.3</v>
      </c>
      <c r="H7" s="443">
        <f t="shared" si="0"/>
        <v>45.989999999999995</v>
      </c>
      <c r="I7" s="443">
        <v>12</v>
      </c>
      <c r="J7" s="445">
        <f t="shared" si="1"/>
        <v>551.87999999999988</v>
      </c>
      <c r="K7" s="446">
        <v>1000</v>
      </c>
      <c r="L7" s="30"/>
      <c r="M7" s="535"/>
    </row>
    <row r="8" spans="1:18" ht="15.75" thickBot="1" x14ac:dyDescent="0.3">
      <c r="A8" s="614"/>
      <c r="B8" s="616"/>
      <c r="C8" s="451" t="s">
        <v>326</v>
      </c>
      <c r="D8" s="453" t="s">
        <v>152</v>
      </c>
      <c r="E8" s="454">
        <v>1.02</v>
      </c>
      <c r="F8" s="450" t="s">
        <v>79</v>
      </c>
      <c r="G8" s="73">
        <v>9.4</v>
      </c>
      <c r="H8" s="451">
        <f t="shared" si="0"/>
        <v>59.22</v>
      </c>
      <c r="I8" s="443">
        <v>12</v>
      </c>
      <c r="J8" s="456">
        <f t="shared" si="1"/>
        <v>710.64</v>
      </c>
      <c r="K8" s="457">
        <v>1300</v>
      </c>
      <c r="L8" s="30"/>
      <c r="M8" s="404"/>
    </row>
    <row r="9" spans="1:18" ht="18.75" customHeight="1" thickBot="1" x14ac:dyDescent="0.35">
      <c r="A9" s="405"/>
      <c r="B9" s="458"/>
      <c r="C9" s="458"/>
      <c r="D9" s="458"/>
      <c r="E9" s="458"/>
      <c r="F9" s="458"/>
      <c r="G9" s="458"/>
      <c r="H9" s="459"/>
      <c r="I9" s="460" t="s">
        <v>171</v>
      </c>
      <c r="J9" s="461">
        <f>SUM(J3:J8)</f>
        <v>3517.6680000000001</v>
      </c>
      <c r="K9" s="462">
        <v>6700</v>
      </c>
      <c r="L9" s="30"/>
    </row>
    <row r="10" spans="1:18" ht="21" customHeight="1" thickBot="1" x14ac:dyDescent="0.3">
      <c r="A10" s="414" t="s">
        <v>369</v>
      </c>
      <c r="B10" s="624"/>
      <c r="C10" s="625"/>
      <c r="D10" s="625"/>
      <c r="E10" s="625"/>
      <c r="F10" s="625"/>
      <c r="G10" s="625"/>
      <c r="H10" s="625"/>
      <c r="I10" s="625"/>
      <c r="J10" s="625"/>
      <c r="K10" s="626"/>
      <c r="R10" s="397">
        <f>(J9/K9)*100</f>
        <v>52.502507462686566</v>
      </c>
    </row>
    <row r="11" spans="1:18" ht="33.75" customHeight="1" x14ac:dyDescent="0.25">
      <c r="A11" s="611"/>
      <c r="B11" s="612"/>
      <c r="C11" s="612"/>
      <c r="D11" s="612"/>
      <c r="E11" s="612"/>
      <c r="F11" s="612"/>
      <c r="G11" s="612"/>
      <c r="H11" s="612"/>
      <c r="I11" s="612"/>
      <c r="J11" s="612"/>
      <c r="K11" s="612"/>
    </row>
    <row r="14" spans="1:18" x14ac:dyDescent="0.25">
      <c r="B14" s="397"/>
    </row>
    <row r="20" spans="14:14" x14ac:dyDescent="0.25">
      <c r="N20" s="61"/>
    </row>
  </sheetData>
  <customSheetViews>
    <customSheetView guid="{C25DFEEE-C99A-4236-8B38-5775D1622BC8}" topLeftCell="C1">
      <selection activeCell="D3" sqref="D3:K9"/>
      <pageMargins left="0.7" right="0.7" top="0.75" bottom="0.75" header="0.3" footer="0.3"/>
      <pageSetup orientation="portrait" r:id="rId1"/>
    </customSheetView>
    <customSheetView guid="{84BCB69E-2FDC-413F-9E56-82D61B802F23}" scale="90">
      <selection activeCell="E29" sqref="E29"/>
      <pageMargins left="0.7" right="0.7" top="0.75" bottom="0.75" header="0.3" footer="0.3"/>
      <pageSetup orientation="portrait" r:id="rId2"/>
    </customSheetView>
    <customSheetView guid="{AA3FA99D-26F1-4DA4-A7B4-C2A14CFF1A72}" hiddenRows="1">
      <selection activeCell="A14" sqref="A14:K14"/>
      <pageMargins left="0.7" right="0.7" top="0.75" bottom="0.75" header="0.3" footer="0.3"/>
      <pageSetup orientation="portrait" r:id="rId3"/>
    </customSheetView>
    <customSheetView guid="{D3FB0A7D-A6DF-422B-9189-7F890F37D0DC}" hiddenRows="1">
      <selection activeCell="D8" sqref="D8"/>
      <pageMargins left="0.7" right="0.7" top="0.75" bottom="0.75" header="0.3" footer="0.3"/>
      <pageSetup orientation="portrait" r:id="rId4"/>
    </customSheetView>
    <customSheetView guid="{C285E4F1-A700-4AE8-BAB6-D703B211FFCD}" hiddenRows="1" topLeftCell="A7">
      <selection activeCell="A33" sqref="A33:I33"/>
      <pageMargins left="0.7" right="0.7" top="0.75" bottom="0.75" header="0.3" footer="0.3"/>
      <pageSetup orientation="portrait" r:id="rId5"/>
    </customSheetView>
    <customSheetView guid="{4A21AB6B-B5B8-4FB9-9517-5430E92A9998}" hiddenRows="1">
      <selection activeCell="I3" sqref="I3:I9"/>
      <pageMargins left="0.7" right="0.7" top="0.75" bottom="0.75" header="0.3" footer="0.3"/>
      <pageSetup orientation="portrait" r:id="rId6"/>
    </customSheetView>
    <customSheetView guid="{302905F9-7AA5-4A52-9D6E-32DEF95AB0A9}" hiddenRows="1">
      <selection activeCell="F27" sqref="F27"/>
      <pageMargins left="0.7" right="0.7" top="0.75" bottom="0.75" header="0.3" footer="0.3"/>
      <pageSetup orientation="portrait" r:id="rId7"/>
    </customSheetView>
    <customSheetView guid="{1176EABB-6C4E-4738-9604-BF2FD7BB31F6}" hiddenRows="1">
      <selection activeCell="G5" sqref="G5"/>
      <pageMargins left="0.7" right="0.7" top="0.75" bottom="0.75" header="0.3" footer="0.3"/>
      <pageSetup orientation="portrait" r:id="rId8"/>
    </customSheetView>
    <customSheetView guid="{28D06F0D-B554-48ED-BC78-EE3C848CEAFF}" hiddenRows="1" topLeftCell="C1">
      <selection activeCell="A9" sqref="A9:I9"/>
      <pageMargins left="0.7" right="0.7" top="0.75" bottom="0.75" header="0.3" footer="0.3"/>
      <pageSetup orientation="portrait" r:id="rId9"/>
    </customSheetView>
    <customSheetView guid="{8CF3887D-76B9-42DA-9030-D2FDE7A0EE67}" hiddenRows="1">
      <selection activeCell="G5" sqref="G5"/>
      <pageMargins left="0.7" right="0.7" top="0.75" bottom="0.75" header="0.3" footer="0.3"/>
      <pageSetup orientation="portrait" r:id="rId10"/>
    </customSheetView>
    <customSheetView guid="{93113985-986B-4DE2-9E04-7E2F87348EC0}" scale="90" hiddenRows="1">
      <selection activeCell="G6" sqref="G6"/>
      <pageMargins left="0.7" right="0.7" top="0.75" bottom="0.75" header="0.3" footer="0.3"/>
      <pageSetup orientation="portrait" r:id="rId11"/>
    </customSheetView>
    <customSheetView guid="{5C3B7966-2173-42B9-A6C8-6E8A3E55959D}">
      <selection activeCell="H20" sqref="H20"/>
      <pageMargins left="0.7" right="0.7" top="0.75" bottom="0.75" header="0.3" footer="0.3"/>
      <pageSetup orientation="portrait" r:id="rId12"/>
    </customSheetView>
    <customSheetView guid="{78ED598E-7F8D-4E8C-A6B9-BABB5EBD4FA6}">
      <selection activeCell="B7" sqref="B7:B8"/>
      <pageMargins left="0.7" right="0.7" top="0.75" bottom="0.75" header="0.3" footer="0.3"/>
      <pageSetup orientation="portrait" r:id="rId13"/>
    </customSheetView>
    <customSheetView guid="{67D43945-87C9-49F0-B348-E61A6D541E46}">
      <selection activeCell="A10" sqref="A10:I10"/>
      <pageMargins left="0.7" right="0.7" top="0.75" bottom="0.75" header="0.3" footer="0.3"/>
      <pageSetup orientation="portrait" r:id="rId14"/>
    </customSheetView>
    <customSheetView guid="{3D43EA6A-5CA3-482D-8DF3-AD9B0AC39A00}">
      <selection activeCell="D27" sqref="D27"/>
      <pageMargins left="0.7" right="0.7" top="0.75" bottom="0.75" header="0.3" footer="0.3"/>
      <pageSetup orientation="portrait" r:id="rId15"/>
    </customSheetView>
    <customSheetView guid="{94833610-ABF8-4F5D-AABE-92971246E249}">
      <selection activeCell="B34" sqref="B34"/>
      <pageMargins left="0.7" right="0.7" top="0.75" bottom="0.75" header="0.3" footer="0.3"/>
      <pageSetup orientation="portrait" r:id="rId16"/>
    </customSheetView>
  </customSheetViews>
  <mergeCells count="9">
    <mergeCell ref="A11:K11"/>
    <mergeCell ref="A7:A8"/>
    <mergeCell ref="B7:B8"/>
    <mergeCell ref="A1:K1"/>
    <mergeCell ref="A3:A4"/>
    <mergeCell ref="A5:A6"/>
    <mergeCell ref="B3:B4"/>
    <mergeCell ref="B5:B6"/>
    <mergeCell ref="B10:K10"/>
  </mergeCells>
  <pageMargins left="0.7" right="0.7" top="0.75" bottom="0.75" header="0.3" footer="0.3"/>
  <pageSetup orientation="portrait"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3916"/>
  <sheetViews>
    <sheetView topLeftCell="A3883" workbookViewId="0">
      <selection activeCell="C3890" sqref="C3890"/>
    </sheetView>
  </sheetViews>
  <sheetFormatPr defaultColWidth="9.140625" defaultRowHeight="15" x14ac:dyDescent="0.25"/>
  <cols>
    <col min="1" max="1" width="21.5703125" style="31" customWidth="1"/>
    <col min="2" max="2" width="20.140625" style="31" customWidth="1"/>
    <col min="3" max="3" width="17.28515625" style="31" customWidth="1"/>
    <col min="4" max="4" width="21.28515625" style="46" customWidth="1"/>
    <col min="5" max="5" width="12.85546875" style="31" customWidth="1"/>
    <col min="6" max="6" width="38" style="31" customWidth="1"/>
    <col min="7" max="7" width="18" style="31" customWidth="1"/>
    <col min="8" max="8" width="18.5703125" style="31" customWidth="1"/>
    <col min="9" max="9" width="19.28515625" style="31" customWidth="1"/>
    <col min="10" max="10" width="19.140625" style="31" customWidth="1"/>
    <col min="11" max="11" width="182.28515625" style="90" customWidth="1"/>
    <col min="12" max="22" width="9.140625" style="31"/>
    <col min="23" max="23" width="13.85546875" style="31" customWidth="1"/>
    <col min="24" max="16384" width="9.140625" style="31"/>
  </cols>
  <sheetData>
    <row r="1" spans="1:11" ht="26.25" x14ac:dyDescent="0.4">
      <c r="A1" s="631" t="s">
        <v>100</v>
      </c>
      <c r="B1" s="631"/>
      <c r="C1" s="631"/>
      <c r="D1" s="631"/>
      <c r="E1" s="631"/>
      <c r="F1" s="631"/>
      <c r="G1" s="631"/>
      <c r="H1" s="631"/>
      <c r="I1" s="631"/>
      <c r="J1" s="631"/>
      <c r="K1" s="631"/>
    </row>
    <row r="2" spans="1:11" ht="45.75" thickBot="1" x14ac:dyDescent="0.3">
      <c r="A2" s="69" t="s">
        <v>88</v>
      </c>
      <c r="B2" s="69" t="s">
        <v>89</v>
      </c>
      <c r="C2" s="260" t="s">
        <v>90</v>
      </c>
      <c r="D2" s="70" t="s">
        <v>78</v>
      </c>
      <c r="E2" s="287" t="s">
        <v>80</v>
      </c>
      <c r="F2" s="70" t="s">
        <v>81</v>
      </c>
      <c r="G2" s="70" t="s">
        <v>91</v>
      </c>
      <c r="H2" s="70" t="s">
        <v>82</v>
      </c>
      <c r="I2" s="70" t="s">
        <v>72</v>
      </c>
      <c r="J2" s="70" t="s">
        <v>77</v>
      </c>
      <c r="K2" s="70" t="s">
        <v>11</v>
      </c>
    </row>
    <row r="3" spans="1:11" ht="15.75" thickBot="1" x14ac:dyDescent="0.3">
      <c r="A3" s="59" t="s">
        <v>111</v>
      </c>
      <c r="B3" s="37" t="s">
        <v>68</v>
      </c>
      <c r="C3" s="261" t="s">
        <v>74</v>
      </c>
      <c r="D3" s="34">
        <v>93.21</v>
      </c>
      <c r="E3" s="288"/>
      <c r="F3" s="34"/>
      <c r="G3" s="36">
        <v>25.83</v>
      </c>
      <c r="H3" s="46">
        <v>24</v>
      </c>
      <c r="I3" s="46">
        <f>G3*H3</f>
        <v>619.91999999999996</v>
      </c>
      <c r="J3" s="36">
        <v>900</v>
      </c>
      <c r="K3" s="83"/>
    </row>
    <row r="4" spans="1:11" ht="15.75" thickBot="1" x14ac:dyDescent="0.3">
      <c r="A4" s="59" t="s">
        <v>111</v>
      </c>
      <c r="B4" s="37" t="s">
        <v>69</v>
      </c>
      <c r="C4" s="261" t="s">
        <v>86</v>
      </c>
      <c r="D4" s="34">
        <v>93.16</v>
      </c>
      <c r="E4" s="289"/>
      <c r="F4" s="75"/>
      <c r="G4" s="39">
        <v>18.649999999999999</v>
      </c>
      <c r="H4" s="46">
        <v>24</v>
      </c>
      <c r="I4" s="46">
        <f>G4*H4</f>
        <v>447.59999999999997</v>
      </c>
      <c r="J4" s="36">
        <v>1400</v>
      </c>
      <c r="K4" s="83"/>
    </row>
    <row r="5" spans="1:11" ht="15.75" thickBot="1" x14ac:dyDescent="0.3">
      <c r="A5" s="59" t="s">
        <v>111</v>
      </c>
      <c r="B5" s="50" t="s">
        <v>70</v>
      </c>
      <c r="C5" s="261" t="s">
        <v>75</v>
      </c>
      <c r="D5" s="46" t="s">
        <v>38</v>
      </c>
      <c r="E5" s="290"/>
      <c r="F5" s="46"/>
      <c r="G5" s="46">
        <v>20.69</v>
      </c>
      <c r="H5" s="46">
        <v>24</v>
      </c>
      <c r="I5" s="46">
        <f>G5*H5</f>
        <v>496.56000000000006</v>
      </c>
      <c r="J5" s="36">
        <v>500</v>
      </c>
      <c r="K5" s="83"/>
    </row>
    <row r="6" spans="1:11" ht="15.75" thickBot="1" x14ac:dyDescent="0.3">
      <c r="A6" s="59" t="s">
        <v>111</v>
      </c>
      <c r="B6" s="75" t="s">
        <v>71</v>
      </c>
      <c r="C6" s="262" t="s">
        <v>38</v>
      </c>
      <c r="D6" s="46">
        <v>79</v>
      </c>
      <c r="E6" s="290"/>
      <c r="F6" s="46"/>
      <c r="G6" s="46">
        <v>58.56</v>
      </c>
      <c r="H6" s="46">
        <v>24</v>
      </c>
      <c r="I6" s="46">
        <f>G6*H6</f>
        <v>1405.44</v>
      </c>
      <c r="J6" s="36">
        <v>1600</v>
      </c>
      <c r="K6" s="83"/>
    </row>
    <row r="7" spans="1:11" ht="15.75" thickBot="1" x14ac:dyDescent="0.3">
      <c r="A7" s="59" t="s">
        <v>111</v>
      </c>
      <c r="B7" s="37" t="s">
        <v>65</v>
      </c>
      <c r="C7" s="106" t="s">
        <v>38</v>
      </c>
      <c r="D7" s="46" t="s">
        <v>38</v>
      </c>
      <c r="E7" s="290"/>
      <c r="F7" s="46"/>
      <c r="G7" s="46" t="s">
        <v>38</v>
      </c>
      <c r="H7" s="60" t="s">
        <v>38</v>
      </c>
      <c r="I7" s="46" t="s">
        <v>38</v>
      </c>
      <c r="J7" s="46" t="s">
        <v>38</v>
      </c>
      <c r="K7" s="83"/>
    </row>
    <row r="8" spans="1:11" ht="15.75" thickBot="1" x14ac:dyDescent="0.3">
      <c r="A8" s="59" t="s">
        <v>111</v>
      </c>
      <c r="B8" s="37" t="s">
        <v>66</v>
      </c>
      <c r="C8" s="263" t="s">
        <v>38</v>
      </c>
      <c r="D8" s="46" t="s">
        <v>38</v>
      </c>
      <c r="E8" s="65"/>
      <c r="F8" s="52"/>
      <c r="G8" s="52" t="s">
        <v>38</v>
      </c>
      <c r="H8" s="31" t="s">
        <v>38</v>
      </c>
      <c r="I8" s="46" t="s">
        <v>38</v>
      </c>
      <c r="J8" s="52" t="s">
        <v>38</v>
      </c>
      <c r="K8" s="84"/>
    </row>
    <row r="9" spans="1:11" s="81" customFormat="1" ht="19.5" thickBot="1" x14ac:dyDescent="0.35">
      <c r="A9" s="632"/>
      <c r="B9" s="633"/>
      <c r="C9" s="62"/>
      <c r="D9" s="46"/>
      <c r="E9" s="55"/>
      <c r="F9" s="62"/>
      <c r="G9" s="62"/>
      <c r="H9" s="98" t="s">
        <v>110</v>
      </c>
      <c r="I9" s="103">
        <f>SUM(I3:I8)</f>
        <v>2969.52</v>
      </c>
      <c r="J9" s="101">
        <f>SUM(J3:J8)</f>
        <v>4400</v>
      </c>
      <c r="K9" s="85"/>
    </row>
    <row r="10" spans="1:11" x14ac:dyDescent="0.25">
      <c r="A10" s="48" t="s">
        <v>112</v>
      </c>
      <c r="B10" s="37" t="s">
        <v>68</v>
      </c>
      <c r="C10" s="264" t="s">
        <v>74</v>
      </c>
      <c r="D10" s="34">
        <v>84.45</v>
      </c>
      <c r="E10" s="291"/>
      <c r="F10" s="50"/>
      <c r="G10" s="49">
        <v>33.71</v>
      </c>
      <c r="H10" s="49">
        <v>24</v>
      </c>
      <c r="I10" s="49">
        <f>G10*H10</f>
        <v>809.04</v>
      </c>
      <c r="J10" s="51">
        <v>900</v>
      </c>
      <c r="K10" s="86"/>
    </row>
    <row r="11" spans="1:11" x14ac:dyDescent="0.25">
      <c r="A11" s="48" t="s">
        <v>112</v>
      </c>
      <c r="B11" s="37" t="s">
        <v>69</v>
      </c>
      <c r="C11" s="261" t="s">
        <v>86</v>
      </c>
      <c r="D11" s="34">
        <v>84.12</v>
      </c>
      <c r="E11" s="288"/>
      <c r="F11" s="34"/>
      <c r="G11" s="46">
        <v>25.83</v>
      </c>
      <c r="H11" s="46">
        <v>24</v>
      </c>
      <c r="I11" s="49">
        <f>G11*H11</f>
        <v>619.91999999999996</v>
      </c>
      <c r="J11" s="36">
        <v>1400</v>
      </c>
      <c r="K11" s="83"/>
    </row>
    <row r="12" spans="1:11" x14ac:dyDescent="0.25">
      <c r="A12" s="48" t="s">
        <v>112</v>
      </c>
      <c r="B12" s="50" t="s">
        <v>70</v>
      </c>
      <c r="C12" s="261" t="s">
        <v>75</v>
      </c>
      <c r="D12" s="46" t="s">
        <v>38</v>
      </c>
      <c r="E12" s="290"/>
      <c r="F12" s="46"/>
      <c r="G12" s="46">
        <v>20.69</v>
      </c>
      <c r="H12" s="46">
        <v>24</v>
      </c>
      <c r="I12" s="49">
        <f>G12*H12</f>
        <v>496.56000000000006</v>
      </c>
      <c r="J12" s="36">
        <v>500</v>
      </c>
      <c r="K12" s="83"/>
    </row>
    <row r="13" spans="1:11" x14ac:dyDescent="0.25">
      <c r="A13" s="48" t="s">
        <v>112</v>
      </c>
      <c r="B13" s="75" t="s">
        <v>71</v>
      </c>
      <c r="C13" s="262" t="s">
        <v>38</v>
      </c>
      <c r="D13" s="46">
        <v>79</v>
      </c>
      <c r="E13" s="290"/>
      <c r="F13" s="46"/>
      <c r="G13" s="46">
        <v>30.19</v>
      </c>
      <c r="H13" s="46">
        <v>24</v>
      </c>
      <c r="I13" s="49">
        <f>G13*H13</f>
        <v>724.56000000000006</v>
      </c>
      <c r="J13" s="36">
        <v>1600</v>
      </c>
      <c r="K13" s="83"/>
    </row>
    <row r="14" spans="1:11" x14ac:dyDescent="0.25">
      <c r="A14" s="48" t="s">
        <v>112</v>
      </c>
      <c r="B14" s="37" t="s">
        <v>65</v>
      </c>
      <c r="C14" s="106" t="s">
        <v>38</v>
      </c>
      <c r="D14" s="46" t="s">
        <v>38</v>
      </c>
      <c r="E14" s="290"/>
      <c r="F14" s="46"/>
      <c r="G14" s="46" t="s">
        <v>38</v>
      </c>
      <c r="H14" s="46" t="s">
        <v>38</v>
      </c>
      <c r="I14" s="49"/>
      <c r="J14" s="46" t="s">
        <v>38</v>
      </c>
      <c r="K14" s="83"/>
    </row>
    <row r="15" spans="1:11" ht="15.75" thickBot="1" x14ac:dyDescent="0.3">
      <c r="A15" s="48" t="s">
        <v>112</v>
      </c>
      <c r="B15" s="37" t="s">
        <v>66</v>
      </c>
      <c r="C15" s="263" t="s">
        <v>38</v>
      </c>
      <c r="D15" s="46" t="s">
        <v>38</v>
      </c>
      <c r="E15" s="65"/>
      <c r="F15" s="52"/>
      <c r="G15" s="52" t="s">
        <v>38</v>
      </c>
      <c r="H15" s="52" t="s">
        <v>38</v>
      </c>
      <c r="I15" s="49"/>
      <c r="J15" s="52" t="s">
        <v>38</v>
      </c>
      <c r="K15" s="84"/>
    </row>
    <row r="16" spans="1:11" ht="19.5" thickBot="1" x14ac:dyDescent="0.35">
      <c r="A16" s="632"/>
      <c r="B16" s="633"/>
      <c r="C16" s="62"/>
      <c r="E16" s="55"/>
      <c r="F16" s="62"/>
      <c r="G16" s="62"/>
      <c r="H16" s="98" t="s">
        <v>110</v>
      </c>
      <c r="I16" s="103">
        <f>SUM(I10:I15)</f>
        <v>2650.08</v>
      </c>
      <c r="J16" s="104">
        <f>SUM(J10:J15)</f>
        <v>4400</v>
      </c>
      <c r="K16" s="87"/>
    </row>
    <row r="17" spans="1:11" x14ac:dyDescent="0.25">
      <c r="A17" s="48" t="s">
        <v>113</v>
      </c>
      <c r="B17" s="37" t="s">
        <v>68</v>
      </c>
      <c r="C17" s="264" t="s">
        <v>74</v>
      </c>
      <c r="D17" s="56">
        <v>76.92</v>
      </c>
      <c r="E17" s="76"/>
      <c r="F17" s="76"/>
      <c r="G17" s="31">
        <v>33.71</v>
      </c>
      <c r="H17" s="64">
        <v>24</v>
      </c>
      <c r="I17" s="31">
        <f>(G17*H17)</f>
        <v>809.04</v>
      </c>
      <c r="J17" s="51">
        <v>900</v>
      </c>
      <c r="K17" s="83"/>
    </row>
    <row r="18" spans="1:11" x14ac:dyDescent="0.25">
      <c r="A18" s="48" t="s">
        <v>113</v>
      </c>
      <c r="B18" s="37" t="s">
        <v>69</v>
      </c>
      <c r="C18" s="261" t="s">
        <v>86</v>
      </c>
      <c r="D18" s="56">
        <v>80.239999999999995</v>
      </c>
      <c r="E18" s="194"/>
      <c r="F18" s="56"/>
      <c r="G18" s="46">
        <v>30.24</v>
      </c>
      <c r="H18" s="46">
        <v>24</v>
      </c>
      <c r="I18" s="46">
        <f>(G18*H18)</f>
        <v>725.76</v>
      </c>
      <c r="J18" s="36">
        <v>1400</v>
      </c>
      <c r="K18" s="83"/>
    </row>
    <row r="19" spans="1:11" x14ac:dyDescent="0.25">
      <c r="A19" s="48" t="s">
        <v>113</v>
      </c>
      <c r="B19" s="50" t="s">
        <v>70</v>
      </c>
      <c r="C19" s="261" t="s">
        <v>75</v>
      </c>
      <c r="D19" s="46" t="s">
        <v>38</v>
      </c>
      <c r="E19" s="290"/>
      <c r="F19" s="46"/>
      <c r="G19" s="46">
        <v>20.76</v>
      </c>
      <c r="H19" s="46">
        <v>24</v>
      </c>
      <c r="I19" s="46">
        <f>(G19*H19)</f>
        <v>498.24</v>
      </c>
      <c r="J19" s="36">
        <v>500</v>
      </c>
      <c r="K19" s="83"/>
    </row>
    <row r="20" spans="1:11" x14ac:dyDescent="0.25">
      <c r="A20" s="48" t="s">
        <v>113</v>
      </c>
      <c r="B20" s="75" t="s">
        <v>71</v>
      </c>
      <c r="C20" s="262" t="s">
        <v>38</v>
      </c>
      <c r="D20" s="46">
        <v>79</v>
      </c>
      <c r="E20" s="290"/>
      <c r="F20" s="46"/>
      <c r="G20" s="46">
        <v>40.89</v>
      </c>
      <c r="H20" s="46">
        <v>24</v>
      </c>
      <c r="I20" s="46">
        <f>(G20*H20)</f>
        <v>981.36</v>
      </c>
      <c r="J20" s="36">
        <v>1600</v>
      </c>
      <c r="K20" s="83"/>
    </row>
    <row r="21" spans="1:11" x14ac:dyDescent="0.25">
      <c r="A21" s="48" t="s">
        <v>113</v>
      </c>
      <c r="B21" s="37" t="s">
        <v>65</v>
      </c>
      <c r="C21" s="106" t="s">
        <v>38</v>
      </c>
      <c r="D21" s="46" t="s">
        <v>38</v>
      </c>
      <c r="E21" s="290"/>
      <c r="F21" s="46"/>
      <c r="G21" s="46" t="s">
        <v>38</v>
      </c>
      <c r="H21" s="46" t="s">
        <v>38</v>
      </c>
      <c r="I21" s="52" t="s">
        <v>38</v>
      </c>
      <c r="J21" s="46" t="s">
        <v>38</v>
      </c>
      <c r="K21" s="83"/>
    </row>
    <row r="22" spans="1:11" ht="15.75" thickBot="1" x14ac:dyDescent="0.3">
      <c r="A22" s="48" t="s">
        <v>113</v>
      </c>
      <c r="B22" s="37" t="s">
        <v>66</v>
      </c>
      <c r="C22" s="263" t="s">
        <v>38</v>
      </c>
      <c r="D22" s="46" t="s">
        <v>38</v>
      </c>
      <c r="E22" s="67"/>
      <c r="F22" s="63"/>
      <c r="G22" s="63" t="s">
        <v>38</v>
      </c>
      <c r="H22" s="31" t="s">
        <v>38</v>
      </c>
      <c r="I22" s="66" t="s">
        <v>38</v>
      </c>
      <c r="J22" s="65" t="s">
        <v>38</v>
      </c>
      <c r="K22" s="83"/>
    </row>
    <row r="23" spans="1:11" ht="19.5" thickBot="1" x14ac:dyDescent="0.35">
      <c r="A23" s="634"/>
      <c r="B23" s="635"/>
      <c r="C23" s="55"/>
      <c r="E23" s="55"/>
      <c r="F23" s="55"/>
      <c r="G23" s="55"/>
      <c r="H23" s="98" t="s">
        <v>110</v>
      </c>
      <c r="I23" s="102">
        <f>SUM(I17:I22)</f>
        <v>3014.4</v>
      </c>
      <c r="J23" s="101">
        <f>SUM(J17:J22)</f>
        <v>4400</v>
      </c>
      <c r="K23" s="88"/>
    </row>
    <row r="24" spans="1:11" x14ac:dyDescent="0.25">
      <c r="A24" s="59" t="s">
        <v>98</v>
      </c>
      <c r="B24" s="37" t="s">
        <v>68</v>
      </c>
      <c r="C24" s="264" t="s">
        <v>74</v>
      </c>
      <c r="D24" s="56">
        <v>76.92</v>
      </c>
      <c r="E24" s="76"/>
      <c r="F24" s="76"/>
      <c r="G24" s="31">
        <v>30.87</v>
      </c>
      <c r="H24" s="64">
        <v>24</v>
      </c>
      <c r="I24" s="31">
        <f>(G24*H24)</f>
        <v>740.88</v>
      </c>
      <c r="J24" s="51">
        <v>900</v>
      </c>
      <c r="K24" s="83"/>
    </row>
    <row r="25" spans="1:11" x14ac:dyDescent="0.25">
      <c r="A25" s="58" t="s">
        <v>98</v>
      </c>
      <c r="B25" s="37" t="s">
        <v>69</v>
      </c>
      <c r="C25" s="261" t="s">
        <v>86</v>
      </c>
      <c r="D25" s="56">
        <v>80.239999999999995</v>
      </c>
      <c r="E25" s="194"/>
      <c r="F25" s="56"/>
      <c r="G25" s="46">
        <v>26.46</v>
      </c>
      <c r="H25" s="46">
        <v>24</v>
      </c>
      <c r="I25" s="46">
        <f>(G25*H25)</f>
        <v>635.04</v>
      </c>
      <c r="J25" s="36">
        <v>1400</v>
      </c>
      <c r="K25" s="83"/>
    </row>
    <row r="26" spans="1:11" x14ac:dyDescent="0.25">
      <c r="A26" s="57" t="s">
        <v>98</v>
      </c>
      <c r="B26" s="50" t="s">
        <v>70</v>
      </c>
      <c r="C26" s="261" t="s">
        <v>75</v>
      </c>
      <c r="D26" s="46" t="s">
        <v>38</v>
      </c>
      <c r="E26" s="290"/>
      <c r="F26" s="46"/>
      <c r="G26" s="46">
        <v>20.13</v>
      </c>
      <c r="H26" s="46">
        <v>24</v>
      </c>
      <c r="I26" s="46">
        <f>(G26*H26)</f>
        <v>483.12</v>
      </c>
      <c r="J26" s="36">
        <v>500</v>
      </c>
      <c r="K26" s="83"/>
    </row>
    <row r="27" spans="1:11" x14ac:dyDescent="0.25">
      <c r="A27" s="47" t="s">
        <v>98</v>
      </c>
      <c r="B27" s="75" t="s">
        <v>71</v>
      </c>
      <c r="C27" s="262" t="s">
        <v>38</v>
      </c>
      <c r="D27" s="46">
        <v>79</v>
      </c>
      <c r="E27" s="290"/>
      <c r="F27" s="46"/>
      <c r="G27" s="46">
        <v>36.479999999999997</v>
      </c>
      <c r="H27" s="46">
        <v>24</v>
      </c>
      <c r="I27" s="46">
        <f>(G27*H27)</f>
        <v>875.52</v>
      </c>
      <c r="J27" s="36">
        <v>1600</v>
      </c>
      <c r="K27" s="83"/>
    </row>
    <row r="28" spans="1:11" x14ac:dyDescent="0.25">
      <c r="A28" s="57" t="s">
        <v>98</v>
      </c>
      <c r="B28" s="37" t="s">
        <v>65</v>
      </c>
      <c r="C28" s="106" t="s">
        <v>38</v>
      </c>
      <c r="D28" s="46" t="s">
        <v>38</v>
      </c>
      <c r="E28" s="290"/>
      <c r="F28" s="46"/>
      <c r="G28" s="46" t="s">
        <v>38</v>
      </c>
      <c r="H28" s="46" t="s">
        <v>38</v>
      </c>
      <c r="I28" s="46" t="s">
        <v>38</v>
      </c>
      <c r="J28" s="46" t="s">
        <v>38</v>
      </c>
      <c r="K28" s="83"/>
    </row>
    <row r="29" spans="1:11" ht="15.75" thickBot="1" x14ac:dyDescent="0.3">
      <c r="A29" s="54" t="s">
        <v>98</v>
      </c>
      <c r="B29" s="37" t="s">
        <v>66</v>
      </c>
      <c r="C29" s="263" t="s">
        <v>38</v>
      </c>
      <c r="D29" s="46" t="s">
        <v>38</v>
      </c>
      <c r="E29" s="67"/>
      <c r="F29" s="67"/>
      <c r="G29" s="67" t="s">
        <v>38</v>
      </c>
      <c r="H29" s="66" t="s">
        <v>38</v>
      </c>
      <c r="I29" s="68" t="s">
        <v>38</v>
      </c>
      <c r="J29" s="52" t="s">
        <v>38</v>
      </c>
      <c r="K29" s="83"/>
    </row>
    <row r="30" spans="1:11" ht="19.5" thickBot="1" x14ac:dyDescent="0.35">
      <c r="A30" s="636"/>
      <c r="B30" s="635"/>
      <c r="C30" s="62"/>
      <c r="E30" s="55"/>
      <c r="F30" s="55"/>
      <c r="G30" s="53"/>
      <c r="H30" s="98" t="s">
        <v>110</v>
      </c>
      <c r="I30" s="100">
        <f>SUM(I24:I29)</f>
        <v>2734.56</v>
      </c>
      <c r="J30" s="101">
        <f>SUM(J24:J29)</f>
        <v>4400</v>
      </c>
      <c r="K30" s="88"/>
    </row>
    <row r="31" spans="1:11" x14ac:dyDescent="0.25">
      <c r="A31" s="54" t="s">
        <v>99</v>
      </c>
      <c r="B31" s="37" t="s">
        <v>68</v>
      </c>
      <c r="C31" s="264" t="s">
        <v>74</v>
      </c>
      <c r="D31" s="56">
        <v>76.92</v>
      </c>
      <c r="E31" s="76"/>
      <c r="F31" s="76"/>
      <c r="G31" s="31">
        <v>28.35</v>
      </c>
      <c r="H31" s="64">
        <v>24</v>
      </c>
      <c r="I31" s="64">
        <f>(G31*H31)</f>
        <v>680.40000000000009</v>
      </c>
      <c r="J31" s="51">
        <v>900</v>
      </c>
      <c r="K31" s="83"/>
    </row>
    <row r="32" spans="1:11" x14ac:dyDescent="0.25">
      <c r="A32" s="57" t="s">
        <v>99</v>
      </c>
      <c r="B32" s="37" t="s">
        <v>69</v>
      </c>
      <c r="C32" s="261" t="s">
        <v>86</v>
      </c>
      <c r="D32" s="56">
        <v>80.239999999999995</v>
      </c>
      <c r="E32" s="194"/>
      <c r="F32" s="56"/>
      <c r="G32" s="46">
        <v>24.57</v>
      </c>
      <c r="H32" s="46">
        <v>24</v>
      </c>
      <c r="I32" s="46">
        <f>(G32*H32)</f>
        <v>589.68000000000006</v>
      </c>
      <c r="J32" s="36">
        <v>1400</v>
      </c>
      <c r="K32" s="83"/>
    </row>
    <row r="33" spans="1:11" x14ac:dyDescent="0.25">
      <c r="A33" s="57" t="s">
        <v>99</v>
      </c>
      <c r="B33" s="50" t="s">
        <v>70</v>
      </c>
      <c r="C33" s="261" t="s">
        <v>75</v>
      </c>
      <c r="D33" s="46" t="s">
        <v>38</v>
      </c>
      <c r="E33" s="290"/>
      <c r="F33" s="46"/>
      <c r="G33" s="46">
        <v>20.76</v>
      </c>
      <c r="H33" s="46">
        <v>24</v>
      </c>
      <c r="I33" s="46">
        <f>(G33*H33)</f>
        <v>498.24</v>
      </c>
      <c r="J33" s="36">
        <v>500</v>
      </c>
      <c r="K33" s="83"/>
    </row>
    <row r="34" spans="1:11" x14ac:dyDescent="0.25">
      <c r="A34" s="57" t="s">
        <v>99</v>
      </c>
      <c r="B34" s="75" t="s">
        <v>71</v>
      </c>
      <c r="C34" s="262" t="s">
        <v>38</v>
      </c>
      <c r="D34" s="46">
        <v>79</v>
      </c>
      <c r="E34" s="290"/>
      <c r="F34" s="46"/>
      <c r="G34" s="46">
        <v>37.11</v>
      </c>
      <c r="H34" s="46">
        <v>24</v>
      </c>
      <c r="I34" s="46">
        <f>(G34*H34)</f>
        <v>890.64</v>
      </c>
      <c r="J34" s="36">
        <v>1600</v>
      </c>
      <c r="K34" s="83"/>
    </row>
    <row r="35" spans="1:11" x14ac:dyDescent="0.25">
      <c r="A35" s="57" t="s">
        <v>99</v>
      </c>
      <c r="B35" s="37" t="s">
        <v>65</v>
      </c>
      <c r="C35" s="106" t="s">
        <v>38</v>
      </c>
      <c r="D35" s="46" t="s">
        <v>38</v>
      </c>
      <c r="E35" s="290"/>
      <c r="F35" s="46"/>
      <c r="G35" s="46" t="s">
        <v>38</v>
      </c>
      <c r="H35" s="46" t="s">
        <v>38</v>
      </c>
      <c r="I35" s="46" t="s">
        <v>38</v>
      </c>
      <c r="J35" s="46" t="s">
        <v>38</v>
      </c>
      <c r="K35" s="83"/>
    </row>
    <row r="36" spans="1:11" ht="15.75" thickBot="1" x14ac:dyDescent="0.3">
      <c r="A36" s="54" t="s">
        <v>99</v>
      </c>
      <c r="B36" s="37" t="s">
        <v>66</v>
      </c>
      <c r="C36" s="263" t="s">
        <v>38</v>
      </c>
      <c r="D36" s="46" t="s">
        <v>38</v>
      </c>
      <c r="E36" s="67"/>
      <c r="F36" s="67"/>
      <c r="G36" s="67" t="s">
        <v>38</v>
      </c>
      <c r="H36" s="66" t="s">
        <v>38</v>
      </c>
      <c r="I36" s="31" t="s">
        <v>38</v>
      </c>
      <c r="J36" s="52" t="s">
        <v>38</v>
      </c>
      <c r="K36" s="83"/>
    </row>
    <row r="37" spans="1:11" ht="19.5" thickBot="1" x14ac:dyDescent="0.35">
      <c r="A37" s="636"/>
      <c r="B37" s="635"/>
      <c r="C37" s="62"/>
      <c r="E37" s="292"/>
      <c r="F37" s="137"/>
      <c r="G37" s="53"/>
      <c r="H37" s="98" t="s">
        <v>110</v>
      </c>
      <c r="I37" s="100">
        <f>SUM(I31:I36)</f>
        <v>2658.96</v>
      </c>
      <c r="J37" s="101">
        <f>SUM(J31:J36)</f>
        <v>4400</v>
      </c>
      <c r="K37" s="89"/>
    </row>
    <row r="38" spans="1:11" x14ac:dyDescent="0.25">
      <c r="A38" s="47" t="s">
        <v>101</v>
      </c>
      <c r="B38" s="37" t="s">
        <v>68</v>
      </c>
      <c r="C38" s="264" t="s">
        <v>74</v>
      </c>
      <c r="D38" s="46">
        <v>87.36</v>
      </c>
      <c r="E38" s="290"/>
      <c r="F38" s="46"/>
      <c r="G38" s="64">
        <v>36.54</v>
      </c>
      <c r="H38" s="64">
        <v>24</v>
      </c>
      <c r="I38" s="64">
        <f>(G38*H38)</f>
        <v>876.96</v>
      </c>
      <c r="J38" s="51">
        <v>900</v>
      </c>
    </row>
    <row r="39" spans="1:11" x14ac:dyDescent="0.25">
      <c r="A39" s="47" t="s">
        <v>101</v>
      </c>
      <c r="B39" s="37" t="s">
        <v>69</v>
      </c>
      <c r="C39" s="261" t="s">
        <v>86</v>
      </c>
      <c r="D39" s="46">
        <v>89.35</v>
      </c>
      <c r="E39" s="290"/>
      <c r="F39" s="46"/>
      <c r="G39" s="46">
        <v>30.87</v>
      </c>
      <c r="H39" s="46">
        <v>24</v>
      </c>
      <c r="I39" s="46">
        <f>(G39*H39)</f>
        <v>740.88</v>
      </c>
      <c r="J39" s="36">
        <v>1400</v>
      </c>
    </row>
    <row r="40" spans="1:11" x14ac:dyDescent="0.25">
      <c r="A40" s="47" t="s">
        <v>101</v>
      </c>
      <c r="B40" s="50" t="s">
        <v>70</v>
      </c>
      <c r="C40" s="261" t="s">
        <v>75</v>
      </c>
      <c r="D40" s="46" t="s">
        <v>38</v>
      </c>
      <c r="E40" s="290"/>
      <c r="F40" s="46"/>
      <c r="G40" s="46">
        <v>20.76</v>
      </c>
      <c r="H40" s="46">
        <v>24</v>
      </c>
      <c r="I40" s="46">
        <f>(G40*H40)</f>
        <v>498.24</v>
      </c>
      <c r="J40" s="36">
        <v>500</v>
      </c>
    </row>
    <row r="41" spans="1:11" x14ac:dyDescent="0.25">
      <c r="A41" s="47" t="s">
        <v>101</v>
      </c>
      <c r="B41" s="75" t="s">
        <v>71</v>
      </c>
      <c r="C41" s="262" t="s">
        <v>38</v>
      </c>
      <c r="D41" s="46">
        <v>82</v>
      </c>
      <c r="E41" s="290"/>
      <c r="F41" s="46"/>
      <c r="G41" s="46">
        <v>35.22</v>
      </c>
      <c r="H41" s="46">
        <v>24</v>
      </c>
      <c r="I41" s="31">
        <f>(G41*H41)</f>
        <v>845.28</v>
      </c>
      <c r="J41" s="36">
        <v>1600</v>
      </c>
    </row>
    <row r="42" spans="1:11" x14ac:dyDescent="0.25">
      <c r="A42" s="47" t="s">
        <v>101</v>
      </c>
      <c r="B42" s="37" t="s">
        <v>65</v>
      </c>
      <c r="C42" s="106" t="s">
        <v>38</v>
      </c>
      <c r="D42" s="46" t="s">
        <v>38</v>
      </c>
      <c r="E42" s="290"/>
      <c r="F42" s="46"/>
      <c r="G42" s="46" t="s">
        <v>38</v>
      </c>
      <c r="H42" s="46" t="s">
        <v>38</v>
      </c>
      <c r="I42" s="46" t="s">
        <v>38</v>
      </c>
      <c r="J42" s="46" t="s">
        <v>38</v>
      </c>
    </row>
    <row r="43" spans="1:11" ht="15.75" thickBot="1" x14ac:dyDescent="0.3">
      <c r="A43" s="47" t="s">
        <v>101</v>
      </c>
      <c r="B43" s="37" t="s">
        <v>66</v>
      </c>
      <c r="C43" s="263" t="s">
        <v>38</v>
      </c>
      <c r="D43" s="46" t="s">
        <v>38</v>
      </c>
      <c r="E43" s="290"/>
      <c r="F43" s="46"/>
      <c r="G43" s="66" t="s">
        <v>38</v>
      </c>
      <c r="H43" s="66" t="s">
        <v>38</v>
      </c>
      <c r="I43" s="31" t="s">
        <v>38</v>
      </c>
      <c r="J43" s="52" t="s">
        <v>38</v>
      </c>
    </row>
    <row r="44" spans="1:11" ht="19.5" thickBot="1" x14ac:dyDescent="0.35">
      <c r="A44" s="71"/>
      <c r="B44" s="77"/>
      <c r="C44" s="55"/>
      <c r="E44" s="293"/>
      <c r="F44" s="138"/>
      <c r="G44" s="53"/>
      <c r="H44" s="98" t="s">
        <v>110</v>
      </c>
      <c r="I44" s="100">
        <f>SUM(I38:I43)</f>
        <v>2961.3599999999997</v>
      </c>
      <c r="J44" s="101">
        <f>SUM(J38:J43)</f>
        <v>4400</v>
      </c>
      <c r="K44" s="89"/>
    </row>
    <row r="45" spans="1:11" x14ac:dyDescent="0.25">
      <c r="A45" s="79" t="s">
        <v>102</v>
      </c>
      <c r="B45" s="49" t="s">
        <v>68</v>
      </c>
      <c r="C45" s="261" t="s">
        <v>74</v>
      </c>
      <c r="D45" s="34">
        <v>85.08</v>
      </c>
      <c r="E45" s="288" t="s">
        <v>79</v>
      </c>
      <c r="F45" s="35">
        <v>6.4</v>
      </c>
      <c r="G45" s="36">
        <f>F45*6.3</f>
        <v>40.32</v>
      </c>
      <c r="H45" s="37">
        <v>24</v>
      </c>
      <c r="I45" s="36">
        <f>G45*H45</f>
        <v>967.68000000000006</v>
      </c>
      <c r="J45" s="36">
        <v>900</v>
      </c>
    </row>
    <row r="46" spans="1:11" x14ac:dyDescent="0.25">
      <c r="A46" s="54" t="s">
        <v>102</v>
      </c>
      <c r="B46" s="46" t="s">
        <v>69</v>
      </c>
      <c r="C46" s="261" t="s">
        <v>86</v>
      </c>
      <c r="D46" s="34">
        <v>85.01</v>
      </c>
      <c r="E46" s="288" t="s">
        <v>79</v>
      </c>
      <c r="F46" s="38">
        <v>3.9</v>
      </c>
      <c r="G46" s="39">
        <f>F46*6.3</f>
        <v>24.57</v>
      </c>
      <c r="H46" s="40">
        <v>24</v>
      </c>
      <c r="I46" s="41">
        <f>G46*H46</f>
        <v>589.68000000000006</v>
      </c>
      <c r="J46" s="36">
        <v>1400</v>
      </c>
    </row>
    <row r="47" spans="1:11" x14ac:dyDescent="0.25">
      <c r="A47" s="54" t="s">
        <v>102</v>
      </c>
      <c r="B47" s="46" t="s">
        <v>70</v>
      </c>
      <c r="C47" s="261" t="s">
        <v>75</v>
      </c>
      <c r="D47" s="34" t="s">
        <v>38</v>
      </c>
      <c r="E47" s="288" t="s">
        <v>79</v>
      </c>
      <c r="F47" s="37">
        <v>3.4</v>
      </c>
      <c r="G47" s="36">
        <f>F47*6.3</f>
        <v>21.419999999999998</v>
      </c>
      <c r="H47" s="37">
        <v>24</v>
      </c>
      <c r="I47" s="36">
        <f>G47*H47</f>
        <v>514.07999999999993</v>
      </c>
      <c r="J47" s="36">
        <v>500</v>
      </c>
    </row>
    <row r="48" spans="1:11" x14ac:dyDescent="0.25">
      <c r="A48" s="54" t="s">
        <v>102</v>
      </c>
      <c r="B48" s="46" t="s">
        <v>71</v>
      </c>
      <c r="C48" s="262" t="s">
        <v>38</v>
      </c>
      <c r="D48" s="34">
        <v>82</v>
      </c>
      <c r="E48" s="294" t="s">
        <v>79</v>
      </c>
      <c r="F48" s="43">
        <v>4.9000000000000004</v>
      </c>
      <c r="G48" s="39">
        <f>F48*6.3</f>
        <v>30.87</v>
      </c>
      <c r="H48" s="40">
        <v>24</v>
      </c>
      <c r="I48" s="44">
        <f>G48*H48</f>
        <v>740.88</v>
      </c>
      <c r="J48" s="36">
        <v>1600</v>
      </c>
    </row>
    <row r="49" spans="1:11" ht="19.5" customHeight="1" x14ac:dyDescent="0.25">
      <c r="A49" s="54" t="s">
        <v>102</v>
      </c>
      <c r="B49" s="46" t="s">
        <v>65</v>
      </c>
      <c r="C49" s="261" t="s">
        <v>38</v>
      </c>
      <c r="D49" s="34" t="s">
        <v>38</v>
      </c>
      <c r="E49" s="288" t="s">
        <v>67</v>
      </c>
      <c r="F49" s="73" t="s">
        <v>38</v>
      </c>
      <c r="G49" s="74" t="s">
        <v>38</v>
      </c>
      <c r="H49" s="35" t="s">
        <v>38</v>
      </c>
      <c r="I49" s="44" t="s">
        <v>38</v>
      </c>
      <c r="J49" s="36" t="s">
        <v>38</v>
      </c>
    </row>
    <row r="50" spans="1:11" ht="21" customHeight="1" thickBot="1" x14ac:dyDescent="0.3">
      <c r="A50" s="80" t="s">
        <v>102</v>
      </c>
      <c r="B50" s="52" t="s">
        <v>66</v>
      </c>
      <c r="C50" s="265"/>
      <c r="D50" s="34" t="s">
        <v>38</v>
      </c>
      <c r="E50" s="288" t="s">
        <v>67</v>
      </c>
      <c r="F50" s="73" t="s">
        <v>38</v>
      </c>
      <c r="G50" s="74" t="s">
        <v>38</v>
      </c>
      <c r="H50" s="91" t="s">
        <v>38</v>
      </c>
      <c r="I50" s="96" t="s">
        <v>38</v>
      </c>
      <c r="J50" s="74" t="s">
        <v>38</v>
      </c>
    </row>
    <row r="51" spans="1:11" ht="19.5" customHeight="1" thickBot="1" x14ac:dyDescent="0.35">
      <c r="A51" s="71"/>
      <c r="B51" s="82"/>
      <c r="C51" s="266"/>
      <c r="D51" s="78"/>
      <c r="E51" s="92"/>
      <c r="F51" s="95"/>
      <c r="G51" s="94"/>
      <c r="H51" s="98" t="s">
        <v>110</v>
      </c>
      <c r="I51" s="97">
        <f>SUM(I45:I50)</f>
        <v>2812.32</v>
      </c>
      <c r="J51" s="97">
        <f>SUM(J45:J50)</f>
        <v>4400</v>
      </c>
      <c r="K51" s="89"/>
    </row>
    <row r="52" spans="1:11" x14ac:dyDescent="0.25">
      <c r="A52" s="47" t="s">
        <v>103</v>
      </c>
      <c r="B52" s="49" t="s">
        <v>68</v>
      </c>
      <c r="C52" s="261" t="s">
        <v>74</v>
      </c>
      <c r="D52" s="34">
        <v>84.53</v>
      </c>
      <c r="E52" s="288" t="s">
        <v>79</v>
      </c>
      <c r="F52" s="35">
        <v>7.5</v>
      </c>
      <c r="G52" s="36">
        <f>F52*6.3</f>
        <v>47.25</v>
      </c>
      <c r="H52" s="37">
        <v>24</v>
      </c>
      <c r="I52" s="36">
        <f>G52*H52</f>
        <v>1134</v>
      </c>
      <c r="J52" s="36">
        <v>900</v>
      </c>
    </row>
    <row r="53" spans="1:11" x14ac:dyDescent="0.25">
      <c r="A53" s="47" t="s">
        <v>103</v>
      </c>
      <c r="B53" s="46" t="s">
        <v>69</v>
      </c>
      <c r="C53" s="261" t="s">
        <v>86</v>
      </c>
      <c r="D53" s="34">
        <v>84.22</v>
      </c>
      <c r="E53" s="288" t="s">
        <v>79</v>
      </c>
      <c r="F53" s="38">
        <v>5.3</v>
      </c>
      <c r="G53" s="39">
        <f>F53*6.3</f>
        <v>33.39</v>
      </c>
      <c r="H53" s="40">
        <v>24</v>
      </c>
      <c r="I53" s="41">
        <f>G53*H53</f>
        <v>801.36</v>
      </c>
      <c r="J53" s="36">
        <v>1400</v>
      </c>
    </row>
    <row r="54" spans="1:11" x14ac:dyDescent="0.25">
      <c r="A54" s="47" t="s">
        <v>103</v>
      </c>
      <c r="B54" s="46" t="s">
        <v>70</v>
      </c>
      <c r="C54" s="261" t="s">
        <v>75</v>
      </c>
      <c r="D54" s="34" t="s">
        <v>38</v>
      </c>
      <c r="E54" s="288" t="s">
        <v>79</v>
      </c>
      <c r="F54" s="37">
        <v>3.5</v>
      </c>
      <c r="G54" s="36">
        <f>F54*6.3</f>
        <v>22.05</v>
      </c>
      <c r="H54" s="37">
        <v>24</v>
      </c>
      <c r="I54" s="36">
        <f>G54*H54</f>
        <v>529.20000000000005</v>
      </c>
      <c r="J54" s="36">
        <v>500</v>
      </c>
    </row>
    <row r="55" spans="1:11" x14ac:dyDescent="0.25">
      <c r="A55" s="47" t="s">
        <v>103</v>
      </c>
      <c r="B55" s="46" t="s">
        <v>71</v>
      </c>
      <c r="C55" s="262" t="s">
        <v>38</v>
      </c>
      <c r="D55" s="34">
        <v>82</v>
      </c>
      <c r="E55" s="294" t="s">
        <v>79</v>
      </c>
      <c r="F55" s="43">
        <v>6.9</v>
      </c>
      <c r="G55" s="39">
        <f>F55*6.3</f>
        <v>43.47</v>
      </c>
      <c r="H55" s="40">
        <v>24</v>
      </c>
      <c r="I55" s="44">
        <f>G55*H55</f>
        <v>1043.28</v>
      </c>
      <c r="J55" s="36">
        <v>1600</v>
      </c>
    </row>
    <row r="56" spans="1:11" ht="30" x14ac:dyDescent="0.25">
      <c r="A56" s="47" t="s">
        <v>103</v>
      </c>
      <c r="B56" s="46" t="s">
        <v>65</v>
      </c>
      <c r="C56" s="261" t="s">
        <v>38</v>
      </c>
      <c r="D56" s="34" t="s">
        <v>38</v>
      </c>
      <c r="E56" s="288" t="s">
        <v>67</v>
      </c>
      <c r="F56" s="73" t="s">
        <v>38</v>
      </c>
      <c r="G56" s="74" t="s">
        <v>38</v>
      </c>
      <c r="H56" s="35" t="s">
        <v>38</v>
      </c>
      <c r="I56" s="44" t="s">
        <v>38</v>
      </c>
      <c r="J56" s="36" t="s">
        <v>38</v>
      </c>
    </row>
    <row r="57" spans="1:11" ht="30.75" thickBot="1" x14ac:dyDescent="0.3">
      <c r="A57" s="47" t="s">
        <v>103</v>
      </c>
      <c r="B57" s="52" t="s">
        <v>66</v>
      </c>
      <c r="C57" s="265"/>
      <c r="D57" s="34" t="s">
        <v>38</v>
      </c>
      <c r="E57" s="288" t="s">
        <v>67</v>
      </c>
      <c r="F57" s="73" t="s">
        <v>38</v>
      </c>
      <c r="G57" s="36" t="s">
        <v>38</v>
      </c>
      <c r="H57" s="35" t="s">
        <v>38</v>
      </c>
      <c r="I57" s="96" t="s">
        <v>38</v>
      </c>
      <c r="J57" s="74" t="s">
        <v>38</v>
      </c>
    </row>
    <row r="58" spans="1:11" ht="19.5" thickBot="1" x14ac:dyDescent="0.35">
      <c r="A58" s="71"/>
      <c r="B58" s="77"/>
      <c r="C58" s="266"/>
      <c r="D58" s="61"/>
      <c r="E58" s="92"/>
      <c r="F58" s="78"/>
      <c r="G58" s="93"/>
      <c r="H58" s="107" t="s">
        <v>110</v>
      </c>
      <c r="I58" s="97">
        <f>SUM(I52:I57)</f>
        <v>3507.84</v>
      </c>
      <c r="J58" s="97">
        <f>SUM(J52:J57)</f>
        <v>4400</v>
      </c>
      <c r="K58" s="89"/>
    </row>
    <row r="59" spans="1:11" x14ac:dyDescent="0.25">
      <c r="A59" s="47" t="s">
        <v>104</v>
      </c>
      <c r="B59" s="49" t="s">
        <v>68</v>
      </c>
      <c r="C59" s="261" t="s">
        <v>74</v>
      </c>
      <c r="D59" s="108">
        <v>74.36</v>
      </c>
      <c r="E59" s="288" t="s">
        <v>79</v>
      </c>
      <c r="F59" s="109">
        <v>7.04</v>
      </c>
      <c r="G59" s="36">
        <f>F59*6.3</f>
        <v>44.351999999999997</v>
      </c>
      <c r="H59" s="37">
        <v>24</v>
      </c>
      <c r="I59" s="36">
        <f>G59*H59</f>
        <v>1064.4479999999999</v>
      </c>
      <c r="J59" s="36">
        <v>900</v>
      </c>
    </row>
    <row r="60" spans="1:11" x14ac:dyDescent="0.25">
      <c r="A60" s="47" t="s">
        <v>104</v>
      </c>
      <c r="B60" s="46" t="s">
        <v>69</v>
      </c>
      <c r="C60" s="261" t="s">
        <v>86</v>
      </c>
      <c r="D60" s="108">
        <v>82.44</v>
      </c>
      <c r="E60" s="288" t="s">
        <v>79</v>
      </c>
      <c r="F60" s="110">
        <v>8.0399999999999991</v>
      </c>
      <c r="G60" s="39">
        <f>F60*6.3</f>
        <v>50.651999999999994</v>
      </c>
      <c r="H60" s="40">
        <v>24</v>
      </c>
      <c r="I60" s="41">
        <f>G60*H60</f>
        <v>1215.6479999999999</v>
      </c>
      <c r="J60" s="36">
        <v>1400</v>
      </c>
    </row>
    <row r="61" spans="1:11" x14ac:dyDescent="0.25">
      <c r="A61" s="47" t="s">
        <v>104</v>
      </c>
      <c r="B61" s="46" t="s">
        <v>70</v>
      </c>
      <c r="C61" s="261" t="s">
        <v>75</v>
      </c>
      <c r="D61" s="108" t="s">
        <v>38</v>
      </c>
      <c r="E61" s="288" t="s">
        <v>79</v>
      </c>
      <c r="F61" s="36">
        <v>3.4</v>
      </c>
      <c r="G61" s="36">
        <f>F61*6.3</f>
        <v>21.419999999999998</v>
      </c>
      <c r="H61" s="37">
        <v>24</v>
      </c>
      <c r="I61" s="36">
        <f>G61*H61</f>
        <v>514.07999999999993</v>
      </c>
      <c r="J61" s="36">
        <v>500</v>
      </c>
    </row>
    <row r="62" spans="1:11" x14ac:dyDescent="0.25">
      <c r="A62" s="47" t="s">
        <v>104</v>
      </c>
      <c r="B62" s="46" t="s">
        <v>71</v>
      </c>
      <c r="C62" s="262" t="s">
        <v>38</v>
      </c>
      <c r="D62" s="108">
        <v>82</v>
      </c>
      <c r="E62" s="294" t="s">
        <v>79</v>
      </c>
      <c r="F62" s="74">
        <v>5.4</v>
      </c>
      <c r="G62" s="39">
        <f>F62*6.3</f>
        <v>34.020000000000003</v>
      </c>
      <c r="H62" s="40">
        <v>24</v>
      </c>
      <c r="I62" s="44">
        <f>G62*H62</f>
        <v>816.48</v>
      </c>
      <c r="J62" s="36">
        <v>1600</v>
      </c>
    </row>
    <row r="63" spans="1:11" ht="30" x14ac:dyDescent="0.25">
      <c r="A63" s="47" t="s">
        <v>104</v>
      </c>
      <c r="B63" s="46" t="s">
        <v>65</v>
      </c>
      <c r="C63" s="261" t="s">
        <v>38</v>
      </c>
      <c r="D63" s="34" t="s">
        <v>38</v>
      </c>
      <c r="E63" s="288" t="s">
        <v>67</v>
      </c>
      <c r="F63" s="73" t="s">
        <v>38</v>
      </c>
      <c r="G63" s="74" t="s">
        <v>38</v>
      </c>
      <c r="H63" s="35" t="s">
        <v>38</v>
      </c>
      <c r="I63" s="44" t="s">
        <v>38</v>
      </c>
      <c r="J63" s="36" t="s">
        <v>38</v>
      </c>
    </row>
    <row r="64" spans="1:11" ht="30.75" thickBot="1" x14ac:dyDescent="0.3">
      <c r="A64" s="47" t="s">
        <v>104</v>
      </c>
      <c r="B64" s="52" t="s">
        <v>66</v>
      </c>
      <c r="C64" s="267"/>
      <c r="D64" s="34" t="s">
        <v>38</v>
      </c>
      <c r="E64" s="288" t="s">
        <v>67</v>
      </c>
      <c r="F64" s="73" t="s">
        <v>38</v>
      </c>
      <c r="G64" s="36" t="s">
        <v>38</v>
      </c>
      <c r="H64" s="35" t="s">
        <v>38</v>
      </c>
      <c r="I64" s="44" t="s">
        <v>38</v>
      </c>
      <c r="J64" s="36" t="s">
        <v>38</v>
      </c>
    </row>
    <row r="65" spans="1:11" ht="19.5" thickBot="1" x14ac:dyDescent="0.35">
      <c r="A65" s="112"/>
      <c r="B65" s="113"/>
      <c r="C65"/>
      <c r="D65" s="78"/>
      <c r="E65" s="295"/>
      <c r="F65" s="114"/>
      <c r="G65" s="114"/>
      <c r="H65" s="115" t="s">
        <v>110</v>
      </c>
      <c r="I65" s="116">
        <f>SUM(I59:I64)</f>
        <v>3610.6559999999995</v>
      </c>
      <c r="J65" s="116">
        <f>SUM(J59:J64)</f>
        <v>4400</v>
      </c>
      <c r="K65" s="89"/>
    </row>
    <row r="66" spans="1:11" x14ac:dyDescent="0.25">
      <c r="A66" s="117" t="s">
        <v>105</v>
      </c>
      <c r="B66" s="64" t="s">
        <v>92</v>
      </c>
      <c r="C66" s="268" t="s">
        <v>74</v>
      </c>
      <c r="D66" s="108">
        <v>74.36</v>
      </c>
      <c r="E66" s="296" t="s">
        <v>79</v>
      </c>
      <c r="F66" s="118">
        <v>7.04</v>
      </c>
      <c r="G66" s="119">
        <f>F66*6.3</f>
        <v>44.351999999999997</v>
      </c>
      <c r="H66" s="120">
        <v>24</v>
      </c>
      <c r="I66" s="119">
        <f>G66*H66</f>
        <v>1064.4479999999999</v>
      </c>
      <c r="J66" s="121">
        <v>900</v>
      </c>
    </row>
    <row r="67" spans="1:11" x14ac:dyDescent="0.25">
      <c r="A67" s="122" t="s">
        <v>105</v>
      </c>
      <c r="B67" s="46" t="s">
        <v>93</v>
      </c>
      <c r="C67" s="261" t="s">
        <v>86</v>
      </c>
      <c r="D67" s="108">
        <v>82.44</v>
      </c>
      <c r="E67" s="288" t="s">
        <v>79</v>
      </c>
      <c r="F67" s="110">
        <v>8.0399999999999991</v>
      </c>
      <c r="G67" s="39">
        <f>F67*6.3</f>
        <v>50.651999999999994</v>
      </c>
      <c r="H67" s="40">
        <v>24</v>
      </c>
      <c r="I67" s="41">
        <f>G67*H67</f>
        <v>1215.6479999999999</v>
      </c>
      <c r="J67" s="123">
        <v>1400</v>
      </c>
    </row>
    <row r="68" spans="1:11" x14ac:dyDescent="0.25">
      <c r="A68" s="122" t="s">
        <v>105</v>
      </c>
      <c r="B68" s="46" t="s">
        <v>94</v>
      </c>
      <c r="C68" s="261" t="s">
        <v>75</v>
      </c>
      <c r="D68" s="108" t="s">
        <v>38</v>
      </c>
      <c r="E68" s="288" t="s">
        <v>79</v>
      </c>
      <c r="F68" s="36">
        <v>3.4</v>
      </c>
      <c r="G68" s="36">
        <f>F68*6.3</f>
        <v>21.419999999999998</v>
      </c>
      <c r="H68" s="37">
        <v>24</v>
      </c>
      <c r="I68" s="36">
        <f>G68*H68</f>
        <v>514.07999999999993</v>
      </c>
      <c r="J68" s="123">
        <v>500</v>
      </c>
    </row>
    <row r="69" spans="1:11" x14ac:dyDescent="0.25">
      <c r="A69" s="122" t="s">
        <v>105</v>
      </c>
      <c r="B69" s="46" t="s">
        <v>95</v>
      </c>
      <c r="C69" s="262" t="s">
        <v>38</v>
      </c>
      <c r="D69" s="108">
        <v>80</v>
      </c>
      <c r="E69" s="294" t="s">
        <v>79</v>
      </c>
      <c r="F69" s="74">
        <v>5.7</v>
      </c>
      <c r="G69" s="39">
        <f>F69*6.3</f>
        <v>35.909999999999997</v>
      </c>
      <c r="H69" s="40">
        <v>24</v>
      </c>
      <c r="I69" s="44">
        <f>G69*H69</f>
        <v>861.83999999999992</v>
      </c>
      <c r="J69" s="123">
        <v>1600</v>
      </c>
    </row>
    <row r="70" spans="1:11" ht="30" x14ac:dyDescent="0.25">
      <c r="A70" s="122" t="s">
        <v>105</v>
      </c>
      <c r="B70" s="46" t="s">
        <v>96</v>
      </c>
      <c r="C70" s="261" t="s">
        <v>38</v>
      </c>
      <c r="D70" s="34" t="s">
        <v>38</v>
      </c>
      <c r="E70" s="288" t="s">
        <v>67</v>
      </c>
      <c r="F70" s="73" t="s">
        <v>38</v>
      </c>
      <c r="G70" s="74" t="s">
        <v>38</v>
      </c>
      <c r="H70" s="35" t="s">
        <v>38</v>
      </c>
      <c r="I70" s="44" t="s">
        <v>38</v>
      </c>
      <c r="J70" s="123" t="s">
        <v>38</v>
      </c>
    </row>
    <row r="71" spans="1:11" ht="30.75" thickBot="1" x14ac:dyDescent="0.3">
      <c r="A71" s="122" t="s">
        <v>105</v>
      </c>
      <c r="B71" s="52" t="s">
        <v>97</v>
      </c>
      <c r="C71" s="265"/>
      <c r="D71" s="34" t="s">
        <v>38</v>
      </c>
      <c r="E71" s="288" t="s">
        <v>67</v>
      </c>
      <c r="F71" s="73" t="s">
        <v>38</v>
      </c>
      <c r="G71" s="74" t="s">
        <v>38</v>
      </c>
      <c r="H71" s="91" t="s">
        <v>38</v>
      </c>
      <c r="I71" s="96" t="s">
        <v>38</v>
      </c>
      <c r="J71" s="124" t="s">
        <v>38</v>
      </c>
    </row>
    <row r="72" spans="1:11" ht="19.5" thickBot="1" x14ac:dyDescent="0.35">
      <c r="A72" s="71"/>
      <c r="B72" s="77"/>
      <c r="C72" s="266"/>
      <c r="D72" s="78"/>
      <c r="E72" s="125"/>
      <c r="F72" s="126"/>
      <c r="G72" s="94"/>
      <c r="H72" s="98" t="s">
        <v>110</v>
      </c>
      <c r="I72" s="97">
        <f>SUM(I66:I71)</f>
        <v>3656.0159999999996</v>
      </c>
      <c r="J72" s="97">
        <f>SUM(J66:J71)</f>
        <v>4400</v>
      </c>
      <c r="K72" s="89"/>
    </row>
    <row r="73" spans="1:11" x14ac:dyDescent="0.25">
      <c r="A73" s="117" t="s">
        <v>106</v>
      </c>
      <c r="B73" s="64" t="s">
        <v>92</v>
      </c>
      <c r="C73" s="268" t="s">
        <v>74</v>
      </c>
      <c r="D73" s="108">
        <v>74.36</v>
      </c>
      <c r="E73" s="296" t="s">
        <v>79</v>
      </c>
      <c r="F73" s="118">
        <v>7.04</v>
      </c>
      <c r="G73" s="119">
        <f>F73*6.3</f>
        <v>44.351999999999997</v>
      </c>
      <c r="H73" s="120">
        <v>24</v>
      </c>
      <c r="I73" s="119">
        <f>G73*H73</f>
        <v>1064.4479999999999</v>
      </c>
      <c r="J73" s="121">
        <v>900</v>
      </c>
    </row>
    <row r="74" spans="1:11" x14ac:dyDescent="0.25">
      <c r="A74" s="122" t="s">
        <v>106</v>
      </c>
      <c r="B74" s="46" t="s">
        <v>93</v>
      </c>
      <c r="C74" s="261" t="s">
        <v>86</v>
      </c>
      <c r="D74" s="108">
        <v>82.44</v>
      </c>
      <c r="E74" s="288" t="s">
        <v>79</v>
      </c>
      <c r="F74" s="110">
        <v>8.0399999999999991</v>
      </c>
      <c r="G74" s="39">
        <f>F74*6.3</f>
        <v>50.651999999999994</v>
      </c>
      <c r="H74" s="40">
        <v>24</v>
      </c>
      <c r="I74" s="41">
        <f>G74*H74</f>
        <v>1215.6479999999999</v>
      </c>
      <c r="J74" s="123">
        <v>1400</v>
      </c>
    </row>
    <row r="75" spans="1:11" x14ac:dyDescent="0.25">
      <c r="A75" s="122" t="s">
        <v>106</v>
      </c>
      <c r="B75" s="46" t="s">
        <v>94</v>
      </c>
      <c r="C75" s="261" t="s">
        <v>75</v>
      </c>
      <c r="D75" s="108" t="s">
        <v>38</v>
      </c>
      <c r="E75" s="288" t="s">
        <v>79</v>
      </c>
      <c r="F75" s="36">
        <v>3.7</v>
      </c>
      <c r="G75" s="36">
        <f>F75*6.3</f>
        <v>23.31</v>
      </c>
      <c r="H75" s="37">
        <v>24</v>
      </c>
      <c r="I75" s="36">
        <f>G75*H75</f>
        <v>559.43999999999994</v>
      </c>
      <c r="J75" s="123">
        <v>500</v>
      </c>
    </row>
    <row r="76" spans="1:11" x14ac:dyDescent="0.25">
      <c r="A76" s="122" t="s">
        <v>106</v>
      </c>
      <c r="B76" s="46" t="s">
        <v>95</v>
      </c>
      <c r="C76" s="262" t="s">
        <v>38</v>
      </c>
      <c r="D76" s="108">
        <v>80</v>
      </c>
      <c r="E76" s="294" t="s">
        <v>79</v>
      </c>
      <c r="F76" s="74">
        <v>5.3</v>
      </c>
      <c r="G76" s="39">
        <f>F76*6.3</f>
        <v>33.39</v>
      </c>
      <c r="H76" s="40">
        <v>24</v>
      </c>
      <c r="I76" s="44">
        <f>G76*H76</f>
        <v>801.36</v>
      </c>
      <c r="J76" s="123">
        <v>1600</v>
      </c>
    </row>
    <row r="77" spans="1:11" ht="30" x14ac:dyDescent="0.25">
      <c r="A77" s="122" t="s">
        <v>106</v>
      </c>
      <c r="B77" s="46" t="s">
        <v>96</v>
      </c>
      <c r="C77" s="261" t="s">
        <v>38</v>
      </c>
      <c r="D77" s="34" t="s">
        <v>38</v>
      </c>
      <c r="E77" s="288" t="s">
        <v>67</v>
      </c>
      <c r="F77" s="73" t="s">
        <v>38</v>
      </c>
      <c r="G77" s="74" t="s">
        <v>38</v>
      </c>
      <c r="H77" s="35" t="s">
        <v>38</v>
      </c>
      <c r="I77" s="44" t="s">
        <v>38</v>
      </c>
      <c r="J77" s="123" t="s">
        <v>38</v>
      </c>
    </row>
    <row r="78" spans="1:11" ht="30.75" thickBot="1" x14ac:dyDescent="0.3">
      <c r="A78" s="122" t="s">
        <v>106</v>
      </c>
      <c r="B78" s="52" t="s">
        <v>97</v>
      </c>
      <c r="C78" s="265"/>
      <c r="D78" s="34" t="s">
        <v>38</v>
      </c>
      <c r="E78" s="288" t="s">
        <v>67</v>
      </c>
      <c r="F78" s="73" t="s">
        <v>38</v>
      </c>
      <c r="G78" s="74" t="s">
        <v>38</v>
      </c>
      <c r="H78" s="91" t="s">
        <v>38</v>
      </c>
      <c r="I78" s="96" t="s">
        <v>38</v>
      </c>
      <c r="J78" s="124" t="s">
        <v>38</v>
      </c>
    </row>
    <row r="79" spans="1:11" ht="19.5" thickBot="1" x14ac:dyDescent="0.35">
      <c r="A79" s="71"/>
      <c r="B79" s="77"/>
      <c r="C79" s="266"/>
      <c r="D79" s="78"/>
      <c r="E79" s="125"/>
      <c r="F79" s="126"/>
      <c r="G79" s="94"/>
      <c r="H79" s="98" t="s">
        <v>110</v>
      </c>
      <c r="I79" s="97">
        <f>SUM(I73:I78)</f>
        <v>3640.8959999999997</v>
      </c>
      <c r="J79" s="97">
        <f>SUM(J73:J78)</f>
        <v>4400</v>
      </c>
      <c r="K79" s="89"/>
    </row>
    <row r="80" spans="1:11" x14ac:dyDescent="0.25">
      <c r="A80" s="117" t="s">
        <v>107</v>
      </c>
      <c r="B80" s="64" t="s">
        <v>92</v>
      </c>
      <c r="C80" s="268" t="s">
        <v>74</v>
      </c>
      <c r="D80" s="108">
        <v>74.36</v>
      </c>
      <c r="E80" s="296" t="s">
        <v>79</v>
      </c>
      <c r="F80" s="118">
        <v>7.04</v>
      </c>
      <c r="G80" s="119">
        <f>F80*6.3</f>
        <v>44.351999999999997</v>
      </c>
      <c r="H80" s="120">
        <v>24</v>
      </c>
      <c r="I80" s="119">
        <f>G80*H80</f>
        <v>1064.4479999999999</v>
      </c>
      <c r="J80" s="121">
        <v>900</v>
      </c>
    </row>
    <row r="81" spans="1:11" x14ac:dyDescent="0.25">
      <c r="A81" s="122" t="s">
        <v>107</v>
      </c>
      <c r="B81" s="46" t="s">
        <v>93</v>
      </c>
      <c r="C81" s="261" t="s">
        <v>86</v>
      </c>
      <c r="D81" s="108">
        <v>82.44</v>
      </c>
      <c r="E81" s="288" t="s">
        <v>79</v>
      </c>
      <c r="F81" s="110">
        <v>8.0399999999999991</v>
      </c>
      <c r="G81" s="39">
        <f>F81*6.3</f>
        <v>50.651999999999994</v>
      </c>
      <c r="H81" s="40">
        <v>24</v>
      </c>
      <c r="I81" s="41">
        <f>G81*H81</f>
        <v>1215.6479999999999</v>
      </c>
      <c r="J81" s="123">
        <v>1400</v>
      </c>
    </row>
    <row r="82" spans="1:11" x14ac:dyDescent="0.25">
      <c r="A82" s="122" t="s">
        <v>107</v>
      </c>
      <c r="B82" s="46" t="s">
        <v>94</v>
      </c>
      <c r="C82" s="261" t="s">
        <v>75</v>
      </c>
      <c r="D82" s="108" t="s">
        <v>38</v>
      </c>
      <c r="E82" s="288" t="s">
        <v>79</v>
      </c>
      <c r="F82" s="36">
        <v>3.8</v>
      </c>
      <c r="G82" s="36">
        <f>F82*6.3</f>
        <v>23.939999999999998</v>
      </c>
      <c r="H82" s="37">
        <v>24</v>
      </c>
      <c r="I82" s="36">
        <f>G82*H82</f>
        <v>574.55999999999995</v>
      </c>
      <c r="J82" s="123">
        <v>500</v>
      </c>
    </row>
    <row r="83" spans="1:11" x14ac:dyDescent="0.25">
      <c r="A83" s="122" t="s">
        <v>107</v>
      </c>
      <c r="B83" s="46" t="s">
        <v>95</v>
      </c>
      <c r="C83" s="262" t="s">
        <v>38</v>
      </c>
      <c r="D83" s="108">
        <v>79</v>
      </c>
      <c r="E83" s="294" t="s">
        <v>79</v>
      </c>
      <c r="F83" s="74">
        <v>5.08</v>
      </c>
      <c r="G83" s="39">
        <f>F83*6.3</f>
        <v>32.003999999999998</v>
      </c>
      <c r="H83" s="40">
        <v>24</v>
      </c>
      <c r="I83" s="44">
        <f>G83*H83</f>
        <v>768.096</v>
      </c>
      <c r="J83" s="123">
        <v>1600</v>
      </c>
    </row>
    <row r="84" spans="1:11" ht="30" x14ac:dyDescent="0.25">
      <c r="A84" s="122" t="s">
        <v>107</v>
      </c>
      <c r="B84" s="46" t="s">
        <v>96</v>
      </c>
      <c r="C84" s="261" t="s">
        <v>38</v>
      </c>
      <c r="D84" s="34" t="s">
        <v>38</v>
      </c>
      <c r="E84" s="288" t="s">
        <v>67</v>
      </c>
      <c r="F84" s="73" t="s">
        <v>38</v>
      </c>
      <c r="G84" s="74" t="s">
        <v>38</v>
      </c>
      <c r="H84" s="35" t="s">
        <v>38</v>
      </c>
      <c r="I84" s="44" t="s">
        <v>38</v>
      </c>
      <c r="J84" s="123" t="s">
        <v>38</v>
      </c>
    </row>
    <row r="85" spans="1:11" ht="30.75" thickBot="1" x14ac:dyDescent="0.3">
      <c r="A85" s="122" t="s">
        <v>107</v>
      </c>
      <c r="B85" s="52" t="s">
        <v>97</v>
      </c>
      <c r="C85" s="265"/>
      <c r="D85" s="34" t="s">
        <v>38</v>
      </c>
      <c r="E85" s="288" t="s">
        <v>67</v>
      </c>
      <c r="F85" s="73" t="s">
        <v>38</v>
      </c>
      <c r="G85" s="74" t="s">
        <v>38</v>
      </c>
      <c r="H85" s="91" t="s">
        <v>38</v>
      </c>
      <c r="I85" s="96" t="s">
        <v>38</v>
      </c>
      <c r="J85" s="124" t="s">
        <v>38</v>
      </c>
    </row>
    <row r="86" spans="1:11" ht="19.5" thickBot="1" x14ac:dyDescent="0.35">
      <c r="A86" s="71"/>
      <c r="B86" s="77"/>
      <c r="C86" s="266"/>
      <c r="D86" s="78"/>
      <c r="E86" s="125"/>
      <c r="F86" s="126"/>
      <c r="G86" s="94"/>
      <c r="H86" s="98" t="s">
        <v>110</v>
      </c>
      <c r="I86" s="97">
        <f>SUM(I80:I85)</f>
        <v>3622.7519999999995</v>
      </c>
      <c r="J86" s="97">
        <f>SUM(J80:J85)</f>
        <v>4400</v>
      </c>
      <c r="K86" s="89"/>
    </row>
    <row r="87" spans="1:11" x14ac:dyDescent="0.25">
      <c r="A87" s="117" t="s">
        <v>108</v>
      </c>
      <c r="B87" s="64" t="s">
        <v>92</v>
      </c>
      <c r="C87" s="268" t="s">
        <v>74</v>
      </c>
      <c r="D87" s="108">
        <v>74.36</v>
      </c>
      <c r="E87" s="296" t="s">
        <v>79</v>
      </c>
      <c r="F87" s="118">
        <v>7.04</v>
      </c>
      <c r="G87" s="119">
        <f>F87*6.3</f>
        <v>44.351999999999997</v>
      </c>
      <c r="H87" s="120">
        <v>24</v>
      </c>
      <c r="I87" s="119">
        <f>G87*H87</f>
        <v>1064.4479999999999</v>
      </c>
      <c r="J87" s="121">
        <v>900</v>
      </c>
    </row>
    <row r="88" spans="1:11" x14ac:dyDescent="0.25">
      <c r="A88" s="122" t="s">
        <v>108</v>
      </c>
      <c r="B88" s="46" t="s">
        <v>93</v>
      </c>
      <c r="C88" s="261" t="s">
        <v>86</v>
      </c>
      <c r="D88" s="108">
        <v>82.44</v>
      </c>
      <c r="E88" s="288" t="s">
        <v>79</v>
      </c>
      <c r="F88" s="110">
        <v>8.0399999999999991</v>
      </c>
      <c r="G88" s="39">
        <f>F88*6.3</f>
        <v>50.651999999999994</v>
      </c>
      <c r="H88" s="40">
        <v>24</v>
      </c>
      <c r="I88" s="41">
        <f>G88*H88</f>
        <v>1215.6479999999999</v>
      </c>
      <c r="J88" s="123">
        <v>1400</v>
      </c>
    </row>
    <row r="89" spans="1:11" x14ac:dyDescent="0.25">
      <c r="A89" s="122" t="s">
        <v>108</v>
      </c>
      <c r="B89" s="46" t="s">
        <v>94</v>
      </c>
      <c r="C89" s="261" t="s">
        <v>75</v>
      </c>
      <c r="D89" s="108" t="s">
        <v>38</v>
      </c>
      <c r="E89" s="288" t="s">
        <v>79</v>
      </c>
      <c r="F89" s="36">
        <v>3.5</v>
      </c>
      <c r="G89" s="36">
        <f>F89*6.3</f>
        <v>22.05</v>
      </c>
      <c r="H89" s="37">
        <v>24</v>
      </c>
      <c r="I89" s="36">
        <f>G89*H89</f>
        <v>529.20000000000005</v>
      </c>
      <c r="J89" s="123">
        <v>500</v>
      </c>
    </row>
    <row r="90" spans="1:11" x14ac:dyDescent="0.25">
      <c r="A90" s="122" t="s">
        <v>108</v>
      </c>
      <c r="B90" s="46" t="s">
        <v>95</v>
      </c>
      <c r="C90" s="262" t="s">
        <v>38</v>
      </c>
      <c r="D90" s="108">
        <v>79</v>
      </c>
      <c r="E90" s="294" t="s">
        <v>79</v>
      </c>
      <c r="F90" s="74">
        <v>4.7</v>
      </c>
      <c r="G90" s="39">
        <f>F90*6.3</f>
        <v>29.61</v>
      </c>
      <c r="H90" s="40">
        <v>24</v>
      </c>
      <c r="I90" s="44">
        <f>G90*H90</f>
        <v>710.64</v>
      </c>
      <c r="J90" s="123">
        <v>1600</v>
      </c>
    </row>
    <row r="91" spans="1:11" ht="30" x14ac:dyDescent="0.25">
      <c r="A91" s="122" t="s">
        <v>108</v>
      </c>
      <c r="B91" s="46" t="s">
        <v>96</v>
      </c>
      <c r="C91" s="261" t="s">
        <v>38</v>
      </c>
      <c r="D91" s="34" t="s">
        <v>38</v>
      </c>
      <c r="E91" s="288" t="s">
        <v>67</v>
      </c>
      <c r="F91" s="73" t="s">
        <v>38</v>
      </c>
      <c r="G91" s="74" t="s">
        <v>38</v>
      </c>
      <c r="H91" s="35" t="s">
        <v>38</v>
      </c>
      <c r="I91" s="44" t="s">
        <v>38</v>
      </c>
      <c r="J91" s="123" t="s">
        <v>38</v>
      </c>
    </row>
    <row r="92" spans="1:11" ht="30.75" thickBot="1" x14ac:dyDescent="0.3">
      <c r="A92" s="122" t="s">
        <v>108</v>
      </c>
      <c r="B92" s="52" t="s">
        <v>97</v>
      </c>
      <c r="C92" s="265"/>
      <c r="D92" s="34" t="s">
        <v>38</v>
      </c>
      <c r="E92" s="288" t="s">
        <v>67</v>
      </c>
      <c r="F92" s="73" t="s">
        <v>38</v>
      </c>
      <c r="G92" s="74" t="s">
        <v>38</v>
      </c>
      <c r="H92" s="91" t="s">
        <v>38</v>
      </c>
      <c r="I92" s="96" t="s">
        <v>38</v>
      </c>
      <c r="J92" s="124" t="s">
        <v>38</v>
      </c>
    </row>
    <row r="93" spans="1:11" ht="19.5" thickBot="1" x14ac:dyDescent="0.35">
      <c r="A93" s="71"/>
      <c r="B93" s="77"/>
      <c r="C93" s="266"/>
      <c r="D93" s="78"/>
      <c r="E93" s="125"/>
      <c r="F93" s="126"/>
      <c r="G93" s="94"/>
      <c r="H93" s="98" t="s">
        <v>110</v>
      </c>
      <c r="I93" s="97">
        <f>SUM(I87:I92)</f>
        <v>3519.9359999999992</v>
      </c>
      <c r="J93" s="97">
        <f>SUM(J87:J92)</f>
        <v>4400</v>
      </c>
      <c r="K93" s="89"/>
    </row>
    <row r="94" spans="1:11" x14ac:dyDescent="0.25">
      <c r="A94" s="117" t="s">
        <v>109</v>
      </c>
      <c r="B94" s="64" t="s">
        <v>92</v>
      </c>
      <c r="C94" s="268" t="s">
        <v>114</v>
      </c>
      <c r="D94" s="108">
        <v>74.36</v>
      </c>
      <c r="E94" s="296" t="s">
        <v>79</v>
      </c>
      <c r="F94" s="118">
        <v>7.04</v>
      </c>
      <c r="G94" s="119">
        <v>44.35</v>
      </c>
      <c r="H94" s="120">
        <v>24</v>
      </c>
      <c r="I94" s="119">
        <v>1064.45</v>
      </c>
      <c r="J94" s="121">
        <v>900</v>
      </c>
    </row>
    <row r="95" spans="1:11" x14ac:dyDescent="0.25">
      <c r="A95" s="122" t="s">
        <v>109</v>
      </c>
      <c r="B95" s="46" t="s">
        <v>93</v>
      </c>
      <c r="C95" s="261" t="s">
        <v>86</v>
      </c>
      <c r="D95" s="108">
        <v>82.44</v>
      </c>
      <c r="E95" s="288" t="s">
        <v>79</v>
      </c>
      <c r="F95" s="110">
        <v>8.0399999999999991</v>
      </c>
      <c r="G95" s="39">
        <v>50.65</v>
      </c>
      <c r="H95" s="40">
        <v>24</v>
      </c>
      <c r="I95" s="41">
        <v>1215.6500000000001</v>
      </c>
      <c r="J95" s="123">
        <v>1400</v>
      </c>
    </row>
    <row r="96" spans="1:11" x14ac:dyDescent="0.25">
      <c r="A96" s="122" t="s">
        <v>109</v>
      </c>
      <c r="B96" s="46" t="s">
        <v>94</v>
      </c>
      <c r="C96" s="261" t="s">
        <v>75</v>
      </c>
      <c r="D96" s="108" t="s">
        <v>38</v>
      </c>
      <c r="E96" s="288" t="s">
        <v>79</v>
      </c>
      <c r="F96" s="36">
        <v>3.8</v>
      </c>
      <c r="G96" s="36">
        <v>23.94</v>
      </c>
      <c r="H96" s="37">
        <v>24</v>
      </c>
      <c r="I96" s="36">
        <v>574.55999999999995</v>
      </c>
      <c r="J96" s="123">
        <v>500</v>
      </c>
    </row>
    <row r="97" spans="1:11" x14ac:dyDescent="0.25">
      <c r="A97" s="122" t="s">
        <v>109</v>
      </c>
      <c r="B97" s="46" t="s">
        <v>95</v>
      </c>
      <c r="C97" s="262" t="s">
        <v>38</v>
      </c>
      <c r="D97" s="108">
        <v>79</v>
      </c>
      <c r="E97" s="294" t="s">
        <v>79</v>
      </c>
      <c r="F97" s="74">
        <v>4.8</v>
      </c>
      <c r="G97" s="39">
        <v>30.24</v>
      </c>
      <c r="H97" s="40">
        <v>24</v>
      </c>
      <c r="I97" s="44">
        <v>725.76</v>
      </c>
      <c r="J97" s="123">
        <v>1600</v>
      </c>
    </row>
    <row r="98" spans="1:11" ht="30" x14ac:dyDescent="0.25">
      <c r="A98" s="122" t="s">
        <v>109</v>
      </c>
      <c r="B98" s="46" t="s">
        <v>96</v>
      </c>
      <c r="C98" s="261" t="s">
        <v>38</v>
      </c>
      <c r="D98" s="34" t="s">
        <v>38</v>
      </c>
      <c r="E98" s="288" t="s">
        <v>67</v>
      </c>
      <c r="F98" s="73" t="s">
        <v>38</v>
      </c>
      <c r="G98" s="74" t="s">
        <v>38</v>
      </c>
      <c r="H98" s="35" t="s">
        <v>38</v>
      </c>
      <c r="I98" s="44" t="s">
        <v>38</v>
      </c>
      <c r="J98" s="123" t="s">
        <v>38</v>
      </c>
    </row>
    <row r="99" spans="1:11" ht="30.75" thickBot="1" x14ac:dyDescent="0.3">
      <c r="A99" s="122" t="s">
        <v>109</v>
      </c>
      <c r="B99" s="52" t="s">
        <v>97</v>
      </c>
      <c r="C99" s="265"/>
      <c r="D99" s="34" t="s">
        <v>38</v>
      </c>
      <c r="E99" s="288" t="s">
        <v>67</v>
      </c>
      <c r="F99" s="73" t="s">
        <v>38</v>
      </c>
      <c r="G99" s="74" t="s">
        <v>38</v>
      </c>
      <c r="H99" s="91" t="s">
        <v>38</v>
      </c>
      <c r="I99" s="96" t="s">
        <v>38</v>
      </c>
      <c r="J99" s="124" t="s">
        <v>38</v>
      </c>
    </row>
    <row r="100" spans="1:11" ht="19.5" thickBot="1" x14ac:dyDescent="0.35">
      <c r="A100" s="71"/>
      <c r="B100" s="77"/>
      <c r="C100" s="266"/>
      <c r="D100" s="78"/>
      <c r="E100" s="125"/>
      <c r="F100" s="126"/>
      <c r="G100" s="94"/>
      <c r="H100" s="98" t="s">
        <v>110</v>
      </c>
      <c r="I100" s="97">
        <v>3580.42</v>
      </c>
      <c r="J100" s="97">
        <v>4400</v>
      </c>
      <c r="K100" s="89"/>
    </row>
    <row r="101" spans="1:11" x14ac:dyDescent="0.25">
      <c r="A101" s="117" t="s">
        <v>115</v>
      </c>
      <c r="B101" s="64" t="s">
        <v>92</v>
      </c>
      <c r="C101" s="268" t="s">
        <v>114</v>
      </c>
      <c r="D101" s="108">
        <v>74.36</v>
      </c>
      <c r="E101" s="296" t="s">
        <v>79</v>
      </c>
      <c r="F101" s="118">
        <v>7.04</v>
      </c>
      <c r="G101" s="119">
        <f>F101*6.3</f>
        <v>44.351999999999997</v>
      </c>
      <c r="H101" s="120">
        <v>24</v>
      </c>
      <c r="I101" s="119">
        <f>G101*H101</f>
        <v>1064.4479999999999</v>
      </c>
      <c r="J101" s="121">
        <v>900</v>
      </c>
    </row>
    <row r="102" spans="1:11" x14ac:dyDescent="0.25">
      <c r="A102" s="122" t="s">
        <v>115</v>
      </c>
      <c r="B102" s="46" t="s">
        <v>93</v>
      </c>
      <c r="C102" s="261" t="s">
        <v>86</v>
      </c>
      <c r="D102" s="108">
        <v>82.44</v>
      </c>
      <c r="E102" s="288" t="s">
        <v>79</v>
      </c>
      <c r="F102" s="110">
        <v>8.0399999999999991</v>
      </c>
      <c r="G102" s="39">
        <f>F102*6.3</f>
        <v>50.651999999999994</v>
      </c>
      <c r="H102" s="40">
        <v>24</v>
      </c>
      <c r="I102" s="41">
        <f>G102*H102</f>
        <v>1215.6479999999999</v>
      </c>
      <c r="J102" s="123">
        <v>1400</v>
      </c>
    </row>
    <row r="103" spans="1:11" x14ac:dyDescent="0.25">
      <c r="A103" s="122" t="s">
        <v>115</v>
      </c>
      <c r="B103" s="46" t="s">
        <v>94</v>
      </c>
      <c r="C103" s="261" t="s">
        <v>75</v>
      </c>
      <c r="D103" s="108" t="s">
        <v>38</v>
      </c>
      <c r="E103" s="288" t="s">
        <v>79</v>
      </c>
      <c r="F103" s="36">
        <v>3.5</v>
      </c>
      <c r="G103" s="36">
        <f>F103*6.3</f>
        <v>22.05</v>
      </c>
      <c r="H103" s="37">
        <v>24</v>
      </c>
      <c r="I103" s="36">
        <f>G103*H103</f>
        <v>529.20000000000005</v>
      </c>
      <c r="J103" s="123">
        <v>500</v>
      </c>
    </row>
    <row r="104" spans="1:11" x14ac:dyDescent="0.25">
      <c r="A104" s="122" t="s">
        <v>115</v>
      </c>
      <c r="B104" s="46" t="s">
        <v>95</v>
      </c>
      <c r="C104" s="262" t="s">
        <v>38</v>
      </c>
      <c r="D104" s="108">
        <v>79</v>
      </c>
      <c r="E104" s="294" t="s">
        <v>79</v>
      </c>
      <c r="F104" s="74">
        <v>4.75</v>
      </c>
      <c r="G104" s="39">
        <f>F104*6.3</f>
        <v>29.925000000000001</v>
      </c>
      <c r="H104" s="40">
        <v>24</v>
      </c>
      <c r="I104" s="44">
        <f>G104*H104</f>
        <v>718.2</v>
      </c>
      <c r="J104" s="123">
        <v>1600</v>
      </c>
    </row>
    <row r="105" spans="1:11" ht="30" x14ac:dyDescent="0.25">
      <c r="A105" s="122" t="s">
        <v>115</v>
      </c>
      <c r="B105" s="46" t="s">
        <v>96</v>
      </c>
      <c r="C105" s="261" t="s">
        <v>38</v>
      </c>
      <c r="D105" s="34" t="s">
        <v>38</v>
      </c>
      <c r="E105" s="288" t="s">
        <v>67</v>
      </c>
      <c r="F105" s="73" t="s">
        <v>38</v>
      </c>
      <c r="G105" s="74" t="s">
        <v>38</v>
      </c>
      <c r="H105" s="35" t="s">
        <v>38</v>
      </c>
      <c r="I105" s="44" t="s">
        <v>38</v>
      </c>
      <c r="J105" s="123" t="s">
        <v>38</v>
      </c>
    </row>
    <row r="106" spans="1:11" ht="54.75" customHeight="1" thickBot="1" x14ac:dyDescent="0.3">
      <c r="A106" s="122" t="s">
        <v>115</v>
      </c>
      <c r="B106" s="52" t="s">
        <v>97</v>
      </c>
      <c r="C106" s="267"/>
      <c r="D106" s="34" t="s">
        <v>38</v>
      </c>
      <c r="E106" s="288" t="s">
        <v>67</v>
      </c>
      <c r="F106" s="73" t="s">
        <v>38</v>
      </c>
      <c r="G106" s="36" t="s">
        <v>38</v>
      </c>
      <c r="H106" s="35" t="s">
        <v>38</v>
      </c>
      <c r="I106" s="44" t="s">
        <v>38</v>
      </c>
      <c r="J106" s="123" t="s">
        <v>38</v>
      </c>
    </row>
    <row r="107" spans="1:11" ht="19.5" thickBot="1" x14ac:dyDescent="0.35">
      <c r="A107" s="71"/>
      <c r="B107" s="77"/>
      <c r="C107" s="127"/>
      <c r="D107" s="78"/>
      <c r="E107" s="125"/>
      <c r="F107" s="128"/>
      <c r="G107" s="128"/>
      <c r="H107" s="129" t="s">
        <v>110</v>
      </c>
      <c r="I107" s="130">
        <f>SUM(I101:I106)</f>
        <v>3527.4959999999992</v>
      </c>
      <c r="J107" s="131">
        <f>SUM(J101:J106)</f>
        <v>4400</v>
      </c>
    </row>
    <row r="108" spans="1:11" x14ac:dyDescent="0.25">
      <c r="A108" s="132" t="s">
        <v>116</v>
      </c>
      <c r="B108" s="64" t="s">
        <v>92</v>
      </c>
      <c r="C108" s="105" t="s">
        <v>114</v>
      </c>
      <c r="D108" s="46">
        <v>73.86</v>
      </c>
      <c r="E108" s="297" t="s">
        <v>79</v>
      </c>
      <c r="F108" s="64">
        <v>7.19</v>
      </c>
      <c r="G108" s="64">
        <v>45.3</v>
      </c>
      <c r="H108" s="64">
        <v>24</v>
      </c>
      <c r="I108" s="64">
        <v>1087.1300000000001</v>
      </c>
      <c r="J108" s="121">
        <v>900</v>
      </c>
    </row>
    <row r="109" spans="1:11" x14ac:dyDescent="0.25">
      <c r="A109" s="133" t="s">
        <v>116</v>
      </c>
      <c r="B109" s="46" t="s">
        <v>93</v>
      </c>
      <c r="C109" s="106" t="s">
        <v>86</v>
      </c>
      <c r="D109" s="46">
        <v>81.760000000000005</v>
      </c>
      <c r="E109" s="290" t="s">
        <v>79</v>
      </c>
      <c r="F109" s="46">
        <v>8.4</v>
      </c>
      <c r="G109" s="46">
        <v>52.92</v>
      </c>
      <c r="H109" s="46">
        <v>24</v>
      </c>
      <c r="I109" s="46">
        <v>1270.08</v>
      </c>
      <c r="J109" s="123">
        <v>1400</v>
      </c>
    </row>
    <row r="110" spans="1:11" x14ac:dyDescent="0.25">
      <c r="A110" s="133" t="s">
        <v>116</v>
      </c>
      <c r="B110" s="46" t="s">
        <v>94</v>
      </c>
      <c r="C110" s="106" t="s">
        <v>75</v>
      </c>
      <c r="D110" s="46" t="s">
        <v>38</v>
      </c>
      <c r="E110" s="290" t="s">
        <v>79</v>
      </c>
      <c r="F110" s="46">
        <v>3.5</v>
      </c>
      <c r="G110" s="46">
        <v>22.05</v>
      </c>
      <c r="H110" s="46">
        <v>24</v>
      </c>
      <c r="I110" s="46">
        <v>529.20000000000005</v>
      </c>
      <c r="J110" s="123">
        <v>500</v>
      </c>
    </row>
    <row r="111" spans="1:11" x14ac:dyDescent="0.25">
      <c r="A111" s="133" t="s">
        <v>116</v>
      </c>
      <c r="B111" s="46" t="s">
        <v>95</v>
      </c>
      <c r="C111" s="106" t="s">
        <v>38</v>
      </c>
      <c r="D111" s="46">
        <v>79</v>
      </c>
      <c r="E111" s="290" t="s">
        <v>79</v>
      </c>
      <c r="F111" s="46">
        <v>4.75</v>
      </c>
      <c r="G111" s="46">
        <v>29.93</v>
      </c>
      <c r="H111" s="46">
        <v>24</v>
      </c>
      <c r="I111" s="46">
        <v>718.2</v>
      </c>
      <c r="J111" s="123">
        <v>1600</v>
      </c>
    </row>
    <row r="112" spans="1:11" x14ac:dyDescent="0.25">
      <c r="A112" s="133" t="s">
        <v>116</v>
      </c>
      <c r="B112" s="46" t="s">
        <v>96</v>
      </c>
      <c r="C112" s="106" t="s">
        <v>38</v>
      </c>
      <c r="D112" s="46" t="s">
        <v>38</v>
      </c>
      <c r="E112" s="290" t="s">
        <v>67</v>
      </c>
      <c r="F112" s="46" t="s">
        <v>38</v>
      </c>
      <c r="G112" s="46" t="s">
        <v>38</v>
      </c>
      <c r="H112" s="46" t="s">
        <v>38</v>
      </c>
      <c r="I112" s="46" t="s">
        <v>38</v>
      </c>
      <c r="J112" s="123" t="s">
        <v>38</v>
      </c>
    </row>
    <row r="113" spans="1:10" x14ac:dyDescent="0.25">
      <c r="A113" s="133" t="s">
        <v>116</v>
      </c>
      <c r="B113" s="46" t="s">
        <v>97</v>
      </c>
      <c r="C113" s="106"/>
      <c r="D113" s="46" t="s">
        <v>38</v>
      </c>
      <c r="E113" s="290" t="s">
        <v>67</v>
      </c>
      <c r="F113" s="46" t="s">
        <v>38</v>
      </c>
      <c r="G113" s="46" t="s">
        <v>38</v>
      </c>
      <c r="H113" s="46" t="s">
        <v>38</v>
      </c>
      <c r="I113" s="46" t="s">
        <v>38</v>
      </c>
      <c r="J113" s="123" t="s">
        <v>38</v>
      </c>
    </row>
    <row r="114" spans="1:10" ht="15.75" thickBot="1" x14ac:dyDescent="0.3">
      <c r="A114" s="134"/>
      <c r="B114" s="66"/>
      <c r="C114" s="269"/>
      <c r="E114" s="68"/>
      <c r="F114" s="66"/>
      <c r="G114" s="66"/>
      <c r="H114" s="136" t="s">
        <v>110</v>
      </c>
      <c r="I114" s="135">
        <v>3604.61</v>
      </c>
      <c r="J114" s="131">
        <f>SUM(J108:J113)</f>
        <v>4400</v>
      </c>
    </row>
    <row r="115" spans="1:10" x14ac:dyDescent="0.25">
      <c r="A115" s="132" t="s">
        <v>117</v>
      </c>
      <c r="B115" s="64" t="s">
        <v>92</v>
      </c>
      <c r="C115" s="261" t="s">
        <v>114</v>
      </c>
      <c r="D115" s="108">
        <v>72.22</v>
      </c>
      <c r="E115" s="288" t="s">
        <v>79</v>
      </c>
      <c r="F115" s="109">
        <v>7.26</v>
      </c>
      <c r="G115" s="36">
        <f>F115*6.3</f>
        <v>45.738</v>
      </c>
      <c r="H115" s="37">
        <v>24</v>
      </c>
      <c r="I115" s="36">
        <f>G115*H115</f>
        <v>1097.712</v>
      </c>
      <c r="J115" s="36">
        <v>900</v>
      </c>
    </row>
    <row r="116" spans="1:10" x14ac:dyDescent="0.25">
      <c r="A116" s="133" t="s">
        <v>117</v>
      </c>
      <c r="B116" s="46" t="s">
        <v>93</v>
      </c>
      <c r="C116" s="261" t="s">
        <v>86</v>
      </c>
      <c r="D116" s="108">
        <v>80.239999999999995</v>
      </c>
      <c r="E116" s="288" t="s">
        <v>79</v>
      </c>
      <c r="F116" s="110">
        <v>8.4600000000000009</v>
      </c>
      <c r="G116" s="36">
        <f>F116*6.3</f>
        <v>53.298000000000002</v>
      </c>
      <c r="H116" s="37">
        <v>24</v>
      </c>
      <c r="I116" s="41">
        <f>G116*H116</f>
        <v>1279.152</v>
      </c>
      <c r="J116" s="36">
        <v>1400</v>
      </c>
    </row>
    <row r="117" spans="1:10" x14ac:dyDescent="0.25">
      <c r="A117" s="133" t="s">
        <v>117</v>
      </c>
      <c r="B117" s="46" t="s">
        <v>94</v>
      </c>
      <c r="C117" s="261" t="s">
        <v>75</v>
      </c>
      <c r="D117" s="108" t="s">
        <v>38</v>
      </c>
      <c r="E117" s="288" t="s">
        <v>79</v>
      </c>
      <c r="F117" s="36">
        <v>4.34</v>
      </c>
      <c r="G117" s="36">
        <f>F117*6.3</f>
        <v>27.341999999999999</v>
      </c>
      <c r="H117" s="37">
        <v>24</v>
      </c>
      <c r="I117" s="36">
        <f>G117*H117</f>
        <v>656.20799999999997</v>
      </c>
      <c r="J117" s="36">
        <v>500</v>
      </c>
    </row>
    <row r="118" spans="1:10" x14ac:dyDescent="0.25">
      <c r="A118" s="133" t="s">
        <v>117</v>
      </c>
      <c r="B118" s="46" t="s">
        <v>95</v>
      </c>
      <c r="C118" s="262" t="s">
        <v>38</v>
      </c>
      <c r="D118" s="108">
        <v>79</v>
      </c>
      <c r="E118" s="294" t="s">
        <v>79</v>
      </c>
      <c r="F118" s="74">
        <v>7.49</v>
      </c>
      <c r="G118" s="39">
        <f>F118*6.3</f>
        <v>47.186999999999998</v>
      </c>
      <c r="H118" s="37">
        <v>24</v>
      </c>
      <c r="I118" s="44">
        <f>G118*H118</f>
        <v>1132.4879999999998</v>
      </c>
      <c r="J118" s="36">
        <v>1600</v>
      </c>
    </row>
    <row r="119" spans="1:10" ht="30" x14ac:dyDescent="0.25">
      <c r="A119" s="133" t="s">
        <v>117</v>
      </c>
      <c r="B119" s="46" t="s">
        <v>96</v>
      </c>
      <c r="C119" s="261" t="s">
        <v>38</v>
      </c>
      <c r="D119" s="34" t="s">
        <v>38</v>
      </c>
      <c r="E119" s="288" t="s">
        <v>67</v>
      </c>
      <c r="F119" s="73" t="s">
        <v>38</v>
      </c>
      <c r="G119" s="74" t="s">
        <v>38</v>
      </c>
      <c r="H119" s="35" t="s">
        <v>38</v>
      </c>
      <c r="I119" s="44" t="s">
        <v>38</v>
      </c>
      <c r="J119" s="36" t="s">
        <v>38</v>
      </c>
    </row>
    <row r="120" spans="1:10" ht="30" x14ac:dyDescent="0.25">
      <c r="A120" s="133" t="s">
        <v>117</v>
      </c>
      <c r="B120" s="46" t="s">
        <v>97</v>
      </c>
      <c r="C120" s="267"/>
      <c r="D120" s="34" t="s">
        <v>38</v>
      </c>
      <c r="E120" s="288" t="s">
        <v>67</v>
      </c>
      <c r="F120" s="73" t="s">
        <v>38</v>
      </c>
      <c r="G120" s="36" t="s">
        <v>38</v>
      </c>
      <c r="H120" s="35" t="s">
        <v>38</v>
      </c>
      <c r="I120" s="44" t="s">
        <v>38</v>
      </c>
      <c r="J120" s="36" t="s">
        <v>38</v>
      </c>
    </row>
    <row r="121" spans="1:10" ht="19.5" thickBot="1" x14ac:dyDescent="0.35">
      <c r="A121" s="134"/>
      <c r="B121" s="66"/>
      <c r="C121"/>
      <c r="D121" s="78"/>
      <c r="E121" s="92"/>
      <c r="F121" s="78"/>
      <c r="G121" s="78"/>
      <c r="H121" s="99" t="s">
        <v>110</v>
      </c>
      <c r="I121" s="33">
        <f>SUM(I115:I120)</f>
        <v>4165.5599999999995</v>
      </c>
      <c r="J121" s="33">
        <f>SUM(J115:J120)</f>
        <v>4400</v>
      </c>
    </row>
    <row r="122" spans="1:10" x14ac:dyDescent="0.25">
      <c r="A122" s="31" t="s">
        <v>118</v>
      </c>
      <c r="B122" s="64" t="s">
        <v>92</v>
      </c>
      <c r="C122" s="261" t="s">
        <v>114</v>
      </c>
      <c r="D122" s="108">
        <v>71.61</v>
      </c>
      <c r="E122" s="288" t="s">
        <v>79</v>
      </c>
      <c r="F122" s="109">
        <v>5.95</v>
      </c>
      <c r="G122" s="36">
        <f>F122*6.3</f>
        <v>37.484999999999999</v>
      </c>
      <c r="H122" s="37">
        <v>24</v>
      </c>
      <c r="I122" s="36">
        <f>G122*H122</f>
        <v>899.64</v>
      </c>
      <c r="J122" s="36">
        <v>900</v>
      </c>
    </row>
    <row r="123" spans="1:10" x14ac:dyDescent="0.25">
      <c r="A123" s="31" t="s">
        <v>118</v>
      </c>
      <c r="B123" s="46" t="s">
        <v>93</v>
      </c>
      <c r="C123" s="261" t="s">
        <v>86</v>
      </c>
      <c r="D123" s="108">
        <v>79.19</v>
      </c>
      <c r="E123" s="288" t="s">
        <v>79</v>
      </c>
      <c r="F123" s="110">
        <v>9.15</v>
      </c>
      <c r="G123" s="36">
        <f>F123*6.3</f>
        <v>57.645000000000003</v>
      </c>
      <c r="H123" s="37">
        <v>24</v>
      </c>
      <c r="I123" s="41">
        <f>G123*H123</f>
        <v>1383.48</v>
      </c>
      <c r="J123" s="36">
        <v>1400</v>
      </c>
    </row>
    <row r="124" spans="1:10" x14ac:dyDescent="0.25">
      <c r="A124" s="31" t="s">
        <v>118</v>
      </c>
      <c r="B124" s="46" t="s">
        <v>94</v>
      </c>
      <c r="C124" s="261" t="s">
        <v>75</v>
      </c>
      <c r="D124" s="108" t="s">
        <v>38</v>
      </c>
      <c r="E124" s="288" t="s">
        <v>79</v>
      </c>
      <c r="F124" s="36">
        <v>4.41</v>
      </c>
      <c r="G124" s="36">
        <f>F124*6.3</f>
        <v>27.783000000000001</v>
      </c>
      <c r="H124" s="37">
        <v>24</v>
      </c>
      <c r="I124" s="36">
        <f>G124*H124</f>
        <v>666.79200000000003</v>
      </c>
      <c r="J124" s="36">
        <v>500</v>
      </c>
    </row>
    <row r="125" spans="1:10" x14ac:dyDescent="0.25">
      <c r="A125" s="31" t="s">
        <v>118</v>
      </c>
      <c r="B125" s="46" t="s">
        <v>95</v>
      </c>
      <c r="C125" s="262" t="s">
        <v>38</v>
      </c>
      <c r="D125" s="108">
        <v>79</v>
      </c>
      <c r="E125" s="294" t="s">
        <v>79</v>
      </c>
      <c r="F125" s="74">
        <v>7.81</v>
      </c>
      <c r="G125" s="39">
        <f>F125*6.3</f>
        <v>49.202999999999996</v>
      </c>
      <c r="H125" s="37">
        <v>24</v>
      </c>
      <c r="I125" s="44">
        <f>G125*H125</f>
        <v>1180.8719999999998</v>
      </c>
      <c r="J125" s="36">
        <v>1600</v>
      </c>
    </row>
    <row r="126" spans="1:10" ht="30" x14ac:dyDescent="0.25">
      <c r="A126" s="31" t="s">
        <v>118</v>
      </c>
      <c r="B126" s="46" t="s">
        <v>96</v>
      </c>
      <c r="C126" s="261" t="s">
        <v>38</v>
      </c>
      <c r="D126" s="34" t="s">
        <v>38</v>
      </c>
      <c r="E126" s="288" t="s">
        <v>67</v>
      </c>
      <c r="F126" s="73" t="s">
        <v>38</v>
      </c>
      <c r="G126" s="74" t="s">
        <v>38</v>
      </c>
      <c r="H126" s="35" t="s">
        <v>38</v>
      </c>
      <c r="I126" s="44" t="s">
        <v>38</v>
      </c>
      <c r="J126" s="36" t="s">
        <v>38</v>
      </c>
    </row>
    <row r="127" spans="1:10" ht="30" x14ac:dyDescent="0.25">
      <c r="A127" s="31" t="s">
        <v>118</v>
      </c>
      <c r="B127" s="52" t="s">
        <v>97</v>
      </c>
      <c r="C127" s="265"/>
      <c r="D127" s="34" t="s">
        <v>38</v>
      </c>
      <c r="E127" s="294" t="s">
        <v>67</v>
      </c>
      <c r="F127" s="73" t="s">
        <v>38</v>
      </c>
      <c r="G127" s="74" t="s">
        <v>38</v>
      </c>
      <c r="H127" s="91" t="s">
        <v>38</v>
      </c>
      <c r="I127" s="96" t="s">
        <v>38</v>
      </c>
      <c r="J127" s="74" t="s">
        <v>38</v>
      </c>
    </row>
    <row r="128" spans="1:10" ht="19.5" thickBot="1" x14ac:dyDescent="0.35">
      <c r="A128" s="52"/>
      <c r="B128" s="52"/>
      <c r="C128" s="265"/>
      <c r="D128" s="78"/>
      <c r="E128" s="295"/>
      <c r="F128" s="114"/>
      <c r="G128" s="114"/>
      <c r="H128" s="115" t="s">
        <v>110</v>
      </c>
      <c r="I128" s="116">
        <f>SUM(I122:I127)</f>
        <v>4130.7839999999997</v>
      </c>
      <c r="J128" s="116">
        <f>SUM(J122:J127)</f>
        <v>4400</v>
      </c>
    </row>
    <row r="129" spans="1:10" ht="15.75" thickBot="1" x14ac:dyDescent="0.3">
      <c r="A129" s="132" t="s">
        <v>119</v>
      </c>
      <c r="B129" s="64" t="s">
        <v>92</v>
      </c>
      <c r="C129" s="268" t="s">
        <v>114</v>
      </c>
      <c r="D129" s="108">
        <v>70.39</v>
      </c>
      <c r="E129" s="296" t="s">
        <v>79</v>
      </c>
      <c r="F129" s="118">
        <v>5.95</v>
      </c>
      <c r="G129" s="119">
        <f>F129*6.3</f>
        <v>37.484999999999999</v>
      </c>
      <c r="H129" s="120">
        <v>24</v>
      </c>
      <c r="I129" s="119">
        <f>G129*H129</f>
        <v>899.64</v>
      </c>
      <c r="J129" s="121">
        <v>900</v>
      </c>
    </row>
    <row r="130" spans="1:10" ht="15.75" thickBot="1" x14ac:dyDescent="0.3">
      <c r="A130" s="132" t="s">
        <v>119</v>
      </c>
      <c r="B130" s="46" t="s">
        <v>93</v>
      </c>
      <c r="C130" s="261" t="s">
        <v>86</v>
      </c>
      <c r="D130" s="108">
        <v>77.239999999999995</v>
      </c>
      <c r="E130" s="288" t="s">
        <v>79</v>
      </c>
      <c r="F130" s="36">
        <v>9.1999999999999993</v>
      </c>
      <c r="G130" s="36">
        <f>F130*6.3</f>
        <v>57.959999999999994</v>
      </c>
      <c r="H130" s="37">
        <v>24</v>
      </c>
      <c r="I130" s="36">
        <f>G130*H130</f>
        <v>1391.04</v>
      </c>
      <c r="J130" s="123">
        <v>1400</v>
      </c>
    </row>
    <row r="131" spans="1:10" ht="15.75" thickBot="1" x14ac:dyDescent="0.3">
      <c r="A131" s="132" t="s">
        <v>119</v>
      </c>
      <c r="B131" s="46" t="s">
        <v>94</v>
      </c>
      <c r="C131" s="261" t="s">
        <v>75</v>
      </c>
      <c r="D131" s="108" t="s">
        <v>38</v>
      </c>
      <c r="E131" s="288" t="s">
        <v>79</v>
      </c>
      <c r="F131" s="36">
        <v>4.4800000000000004</v>
      </c>
      <c r="G131" s="36">
        <f>F131*6.3</f>
        <v>28.224</v>
      </c>
      <c r="H131" s="37">
        <v>24</v>
      </c>
      <c r="I131" s="36">
        <f>G131*H131</f>
        <v>677.37599999999998</v>
      </c>
      <c r="J131" s="123">
        <v>500</v>
      </c>
    </row>
    <row r="132" spans="1:10" ht="15.75" thickBot="1" x14ac:dyDescent="0.3">
      <c r="A132" s="132" t="s">
        <v>119</v>
      </c>
      <c r="B132" s="46" t="s">
        <v>95</v>
      </c>
      <c r="C132" s="261" t="s">
        <v>38</v>
      </c>
      <c r="D132" s="108">
        <v>79</v>
      </c>
      <c r="E132" s="288" t="s">
        <v>79</v>
      </c>
      <c r="F132" s="36">
        <v>8.17</v>
      </c>
      <c r="G132" s="36">
        <f>F132*6.3</f>
        <v>51.470999999999997</v>
      </c>
      <c r="H132" s="37">
        <v>24</v>
      </c>
      <c r="I132" s="139">
        <f>G132*H132</f>
        <v>1235.3039999999999</v>
      </c>
      <c r="J132" s="123">
        <v>1600</v>
      </c>
    </row>
    <row r="133" spans="1:10" ht="30.75" thickBot="1" x14ac:dyDescent="0.3">
      <c r="A133" s="132" t="s">
        <v>119</v>
      </c>
      <c r="B133" s="46" t="s">
        <v>96</v>
      </c>
      <c r="C133" s="261" t="s">
        <v>38</v>
      </c>
      <c r="D133" s="34" t="s">
        <v>38</v>
      </c>
      <c r="E133" s="288" t="s">
        <v>67</v>
      </c>
      <c r="F133" s="37" t="s">
        <v>38</v>
      </c>
      <c r="G133" s="36" t="s">
        <v>38</v>
      </c>
      <c r="H133" s="35" t="s">
        <v>38</v>
      </c>
      <c r="I133" s="139" t="s">
        <v>38</v>
      </c>
      <c r="J133" s="123" t="s">
        <v>38</v>
      </c>
    </row>
    <row r="134" spans="1:10" ht="30" x14ac:dyDescent="0.25">
      <c r="A134" s="132" t="s">
        <v>119</v>
      </c>
      <c r="B134" s="46" t="s">
        <v>97</v>
      </c>
      <c r="C134" s="267"/>
      <c r="D134" s="34" t="s">
        <v>38</v>
      </c>
      <c r="E134" s="288" t="s">
        <v>67</v>
      </c>
      <c r="F134" s="37" t="s">
        <v>38</v>
      </c>
      <c r="G134" s="36" t="s">
        <v>38</v>
      </c>
      <c r="H134" s="35" t="s">
        <v>38</v>
      </c>
      <c r="I134" s="139" t="s">
        <v>38</v>
      </c>
      <c r="J134" s="123" t="s">
        <v>38</v>
      </c>
    </row>
    <row r="135" spans="1:10" ht="19.5" thickBot="1" x14ac:dyDescent="0.35">
      <c r="A135" s="140"/>
      <c r="B135" s="52"/>
      <c r="C135" s="265"/>
      <c r="D135" s="78"/>
      <c r="E135" s="295"/>
      <c r="F135" s="114"/>
      <c r="G135" s="114"/>
      <c r="H135" s="115" t="s">
        <v>110</v>
      </c>
      <c r="I135" s="116">
        <f>SUM(I129:I134)</f>
        <v>4203.3599999999997</v>
      </c>
      <c r="J135" s="141">
        <f>SUM(J129:J134)</f>
        <v>4400</v>
      </c>
    </row>
    <row r="136" spans="1:10" x14ac:dyDescent="0.25">
      <c r="A136" s="132" t="s">
        <v>120</v>
      </c>
      <c r="B136" s="64" t="s">
        <v>92</v>
      </c>
      <c r="C136" s="105" t="s">
        <v>114</v>
      </c>
      <c r="D136" s="46">
        <v>69.11</v>
      </c>
      <c r="E136" s="297" t="s">
        <v>79</v>
      </c>
      <c r="F136" s="64">
        <v>5.95</v>
      </c>
      <c r="G136" s="64">
        <v>37.49</v>
      </c>
      <c r="H136" s="64">
        <v>24</v>
      </c>
      <c r="I136" s="64">
        <v>899.64</v>
      </c>
      <c r="J136" s="142">
        <v>900</v>
      </c>
    </row>
    <row r="137" spans="1:10" x14ac:dyDescent="0.25">
      <c r="A137" s="133" t="s">
        <v>120</v>
      </c>
      <c r="B137" s="46" t="s">
        <v>93</v>
      </c>
      <c r="C137" s="106" t="s">
        <v>86</v>
      </c>
      <c r="D137" s="46">
        <v>74.489999999999995</v>
      </c>
      <c r="E137" s="290" t="s">
        <v>79</v>
      </c>
      <c r="F137" s="46">
        <v>9.1999999999999993</v>
      </c>
      <c r="G137" s="46">
        <v>57.96</v>
      </c>
      <c r="H137" s="46">
        <v>24</v>
      </c>
      <c r="I137" s="46">
        <v>1391.04</v>
      </c>
      <c r="J137" s="143">
        <v>1400</v>
      </c>
    </row>
    <row r="138" spans="1:10" x14ac:dyDescent="0.25">
      <c r="A138" s="133" t="s">
        <v>120</v>
      </c>
      <c r="B138" s="46" t="s">
        <v>94</v>
      </c>
      <c r="C138" s="106" t="s">
        <v>75</v>
      </c>
      <c r="D138" s="46" t="s">
        <v>38</v>
      </c>
      <c r="E138" s="290" t="s">
        <v>79</v>
      </c>
      <c r="F138" s="46">
        <v>4.51</v>
      </c>
      <c r="G138" s="46">
        <v>28.41</v>
      </c>
      <c r="H138" s="46">
        <v>24</v>
      </c>
      <c r="I138" s="46">
        <v>681.91</v>
      </c>
      <c r="J138" s="143">
        <v>500</v>
      </c>
    </row>
    <row r="139" spans="1:10" x14ac:dyDescent="0.25">
      <c r="A139" s="133" t="s">
        <v>120</v>
      </c>
      <c r="B139" s="46" t="s">
        <v>95</v>
      </c>
      <c r="C139" s="106" t="s">
        <v>38</v>
      </c>
      <c r="D139" s="46">
        <v>79</v>
      </c>
      <c r="E139" s="290" t="s">
        <v>79</v>
      </c>
      <c r="F139" s="46">
        <v>8.58</v>
      </c>
      <c r="G139" s="46">
        <v>54.05</v>
      </c>
      <c r="H139" s="46">
        <v>24</v>
      </c>
      <c r="I139" s="46">
        <v>1297.3</v>
      </c>
      <c r="J139" s="143">
        <v>1600</v>
      </c>
    </row>
    <row r="140" spans="1:10" ht="30" x14ac:dyDescent="0.25">
      <c r="A140" s="133" t="s">
        <v>120</v>
      </c>
      <c r="B140" s="46" t="s">
        <v>96</v>
      </c>
      <c r="C140" s="106" t="s">
        <v>38</v>
      </c>
      <c r="D140" s="46" t="s">
        <v>38</v>
      </c>
      <c r="E140" s="298" t="s">
        <v>67</v>
      </c>
      <c r="F140" s="46" t="s">
        <v>38</v>
      </c>
      <c r="G140" s="46" t="s">
        <v>38</v>
      </c>
      <c r="H140" s="46" t="s">
        <v>38</v>
      </c>
      <c r="I140" s="46" t="s">
        <v>38</v>
      </c>
      <c r="J140" s="143" t="s">
        <v>38</v>
      </c>
    </row>
    <row r="141" spans="1:10" ht="30" x14ac:dyDescent="0.25">
      <c r="A141" s="133" t="s">
        <v>120</v>
      </c>
      <c r="B141" s="46" t="s">
        <v>97</v>
      </c>
      <c r="C141" s="106"/>
      <c r="D141" s="46" t="s">
        <v>38</v>
      </c>
      <c r="E141" s="298" t="s">
        <v>67</v>
      </c>
      <c r="F141" s="46" t="s">
        <v>38</v>
      </c>
      <c r="G141" s="46" t="s">
        <v>38</v>
      </c>
      <c r="H141" s="46" t="s">
        <v>38</v>
      </c>
      <c r="I141" s="46" t="s">
        <v>38</v>
      </c>
      <c r="J141" s="143" t="s">
        <v>38</v>
      </c>
    </row>
    <row r="142" spans="1:10" ht="19.5" thickBot="1" x14ac:dyDescent="0.35">
      <c r="A142" s="134"/>
      <c r="B142" s="66"/>
      <c r="C142" s="269"/>
      <c r="E142" s="68"/>
      <c r="F142" s="66"/>
      <c r="G142" s="66"/>
      <c r="H142" s="145" t="s">
        <v>110</v>
      </c>
      <c r="I142" s="135">
        <v>4269.8900000000003</v>
      </c>
      <c r="J142" s="144">
        <v>4400</v>
      </c>
    </row>
    <row r="143" spans="1:10" x14ac:dyDescent="0.25">
      <c r="A143" s="146" t="s">
        <v>121</v>
      </c>
      <c r="B143" s="120" t="s">
        <v>68</v>
      </c>
      <c r="C143" s="268" t="s">
        <v>114</v>
      </c>
      <c r="D143" s="108">
        <v>67.02</v>
      </c>
      <c r="E143" s="296" t="s">
        <v>79</v>
      </c>
      <c r="F143" s="118">
        <v>5.95</v>
      </c>
      <c r="G143" s="119">
        <f>F143*6.3</f>
        <v>37.484999999999999</v>
      </c>
      <c r="H143" s="120">
        <v>24</v>
      </c>
      <c r="I143" s="119">
        <f>G143*H143</f>
        <v>899.64</v>
      </c>
      <c r="J143" s="121">
        <v>900</v>
      </c>
    </row>
    <row r="144" spans="1:10" x14ac:dyDescent="0.25">
      <c r="A144" s="147" t="s">
        <v>121</v>
      </c>
      <c r="B144" s="37" t="s">
        <v>69</v>
      </c>
      <c r="C144" s="261" t="s">
        <v>86</v>
      </c>
      <c r="D144" s="108">
        <v>68.790000000000006</v>
      </c>
      <c r="E144" s="288" t="s">
        <v>79</v>
      </c>
      <c r="F144" s="110">
        <v>8.68</v>
      </c>
      <c r="G144" s="36">
        <f>F144*6.3</f>
        <v>54.683999999999997</v>
      </c>
      <c r="H144" s="37">
        <v>24</v>
      </c>
      <c r="I144" s="41">
        <f>G144*H144</f>
        <v>1312.4159999999999</v>
      </c>
      <c r="J144" s="123">
        <v>1400</v>
      </c>
    </row>
    <row r="145" spans="1:10" x14ac:dyDescent="0.25">
      <c r="A145" s="147" t="s">
        <v>121</v>
      </c>
      <c r="B145" s="50" t="s">
        <v>70</v>
      </c>
      <c r="C145" s="261" t="s">
        <v>75</v>
      </c>
      <c r="D145" s="108" t="s">
        <v>38</v>
      </c>
      <c r="E145" s="288" t="s">
        <v>79</v>
      </c>
      <c r="F145" s="36">
        <v>4.58</v>
      </c>
      <c r="G145" s="36">
        <f>F145*6.3</f>
        <v>28.853999999999999</v>
      </c>
      <c r="H145" s="37">
        <v>24</v>
      </c>
      <c r="I145" s="36">
        <f>G145*H145</f>
        <v>692.49599999999998</v>
      </c>
      <c r="J145" s="123">
        <v>500</v>
      </c>
    </row>
    <row r="146" spans="1:10" x14ac:dyDescent="0.25">
      <c r="A146" s="147" t="s">
        <v>121</v>
      </c>
      <c r="B146" s="75" t="s">
        <v>71</v>
      </c>
      <c r="C146" s="262" t="s">
        <v>38</v>
      </c>
      <c r="D146" s="108">
        <v>79</v>
      </c>
      <c r="E146" s="294" t="s">
        <v>79</v>
      </c>
      <c r="F146" s="74">
        <v>8.7200000000000006</v>
      </c>
      <c r="G146" s="39">
        <f>F146*6.3</f>
        <v>54.936</v>
      </c>
      <c r="H146" s="37">
        <v>24</v>
      </c>
      <c r="I146" s="44">
        <f>G146*H146</f>
        <v>1318.4639999999999</v>
      </c>
      <c r="J146" s="123">
        <v>1600</v>
      </c>
    </row>
    <row r="147" spans="1:10" ht="30" x14ac:dyDescent="0.25">
      <c r="A147" s="147" t="s">
        <v>121</v>
      </c>
      <c r="B147" s="37" t="s">
        <v>65</v>
      </c>
      <c r="C147" s="261" t="s">
        <v>38</v>
      </c>
      <c r="D147" s="34" t="s">
        <v>38</v>
      </c>
      <c r="E147" s="288" t="s">
        <v>67</v>
      </c>
      <c r="F147" s="73" t="s">
        <v>38</v>
      </c>
      <c r="G147" s="74" t="s">
        <v>38</v>
      </c>
      <c r="H147" s="35" t="s">
        <v>38</v>
      </c>
      <c r="I147" s="44" t="s">
        <v>38</v>
      </c>
      <c r="J147" s="123" t="s">
        <v>38</v>
      </c>
    </row>
    <row r="148" spans="1:10" ht="30" x14ac:dyDescent="0.25">
      <c r="A148" s="147" t="s">
        <v>121</v>
      </c>
      <c r="B148" s="37" t="s">
        <v>66</v>
      </c>
      <c r="C148" s="267"/>
      <c r="D148" s="34" t="s">
        <v>38</v>
      </c>
      <c r="E148" s="288" t="s">
        <v>67</v>
      </c>
      <c r="F148" s="73" t="s">
        <v>38</v>
      </c>
      <c r="G148" s="36" t="s">
        <v>38</v>
      </c>
      <c r="H148" s="35" t="s">
        <v>38</v>
      </c>
      <c r="I148" s="44" t="s">
        <v>38</v>
      </c>
      <c r="J148" s="123" t="s">
        <v>38</v>
      </c>
    </row>
    <row r="149" spans="1:10" ht="19.5" thickBot="1" x14ac:dyDescent="0.35">
      <c r="A149" s="147"/>
      <c r="B149" s="149"/>
      <c r="C149"/>
      <c r="D149" s="78"/>
      <c r="E149" s="295"/>
      <c r="F149" s="114"/>
      <c r="G149" s="114"/>
      <c r="H149" s="115" t="s">
        <v>110</v>
      </c>
      <c r="I149" s="116">
        <f>SUM(I143:I148)</f>
        <v>4223.0159999999996</v>
      </c>
      <c r="J149" s="141">
        <f>SUM(J143:J148)</f>
        <v>4400</v>
      </c>
    </row>
    <row r="150" spans="1:10" x14ac:dyDescent="0.25">
      <c r="A150" s="132" t="s">
        <v>122</v>
      </c>
      <c r="B150" s="120" t="s">
        <v>68</v>
      </c>
      <c r="C150" s="268" t="s">
        <v>114</v>
      </c>
      <c r="D150" s="108">
        <v>62.17</v>
      </c>
      <c r="E150" s="296" t="s">
        <v>79</v>
      </c>
      <c r="F150" s="118">
        <v>5.95</v>
      </c>
      <c r="G150" s="119">
        <f>F150*6.3</f>
        <v>37.484999999999999</v>
      </c>
      <c r="H150" s="120">
        <v>24</v>
      </c>
      <c r="I150" s="119">
        <f>G150*H150</f>
        <v>899.64</v>
      </c>
      <c r="J150" s="121">
        <v>900</v>
      </c>
    </row>
    <row r="151" spans="1:10" x14ac:dyDescent="0.25">
      <c r="A151" s="133" t="s">
        <v>122</v>
      </c>
      <c r="B151" s="37" t="s">
        <v>69</v>
      </c>
      <c r="C151" s="261" t="s">
        <v>86</v>
      </c>
      <c r="D151" s="108">
        <v>63.81</v>
      </c>
      <c r="E151" s="288" t="s">
        <v>79</v>
      </c>
      <c r="F151" s="110">
        <v>8.06</v>
      </c>
      <c r="G151" s="36">
        <f>F151*6.3</f>
        <v>50.777999999999999</v>
      </c>
      <c r="H151" s="37">
        <v>24</v>
      </c>
      <c r="I151" s="41">
        <f>G151*H151</f>
        <v>1218.672</v>
      </c>
      <c r="J151" s="123">
        <v>1400</v>
      </c>
    </row>
    <row r="152" spans="1:10" x14ac:dyDescent="0.25">
      <c r="A152" s="133" t="s">
        <v>122</v>
      </c>
      <c r="B152" s="50" t="s">
        <v>70</v>
      </c>
      <c r="C152" s="261" t="s">
        <v>75</v>
      </c>
      <c r="D152" s="108" t="s">
        <v>38</v>
      </c>
      <c r="E152" s="288" t="s">
        <v>79</v>
      </c>
      <c r="F152" s="36">
        <v>4.42</v>
      </c>
      <c r="G152" s="36">
        <f>F152*6.3</f>
        <v>27.846</v>
      </c>
      <c r="H152" s="37">
        <v>24</v>
      </c>
      <c r="I152" s="36">
        <f>G152*H152</f>
        <v>668.30399999999997</v>
      </c>
      <c r="J152" s="123">
        <v>500</v>
      </c>
    </row>
    <row r="153" spans="1:10" x14ac:dyDescent="0.25">
      <c r="A153" s="133" t="s">
        <v>122</v>
      </c>
      <c r="B153" s="75" t="s">
        <v>71</v>
      </c>
      <c r="C153" s="262" t="s">
        <v>38</v>
      </c>
      <c r="D153" s="108">
        <v>79</v>
      </c>
      <c r="E153" s="294" t="s">
        <v>79</v>
      </c>
      <c r="F153" s="74">
        <v>8.84</v>
      </c>
      <c r="G153" s="39">
        <f>F153*6.3</f>
        <v>55.692</v>
      </c>
      <c r="H153" s="37">
        <v>24</v>
      </c>
      <c r="I153" s="44">
        <f>G153*H153</f>
        <v>1336.6079999999999</v>
      </c>
      <c r="J153" s="123">
        <v>1600</v>
      </c>
    </row>
    <row r="154" spans="1:10" ht="30" x14ac:dyDescent="0.25">
      <c r="A154" s="133" t="s">
        <v>122</v>
      </c>
      <c r="B154" s="37" t="s">
        <v>65</v>
      </c>
      <c r="C154" s="261" t="s">
        <v>38</v>
      </c>
      <c r="D154" s="34" t="s">
        <v>38</v>
      </c>
      <c r="E154" s="288" t="s">
        <v>67</v>
      </c>
      <c r="F154" s="73" t="s">
        <v>38</v>
      </c>
      <c r="G154" s="74" t="s">
        <v>38</v>
      </c>
      <c r="H154" s="35" t="s">
        <v>38</v>
      </c>
      <c r="I154" s="44" t="s">
        <v>38</v>
      </c>
      <c r="J154" s="123" t="s">
        <v>38</v>
      </c>
    </row>
    <row r="155" spans="1:10" ht="30" x14ac:dyDescent="0.25">
      <c r="A155" s="133" t="s">
        <v>122</v>
      </c>
      <c r="B155" s="37" t="s">
        <v>66</v>
      </c>
      <c r="C155" s="267"/>
      <c r="D155" s="34" t="s">
        <v>38</v>
      </c>
      <c r="E155" s="288" t="s">
        <v>67</v>
      </c>
      <c r="F155" s="73" t="s">
        <v>38</v>
      </c>
      <c r="G155" s="36" t="s">
        <v>38</v>
      </c>
      <c r="H155" s="35" t="s">
        <v>38</v>
      </c>
      <c r="I155" s="44" t="s">
        <v>38</v>
      </c>
      <c r="J155" s="123" t="s">
        <v>38</v>
      </c>
    </row>
    <row r="156" spans="1:10" ht="19.5" thickBot="1" x14ac:dyDescent="0.35">
      <c r="A156" s="134"/>
      <c r="B156" s="148"/>
      <c r="C156" s="127"/>
      <c r="D156" s="78"/>
      <c r="E156" s="125"/>
      <c r="F156" s="128"/>
      <c r="G156" s="128"/>
      <c r="H156" s="129" t="s">
        <v>110</v>
      </c>
      <c r="I156" s="130">
        <f>SUM(I150:I155)</f>
        <v>4123.2240000000002</v>
      </c>
      <c r="J156" s="131">
        <f>SUM(J150:J155)</f>
        <v>4400</v>
      </c>
    </row>
    <row r="157" spans="1:10" x14ac:dyDescent="0.25">
      <c r="A157" s="146" t="s">
        <v>124</v>
      </c>
      <c r="B157" s="120" t="s">
        <v>68</v>
      </c>
      <c r="C157" s="268" t="s">
        <v>114</v>
      </c>
      <c r="D157" s="108">
        <v>59.1</v>
      </c>
      <c r="E157" s="296" t="s">
        <v>79</v>
      </c>
      <c r="F157" s="109">
        <v>6.1</v>
      </c>
      <c r="G157" s="119">
        <f>F157*6.3</f>
        <v>38.43</v>
      </c>
      <c r="H157" s="120">
        <v>24</v>
      </c>
      <c r="I157" s="119">
        <f>G157*H157</f>
        <v>922.31999999999994</v>
      </c>
      <c r="J157" s="121">
        <v>900</v>
      </c>
    </row>
    <row r="158" spans="1:10" x14ac:dyDescent="0.25">
      <c r="A158" s="147" t="s">
        <v>124</v>
      </c>
      <c r="B158" s="37" t="s">
        <v>69</v>
      </c>
      <c r="C158" s="261" t="s">
        <v>86</v>
      </c>
      <c r="D158" s="108">
        <v>46.9</v>
      </c>
      <c r="E158" s="288" t="s">
        <v>79</v>
      </c>
      <c r="F158" s="110">
        <v>6.15</v>
      </c>
      <c r="G158" s="36">
        <f>F158*6.3</f>
        <v>38.745000000000005</v>
      </c>
      <c r="H158" s="37">
        <v>24</v>
      </c>
      <c r="I158" s="41">
        <f>G158*H158</f>
        <v>929.88000000000011</v>
      </c>
      <c r="J158" s="123">
        <v>1400</v>
      </c>
    </row>
    <row r="159" spans="1:10" x14ac:dyDescent="0.25">
      <c r="A159" s="147" t="s">
        <v>124</v>
      </c>
      <c r="B159" s="50" t="s">
        <v>70</v>
      </c>
      <c r="C159" s="261" t="s">
        <v>75</v>
      </c>
      <c r="D159" s="108" t="s">
        <v>38</v>
      </c>
      <c r="E159" s="288" t="s">
        <v>79</v>
      </c>
      <c r="F159" s="36">
        <v>4.42</v>
      </c>
      <c r="G159" s="36">
        <f>F159*6.3</f>
        <v>27.846</v>
      </c>
      <c r="H159" s="37">
        <v>24</v>
      </c>
      <c r="I159" s="36">
        <f>G159*H159</f>
        <v>668.30399999999997</v>
      </c>
      <c r="J159" s="123">
        <v>500</v>
      </c>
    </row>
    <row r="160" spans="1:10" x14ac:dyDescent="0.25">
      <c r="A160" s="147" t="s">
        <v>124</v>
      </c>
      <c r="B160" s="75" t="s">
        <v>71</v>
      </c>
      <c r="C160" s="262" t="s">
        <v>38</v>
      </c>
      <c r="D160" s="108">
        <v>79</v>
      </c>
      <c r="E160" s="294" t="s">
        <v>79</v>
      </c>
      <c r="F160" s="74">
        <v>5</v>
      </c>
      <c r="G160" s="39">
        <f>F160*6.3</f>
        <v>31.5</v>
      </c>
      <c r="H160" s="37">
        <v>24</v>
      </c>
      <c r="I160" s="44">
        <f>G160*H160</f>
        <v>756</v>
      </c>
      <c r="J160" s="123">
        <v>1600</v>
      </c>
    </row>
    <row r="161" spans="1:12" ht="30" x14ac:dyDescent="0.25">
      <c r="A161" s="147" t="s">
        <v>124</v>
      </c>
      <c r="B161" s="37" t="s">
        <v>65</v>
      </c>
      <c r="C161" s="261" t="s">
        <v>38</v>
      </c>
      <c r="D161" s="34" t="s">
        <v>38</v>
      </c>
      <c r="E161" s="288" t="s">
        <v>67</v>
      </c>
      <c r="F161" s="73" t="s">
        <v>38</v>
      </c>
      <c r="G161" s="74" t="s">
        <v>38</v>
      </c>
      <c r="H161" s="35" t="s">
        <v>38</v>
      </c>
      <c r="I161" s="44" t="s">
        <v>38</v>
      </c>
      <c r="J161" s="123" t="s">
        <v>38</v>
      </c>
    </row>
    <row r="162" spans="1:12" ht="30" x14ac:dyDescent="0.25">
      <c r="A162" s="147" t="s">
        <v>124</v>
      </c>
      <c r="B162" s="37" t="s">
        <v>66</v>
      </c>
      <c r="C162" s="267"/>
      <c r="D162" s="34" t="s">
        <v>38</v>
      </c>
      <c r="E162" s="288" t="s">
        <v>67</v>
      </c>
      <c r="F162" s="73" t="s">
        <v>38</v>
      </c>
      <c r="G162" s="36" t="s">
        <v>38</v>
      </c>
      <c r="H162" s="35" t="s">
        <v>38</v>
      </c>
      <c r="I162" s="44" t="s">
        <v>38</v>
      </c>
      <c r="J162" s="123" t="s">
        <v>38</v>
      </c>
    </row>
    <row r="163" spans="1:12" ht="19.5" thickBot="1" x14ac:dyDescent="0.35">
      <c r="A163" s="147"/>
      <c r="B163" s="149"/>
      <c r="C163"/>
      <c r="D163" s="78"/>
      <c r="E163" s="295"/>
      <c r="F163" s="114"/>
      <c r="G163" s="114"/>
      <c r="H163" s="115" t="s">
        <v>110</v>
      </c>
      <c r="I163" s="116">
        <f>SUM(I157:I162)</f>
        <v>3276.5039999999999</v>
      </c>
      <c r="J163" s="141">
        <f>SUM(J157:J162)</f>
        <v>4400</v>
      </c>
    </row>
    <row r="164" spans="1:12" x14ac:dyDescent="0.25">
      <c r="A164" s="132" t="s">
        <v>128</v>
      </c>
      <c r="B164" s="64" t="s">
        <v>68</v>
      </c>
      <c r="C164" s="105" t="s">
        <v>114</v>
      </c>
      <c r="D164" s="46">
        <v>59.1</v>
      </c>
      <c r="E164" s="297" t="s">
        <v>79</v>
      </c>
      <c r="F164" s="64">
        <v>6.1</v>
      </c>
      <c r="G164" s="64">
        <v>38.43</v>
      </c>
      <c r="H164" s="64">
        <v>24</v>
      </c>
      <c r="I164" s="64">
        <v>922.32</v>
      </c>
      <c r="J164" s="156">
        <v>900</v>
      </c>
    </row>
    <row r="165" spans="1:12" x14ac:dyDescent="0.25">
      <c r="A165" s="133" t="s">
        <v>128</v>
      </c>
      <c r="B165" s="46" t="s">
        <v>69</v>
      </c>
      <c r="C165" s="106" t="s">
        <v>86</v>
      </c>
      <c r="D165" s="46">
        <v>46.9</v>
      </c>
      <c r="E165" s="290" t="s">
        <v>79</v>
      </c>
      <c r="F165" s="46">
        <v>6.15</v>
      </c>
      <c r="G165" s="46">
        <v>38.75</v>
      </c>
      <c r="H165" s="46">
        <v>24</v>
      </c>
      <c r="I165" s="46">
        <v>929.88</v>
      </c>
      <c r="J165" s="157">
        <v>1400</v>
      </c>
    </row>
    <row r="166" spans="1:12" x14ac:dyDescent="0.25">
      <c r="A166" s="133" t="s">
        <v>128</v>
      </c>
      <c r="B166" s="46" t="s">
        <v>70</v>
      </c>
      <c r="C166" s="106" t="s">
        <v>75</v>
      </c>
      <c r="D166" s="46" t="s">
        <v>38</v>
      </c>
      <c r="E166" s="290" t="s">
        <v>79</v>
      </c>
      <c r="F166" s="46">
        <v>4.42</v>
      </c>
      <c r="G166" s="46">
        <v>27.85</v>
      </c>
      <c r="H166" s="46">
        <v>24</v>
      </c>
      <c r="I166" s="46">
        <v>668.3</v>
      </c>
      <c r="J166" s="157">
        <v>500</v>
      </c>
    </row>
    <row r="167" spans="1:12" x14ac:dyDescent="0.25">
      <c r="A167" s="133" t="s">
        <v>128</v>
      </c>
      <c r="B167" s="46" t="s">
        <v>71</v>
      </c>
      <c r="C167" s="106" t="s">
        <v>38</v>
      </c>
      <c r="D167" s="46">
        <v>79</v>
      </c>
      <c r="E167" s="290" t="s">
        <v>79</v>
      </c>
      <c r="F167" s="46">
        <v>5</v>
      </c>
      <c r="G167" s="46">
        <v>31.5</v>
      </c>
      <c r="H167" s="46">
        <v>24</v>
      </c>
      <c r="I167" s="46">
        <v>756</v>
      </c>
      <c r="J167" s="157">
        <v>1600</v>
      </c>
    </row>
    <row r="168" spans="1:12" x14ac:dyDescent="0.25">
      <c r="A168" s="133" t="s">
        <v>128</v>
      </c>
      <c r="B168" s="46" t="s">
        <v>65</v>
      </c>
      <c r="C168" s="106" t="s">
        <v>38</v>
      </c>
      <c r="D168" s="46" t="s">
        <v>38</v>
      </c>
      <c r="E168" s="290" t="s">
        <v>67</v>
      </c>
      <c r="F168" s="46" t="s">
        <v>38</v>
      </c>
      <c r="G168" s="46" t="s">
        <v>38</v>
      </c>
      <c r="H168" s="46" t="s">
        <v>38</v>
      </c>
      <c r="I168" s="46" t="s">
        <v>38</v>
      </c>
      <c r="J168" s="157" t="s">
        <v>38</v>
      </c>
    </row>
    <row r="169" spans="1:12" x14ac:dyDescent="0.25">
      <c r="A169" s="133" t="s">
        <v>128</v>
      </c>
      <c r="B169" s="46" t="s">
        <v>66</v>
      </c>
      <c r="C169" s="106"/>
      <c r="D169" s="46" t="s">
        <v>38</v>
      </c>
      <c r="E169" s="290" t="s">
        <v>67</v>
      </c>
      <c r="F169" s="46" t="s">
        <v>38</v>
      </c>
      <c r="G169" s="46" t="s">
        <v>38</v>
      </c>
      <c r="H169" s="46" t="s">
        <v>38</v>
      </c>
      <c r="I169" s="46" t="s">
        <v>38</v>
      </c>
      <c r="J169" s="157" t="s">
        <v>38</v>
      </c>
    </row>
    <row r="170" spans="1:12" ht="19.5" thickBot="1" x14ac:dyDescent="0.35">
      <c r="A170" s="134"/>
      <c r="B170" s="66"/>
      <c r="C170" s="269"/>
      <c r="E170" s="68"/>
      <c r="F170" s="66"/>
      <c r="G170" s="66"/>
      <c r="H170" s="145" t="s">
        <v>110</v>
      </c>
      <c r="I170" s="135">
        <v>3276.5</v>
      </c>
      <c r="J170" s="158">
        <v>4400</v>
      </c>
    </row>
    <row r="171" spans="1:12" ht="15.75" thickBot="1" x14ac:dyDescent="0.3">
      <c r="A171" s="155" t="s">
        <v>127</v>
      </c>
      <c r="B171" s="49" t="s">
        <v>68</v>
      </c>
      <c r="C171" s="270" t="s">
        <v>114</v>
      </c>
      <c r="D171" s="46">
        <v>48</v>
      </c>
      <c r="E171" s="299" t="s">
        <v>79</v>
      </c>
      <c r="F171" s="49">
        <v>6</v>
      </c>
      <c r="G171" s="49">
        <v>37.799999999999997</v>
      </c>
      <c r="H171" s="49">
        <v>24</v>
      </c>
      <c r="I171" s="86">
        <v>907.2</v>
      </c>
      <c r="J171" s="154">
        <v>900</v>
      </c>
      <c r="L171" s="31">
        <v>900</v>
      </c>
    </row>
    <row r="172" spans="1:12" ht="15.75" thickBot="1" x14ac:dyDescent="0.3">
      <c r="A172" s="132" t="s">
        <v>127</v>
      </c>
      <c r="B172" s="46" t="s">
        <v>69</v>
      </c>
      <c r="C172" s="106" t="s">
        <v>86</v>
      </c>
      <c r="D172" s="46">
        <v>49</v>
      </c>
      <c r="E172" s="290" t="s">
        <v>79</v>
      </c>
      <c r="F172" s="46">
        <v>6.9</v>
      </c>
      <c r="G172" s="46">
        <v>43.47</v>
      </c>
      <c r="H172" s="46">
        <v>24</v>
      </c>
      <c r="I172" s="83">
        <v>1043.28</v>
      </c>
      <c r="J172" s="123">
        <v>1400</v>
      </c>
      <c r="L172" s="31">
        <v>1400</v>
      </c>
    </row>
    <row r="173" spans="1:12" ht="15.75" thickBot="1" x14ac:dyDescent="0.3">
      <c r="A173" s="132" t="s">
        <v>127</v>
      </c>
      <c r="B173" s="46" t="s">
        <v>70</v>
      </c>
      <c r="C173" s="106" t="s">
        <v>75</v>
      </c>
      <c r="D173" s="46" t="s">
        <v>38</v>
      </c>
      <c r="E173" s="290" t="s">
        <v>79</v>
      </c>
      <c r="F173" s="46">
        <v>4.42</v>
      </c>
      <c r="G173" s="46">
        <v>27.85</v>
      </c>
      <c r="H173" s="46">
        <v>24</v>
      </c>
      <c r="I173" s="83">
        <v>668.3</v>
      </c>
      <c r="J173" s="123">
        <v>500</v>
      </c>
      <c r="L173" s="31">
        <v>500</v>
      </c>
    </row>
    <row r="174" spans="1:12" ht="15.75" thickBot="1" x14ac:dyDescent="0.3">
      <c r="A174" s="132" t="s">
        <v>127</v>
      </c>
      <c r="B174" s="46" t="s">
        <v>71</v>
      </c>
      <c r="C174" s="106" t="s">
        <v>38</v>
      </c>
      <c r="D174" s="46">
        <v>79</v>
      </c>
      <c r="E174" s="290" t="s">
        <v>79</v>
      </c>
      <c r="F174" s="46">
        <v>5</v>
      </c>
      <c r="G174" s="46">
        <v>31.5</v>
      </c>
      <c r="H174" s="46">
        <v>24</v>
      </c>
      <c r="I174" s="83">
        <v>756</v>
      </c>
      <c r="J174" s="123">
        <v>1600</v>
      </c>
      <c r="L174" s="31">
        <v>1600</v>
      </c>
    </row>
    <row r="175" spans="1:12" ht="15.75" thickBot="1" x14ac:dyDescent="0.3">
      <c r="A175" s="132" t="s">
        <v>127</v>
      </c>
      <c r="B175" s="46" t="s">
        <v>65</v>
      </c>
      <c r="C175" s="106" t="s">
        <v>38</v>
      </c>
      <c r="D175" s="46" t="s">
        <v>38</v>
      </c>
      <c r="E175" s="290" t="s">
        <v>67</v>
      </c>
      <c r="F175" s="46" t="s">
        <v>38</v>
      </c>
      <c r="G175" s="46" t="s">
        <v>38</v>
      </c>
      <c r="H175" s="46" t="s">
        <v>38</v>
      </c>
      <c r="I175" s="83" t="s">
        <v>38</v>
      </c>
      <c r="J175" s="123" t="s">
        <v>38</v>
      </c>
      <c r="L175" s="31" t="s">
        <v>38</v>
      </c>
    </row>
    <row r="176" spans="1:12" x14ac:dyDescent="0.25">
      <c r="A176" s="132" t="s">
        <v>127</v>
      </c>
      <c r="B176" s="46" t="s">
        <v>66</v>
      </c>
      <c r="C176" s="106"/>
      <c r="D176" s="46" t="s">
        <v>38</v>
      </c>
      <c r="E176" s="290" t="s">
        <v>67</v>
      </c>
      <c r="F176" s="46" t="s">
        <v>38</v>
      </c>
      <c r="G176" s="46" t="s">
        <v>38</v>
      </c>
      <c r="H176" s="46" t="s">
        <v>38</v>
      </c>
      <c r="I176" s="83" t="s">
        <v>38</v>
      </c>
      <c r="J176" s="123" t="s">
        <v>38</v>
      </c>
      <c r="L176" s="31" t="s">
        <v>38</v>
      </c>
    </row>
    <row r="177" spans="1:12" ht="19.5" thickBot="1" x14ac:dyDescent="0.35">
      <c r="A177" s="134"/>
      <c r="B177" s="66"/>
      <c r="C177" s="269"/>
      <c r="E177" s="68"/>
      <c r="F177" s="66"/>
      <c r="G177" s="66"/>
      <c r="H177" s="159" t="s">
        <v>110</v>
      </c>
      <c r="I177" s="161">
        <v>3374.78</v>
      </c>
      <c r="J177" s="160">
        <f>SUM(J171:J176)</f>
        <v>4400</v>
      </c>
      <c r="L177" s="31">
        <v>4400</v>
      </c>
    </row>
    <row r="178" spans="1:12" x14ac:dyDescent="0.25">
      <c r="A178" s="147" t="s">
        <v>125</v>
      </c>
      <c r="B178" s="151" t="s">
        <v>68</v>
      </c>
      <c r="C178" s="264" t="s">
        <v>114</v>
      </c>
      <c r="D178" s="108">
        <v>48</v>
      </c>
      <c r="E178" s="291" t="s">
        <v>79</v>
      </c>
      <c r="F178" s="153">
        <v>6</v>
      </c>
      <c r="G178" s="51">
        <f>F178*6.3</f>
        <v>37.799999999999997</v>
      </c>
      <c r="H178" s="151">
        <v>24</v>
      </c>
      <c r="I178" s="51">
        <f>G178*H178</f>
        <v>907.19999999999993</v>
      </c>
      <c r="J178" s="154">
        <v>900</v>
      </c>
    </row>
    <row r="179" spans="1:12" x14ac:dyDescent="0.25">
      <c r="A179" s="147" t="s">
        <v>125</v>
      </c>
      <c r="B179" s="37" t="s">
        <v>69</v>
      </c>
      <c r="C179" s="261" t="s">
        <v>86</v>
      </c>
      <c r="D179" s="108">
        <v>49</v>
      </c>
      <c r="E179" s="288" t="s">
        <v>79</v>
      </c>
      <c r="F179" s="110">
        <v>6.9</v>
      </c>
      <c r="G179" s="36">
        <f>F179*6.3</f>
        <v>43.47</v>
      </c>
      <c r="H179" s="37">
        <v>24</v>
      </c>
      <c r="I179" s="41">
        <f>G179*H179</f>
        <v>1043.28</v>
      </c>
      <c r="J179" s="123">
        <v>1400</v>
      </c>
    </row>
    <row r="180" spans="1:12" x14ac:dyDescent="0.25">
      <c r="A180" s="147" t="s">
        <v>125</v>
      </c>
      <c r="B180" s="50" t="s">
        <v>70</v>
      </c>
      <c r="C180" s="261" t="s">
        <v>75</v>
      </c>
      <c r="D180" s="108" t="s">
        <v>38</v>
      </c>
      <c r="E180" s="288" t="s">
        <v>79</v>
      </c>
      <c r="F180" s="36">
        <v>4.42</v>
      </c>
      <c r="G180" s="36">
        <f>F180*6.3</f>
        <v>27.846</v>
      </c>
      <c r="H180" s="37">
        <v>24</v>
      </c>
      <c r="I180" s="36">
        <f>G180*H180</f>
        <v>668.30399999999997</v>
      </c>
      <c r="J180" s="123">
        <v>500</v>
      </c>
    </row>
    <row r="181" spans="1:12" x14ac:dyDescent="0.25">
      <c r="A181" s="147" t="s">
        <v>126</v>
      </c>
      <c r="B181" s="75" t="s">
        <v>71</v>
      </c>
      <c r="C181" s="262" t="s">
        <v>38</v>
      </c>
      <c r="D181" s="108">
        <v>79</v>
      </c>
      <c r="E181" s="294" t="s">
        <v>79</v>
      </c>
      <c r="F181" s="74">
        <v>5</v>
      </c>
      <c r="G181" s="39">
        <f>F181*6.3</f>
        <v>31.5</v>
      </c>
      <c r="H181" s="37">
        <v>24</v>
      </c>
      <c r="I181" s="44">
        <f>G181*H181</f>
        <v>756</v>
      </c>
      <c r="J181" s="123">
        <v>1600</v>
      </c>
    </row>
    <row r="182" spans="1:12" ht="30" x14ac:dyDescent="0.25">
      <c r="A182" s="147" t="s">
        <v>125</v>
      </c>
      <c r="B182" s="37" t="s">
        <v>65</v>
      </c>
      <c r="C182" s="261" t="s">
        <v>38</v>
      </c>
      <c r="D182" s="34" t="s">
        <v>38</v>
      </c>
      <c r="E182" s="288" t="s">
        <v>67</v>
      </c>
      <c r="F182" s="73" t="s">
        <v>38</v>
      </c>
      <c r="G182" s="74" t="s">
        <v>38</v>
      </c>
      <c r="H182" s="35" t="s">
        <v>38</v>
      </c>
      <c r="I182" s="44" t="s">
        <v>38</v>
      </c>
      <c r="J182" s="123" t="s">
        <v>38</v>
      </c>
    </row>
    <row r="183" spans="1:12" ht="30" x14ac:dyDescent="0.25">
      <c r="A183" s="147" t="s">
        <v>125</v>
      </c>
      <c r="B183" s="37" t="s">
        <v>66</v>
      </c>
      <c r="C183" s="267"/>
      <c r="D183" s="34" t="s">
        <v>38</v>
      </c>
      <c r="E183" s="288" t="s">
        <v>67</v>
      </c>
      <c r="F183" s="73" t="s">
        <v>38</v>
      </c>
      <c r="G183" s="36" t="s">
        <v>38</v>
      </c>
      <c r="H183" s="35" t="s">
        <v>38</v>
      </c>
      <c r="I183" s="44" t="s">
        <v>38</v>
      </c>
      <c r="J183" s="123" t="s">
        <v>38</v>
      </c>
    </row>
    <row r="184" spans="1:12" ht="19.5" thickBot="1" x14ac:dyDescent="0.35">
      <c r="A184" s="150"/>
      <c r="B184" s="148"/>
      <c r="C184" s="127"/>
      <c r="D184" s="78"/>
      <c r="E184" s="125"/>
      <c r="F184" s="128"/>
      <c r="G184" s="128"/>
      <c r="H184" s="129" t="s">
        <v>110</v>
      </c>
      <c r="I184" s="130">
        <f>SUM(I178:I183)</f>
        <v>3374.7840000000001</v>
      </c>
      <c r="J184" s="131">
        <f>SUM(J178:J183)</f>
        <v>4400</v>
      </c>
    </row>
    <row r="185" spans="1:12" x14ac:dyDescent="0.25">
      <c r="A185" s="146" t="s">
        <v>129</v>
      </c>
      <c r="B185" s="120" t="s">
        <v>68</v>
      </c>
      <c r="C185" s="268" t="s">
        <v>114</v>
      </c>
      <c r="D185" s="108">
        <v>48</v>
      </c>
      <c r="E185" s="296" t="s">
        <v>79</v>
      </c>
      <c r="F185" s="118">
        <v>6</v>
      </c>
      <c r="G185" s="119">
        <f>F185*6.3</f>
        <v>37.799999999999997</v>
      </c>
      <c r="H185" s="120">
        <v>24</v>
      </c>
      <c r="I185" s="119">
        <f>G185*H185</f>
        <v>907.19999999999993</v>
      </c>
      <c r="J185" s="121">
        <v>900</v>
      </c>
    </row>
    <row r="186" spans="1:12" x14ac:dyDescent="0.25">
      <c r="A186" s="147" t="s">
        <v>129</v>
      </c>
      <c r="B186" s="37" t="s">
        <v>69</v>
      </c>
      <c r="C186" s="261" t="s">
        <v>86</v>
      </c>
      <c r="D186" s="108">
        <v>53.82</v>
      </c>
      <c r="E186" s="288" t="s">
        <v>79</v>
      </c>
      <c r="F186" s="110">
        <v>7.77</v>
      </c>
      <c r="G186" s="36">
        <f>F186*6.3</f>
        <v>48.950999999999993</v>
      </c>
      <c r="H186" s="37">
        <v>24</v>
      </c>
      <c r="I186" s="41">
        <f>G186*H186</f>
        <v>1174.8239999999998</v>
      </c>
      <c r="J186" s="123">
        <v>1400</v>
      </c>
    </row>
    <row r="187" spans="1:12" x14ac:dyDescent="0.25">
      <c r="A187" s="147" t="s">
        <v>129</v>
      </c>
      <c r="B187" s="50" t="s">
        <v>70</v>
      </c>
      <c r="C187" s="261" t="s">
        <v>75</v>
      </c>
      <c r="D187" s="108" t="s">
        <v>38</v>
      </c>
      <c r="E187" s="288" t="s">
        <v>79</v>
      </c>
      <c r="F187" s="36">
        <v>4.3099999999999996</v>
      </c>
      <c r="G187" s="36">
        <f>F187*6.3</f>
        <v>27.152999999999995</v>
      </c>
      <c r="H187" s="37">
        <v>24</v>
      </c>
      <c r="I187" s="36">
        <f>G187*H187</f>
        <v>651.67199999999991</v>
      </c>
      <c r="J187" s="123">
        <v>500</v>
      </c>
    </row>
    <row r="188" spans="1:12" x14ac:dyDescent="0.25">
      <c r="A188" s="147" t="s">
        <v>129</v>
      </c>
      <c r="B188" s="75" t="s">
        <v>71</v>
      </c>
      <c r="C188" s="262" t="s">
        <v>38</v>
      </c>
      <c r="D188" s="108">
        <v>79</v>
      </c>
      <c r="E188" s="294" t="s">
        <v>79</v>
      </c>
      <c r="F188" s="74">
        <v>4.72</v>
      </c>
      <c r="G188" s="39">
        <f>F188*6.3</f>
        <v>29.735999999999997</v>
      </c>
      <c r="H188" s="37">
        <v>24</v>
      </c>
      <c r="I188" s="44">
        <f>G188*H188</f>
        <v>713.66399999999999</v>
      </c>
      <c r="J188" s="123">
        <v>1600</v>
      </c>
    </row>
    <row r="189" spans="1:12" ht="30" x14ac:dyDescent="0.25">
      <c r="A189" s="147" t="s">
        <v>129</v>
      </c>
      <c r="B189" s="37" t="s">
        <v>65</v>
      </c>
      <c r="C189" s="261" t="s">
        <v>38</v>
      </c>
      <c r="D189" s="34" t="s">
        <v>38</v>
      </c>
      <c r="E189" s="288" t="s">
        <v>67</v>
      </c>
      <c r="F189" s="73" t="s">
        <v>38</v>
      </c>
      <c r="G189" s="74" t="s">
        <v>38</v>
      </c>
      <c r="H189" s="35" t="s">
        <v>38</v>
      </c>
      <c r="I189" s="44" t="s">
        <v>38</v>
      </c>
      <c r="J189" s="123" t="s">
        <v>38</v>
      </c>
    </row>
    <row r="190" spans="1:12" ht="30" x14ac:dyDescent="0.25">
      <c r="A190" s="147" t="s">
        <v>129</v>
      </c>
      <c r="B190" s="37" t="s">
        <v>66</v>
      </c>
      <c r="C190" s="267"/>
      <c r="D190" s="34" t="s">
        <v>38</v>
      </c>
      <c r="E190" s="288" t="s">
        <v>67</v>
      </c>
      <c r="F190" s="73" t="s">
        <v>38</v>
      </c>
      <c r="G190" s="36" t="s">
        <v>38</v>
      </c>
      <c r="H190" s="35" t="s">
        <v>38</v>
      </c>
      <c r="I190" s="44" t="s">
        <v>38</v>
      </c>
      <c r="J190" s="123" t="s">
        <v>38</v>
      </c>
    </row>
    <row r="191" spans="1:12" ht="19.5" thickBot="1" x14ac:dyDescent="0.35">
      <c r="A191" s="147"/>
      <c r="B191" s="149"/>
      <c r="C191"/>
      <c r="D191" s="78"/>
      <c r="E191" s="295"/>
      <c r="F191" s="114"/>
      <c r="G191" s="114"/>
      <c r="H191" s="115" t="s">
        <v>110</v>
      </c>
      <c r="I191" s="116">
        <f>SUM(I185:I190)</f>
        <v>3447.3599999999997</v>
      </c>
      <c r="J191" s="141">
        <f>SUM(J185:J190)</f>
        <v>4400</v>
      </c>
    </row>
    <row r="192" spans="1:12" x14ac:dyDescent="0.25">
      <c r="A192" s="132" t="s">
        <v>130</v>
      </c>
      <c r="B192" s="164" t="s">
        <v>68</v>
      </c>
      <c r="C192" s="105" t="s">
        <v>114</v>
      </c>
      <c r="D192" s="56">
        <v>48</v>
      </c>
      <c r="E192" s="300" t="s">
        <v>79</v>
      </c>
      <c r="F192" s="165">
        <v>5.91</v>
      </c>
      <c r="G192" s="165">
        <v>37.229999999999997</v>
      </c>
      <c r="H192" s="166">
        <v>24</v>
      </c>
      <c r="I192" s="167">
        <v>893.59</v>
      </c>
      <c r="J192" s="168">
        <v>900</v>
      </c>
    </row>
    <row r="193" spans="1:10" x14ac:dyDescent="0.25">
      <c r="A193" s="133" t="s">
        <v>130</v>
      </c>
      <c r="B193" s="56" t="s">
        <v>69</v>
      </c>
      <c r="C193" s="106" t="s">
        <v>86</v>
      </c>
      <c r="D193" s="56">
        <v>53.5</v>
      </c>
      <c r="E193" s="194" t="s">
        <v>79</v>
      </c>
      <c r="F193" s="162">
        <v>8.0500000000000007</v>
      </c>
      <c r="G193" s="162">
        <v>50.72</v>
      </c>
      <c r="H193" s="163">
        <v>24</v>
      </c>
      <c r="I193" s="33">
        <v>1217.1600000000001</v>
      </c>
      <c r="J193" s="169">
        <v>1400</v>
      </c>
    </row>
    <row r="194" spans="1:10" x14ac:dyDescent="0.25">
      <c r="A194" s="133" t="s">
        <v>130</v>
      </c>
      <c r="B194" s="56" t="s">
        <v>70</v>
      </c>
      <c r="C194" s="106" t="s">
        <v>75</v>
      </c>
      <c r="D194" s="56" t="s">
        <v>38</v>
      </c>
      <c r="E194" s="194" t="s">
        <v>79</v>
      </c>
      <c r="F194" s="162">
        <v>4.34</v>
      </c>
      <c r="G194" s="162">
        <v>27.34</v>
      </c>
      <c r="H194" s="163">
        <v>24</v>
      </c>
      <c r="I194" s="33">
        <v>656.21</v>
      </c>
      <c r="J194" s="169">
        <v>500</v>
      </c>
    </row>
    <row r="195" spans="1:10" x14ac:dyDescent="0.25">
      <c r="A195" s="133" t="s">
        <v>130</v>
      </c>
      <c r="B195" s="56" t="s">
        <v>71</v>
      </c>
      <c r="C195" s="106" t="s">
        <v>38</v>
      </c>
      <c r="D195" s="56">
        <v>79</v>
      </c>
      <c r="E195" s="194" t="s">
        <v>79</v>
      </c>
      <c r="F195" s="162">
        <v>4.8</v>
      </c>
      <c r="G195" s="162">
        <v>30.24</v>
      </c>
      <c r="H195" s="163">
        <v>24</v>
      </c>
      <c r="I195" s="33">
        <v>725.76</v>
      </c>
      <c r="J195" s="169">
        <v>1600</v>
      </c>
    </row>
    <row r="196" spans="1:10" ht="17.25" customHeight="1" x14ac:dyDescent="0.25">
      <c r="A196" s="133" t="s">
        <v>130</v>
      </c>
      <c r="B196" s="56" t="s">
        <v>65</v>
      </c>
      <c r="C196" s="106" t="s">
        <v>38</v>
      </c>
      <c r="D196" s="56" t="s">
        <v>38</v>
      </c>
      <c r="E196" s="194" t="s">
        <v>67</v>
      </c>
      <c r="F196" s="162" t="s">
        <v>38</v>
      </c>
      <c r="G196" s="162" t="s">
        <v>38</v>
      </c>
      <c r="H196" s="163" t="s">
        <v>38</v>
      </c>
      <c r="I196" s="33" t="s">
        <v>38</v>
      </c>
      <c r="J196" s="169" t="s">
        <v>38</v>
      </c>
    </row>
    <row r="197" spans="1:10" ht="25.5" customHeight="1" x14ac:dyDescent="0.25">
      <c r="A197" s="133" t="s">
        <v>130</v>
      </c>
      <c r="B197" s="56" t="s">
        <v>66</v>
      </c>
      <c r="C197" s="106"/>
      <c r="D197" s="56" t="s">
        <v>38</v>
      </c>
      <c r="E197" s="194" t="s">
        <v>67</v>
      </c>
      <c r="F197" s="162" t="s">
        <v>38</v>
      </c>
      <c r="G197" s="162" t="s">
        <v>38</v>
      </c>
      <c r="H197" s="163" t="s">
        <v>38</v>
      </c>
      <c r="I197" s="33" t="s">
        <v>38</v>
      </c>
      <c r="J197" s="169" t="s">
        <v>38</v>
      </c>
    </row>
    <row r="198" spans="1:10" ht="19.5" thickBot="1" x14ac:dyDescent="0.35">
      <c r="A198" s="134"/>
      <c r="B198" s="148"/>
      <c r="C198" s="271"/>
      <c r="D198" s="78"/>
      <c r="E198" s="125"/>
      <c r="F198" s="128"/>
      <c r="G198" s="128"/>
      <c r="H198" s="129" t="s">
        <v>110</v>
      </c>
      <c r="I198" s="130">
        <v>3492.72</v>
      </c>
      <c r="J198" s="131">
        <v>4400</v>
      </c>
    </row>
    <row r="199" spans="1:10" x14ac:dyDescent="0.25">
      <c r="A199" s="147" t="s">
        <v>131</v>
      </c>
      <c r="B199" s="151" t="s">
        <v>68</v>
      </c>
      <c r="C199" s="264" t="s">
        <v>114</v>
      </c>
      <c r="D199" s="108">
        <v>25</v>
      </c>
      <c r="E199" s="291" t="s">
        <v>79</v>
      </c>
      <c r="F199" s="153">
        <v>5.9</v>
      </c>
      <c r="G199" s="51">
        <v>35.28</v>
      </c>
      <c r="H199" s="151">
        <v>24</v>
      </c>
      <c r="I199" s="51">
        <f>G199*H199</f>
        <v>846.72</v>
      </c>
      <c r="J199" s="154">
        <v>900</v>
      </c>
    </row>
    <row r="200" spans="1:10" x14ac:dyDescent="0.25">
      <c r="A200" s="147" t="s">
        <v>131</v>
      </c>
      <c r="B200" s="37" t="s">
        <v>69</v>
      </c>
      <c r="C200" s="261" t="s">
        <v>86</v>
      </c>
      <c r="D200" s="108">
        <v>53.06</v>
      </c>
      <c r="E200" s="288" t="s">
        <v>79</v>
      </c>
      <c r="F200" s="110">
        <v>7.34</v>
      </c>
      <c r="G200" s="36">
        <v>44.8</v>
      </c>
      <c r="H200" s="37">
        <v>24</v>
      </c>
      <c r="I200" s="41">
        <f>G200*H200</f>
        <v>1075.1999999999998</v>
      </c>
      <c r="J200" s="123">
        <v>1400</v>
      </c>
    </row>
    <row r="201" spans="1:10" x14ac:dyDescent="0.25">
      <c r="A201" s="147" t="s">
        <v>131</v>
      </c>
      <c r="B201" s="50" t="s">
        <v>70</v>
      </c>
      <c r="C201" s="261" t="s">
        <v>75</v>
      </c>
      <c r="D201" s="108" t="s">
        <v>38</v>
      </c>
      <c r="E201" s="288" t="s">
        <v>79</v>
      </c>
      <c r="F201" s="36">
        <v>4.33</v>
      </c>
      <c r="G201" s="36">
        <v>28.3</v>
      </c>
      <c r="H201" s="37">
        <v>24</v>
      </c>
      <c r="I201" s="36">
        <f>G201*H201</f>
        <v>679.2</v>
      </c>
      <c r="J201" s="123">
        <v>500</v>
      </c>
    </row>
    <row r="202" spans="1:10" x14ac:dyDescent="0.25">
      <c r="A202" s="147" t="s">
        <v>131</v>
      </c>
      <c r="B202" s="75" t="s">
        <v>71</v>
      </c>
      <c r="C202" s="262" t="s">
        <v>38</v>
      </c>
      <c r="D202" s="108">
        <v>79</v>
      </c>
      <c r="E202" s="294" t="s">
        <v>79</v>
      </c>
      <c r="F202" s="74">
        <v>4.5</v>
      </c>
      <c r="G202" s="39">
        <v>28.9</v>
      </c>
      <c r="H202" s="37">
        <v>24</v>
      </c>
      <c r="I202" s="44">
        <f>G202*H202</f>
        <v>693.59999999999991</v>
      </c>
      <c r="J202" s="123">
        <v>1600</v>
      </c>
    </row>
    <row r="203" spans="1:10" ht="30" x14ac:dyDescent="0.25">
      <c r="A203" s="147" t="s">
        <v>131</v>
      </c>
      <c r="B203" s="37" t="s">
        <v>65</v>
      </c>
      <c r="C203" s="261" t="s">
        <v>38</v>
      </c>
      <c r="D203" s="34" t="s">
        <v>38</v>
      </c>
      <c r="E203" s="288" t="s">
        <v>67</v>
      </c>
      <c r="F203" s="73" t="s">
        <v>38</v>
      </c>
      <c r="G203" s="74" t="s">
        <v>38</v>
      </c>
      <c r="H203" s="35" t="s">
        <v>38</v>
      </c>
      <c r="I203" s="44" t="s">
        <v>38</v>
      </c>
      <c r="J203" s="123" t="s">
        <v>38</v>
      </c>
    </row>
    <row r="204" spans="1:10" ht="30" x14ac:dyDescent="0.25">
      <c r="A204" s="147" t="s">
        <v>131</v>
      </c>
      <c r="B204" s="37" t="s">
        <v>66</v>
      </c>
      <c r="C204" s="267"/>
      <c r="D204" s="34" t="s">
        <v>38</v>
      </c>
      <c r="E204" s="288" t="s">
        <v>67</v>
      </c>
      <c r="F204" s="73" t="s">
        <v>38</v>
      </c>
      <c r="G204" s="36" t="s">
        <v>38</v>
      </c>
      <c r="H204" s="35" t="s">
        <v>38</v>
      </c>
      <c r="I204" s="44" t="s">
        <v>38</v>
      </c>
      <c r="J204" s="123" t="s">
        <v>38</v>
      </c>
    </row>
    <row r="205" spans="1:10" ht="19.5" thickBot="1" x14ac:dyDescent="0.35">
      <c r="A205" s="150"/>
      <c r="B205" s="148"/>
      <c r="C205" s="127"/>
      <c r="D205" s="78"/>
      <c r="E205" s="125"/>
      <c r="F205" s="128"/>
      <c r="G205" s="128"/>
      <c r="H205" s="129" t="s">
        <v>110</v>
      </c>
      <c r="I205" s="130">
        <f>SUM(I199:I204)</f>
        <v>3294.72</v>
      </c>
      <c r="J205" s="131">
        <f>SUM(J199:J204)</f>
        <v>4400</v>
      </c>
    </row>
    <row r="206" spans="1:10" x14ac:dyDescent="0.25">
      <c r="A206" s="146" t="s">
        <v>132</v>
      </c>
      <c r="B206" s="120" t="s">
        <v>68</v>
      </c>
      <c r="C206" s="268" t="s">
        <v>114</v>
      </c>
      <c r="D206" s="108">
        <v>25</v>
      </c>
      <c r="E206" s="296" t="s">
        <v>79</v>
      </c>
      <c r="F206" s="118">
        <v>5.9</v>
      </c>
      <c r="G206" s="119">
        <v>34.65</v>
      </c>
      <c r="H206" s="120">
        <v>24</v>
      </c>
      <c r="I206" s="119">
        <f>G206*H206</f>
        <v>831.59999999999991</v>
      </c>
      <c r="J206" s="121">
        <v>900</v>
      </c>
    </row>
    <row r="207" spans="1:10" x14ac:dyDescent="0.25">
      <c r="A207" s="147" t="s">
        <v>132</v>
      </c>
      <c r="B207" s="37" t="s">
        <v>69</v>
      </c>
      <c r="C207" s="261" t="s">
        <v>86</v>
      </c>
      <c r="D207" s="108">
        <v>53.06</v>
      </c>
      <c r="E207" s="288" t="s">
        <v>79</v>
      </c>
      <c r="F207" s="110">
        <v>7.34</v>
      </c>
      <c r="G207" s="36">
        <v>49.14</v>
      </c>
      <c r="H207" s="37">
        <v>24</v>
      </c>
      <c r="I207" s="41">
        <f>G207*H207</f>
        <v>1179.3600000000001</v>
      </c>
      <c r="J207" s="123">
        <v>1400</v>
      </c>
    </row>
    <row r="208" spans="1:10" x14ac:dyDescent="0.25">
      <c r="A208" s="147" t="s">
        <v>132</v>
      </c>
      <c r="B208" s="50" t="s">
        <v>70</v>
      </c>
      <c r="C208" s="261" t="s">
        <v>75</v>
      </c>
      <c r="D208" s="108" t="s">
        <v>38</v>
      </c>
      <c r="E208" s="288" t="s">
        <v>79</v>
      </c>
      <c r="F208" s="36">
        <v>4.33</v>
      </c>
      <c r="G208" s="36">
        <v>31.5</v>
      </c>
      <c r="H208" s="37">
        <v>24</v>
      </c>
      <c r="I208" s="36">
        <f>G208*H208</f>
        <v>756</v>
      </c>
      <c r="J208" s="123">
        <v>500</v>
      </c>
    </row>
    <row r="209" spans="1:10" x14ac:dyDescent="0.25">
      <c r="A209" s="147" t="s">
        <v>132</v>
      </c>
      <c r="B209" s="75" t="s">
        <v>71</v>
      </c>
      <c r="C209" s="262" t="s">
        <v>38</v>
      </c>
      <c r="D209" s="108">
        <v>79</v>
      </c>
      <c r="E209" s="294" t="s">
        <v>79</v>
      </c>
      <c r="F209" s="74">
        <v>4.5</v>
      </c>
      <c r="G209" s="39">
        <v>29.6</v>
      </c>
      <c r="H209" s="37">
        <v>24</v>
      </c>
      <c r="I209" s="170">
        <f>G209*H209</f>
        <v>710.40000000000009</v>
      </c>
      <c r="J209" s="123">
        <v>1600</v>
      </c>
    </row>
    <row r="210" spans="1:10" ht="30" x14ac:dyDescent="0.25">
      <c r="A210" s="147" t="s">
        <v>132</v>
      </c>
      <c r="B210" s="37" t="s">
        <v>65</v>
      </c>
      <c r="C210" s="261" t="s">
        <v>38</v>
      </c>
      <c r="D210" s="34" t="s">
        <v>38</v>
      </c>
      <c r="E210" s="288" t="s">
        <v>67</v>
      </c>
      <c r="F210" s="73" t="s">
        <v>38</v>
      </c>
      <c r="G210" s="74" t="s">
        <v>38</v>
      </c>
      <c r="H210" s="35" t="s">
        <v>38</v>
      </c>
      <c r="I210" s="44" t="s">
        <v>38</v>
      </c>
      <c r="J210" s="123" t="s">
        <v>38</v>
      </c>
    </row>
    <row r="211" spans="1:10" ht="30" x14ac:dyDescent="0.25">
      <c r="A211" s="147" t="s">
        <v>132</v>
      </c>
      <c r="B211" s="37" t="s">
        <v>66</v>
      </c>
      <c r="C211" s="267"/>
      <c r="D211" s="34" t="s">
        <v>38</v>
      </c>
      <c r="E211" s="288" t="s">
        <v>67</v>
      </c>
      <c r="F211" s="73" t="s">
        <v>38</v>
      </c>
      <c r="G211" s="36" t="s">
        <v>38</v>
      </c>
      <c r="H211" s="35" t="s">
        <v>38</v>
      </c>
      <c r="I211" s="44" t="s">
        <v>38</v>
      </c>
      <c r="J211" s="123" t="s">
        <v>38</v>
      </c>
    </row>
    <row r="212" spans="1:10" ht="19.5" thickBot="1" x14ac:dyDescent="0.35">
      <c r="A212" s="150"/>
      <c r="B212" s="148"/>
      <c r="C212" s="127"/>
      <c r="D212" s="78"/>
      <c r="E212" s="125"/>
      <c r="F212" s="128"/>
      <c r="G212" s="128"/>
      <c r="H212" s="129" t="s">
        <v>110</v>
      </c>
      <c r="I212" s="130">
        <f>SUM(I206:I211)</f>
        <v>3477.36</v>
      </c>
      <c r="J212" s="131">
        <f>SUM(J206:J211)</f>
        <v>4400</v>
      </c>
    </row>
    <row r="213" spans="1:10" x14ac:dyDescent="0.25">
      <c r="A213" s="146" t="s">
        <v>133</v>
      </c>
      <c r="B213" s="120" t="s">
        <v>68</v>
      </c>
      <c r="C213" s="268" t="s">
        <v>114</v>
      </c>
      <c r="D213" s="108">
        <v>25</v>
      </c>
      <c r="E213" s="296" t="s">
        <v>79</v>
      </c>
      <c r="F213" s="118">
        <v>5.9</v>
      </c>
      <c r="G213" s="119">
        <v>34.65</v>
      </c>
      <c r="H213" s="120">
        <v>24</v>
      </c>
      <c r="I213" s="119">
        <f>G213*H213</f>
        <v>831.59999999999991</v>
      </c>
      <c r="J213" s="121">
        <v>900</v>
      </c>
    </row>
    <row r="214" spans="1:10" x14ac:dyDescent="0.25">
      <c r="A214" s="147" t="s">
        <v>133</v>
      </c>
      <c r="B214" s="37" t="s">
        <v>69</v>
      </c>
      <c r="C214" s="261" t="s">
        <v>86</v>
      </c>
      <c r="D214" s="108">
        <v>53.06</v>
      </c>
      <c r="E214" s="288" t="s">
        <v>79</v>
      </c>
      <c r="F214" s="110">
        <v>7.34</v>
      </c>
      <c r="G214" s="36">
        <v>49.14</v>
      </c>
      <c r="H214" s="37">
        <v>24</v>
      </c>
      <c r="I214" s="41">
        <f>G214*H214</f>
        <v>1179.3600000000001</v>
      </c>
      <c r="J214" s="123">
        <v>1400</v>
      </c>
    </row>
    <row r="215" spans="1:10" x14ac:dyDescent="0.25">
      <c r="A215" s="147" t="s">
        <v>133</v>
      </c>
      <c r="B215" s="50" t="s">
        <v>70</v>
      </c>
      <c r="C215" s="261" t="s">
        <v>75</v>
      </c>
      <c r="D215" s="108" t="s">
        <v>38</v>
      </c>
      <c r="E215" s="288" t="s">
        <v>79</v>
      </c>
      <c r="F215" s="36">
        <v>4.33</v>
      </c>
      <c r="G215" s="36">
        <v>31.5</v>
      </c>
      <c r="H215" s="37">
        <v>24</v>
      </c>
      <c r="I215" s="36">
        <f>G215*H215</f>
        <v>756</v>
      </c>
      <c r="J215" s="123">
        <v>500</v>
      </c>
    </row>
    <row r="216" spans="1:10" x14ac:dyDescent="0.25">
      <c r="A216" s="147" t="s">
        <v>133</v>
      </c>
      <c r="B216" s="75" t="s">
        <v>71</v>
      </c>
      <c r="C216" s="262" t="s">
        <v>38</v>
      </c>
      <c r="D216" s="108">
        <v>79</v>
      </c>
      <c r="E216" s="294" t="s">
        <v>79</v>
      </c>
      <c r="F216" s="74">
        <v>4.5</v>
      </c>
      <c r="G216" s="39">
        <v>29.6</v>
      </c>
      <c r="H216" s="37">
        <v>24</v>
      </c>
      <c r="I216" s="170">
        <f>G216*H216</f>
        <v>710.40000000000009</v>
      </c>
      <c r="J216" s="123">
        <v>1600</v>
      </c>
    </row>
    <row r="217" spans="1:10" ht="30" x14ac:dyDescent="0.25">
      <c r="A217" s="147" t="s">
        <v>133</v>
      </c>
      <c r="B217" s="37" t="s">
        <v>65</v>
      </c>
      <c r="C217" s="261" t="s">
        <v>38</v>
      </c>
      <c r="D217" s="34" t="s">
        <v>38</v>
      </c>
      <c r="E217" s="288" t="s">
        <v>67</v>
      </c>
      <c r="F217" s="73" t="s">
        <v>38</v>
      </c>
      <c r="G217" s="74" t="s">
        <v>38</v>
      </c>
      <c r="H217" s="35" t="s">
        <v>38</v>
      </c>
      <c r="I217" s="44" t="s">
        <v>38</v>
      </c>
      <c r="J217" s="123" t="s">
        <v>38</v>
      </c>
    </row>
    <row r="218" spans="1:10" ht="30" x14ac:dyDescent="0.25">
      <c r="A218" s="147" t="s">
        <v>133</v>
      </c>
      <c r="B218" s="37" t="s">
        <v>66</v>
      </c>
      <c r="C218" s="267"/>
      <c r="D218" s="34" t="s">
        <v>38</v>
      </c>
      <c r="E218" s="288" t="s">
        <v>67</v>
      </c>
      <c r="F218" s="73" t="s">
        <v>38</v>
      </c>
      <c r="G218" s="36" t="s">
        <v>38</v>
      </c>
      <c r="H218" s="35" t="s">
        <v>38</v>
      </c>
      <c r="I218" s="44" t="s">
        <v>38</v>
      </c>
      <c r="J218" s="123" t="s">
        <v>38</v>
      </c>
    </row>
    <row r="219" spans="1:10" ht="19.5" thickBot="1" x14ac:dyDescent="0.35">
      <c r="A219" s="150"/>
      <c r="B219" s="148"/>
      <c r="C219" s="127"/>
      <c r="D219" s="78"/>
      <c r="E219" s="125"/>
      <c r="F219" s="128"/>
      <c r="G219" s="128"/>
      <c r="H219" s="129" t="s">
        <v>110</v>
      </c>
      <c r="I219" s="130">
        <f>SUM(I213:I218)</f>
        <v>3477.36</v>
      </c>
      <c r="J219" s="131">
        <f>SUM(J213:J218)</f>
        <v>4400</v>
      </c>
    </row>
    <row r="220" spans="1:10" x14ac:dyDescent="0.25">
      <c r="A220" s="146" t="s">
        <v>134</v>
      </c>
      <c r="B220" s="120" t="s">
        <v>68</v>
      </c>
      <c r="C220" s="268" t="s">
        <v>114</v>
      </c>
      <c r="D220" s="108">
        <v>25</v>
      </c>
      <c r="E220" s="296" t="s">
        <v>79</v>
      </c>
      <c r="F220" s="118">
        <v>5.9</v>
      </c>
      <c r="G220" s="119">
        <v>37.799999999999997</v>
      </c>
      <c r="H220" s="120">
        <v>24</v>
      </c>
      <c r="I220" s="119">
        <f>G220*H220</f>
        <v>907.19999999999993</v>
      </c>
      <c r="J220" s="121">
        <v>900</v>
      </c>
    </row>
    <row r="221" spans="1:10" x14ac:dyDescent="0.25">
      <c r="A221" s="147" t="s">
        <v>134</v>
      </c>
      <c r="B221" s="37" t="s">
        <v>69</v>
      </c>
      <c r="C221" s="261" t="s">
        <v>86</v>
      </c>
      <c r="D221" s="108">
        <v>53.06</v>
      </c>
      <c r="E221" s="288" t="s">
        <v>79</v>
      </c>
      <c r="F221" s="110">
        <v>7.34</v>
      </c>
      <c r="G221" s="36">
        <v>52.92</v>
      </c>
      <c r="H221" s="37">
        <v>24</v>
      </c>
      <c r="I221" s="41">
        <f>G221*H221</f>
        <v>1270.08</v>
      </c>
      <c r="J221" s="123">
        <v>1400</v>
      </c>
    </row>
    <row r="222" spans="1:10" x14ac:dyDescent="0.25">
      <c r="A222" s="147" t="s">
        <v>134</v>
      </c>
      <c r="B222" s="50" t="s">
        <v>70</v>
      </c>
      <c r="C222" s="261" t="s">
        <v>75</v>
      </c>
      <c r="D222" s="108" t="s">
        <v>38</v>
      </c>
      <c r="E222" s="288" t="s">
        <v>79</v>
      </c>
      <c r="F222" s="36">
        <v>4.33</v>
      </c>
      <c r="G222" s="36">
        <v>31.5</v>
      </c>
      <c r="H222" s="37">
        <v>24</v>
      </c>
      <c r="I222" s="36">
        <f>G222*H222</f>
        <v>756</v>
      </c>
      <c r="J222" s="123">
        <v>500</v>
      </c>
    </row>
    <row r="223" spans="1:10" x14ac:dyDescent="0.25">
      <c r="A223" s="147" t="s">
        <v>134</v>
      </c>
      <c r="B223" s="75" t="s">
        <v>71</v>
      </c>
      <c r="C223" s="262" t="s">
        <v>38</v>
      </c>
      <c r="D223" s="108">
        <v>79</v>
      </c>
      <c r="E223" s="294" t="s">
        <v>79</v>
      </c>
      <c r="F223" s="74">
        <v>4.5</v>
      </c>
      <c r="G223" s="39">
        <v>29.61</v>
      </c>
      <c r="H223" s="37">
        <v>24</v>
      </c>
      <c r="I223" s="170">
        <f>G223*H223</f>
        <v>710.64</v>
      </c>
      <c r="J223" s="123">
        <v>1600</v>
      </c>
    </row>
    <row r="224" spans="1:10" ht="30" x14ac:dyDescent="0.25">
      <c r="A224" s="147" t="s">
        <v>134</v>
      </c>
      <c r="B224" s="37" t="s">
        <v>65</v>
      </c>
      <c r="C224" s="261" t="s">
        <v>38</v>
      </c>
      <c r="D224" s="34" t="s">
        <v>38</v>
      </c>
      <c r="E224" s="288" t="s">
        <v>67</v>
      </c>
      <c r="F224" s="73" t="s">
        <v>38</v>
      </c>
      <c r="G224" s="74" t="s">
        <v>38</v>
      </c>
      <c r="H224" s="35" t="s">
        <v>38</v>
      </c>
      <c r="I224" s="44" t="s">
        <v>38</v>
      </c>
      <c r="J224" s="123" t="s">
        <v>38</v>
      </c>
    </row>
    <row r="225" spans="1:10" ht="30.75" thickBot="1" x14ac:dyDescent="0.3">
      <c r="A225" s="147" t="s">
        <v>134</v>
      </c>
      <c r="B225" s="43" t="s">
        <v>66</v>
      </c>
      <c r="C225" s="265"/>
      <c r="D225" s="34" t="s">
        <v>38</v>
      </c>
      <c r="E225" s="294" t="s">
        <v>67</v>
      </c>
      <c r="F225" s="73" t="s">
        <v>38</v>
      </c>
      <c r="G225" s="74" t="s">
        <v>38</v>
      </c>
      <c r="H225" s="91" t="s">
        <v>38</v>
      </c>
      <c r="I225" s="96" t="s">
        <v>38</v>
      </c>
      <c r="J225" s="124" t="s">
        <v>38</v>
      </c>
    </row>
    <row r="226" spans="1:10" ht="19.5" thickBot="1" x14ac:dyDescent="0.35">
      <c r="A226" s="82"/>
      <c r="B226" s="171"/>
      <c r="C226" s="172"/>
      <c r="D226" s="78"/>
      <c r="E226" s="301"/>
      <c r="F226" s="173"/>
      <c r="G226" s="173"/>
      <c r="H226" s="174" t="s">
        <v>110</v>
      </c>
      <c r="I226" s="101">
        <f>SUM(I220:I225)</f>
        <v>3643.9199999999996</v>
      </c>
      <c r="J226" s="104">
        <f>SUM(J220:J225)</f>
        <v>4400</v>
      </c>
    </row>
    <row r="227" spans="1:10" x14ac:dyDescent="0.25">
      <c r="A227" s="31" t="s">
        <v>135</v>
      </c>
      <c r="B227" s="120" t="s">
        <v>68</v>
      </c>
      <c r="C227" s="261" t="s">
        <v>114</v>
      </c>
      <c r="D227" s="108">
        <v>48.54</v>
      </c>
      <c r="E227" s="288" t="s">
        <v>79</v>
      </c>
      <c r="F227" s="109">
        <v>5.2</v>
      </c>
      <c r="G227" s="36">
        <v>37.799999999999997</v>
      </c>
      <c r="H227" s="37">
        <v>24</v>
      </c>
      <c r="I227" s="36">
        <v>907.2</v>
      </c>
      <c r="J227" s="36">
        <v>900</v>
      </c>
    </row>
    <row r="228" spans="1:10" x14ac:dyDescent="0.25">
      <c r="A228" s="31" t="s">
        <v>135</v>
      </c>
      <c r="B228" s="37" t="s">
        <v>69</v>
      </c>
      <c r="C228" s="261" t="s">
        <v>86</v>
      </c>
      <c r="D228" s="108">
        <v>53.06</v>
      </c>
      <c r="E228" s="288" t="s">
        <v>79</v>
      </c>
      <c r="F228" s="110">
        <v>7.8</v>
      </c>
      <c r="G228" s="36">
        <v>52.92</v>
      </c>
      <c r="H228" s="37">
        <v>24</v>
      </c>
      <c r="I228" s="41">
        <v>1270.08</v>
      </c>
      <c r="J228" s="36">
        <v>1400</v>
      </c>
    </row>
    <row r="229" spans="1:10" x14ac:dyDescent="0.25">
      <c r="A229" s="31" t="s">
        <v>135</v>
      </c>
      <c r="B229" s="50" t="s">
        <v>70</v>
      </c>
      <c r="C229" s="261" t="s">
        <v>75</v>
      </c>
      <c r="D229" s="108" t="s">
        <v>38</v>
      </c>
      <c r="E229" s="288" t="s">
        <v>79</v>
      </c>
      <c r="F229" s="36">
        <v>4.4000000000000004</v>
      </c>
      <c r="G229" s="36">
        <v>31.5</v>
      </c>
      <c r="H229" s="37">
        <v>24</v>
      </c>
      <c r="I229" s="36">
        <f>G229*H229</f>
        <v>756</v>
      </c>
      <c r="J229" s="36">
        <v>500</v>
      </c>
    </row>
    <row r="230" spans="1:10" x14ac:dyDescent="0.25">
      <c r="A230" s="31" t="s">
        <v>135</v>
      </c>
      <c r="B230" s="75" t="s">
        <v>71</v>
      </c>
      <c r="C230" s="262" t="s">
        <v>38</v>
      </c>
      <c r="D230" s="108">
        <v>79</v>
      </c>
      <c r="E230" s="294" t="s">
        <v>79</v>
      </c>
      <c r="F230" s="74">
        <v>4.95</v>
      </c>
      <c r="G230" s="39">
        <v>29.61</v>
      </c>
      <c r="H230" s="37">
        <v>24</v>
      </c>
      <c r="I230" s="44">
        <v>710.64</v>
      </c>
      <c r="J230" s="36">
        <v>1600</v>
      </c>
    </row>
    <row r="231" spans="1:10" ht="30" x14ac:dyDescent="0.25">
      <c r="A231" s="31" t="s">
        <v>135</v>
      </c>
      <c r="B231" s="37" t="s">
        <v>65</v>
      </c>
      <c r="C231" s="261" t="s">
        <v>38</v>
      </c>
      <c r="D231" s="34" t="s">
        <v>38</v>
      </c>
      <c r="E231" s="288" t="s">
        <v>67</v>
      </c>
      <c r="F231" s="73" t="s">
        <v>38</v>
      </c>
      <c r="G231" s="74" t="s">
        <v>38</v>
      </c>
      <c r="H231" s="35" t="s">
        <v>38</v>
      </c>
      <c r="I231" s="44" t="s">
        <v>38</v>
      </c>
      <c r="J231" s="36" t="s">
        <v>38</v>
      </c>
    </row>
    <row r="232" spans="1:10" ht="30.75" thickBot="1" x14ac:dyDescent="0.3">
      <c r="A232" s="31" t="s">
        <v>135</v>
      </c>
      <c r="B232" s="43" t="s">
        <v>66</v>
      </c>
      <c r="C232" s="265"/>
      <c r="D232" s="34" t="s">
        <v>38</v>
      </c>
      <c r="E232" s="294" t="s">
        <v>67</v>
      </c>
      <c r="F232" s="73" t="s">
        <v>38</v>
      </c>
      <c r="G232" s="74" t="s">
        <v>38</v>
      </c>
      <c r="H232" s="91" t="s">
        <v>38</v>
      </c>
      <c r="I232" s="96" t="s">
        <v>38</v>
      </c>
      <c r="J232" s="74" t="s">
        <v>38</v>
      </c>
    </row>
    <row r="233" spans="1:10" ht="19.5" thickBot="1" x14ac:dyDescent="0.35">
      <c r="A233" s="82"/>
      <c r="B233" s="171"/>
      <c r="C233" s="172"/>
      <c r="D233" s="78"/>
      <c r="E233" s="301"/>
      <c r="F233" s="173"/>
      <c r="G233" s="173"/>
      <c r="H233" s="174" t="s">
        <v>110</v>
      </c>
      <c r="I233" s="101">
        <f>SUM(I227:I232)</f>
        <v>3643.9199999999996</v>
      </c>
      <c r="J233" s="104">
        <f>SUM(J227:J232)</f>
        <v>4400</v>
      </c>
    </row>
    <row r="234" spans="1:10" x14ac:dyDescent="0.25">
      <c r="A234" s="31" t="s">
        <v>136</v>
      </c>
      <c r="B234" s="151" t="s">
        <v>68</v>
      </c>
      <c r="C234" s="261" t="s">
        <v>114</v>
      </c>
      <c r="D234" s="108">
        <v>48.54</v>
      </c>
      <c r="E234" s="288" t="s">
        <v>79</v>
      </c>
      <c r="F234" s="109">
        <v>6.2</v>
      </c>
      <c r="G234" s="36">
        <f>F234*6.3</f>
        <v>39.06</v>
      </c>
      <c r="H234" s="37">
        <v>24</v>
      </c>
      <c r="I234" s="36">
        <f>G234*H234</f>
        <v>937.44</v>
      </c>
      <c r="J234" s="36">
        <v>900</v>
      </c>
    </row>
    <row r="235" spans="1:10" x14ac:dyDescent="0.25">
      <c r="A235" s="31" t="s">
        <v>136</v>
      </c>
      <c r="B235" s="37" t="s">
        <v>69</v>
      </c>
      <c r="C235" s="261" t="s">
        <v>86</v>
      </c>
      <c r="D235" s="108">
        <v>54.24</v>
      </c>
      <c r="E235" s="288" t="s">
        <v>79</v>
      </c>
      <c r="F235" s="110">
        <v>8.1</v>
      </c>
      <c r="G235" s="36">
        <f>F235*6.3</f>
        <v>51.029999999999994</v>
      </c>
      <c r="H235" s="37">
        <v>24</v>
      </c>
      <c r="I235" s="41">
        <f>G235*H235</f>
        <v>1224.7199999999998</v>
      </c>
      <c r="J235" s="36">
        <v>1400</v>
      </c>
    </row>
    <row r="236" spans="1:10" x14ac:dyDescent="0.25">
      <c r="A236" s="31" t="s">
        <v>136</v>
      </c>
      <c r="B236" s="50" t="s">
        <v>70</v>
      </c>
      <c r="C236" s="261" t="s">
        <v>75</v>
      </c>
      <c r="D236" s="108" t="s">
        <v>38</v>
      </c>
      <c r="E236" s="288" t="s">
        <v>79</v>
      </c>
      <c r="F236" s="36">
        <v>4.4000000000000004</v>
      </c>
      <c r="G236" s="36">
        <f>F236*6.3</f>
        <v>27.720000000000002</v>
      </c>
      <c r="H236" s="37">
        <v>24</v>
      </c>
      <c r="I236" s="36">
        <f>G236*H236</f>
        <v>665.28000000000009</v>
      </c>
      <c r="J236" s="36">
        <v>500</v>
      </c>
    </row>
    <row r="237" spans="1:10" x14ac:dyDescent="0.25">
      <c r="A237" s="31" t="s">
        <v>136</v>
      </c>
      <c r="B237" s="75" t="s">
        <v>71</v>
      </c>
      <c r="C237" s="262" t="s">
        <v>38</v>
      </c>
      <c r="D237" s="108">
        <v>79</v>
      </c>
      <c r="E237" s="294" t="s">
        <v>79</v>
      </c>
      <c r="F237" s="74">
        <v>4.95</v>
      </c>
      <c r="G237" s="39">
        <f>F237*6.3</f>
        <v>31.184999999999999</v>
      </c>
      <c r="H237" s="37">
        <v>24</v>
      </c>
      <c r="I237" s="44">
        <f>G237*H237</f>
        <v>748.43999999999994</v>
      </c>
      <c r="J237" s="36">
        <v>1600</v>
      </c>
    </row>
    <row r="238" spans="1:10" ht="30" x14ac:dyDescent="0.25">
      <c r="A238" s="31" t="s">
        <v>136</v>
      </c>
      <c r="B238" s="37" t="s">
        <v>65</v>
      </c>
      <c r="C238" s="261" t="s">
        <v>38</v>
      </c>
      <c r="D238" s="34" t="s">
        <v>38</v>
      </c>
      <c r="E238" s="288" t="s">
        <v>67</v>
      </c>
      <c r="F238" s="73" t="s">
        <v>38</v>
      </c>
      <c r="G238" s="74" t="s">
        <v>38</v>
      </c>
      <c r="H238" s="35" t="s">
        <v>38</v>
      </c>
      <c r="I238" s="44" t="s">
        <v>38</v>
      </c>
      <c r="J238" s="36" t="s">
        <v>38</v>
      </c>
    </row>
    <row r="239" spans="1:10" ht="30.75" thickBot="1" x14ac:dyDescent="0.3">
      <c r="A239" s="31" t="s">
        <v>136</v>
      </c>
      <c r="B239" s="43" t="s">
        <v>66</v>
      </c>
      <c r="C239" s="265"/>
      <c r="D239" s="34" t="s">
        <v>38</v>
      </c>
      <c r="E239" s="294" t="s">
        <v>67</v>
      </c>
      <c r="F239" s="73" t="s">
        <v>38</v>
      </c>
      <c r="G239" s="74" t="s">
        <v>38</v>
      </c>
      <c r="H239" s="91" t="s">
        <v>38</v>
      </c>
      <c r="I239" s="96" t="s">
        <v>38</v>
      </c>
      <c r="J239" s="74" t="s">
        <v>38</v>
      </c>
    </row>
    <row r="240" spans="1:10" ht="19.5" thickBot="1" x14ac:dyDescent="0.35">
      <c r="A240" s="82"/>
      <c r="B240" s="171"/>
      <c r="C240" s="172"/>
      <c r="D240" s="78"/>
      <c r="E240" s="301"/>
      <c r="F240" s="173"/>
      <c r="G240" s="173"/>
      <c r="H240" s="174" t="s">
        <v>110</v>
      </c>
      <c r="I240" s="101">
        <f>SUM(I234:I239)</f>
        <v>3575.88</v>
      </c>
      <c r="J240" s="104">
        <f>SUM(J234:J239)</f>
        <v>4400</v>
      </c>
    </row>
    <row r="241" spans="1:10" x14ac:dyDescent="0.25">
      <c r="A241" s="31" t="s">
        <v>137</v>
      </c>
      <c r="B241" s="151" t="s">
        <v>68</v>
      </c>
      <c r="C241" s="264" t="s">
        <v>114</v>
      </c>
      <c r="D241" s="108">
        <v>48.1</v>
      </c>
      <c r="E241" s="291" t="s">
        <v>79</v>
      </c>
      <c r="F241" s="153">
        <v>5.9</v>
      </c>
      <c r="G241" s="51">
        <f>F241*6.3</f>
        <v>37.17</v>
      </c>
      <c r="H241" s="151">
        <v>24</v>
      </c>
      <c r="I241" s="51">
        <f>G241*H241</f>
        <v>892.08</v>
      </c>
      <c r="J241" s="51">
        <v>900</v>
      </c>
    </row>
    <row r="242" spans="1:10" x14ac:dyDescent="0.25">
      <c r="A242" s="31" t="s">
        <v>137</v>
      </c>
      <c r="B242" s="37" t="s">
        <v>69</v>
      </c>
      <c r="C242" s="261" t="s">
        <v>86</v>
      </c>
      <c r="D242" s="108">
        <v>57.33</v>
      </c>
      <c r="E242" s="288" t="s">
        <v>79</v>
      </c>
      <c r="F242" s="110">
        <v>9.0500000000000007</v>
      </c>
      <c r="G242" s="36">
        <f>F242*6.3</f>
        <v>57.015000000000001</v>
      </c>
      <c r="H242" s="37">
        <v>24</v>
      </c>
      <c r="I242" s="41">
        <f>G242*H242</f>
        <v>1368.3600000000001</v>
      </c>
      <c r="J242" s="36">
        <v>1400</v>
      </c>
    </row>
    <row r="243" spans="1:10" x14ac:dyDescent="0.25">
      <c r="A243" s="31" t="s">
        <v>137</v>
      </c>
      <c r="B243" s="50" t="s">
        <v>70</v>
      </c>
      <c r="C243" s="261" t="s">
        <v>75</v>
      </c>
      <c r="D243" s="108" t="s">
        <v>38</v>
      </c>
      <c r="E243" s="288" t="s">
        <v>79</v>
      </c>
      <c r="F243" s="36">
        <v>4.3</v>
      </c>
      <c r="G243" s="36">
        <f>F243*6.3</f>
        <v>27.09</v>
      </c>
      <c r="H243" s="37">
        <v>24</v>
      </c>
      <c r="I243" s="36">
        <f>G243*H243</f>
        <v>650.16</v>
      </c>
      <c r="J243" s="36">
        <v>500</v>
      </c>
    </row>
    <row r="244" spans="1:10" x14ac:dyDescent="0.25">
      <c r="A244" s="31" t="s">
        <v>137</v>
      </c>
      <c r="B244" s="75" t="s">
        <v>71</v>
      </c>
      <c r="C244" s="262" t="s">
        <v>38</v>
      </c>
      <c r="D244" s="108">
        <v>79</v>
      </c>
      <c r="E244" s="294" t="s">
        <v>79</v>
      </c>
      <c r="F244" s="74">
        <v>5.14</v>
      </c>
      <c r="G244" s="39">
        <f>F244*6.3</f>
        <v>32.381999999999998</v>
      </c>
      <c r="H244" s="37">
        <v>24</v>
      </c>
      <c r="I244" s="44">
        <f>G244*H244</f>
        <v>777.16799999999989</v>
      </c>
      <c r="J244" s="36">
        <v>1600</v>
      </c>
    </row>
    <row r="245" spans="1:10" ht="30" x14ac:dyDescent="0.25">
      <c r="A245" s="31" t="s">
        <v>137</v>
      </c>
      <c r="B245" s="37" t="s">
        <v>65</v>
      </c>
      <c r="C245" s="261" t="s">
        <v>38</v>
      </c>
      <c r="D245" s="34" t="s">
        <v>38</v>
      </c>
      <c r="E245" s="288" t="s">
        <v>67</v>
      </c>
      <c r="F245" s="73" t="s">
        <v>38</v>
      </c>
      <c r="G245" s="74" t="s">
        <v>38</v>
      </c>
      <c r="H245" s="35" t="s">
        <v>38</v>
      </c>
      <c r="I245" s="44" t="s">
        <v>38</v>
      </c>
      <c r="J245" s="36" t="s">
        <v>38</v>
      </c>
    </row>
    <row r="246" spans="1:10" ht="30.75" thickBot="1" x14ac:dyDescent="0.3">
      <c r="A246" s="31" t="s">
        <v>137</v>
      </c>
      <c r="B246" s="43" t="s">
        <v>66</v>
      </c>
      <c r="C246" s="265"/>
      <c r="D246" s="34" t="s">
        <v>38</v>
      </c>
      <c r="E246" s="294" t="s">
        <v>67</v>
      </c>
      <c r="F246" s="73" t="s">
        <v>38</v>
      </c>
      <c r="G246" s="74" t="s">
        <v>38</v>
      </c>
      <c r="H246" s="91" t="s">
        <v>38</v>
      </c>
      <c r="I246" s="96" t="s">
        <v>38</v>
      </c>
      <c r="J246" s="74" t="s">
        <v>38</v>
      </c>
    </row>
    <row r="247" spans="1:10" ht="19.5" thickBot="1" x14ac:dyDescent="0.35">
      <c r="A247" s="82"/>
      <c r="B247" s="55"/>
      <c r="C247" s="172"/>
      <c r="D247" s="78"/>
      <c r="E247" s="301"/>
      <c r="F247" s="173"/>
      <c r="G247" s="173"/>
      <c r="H247" s="174" t="s">
        <v>110</v>
      </c>
      <c r="I247" s="101">
        <f>SUM(I241:I246)</f>
        <v>3687.768</v>
      </c>
      <c r="J247" s="104">
        <f>SUM(J241:J246)</f>
        <v>4400</v>
      </c>
    </row>
    <row r="248" spans="1:10" x14ac:dyDescent="0.25">
      <c r="A248" s="31" t="s">
        <v>139</v>
      </c>
      <c r="B248" s="151" t="s">
        <v>68</v>
      </c>
      <c r="C248" s="261" t="s">
        <v>114</v>
      </c>
      <c r="D248" s="108">
        <v>48.1</v>
      </c>
      <c r="E248" s="288" t="s">
        <v>79</v>
      </c>
      <c r="F248" s="109">
        <v>5.6</v>
      </c>
      <c r="G248" s="36">
        <f>F248*6.3</f>
        <v>35.279999999999994</v>
      </c>
      <c r="H248" s="37">
        <v>24</v>
      </c>
      <c r="I248" s="36">
        <f>G248*H248</f>
        <v>846.7199999999998</v>
      </c>
      <c r="J248" s="36">
        <v>900</v>
      </c>
    </row>
    <row r="249" spans="1:10" x14ac:dyDescent="0.25">
      <c r="A249" s="31" t="s">
        <v>139</v>
      </c>
      <c r="B249" s="37" t="s">
        <v>69</v>
      </c>
      <c r="C249" s="261" t="s">
        <v>86</v>
      </c>
      <c r="D249" s="108">
        <v>56.42</v>
      </c>
      <c r="E249" s="288" t="s">
        <v>79</v>
      </c>
      <c r="F249" s="110">
        <v>8.6999999999999993</v>
      </c>
      <c r="G249" s="36">
        <f>F249*6.3</f>
        <v>54.809999999999995</v>
      </c>
      <c r="H249" s="37">
        <v>24</v>
      </c>
      <c r="I249" s="41">
        <f>G249*H249</f>
        <v>1315.4399999999998</v>
      </c>
      <c r="J249" s="36">
        <v>1400</v>
      </c>
    </row>
    <row r="250" spans="1:10" x14ac:dyDescent="0.25">
      <c r="A250" s="31" t="s">
        <v>139</v>
      </c>
      <c r="B250" s="50" t="s">
        <v>70</v>
      </c>
      <c r="C250" s="261" t="s">
        <v>75</v>
      </c>
      <c r="D250" s="108" t="s">
        <v>38</v>
      </c>
      <c r="E250" s="288" t="s">
        <v>79</v>
      </c>
      <c r="F250" s="36">
        <v>4.5</v>
      </c>
      <c r="G250" s="36">
        <f>F250*6.3</f>
        <v>28.349999999999998</v>
      </c>
      <c r="H250" s="37">
        <v>24</v>
      </c>
      <c r="I250" s="36">
        <f>G250*H250</f>
        <v>680.4</v>
      </c>
      <c r="J250" s="36">
        <v>500</v>
      </c>
    </row>
    <row r="251" spans="1:10" x14ac:dyDescent="0.25">
      <c r="A251" s="31" t="s">
        <v>139</v>
      </c>
      <c r="B251" s="75" t="s">
        <v>71</v>
      </c>
      <c r="C251" s="272" t="s">
        <v>138</v>
      </c>
      <c r="D251" s="108">
        <v>91.4</v>
      </c>
      <c r="E251" s="294" t="s">
        <v>79</v>
      </c>
      <c r="F251" s="74">
        <v>4.95</v>
      </c>
      <c r="G251" s="39">
        <f>F251*6.3</f>
        <v>31.184999999999999</v>
      </c>
      <c r="H251" s="37">
        <v>24</v>
      </c>
      <c r="I251" s="44">
        <f>G251*H251</f>
        <v>748.43999999999994</v>
      </c>
      <c r="J251" s="36">
        <v>1600</v>
      </c>
    </row>
    <row r="252" spans="1:10" ht="30" x14ac:dyDescent="0.25">
      <c r="A252" s="31" t="s">
        <v>139</v>
      </c>
      <c r="B252" s="37" t="s">
        <v>65</v>
      </c>
      <c r="C252" s="261" t="s">
        <v>38</v>
      </c>
      <c r="D252" s="34" t="s">
        <v>38</v>
      </c>
      <c r="E252" s="288" t="s">
        <v>67</v>
      </c>
      <c r="F252" s="73" t="s">
        <v>38</v>
      </c>
      <c r="G252" s="74" t="s">
        <v>38</v>
      </c>
      <c r="H252" s="35" t="s">
        <v>38</v>
      </c>
      <c r="I252" s="44" t="s">
        <v>38</v>
      </c>
      <c r="J252" s="36" t="s">
        <v>38</v>
      </c>
    </row>
    <row r="253" spans="1:10" ht="30.75" thickBot="1" x14ac:dyDescent="0.3">
      <c r="A253" s="31" t="s">
        <v>139</v>
      </c>
      <c r="B253" s="43" t="s">
        <v>66</v>
      </c>
      <c r="C253" s="265"/>
      <c r="D253" s="34" t="s">
        <v>38</v>
      </c>
      <c r="E253" s="294" t="s">
        <v>67</v>
      </c>
      <c r="F253" s="73" t="s">
        <v>38</v>
      </c>
      <c r="G253" s="74" t="s">
        <v>38</v>
      </c>
      <c r="H253" s="91" t="s">
        <v>38</v>
      </c>
      <c r="I253" s="96" t="s">
        <v>38</v>
      </c>
      <c r="J253" s="74" t="s">
        <v>38</v>
      </c>
    </row>
    <row r="254" spans="1:10" ht="19.5" thickBot="1" x14ac:dyDescent="0.35">
      <c r="A254" s="82"/>
      <c r="B254" s="55"/>
      <c r="C254" s="172"/>
      <c r="D254" s="78"/>
      <c r="E254" s="301"/>
      <c r="F254" s="173"/>
      <c r="G254" s="173"/>
      <c r="H254" s="174" t="s">
        <v>110</v>
      </c>
      <c r="I254" s="101">
        <f>SUM(I248:I253)</f>
        <v>3591</v>
      </c>
      <c r="J254" s="104">
        <f>SUM(J248:J253)</f>
        <v>4400</v>
      </c>
    </row>
    <row r="255" spans="1:10" x14ac:dyDescent="0.25">
      <c r="A255" s="31" t="s">
        <v>140</v>
      </c>
      <c r="B255" s="151" t="s">
        <v>68</v>
      </c>
      <c r="C255" s="261" t="s">
        <v>114</v>
      </c>
      <c r="D255" s="108">
        <v>48.5</v>
      </c>
      <c r="E255" s="288" t="s">
        <v>79</v>
      </c>
      <c r="F255" s="109">
        <v>5.4</v>
      </c>
      <c r="G255" s="36">
        <f>F255*6.3</f>
        <v>34.020000000000003</v>
      </c>
      <c r="H255" s="37">
        <v>24</v>
      </c>
      <c r="I255" s="36">
        <f>G255*H255</f>
        <v>816.48</v>
      </c>
      <c r="J255" s="36">
        <v>900</v>
      </c>
    </row>
    <row r="256" spans="1:10" x14ac:dyDescent="0.25">
      <c r="A256" s="31" t="s">
        <v>140</v>
      </c>
      <c r="B256" s="37" t="s">
        <v>69</v>
      </c>
      <c r="C256" s="261" t="s">
        <v>86</v>
      </c>
      <c r="D256" s="108">
        <v>57.04</v>
      </c>
      <c r="E256" s="288" t="s">
        <v>79</v>
      </c>
      <c r="F256" s="110">
        <v>8.5</v>
      </c>
      <c r="G256" s="36">
        <f>F256*6.3</f>
        <v>53.55</v>
      </c>
      <c r="H256" s="37">
        <v>24</v>
      </c>
      <c r="I256" s="41">
        <f>G256*H256</f>
        <v>1285.1999999999998</v>
      </c>
      <c r="J256" s="36">
        <v>1400</v>
      </c>
    </row>
    <row r="257" spans="1:10" x14ac:dyDescent="0.25">
      <c r="A257" s="31" t="s">
        <v>140</v>
      </c>
      <c r="B257" s="50" t="s">
        <v>70</v>
      </c>
      <c r="C257" s="261" t="s">
        <v>75</v>
      </c>
      <c r="D257" s="108" t="s">
        <v>38</v>
      </c>
      <c r="E257" s="288" t="s">
        <v>79</v>
      </c>
      <c r="F257" s="36">
        <v>4.2</v>
      </c>
      <c r="G257" s="36">
        <f>F257*6.3</f>
        <v>26.46</v>
      </c>
      <c r="H257" s="37">
        <v>24</v>
      </c>
      <c r="I257" s="36">
        <f>G257*H257</f>
        <v>635.04</v>
      </c>
      <c r="J257" s="36">
        <v>500</v>
      </c>
    </row>
    <row r="258" spans="1:10" x14ac:dyDescent="0.25">
      <c r="A258" s="31" t="s">
        <v>140</v>
      </c>
      <c r="B258" s="75" t="s">
        <v>71</v>
      </c>
      <c r="C258" s="272" t="s">
        <v>138</v>
      </c>
      <c r="D258" s="108">
        <v>91.4</v>
      </c>
      <c r="E258" s="294" t="s">
        <v>79</v>
      </c>
      <c r="F258" s="74">
        <v>4.95</v>
      </c>
      <c r="G258" s="39">
        <f>F258*6.3</f>
        <v>31.184999999999999</v>
      </c>
      <c r="H258" s="37">
        <v>24</v>
      </c>
      <c r="I258" s="44">
        <f>G258*H258</f>
        <v>748.43999999999994</v>
      </c>
      <c r="J258" s="36">
        <v>1600</v>
      </c>
    </row>
    <row r="259" spans="1:10" ht="30" x14ac:dyDescent="0.25">
      <c r="A259" s="31" t="s">
        <v>140</v>
      </c>
      <c r="B259" s="37" t="s">
        <v>65</v>
      </c>
      <c r="C259" s="261" t="s">
        <v>38</v>
      </c>
      <c r="D259" s="34" t="s">
        <v>38</v>
      </c>
      <c r="E259" s="288" t="s">
        <v>67</v>
      </c>
      <c r="F259" s="73" t="s">
        <v>38</v>
      </c>
      <c r="G259" s="74" t="s">
        <v>38</v>
      </c>
      <c r="H259" s="35" t="s">
        <v>38</v>
      </c>
      <c r="I259" s="44" t="s">
        <v>38</v>
      </c>
      <c r="J259" s="36" t="s">
        <v>38</v>
      </c>
    </row>
    <row r="260" spans="1:10" ht="30.75" thickBot="1" x14ac:dyDescent="0.3">
      <c r="A260" s="31" t="s">
        <v>140</v>
      </c>
      <c r="B260" s="43" t="s">
        <v>66</v>
      </c>
      <c r="C260" s="265"/>
      <c r="D260" s="34" t="s">
        <v>38</v>
      </c>
      <c r="E260" s="294" t="s">
        <v>67</v>
      </c>
      <c r="F260" s="73" t="s">
        <v>38</v>
      </c>
      <c r="G260" s="74" t="s">
        <v>38</v>
      </c>
      <c r="H260" s="91" t="s">
        <v>38</v>
      </c>
      <c r="I260" s="96" t="s">
        <v>38</v>
      </c>
      <c r="J260" s="74" t="s">
        <v>38</v>
      </c>
    </row>
    <row r="261" spans="1:10" ht="19.5" thickBot="1" x14ac:dyDescent="0.35">
      <c r="A261" s="82"/>
      <c r="B261" s="55"/>
      <c r="C261" s="172"/>
      <c r="D261" s="78"/>
      <c r="E261" s="301"/>
      <c r="F261" s="173"/>
      <c r="G261" s="173"/>
      <c r="H261" s="174" t="s">
        <v>110</v>
      </c>
      <c r="I261" s="101">
        <f>SUM(I255:I260)</f>
        <v>3485.16</v>
      </c>
      <c r="J261" s="104">
        <f>SUM(J255:J260)</f>
        <v>4400</v>
      </c>
    </row>
    <row r="262" spans="1:10" x14ac:dyDescent="0.25">
      <c r="A262" s="31" t="s">
        <v>141</v>
      </c>
      <c r="B262" s="151" t="s">
        <v>68</v>
      </c>
      <c r="C262" s="261" t="s">
        <v>114</v>
      </c>
      <c r="D262" s="108">
        <v>17.7</v>
      </c>
      <c r="E262" s="288" t="s">
        <v>79</v>
      </c>
      <c r="F262" s="109">
        <v>5.4</v>
      </c>
      <c r="G262" s="36">
        <v>34.65</v>
      </c>
      <c r="H262" s="37">
        <v>24</v>
      </c>
      <c r="I262" s="36">
        <f>G262*H262</f>
        <v>831.59999999999991</v>
      </c>
      <c r="J262" s="36">
        <v>900</v>
      </c>
    </row>
    <row r="263" spans="1:10" x14ac:dyDescent="0.25">
      <c r="A263" s="31" t="s">
        <v>141</v>
      </c>
      <c r="B263" s="37" t="s">
        <v>69</v>
      </c>
      <c r="C263" s="261" t="s">
        <v>86</v>
      </c>
      <c r="D263" s="108">
        <v>56.6</v>
      </c>
      <c r="E263" s="288" t="s">
        <v>79</v>
      </c>
      <c r="F263" s="110">
        <v>8.5</v>
      </c>
      <c r="G263" s="36">
        <v>51.66</v>
      </c>
      <c r="H263" s="37">
        <v>24</v>
      </c>
      <c r="I263" s="41">
        <f>G263*H263</f>
        <v>1239.8399999999999</v>
      </c>
      <c r="J263" s="36">
        <v>1400</v>
      </c>
    </row>
    <row r="264" spans="1:10" x14ac:dyDescent="0.25">
      <c r="A264" s="31" t="s">
        <v>141</v>
      </c>
      <c r="B264" s="50" t="s">
        <v>70</v>
      </c>
      <c r="C264" s="261" t="s">
        <v>75</v>
      </c>
      <c r="D264" s="108" t="s">
        <v>38</v>
      </c>
      <c r="E264" s="288" t="s">
        <v>79</v>
      </c>
      <c r="F264" s="36">
        <v>4.2</v>
      </c>
      <c r="G264" s="36">
        <f>F264*6.3</f>
        <v>26.46</v>
      </c>
      <c r="H264" s="37">
        <v>24</v>
      </c>
      <c r="I264" s="36">
        <f>G264*H264</f>
        <v>635.04</v>
      </c>
      <c r="J264" s="36">
        <v>500</v>
      </c>
    </row>
    <row r="265" spans="1:10" x14ac:dyDescent="0.25">
      <c r="A265" s="31" t="s">
        <v>141</v>
      </c>
      <c r="B265" s="75" t="s">
        <v>71</v>
      </c>
      <c r="C265" s="272" t="s">
        <v>138</v>
      </c>
      <c r="D265" s="108">
        <v>90.8</v>
      </c>
      <c r="E265" s="294" t="s">
        <v>79</v>
      </c>
      <c r="F265" s="74">
        <v>4.95</v>
      </c>
      <c r="G265" s="39">
        <v>30.24</v>
      </c>
      <c r="H265" s="37">
        <v>24</v>
      </c>
      <c r="I265" s="170">
        <f>G265*H265</f>
        <v>725.76</v>
      </c>
      <c r="J265" s="36">
        <v>1600</v>
      </c>
    </row>
    <row r="266" spans="1:10" ht="30" x14ac:dyDescent="0.25">
      <c r="A266" s="31" t="s">
        <v>141</v>
      </c>
      <c r="B266" s="37" t="s">
        <v>65</v>
      </c>
      <c r="C266" s="261" t="s">
        <v>38</v>
      </c>
      <c r="D266" s="34" t="s">
        <v>38</v>
      </c>
      <c r="E266" s="288" t="s">
        <v>67</v>
      </c>
      <c r="F266" s="73" t="s">
        <v>38</v>
      </c>
      <c r="G266" s="74" t="s">
        <v>38</v>
      </c>
      <c r="H266" s="35" t="s">
        <v>38</v>
      </c>
      <c r="I266" s="44" t="s">
        <v>38</v>
      </c>
      <c r="J266" s="36" t="s">
        <v>38</v>
      </c>
    </row>
    <row r="267" spans="1:10" ht="30.75" thickBot="1" x14ac:dyDescent="0.3">
      <c r="A267" s="31" t="s">
        <v>141</v>
      </c>
      <c r="B267" s="43" t="s">
        <v>66</v>
      </c>
      <c r="C267" s="265"/>
      <c r="D267" s="34" t="s">
        <v>38</v>
      </c>
      <c r="E267" s="294" t="s">
        <v>67</v>
      </c>
      <c r="F267" s="73" t="s">
        <v>38</v>
      </c>
      <c r="G267" s="74" t="s">
        <v>38</v>
      </c>
      <c r="H267" s="91" t="s">
        <v>38</v>
      </c>
      <c r="I267" s="96" t="s">
        <v>38</v>
      </c>
      <c r="J267" s="74" t="s">
        <v>38</v>
      </c>
    </row>
    <row r="268" spans="1:10" ht="19.5" thickBot="1" x14ac:dyDescent="0.35">
      <c r="A268" s="82"/>
      <c r="B268" s="55"/>
      <c r="C268" s="172"/>
      <c r="D268" s="78"/>
      <c r="E268" s="301"/>
      <c r="F268" s="173"/>
      <c r="G268" s="173"/>
      <c r="H268" s="174" t="s">
        <v>110</v>
      </c>
      <c r="I268" s="101">
        <f>SUM(I262:I267)</f>
        <v>3432.24</v>
      </c>
      <c r="J268" s="104">
        <f>SUM(J262:J267)</f>
        <v>4400</v>
      </c>
    </row>
    <row r="269" spans="1:10" x14ac:dyDescent="0.25">
      <c r="A269" s="31" t="s">
        <v>142</v>
      </c>
      <c r="B269" s="151" t="s">
        <v>68</v>
      </c>
      <c r="C269" s="261" t="s">
        <v>114</v>
      </c>
      <c r="D269" s="108">
        <v>17.7</v>
      </c>
      <c r="E269" s="288" t="s">
        <v>79</v>
      </c>
      <c r="F269" s="109">
        <v>5.4</v>
      </c>
      <c r="G269" s="36">
        <v>34.020000000000003</v>
      </c>
      <c r="H269" s="37">
        <v>24</v>
      </c>
      <c r="I269" s="36">
        <f>G269*H269</f>
        <v>816.48</v>
      </c>
      <c r="J269" s="36">
        <v>900</v>
      </c>
    </row>
    <row r="270" spans="1:10" x14ac:dyDescent="0.25">
      <c r="A270" s="31" t="s">
        <v>142</v>
      </c>
      <c r="B270" s="37" t="s">
        <v>69</v>
      </c>
      <c r="C270" s="261" t="s">
        <v>86</v>
      </c>
      <c r="D270" s="108">
        <v>56.6</v>
      </c>
      <c r="E270" s="288" t="s">
        <v>79</v>
      </c>
      <c r="F270" s="110">
        <v>8.5</v>
      </c>
      <c r="G270" s="36">
        <v>51.03</v>
      </c>
      <c r="H270" s="37">
        <v>24</v>
      </c>
      <c r="I270" s="41">
        <f>G270*H270</f>
        <v>1224.72</v>
      </c>
      <c r="J270" s="36">
        <v>1400</v>
      </c>
    </row>
    <row r="271" spans="1:10" x14ac:dyDescent="0.25">
      <c r="A271" s="31" t="s">
        <v>142</v>
      </c>
      <c r="B271" s="50" t="s">
        <v>70</v>
      </c>
      <c r="C271" s="261" t="s">
        <v>75</v>
      </c>
      <c r="D271" s="108" t="s">
        <v>38</v>
      </c>
      <c r="E271" s="288" t="s">
        <v>79</v>
      </c>
      <c r="F271" s="36">
        <v>4.2</v>
      </c>
      <c r="G271" s="36">
        <v>25.2</v>
      </c>
      <c r="H271" s="37">
        <v>24</v>
      </c>
      <c r="I271" s="36">
        <f>G271*H271</f>
        <v>604.79999999999995</v>
      </c>
      <c r="J271" s="36">
        <v>500</v>
      </c>
    </row>
    <row r="272" spans="1:10" x14ac:dyDescent="0.25">
      <c r="A272" s="31" t="s">
        <v>142</v>
      </c>
      <c r="B272" s="75" t="s">
        <v>71</v>
      </c>
      <c r="C272" s="272" t="s">
        <v>138</v>
      </c>
      <c r="D272" s="108">
        <v>90.8</v>
      </c>
      <c r="E272" s="294" t="s">
        <v>79</v>
      </c>
      <c r="F272" s="74">
        <v>4.95</v>
      </c>
      <c r="G272" s="39">
        <v>40.950000000000003</v>
      </c>
      <c r="H272" s="37">
        <v>24</v>
      </c>
      <c r="I272" s="170">
        <f>G272*H272</f>
        <v>982.80000000000007</v>
      </c>
      <c r="J272" s="36">
        <v>1600</v>
      </c>
    </row>
    <row r="273" spans="1:10" ht="30" x14ac:dyDescent="0.25">
      <c r="A273" s="31" t="s">
        <v>142</v>
      </c>
      <c r="B273" s="37" t="s">
        <v>65</v>
      </c>
      <c r="C273" s="261" t="s">
        <v>38</v>
      </c>
      <c r="D273" s="34" t="s">
        <v>38</v>
      </c>
      <c r="E273" s="288" t="s">
        <v>67</v>
      </c>
      <c r="F273" s="73" t="s">
        <v>38</v>
      </c>
      <c r="G273" s="74" t="s">
        <v>38</v>
      </c>
      <c r="H273" s="35" t="s">
        <v>38</v>
      </c>
      <c r="I273" s="44" t="s">
        <v>38</v>
      </c>
      <c r="J273" s="36" t="s">
        <v>38</v>
      </c>
    </row>
    <row r="274" spans="1:10" ht="30.75" thickBot="1" x14ac:dyDescent="0.3">
      <c r="A274" s="31" t="s">
        <v>142</v>
      </c>
      <c r="B274" s="43" t="s">
        <v>66</v>
      </c>
      <c r="C274" s="265"/>
      <c r="D274" s="34" t="s">
        <v>38</v>
      </c>
      <c r="E274" s="294" t="s">
        <v>67</v>
      </c>
      <c r="F274" s="73" t="s">
        <v>38</v>
      </c>
      <c r="G274" s="74" t="s">
        <v>38</v>
      </c>
      <c r="H274" s="91" t="s">
        <v>38</v>
      </c>
      <c r="I274" s="96" t="s">
        <v>38</v>
      </c>
      <c r="J274" s="74" t="s">
        <v>38</v>
      </c>
    </row>
    <row r="275" spans="1:10" ht="19.5" thickBot="1" x14ac:dyDescent="0.35">
      <c r="A275" s="82"/>
      <c r="B275" s="55"/>
      <c r="C275" s="172"/>
      <c r="D275" s="78"/>
      <c r="E275" s="301"/>
      <c r="F275" s="173"/>
      <c r="G275" s="173"/>
      <c r="H275" s="174" t="s">
        <v>110</v>
      </c>
      <c r="I275" s="101">
        <f>SUM(I269:I274)</f>
        <v>3628.8</v>
      </c>
      <c r="J275" s="104">
        <f>SUM(J269:J274)</f>
        <v>4400</v>
      </c>
    </row>
    <row r="276" spans="1:10" x14ac:dyDescent="0.25">
      <c r="A276" s="31" t="s">
        <v>143</v>
      </c>
      <c r="B276" s="151" t="s">
        <v>68</v>
      </c>
      <c r="C276" s="261" t="s">
        <v>114</v>
      </c>
      <c r="D276" s="108">
        <v>45</v>
      </c>
      <c r="E276" s="288" t="s">
        <v>79</v>
      </c>
      <c r="F276" s="109">
        <v>5.4</v>
      </c>
      <c r="G276" s="36">
        <f>F276*6.3</f>
        <v>34.020000000000003</v>
      </c>
      <c r="H276" s="37">
        <v>23</v>
      </c>
      <c r="I276" s="36">
        <f>G276*H276</f>
        <v>782.46</v>
      </c>
      <c r="J276" s="36">
        <v>900</v>
      </c>
    </row>
    <row r="277" spans="1:10" x14ac:dyDescent="0.25">
      <c r="A277" s="31" t="s">
        <v>143</v>
      </c>
      <c r="B277" s="37" t="s">
        <v>69</v>
      </c>
      <c r="C277" s="261" t="s">
        <v>86</v>
      </c>
      <c r="D277" s="108">
        <v>53.37</v>
      </c>
      <c r="E277" s="288" t="s">
        <v>79</v>
      </c>
      <c r="F277" s="110">
        <v>8.6999999999999993</v>
      </c>
      <c r="G277" s="36">
        <f>F277*6.3</f>
        <v>54.809999999999995</v>
      </c>
      <c r="H277" s="37">
        <v>23</v>
      </c>
      <c r="I277" s="41">
        <f>G277*H277</f>
        <v>1260.6299999999999</v>
      </c>
      <c r="J277" s="36">
        <v>1400</v>
      </c>
    </row>
    <row r="278" spans="1:10" x14ac:dyDescent="0.25">
      <c r="A278" s="31" t="s">
        <v>143</v>
      </c>
      <c r="B278" s="50" t="s">
        <v>70</v>
      </c>
      <c r="C278" s="261" t="s">
        <v>75</v>
      </c>
      <c r="D278" s="108" t="s">
        <v>38</v>
      </c>
      <c r="E278" s="288" t="s">
        <v>79</v>
      </c>
      <c r="F278" s="36">
        <v>4.03</v>
      </c>
      <c r="G278" s="36">
        <f>F278*6.3</f>
        <v>25.388999999999999</v>
      </c>
      <c r="H278" s="37">
        <v>24</v>
      </c>
      <c r="I278" s="36">
        <f>G278*H278</f>
        <v>609.33600000000001</v>
      </c>
      <c r="J278" s="36">
        <v>500</v>
      </c>
    </row>
    <row r="279" spans="1:10" x14ac:dyDescent="0.25">
      <c r="A279" s="31" t="s">
        <v>143</v>
      </c>
      <c r="B279" s="75" t="s">
        <v>71</v>
      </c>
      <c r="C279" s="272" t="s">
        <v>138</v>
      </c>
      <c r="D279" s="108">
        <v>91</v>
      </c>
      <c r="E279" s="294" t="s">
        <v>79</v>
      </c>
      <c r="F279" s="74">
        <v>6.4</v>
      </c>
      <c r="G279" s="39">
        <f>F279*6.3</f>
        <v>40.32</v>
      </c>
      <c r="H279" s="37">
        <v>16</v>
      </c>
      <c r="I279" s="44">
        <f>G279*H279</f>
        <v>645.12</v>
      </c>
      <c r="J279" s="36">
        <v>1600</v>
      </c>
    </row>
    <row r="280" spans="1:10" ht="30" x14ac:dyDescent="0.25">
      <c r="A280" s="31" t="s">
        <v>143</v>
      </c>
      <c r="B280" s="37" t="s">
        <v>65</v>
      </c>
      <c r="C280" s="261" t="s">
        <v>38</v>
      </c>
      <c r="D280" s="34" t="s">
        <v>38</v>
      </c>
      <c r="E280" s="288" t="s">
        <v>67</v>
      </c>
      <c r="F280" s="73" t="s">
        <v>38</v>
      </c>
      <c r="G280" s="74" t="s">
        <v>38</v>
      </c>
      <c r="H280" s="35" t="s">
        <v>38</v>
      </c>
      <c r="I280" s="44" t="s">
        <v>38</v>
      </c>
      <c r="J280" s="36" t="s">
        <v>38</v>
      </c>
    </row>
    <row r="281" spans="1:10" ht="30.75" thickBot="1" x14ac:dyDescent="0.3">
      <c r="A281" s="31" t="s">
        <v>143</v>
      </c>
      <c r="B281" s="43" t="s">
        <v>66</v>
      </c>
      <c r="C281" s="265"/>
      <c r="D281" s="34" t="s">
        <v>38</v>
      </c>
      <c r="E281" s="294" t="s">
        <v>67</v>
      </c>
      <c r="F281" s="73" t="s">
        <v>38</v>
      </c>
      <c r="G281" s="74" t="s">
        <v>38</v>
      </c>
      <c r="H281" s="91" t="s">
        <v>38</v>
      </c>
      <c r="I281" s="96" t="s">
        <v>38</v>
      </c>
      <c r="J281" s="74" t="s">
        <v>38</v>
      </c>
    </row>
    <row r="282" spans="1:10" ht="19.5" thickBot="1" x14ac:dyDescent="0.35">
      <c r="A282" s="82"/>
      <c r="B282" s="55"/>
      <c r="C282" s="172"/>
      <c r="D282" s="78"/>
      <c r="E282" s="301"/>
      <c r="F282" s="173"/>
      <c r="G282" s="173"/>
      <c r="H282" s="174" t="s">
        <v>110</v>
      </c>
      <c r="I282" s="101">
        <f>SUM(I276:I281)</f>
        <v>3297.5459999999998</v>
      </c>
      <c r="J282" s="104">
        <f>SUM(J276:J281)</f>
        <v>4400</v>
      </c>
    </row>
    <row r="283" spans="1:10" x14ac:dyDescent="0.25">
      <c r="A283" s="31" t="s">
        <v>144</v>
      </c>
      <c r="B283" s="151" t="s">
        <v>68</v>
      </c>
      <c r="C283" s="261" t="s">
        <v>114</v>
      </c>
      <c r="D283" s="108">
        <v>44</v>
      </c>
      <c r="E283" s="288" t="s">
        <v>79</v>
      </c>
      <c r="F283" s="109">
        <v>5.7</v>
      </c>
      <c r="G283" s="36">
        <f>F283*6.3</f>
        <v>35.909999999999997</v>
      </c>
      <c r="H283" s="37">
        <v>24</v>
      </c>
      <c r="I283" s="36">
        <f>G283*H283</f>
        <v>861.83999999999992</v>
      </c>
      <c r="J283" s="36">
        <v>900</v>
      </c>
    </row>
    <row r="284" spans="1:10" x14ac:dyDescent="0.25">
      <c r="A284" s="31" t="s">
        <v>144</v>
      </c>
      <c r="B284" s="37" t="s">
        <v>69</v>
      </c>
      <c r="C284" s="261" t="s">
        <v>86</v>
      </c>
      <c r="D284" s="108">
        <v>55.8</v>
      </c>
      <c r="E284" s="288" t="s">
        <v>79</v>
      </c>
      <c r="F284" s="110">
        <v>8.6</v>
      </c>
      <c r="G284" s="36">
        <f>F284*6.3</f>
        <v>54.18</v>
      </c>
      <c r="H284" s="37">
        <v>24</v>
      </c>
      <c r="I284" s="41">
        <f>G284*H284</f>
        <v>1300.32</v>
      </c>
      <c r="J284" s="36">
        <v>1400</v>
      </c>
    </row>
    <row r="285" spans="1:10" x14ac:dyDescent="0.25">
      <c r="A285" s="31" t="s">
        <v>144</v>
      </c>
      <c r="B285" s="50" t="s">
        <v>70</v>
      </c>
      <c r="C285" s="261" t="s">
        <v>75</v>
      </c>
      <c r="D285" s="108" t="s">
        <v>38</v>
      </c>
      <c r="E285" s="288" t="s">
        <v>79</v>
      </c>
      <c r="F285" s="36">
        <v>3.8</v>
      </c>
      <c r="G285" s="36">
        <f>F285*6.3</f>
        <v>23.939999999999998</v>
      </c>
      <c r="H285" s="37">
        <v>24</v>
      </c>
      <c r="I285" s="36">
        <f>G285*H285</f>
        <v>574.55999999999995</v>
      </c>
      <c r="J285" s="36">
        <v>500</v>
      </c>
    </row>
    <row r="286" spans="1:10" x14ac:dyDescent="0.25">
      <c r="A286" s="31" t="s">
        <v>144</v>
      </c>
      <c r="B286" s="75" t="s">
        <v>71</v>
      </c>
      <c r="C286" s="272" t="s">
        <v>138</v>
      </c>
      <c r="D286" s="108">
        <v>90</v>
      </c>
      <c r="E286" s="294" t="s">
        <v>79</v>
      </c>
      <c r="F286" s="74">
        <v>6.3</v>
      </c>
      <c r="G286" s="39">
        <f>F286*6.3</f>
        <v>39.69</v>
      </c>
      <c r="H286" s="37">
        <v>24</v>
      </c>
      <c r="I286" s="44">
        <f>G286*H286</f>
        <v>952.56</v>
      </c>
      <c r="J286" s="36">
        <v>1600</v>
      </c>
    </row>
    <row r="287" spans="1:10" ht="30" x14ac:dyDescent="0.25">
      <c r="A287" s="31" t="s">
        <v>144</v>
      </c>
      <c r="B287" s="37" t="s">
        <v>65</v>
      </c>
      <c r="C287" s="261" t="s">
        <v>38</v>
      </c>
      <c r="D287" s="34" t="s">
        <v>38</v>
      </c>
      <c r="E287" s="288" t="s">
        <v>67</v>
      </c>
      <c r="F287" s="73" t="s">
        <v>38</v>
      </c>
      <c r="G287" s="74" t="s">
        <v>38</v>
      </c>
      <c r="H287" s="35" t="s">
        <v>38</v>
      </c>
      <c r="I287" s="44" t="s">
        <v>38</v>
      </c>
      <c r="J287" s="36" t="s">
        <v>38</v>
      </c>
    </row>
    <row r="288" spans="1:10" ht="30.75" thickBot="1" x14ac:dyDescent="0.3">
      <c r="A288" s="31" t="s">
        <v>144</v>
      </c>
      <c r="B288" s="43" t="s">
        <v>66</v>
      </c>
      <c r="C288" s="265"/>
      <c r="D288" s="34" t="s">
        <v>38</v>
      </c>
      <c r="E288" s="294" t="s">
        <v>67</v>
      </c>
      <c r="F288" s="73" t="s">
        <v>38</v>
      </c>
      <c r="G288" s="74" t="s">
        <v>38</v>
      </c>
      <c r="H288" s="91" t="s">
        <v>38</v>
      </c>
      <c r="I288" s="96" t="s">
        <v>38</v>
      </c>
      <c r="J288" s="74" t="s">
        <v>38</v>
      </c>
    </row>
    <row r="289" spans="1:10" ht="19.5" thickBot="1" x14ac:dyDescent="0.35">
      <c r="A289" s="82"/>
      <c r="B289" s="55"/>
      <c r="C289" s="172"/>
      <c r="D289" s="78"/>
      <c r="E289" s="301"/>
      <c r="F289" s="173"/>
      <c r="G289" s="173"/>
      <c r="H289" s="174" t="s">
        <v>110</v>
      </c>
      <c r="I289" s="101">
        <f>SUM(I283:I288)</f>
        <v>3689.2799999999997</v>
      </c>
      <c r="J289" s="104">
        <f>SUM(J283:J288)</f>
        <v>4400</v>
      </c>
    </row>
    <row r="290" spans="1:10" x14ac:dyDescent="0.25">
      <c r="A290" s="31" t="s">
        <v>106</v>
      </c>
      <c r="B290" s="151" t="s">
        <v>68</v>
      </c>
      <c r="C290" s="261" t="s">
        <v>114</v>
      </c>
      <c r="D290" s="108">
        <v>44</v>
      </c>
      <c r="E290" s="288" t="s">
        <v>79</v>
      </c>
      <c r="F290" s="109">
        <v>5.8</v>
      </c>
      <c r="G290" s="36">
        <f>F290*6.3</f>
        <v>36.54</v>
      </c>
      <c r="H290" s="37">
        <v>24</v>
      </c>
      <c r="I290" s="36">
        <f>G290*H290</f>
        <v>876.96</v>
      </c>
      <c r="J290" s="36">
        <v>900</v>
      </c>
    </row>
    <row r="291" spans="1:10" x14ac:dyDescent="0.25">
      <c r="A291" s="31" t="s">
        <v>106</v>
      </c>
      <c r="B291" s="37" t="s">
        <v>69</v>
      </c>
      <c r="C291" s="261" t="s">
        <v>86</v>
      </c>
      <c r="D291" s="108">
        <v>61.5</v>
      </c>
      <c r="E291" s="288" t="s">
        <v>79</v>
      </c>
      <c r="F291" s="110">
        <v>9.1999999999999993</v>
      </c>
      <c r="G291" s="36">
        <f>F291*6.3</f>
        <v>57.959999999999994</v>
      </c>
      <c r="H291" s="37">
        <v>24</v>
      </c>
      <c r="I291" s="41">
        <f>G291*H291</f>
        <v>1391.04</v>
      </c>
      <c r="J291" s="36">
        <v>1400</v>
      </c>
    </row>
    <row r="292" spans="1:10" x14ac:dyDescent="0.25">
      <c r="A292" s="31" t="s">
        <v>106</v>
      </c>
      <c r="B292" s="50" t="s">
        <v>70</v>
      </c>
      <c r="C292" s="261" t="s">
        <v>75</v>
      </c>
      <c r="D292" s="108" t="s">
        <v>38</v>
      </c>
      <c r="E292" s="288" t="s">
        <v>79</v>
      </c>
      <c r="F292" s="36">
        <v>3.4</v>
      </c>
      <c r="G292" s="36">
        <f>F292*6.3</f>
        <v>21.419999999999998</v>
      </c>
      <c r="H292" s="37">
        <v>24</v>
      </c>
      <c r="I292" s="36">
        <f>G292*H292</f>
        <v>514.07999999999993</v>
      </c>
      <c r="J292" s="36">
        <v>500</v>
      </c>
    </row>
    <row r="293" spans="1:10" x14ac:dyDescent="0.25">
      <c r="A293" s="31" t="s">
        <v>106</v>
      </c>
      <c r="B293" s="75" t="s">
        <v>71</v>
      </c>
      <c r="C293" s="272" t="s">
        <v>138</v>
      </c>
      <c r="D293" s="108">
        <v>87</v>
      </c>
      <c r="E293" s="294" t="s">
        <v>79</v>
      </c>
      <c r="F293" s="74">
        <v>5.9</v>
      </c>
      <c r="G293" s="39">
        <f>F293*6.3</f>
        <v>37.17</v>
      </c>
      <c r="H293" s="37">
        <v>24</v>
      </c>
      <c r="I293" s="44">
        <f>G293*H293</f>
        <v>892.08</v>
      </c>
      <c r="J293" s="36">
        <v>1600</v>
      </c>
    </row>
    <row r="294" spans="1:10" ht="30" x14ac:dyDescent="0.25">
      <c r="A294" s="31" t="s">
        <v>106</v>
      </c>
      <c r="B294" s="37" t="s">
        <v>65</v>
      </c>
      <c r="C294" s="261" t="s">
        <v>38</v>
      </c>
      <c r="D294" s="34" t="s">
        <v>38</v>
      </c>
      <c r="E294" s="288" t="s">
        <v>67</v>
      </c>
      <c r="F294" s="73" t="s">
        <v>38</v>
      </c>
      <c r="G294" s="74" t="s">
        <v>38</v>
      </c>
      <c r="H294" s="35" t="s">
        <v>38</v>
      </c>
      <c r="I294" s="44" t="s">
        <v>38</v>
      </c>
      <c r="J294" s="36" t="s">
        <v>38</v>
      </c>
    </row>
    <row r="295" spans="1:10" ht="30.75" thickBot="1" x14ac:dyDescent="0.3">
      <c r="A295" s="31" t="s">
        <v>106</v>
      </c>
      <c r="B295" s="43" t="s">
        <v>66</v>
      </c>
      <c r="C295" s="265"/>
      <c r="D295" s="34" t="s">
        <v>38</v>
      </c>
      <c r="E295" s="294" t="s">
        <v>67</v>
      </c>
      <c r="F295" s="73" t="s">
        <v>38</v>
      </c>
      <c r="G295" s="74" t="s">
        <v>38</v>
      </c>
      <c r="H295" s="91" t="s">
        <v>38</v>
      </c>
      <c r="I295" s="96" t="s">
        <v>38</v>
      </c>
      <c r="J295" s="74" t="s">
        <v>38</v>
      </c>
    </row>
    <row r="296" spans="1:10" ht="19.5" thickBot="1" x14ac:dyDescent="0.35">
      <c r="A296" s="82"/>
      <c r="B296" s="55"/>
      <c r="C296" s="172"/>
      <c r="D296" s="78"/>
      <c r="E296" s="301"/>
      <c r="F296" s="173"/>
      <c r="G296" s="173"/>
      <c r="H296" s="174" t="s">
        <v>110</v>
      </c>
      <c r="I296" s="101">
        <f>SUM(I290:I295)</f>
        <v>3674.16</v>
      </c>
      <c r="J296" s="104">
        <f>SUM(J290:J295)</f>
        <v>4400</v>
      </c>
    </row>
    <row r="297" spans="1:10" x14ac:dyDescent="0.25">
      <c r="A297" s="31" t="s">
        <v>145</v>
      </c>
      <c r="B297" s="151" t="s">
        <v>68</v>
      </c>
      <c r="C297" s="261" t="s">
        <v>114</v>
      </c>
      <c r="D297" s="108">
        <v>44</v>
      </c>
      <c r="E297" s="288" t="s">
        <v>79</v>
      </c>
      <c r="F297" s="109">
        <v>5.8</v>
      </c>
      <c r="G297" s="36">
        <f>F297*6.3</f>
        <v>36.54</v>
      </c>
      <c r="H297" s="37">
        <v>24</v>
      </c>
      <c r="I297" s="36">
        <f>G297*H297</f>
        <v>876.96</v>
      </c>
      <c r="J297" s="36">
        <v>900</v>
      </c>
    </row>
    <row r="298" spans="1:10" x14ac:dyDescent="0.25">
      <c r="A298" s="31" t="s">
        <v>145</v>
      </c>
      <c r="B298" s="37" t="s">
        <v>69</v>
      </c>
      <c r="C298" s="261" t="s">
        <v>86</v>
      </c>
      <c r="D298" s="108">
        <v>62.2</v>
      </c>
      <c r="E298" s="288" t="s">
        <v>79</v>
      </c>
      <c r="F298" s="110">
        <v>9.1999999999999993</v>
      </c>
      <c r="G298" s="36">
        <f>F298*6.3</f>
        <v>57.959999999999994</v>
      </c>
      <c r="H298" s="37">
        <v>24</v>
      </c>
      <c r="I298" s="41">
        <f>G298*H298</f>
        <v>1391.04</v>
      </c>
      <c r="J298" s="36">
        <v>1400</v>
      </c>
    </row>
    <row r="299" spans="1:10" x14ac:dyDescent="0.25">
      <c r="A299" s="31" t="s">
        <v>145</v>
      </c>
      <c r="B299" s="50" t="s">
        <v>70</v>
      </c>
      <c r="C299" s="261" t="s">
        <v>75</v>
      </c>
      <c r="D299" s="108" t="s">
        <v>38</v>
      </c>
      <c r="E299" s="288" t="s">
        <v>79</v>
      </c>
      <c r="F299" s="36">
        <v>3.5</v>
      </c>
      <c r="G299" s="36">
        <f>F299*6.3</f>
        <v>22.05</v>
      </c>
      <c r="H299" s="37">
        <v>24</v>
      </c>
      <c r="I299" s="36">
        <f>G299*H299</f>
        <v>529.20000000000005</v>
      </c>
      <c r="J299" s="36">
        <v>500</v>
      </c>
    </row>
    <row r="300" spans="1:10" x14ac:dyDescent="0.25">
      <c r="A300" s="31" t="s">
        <v>145</v>
      </c>
      <c r="B300" s="75" t="s">
        <v>71</v>
      </c>
      <c r="C300" s="272" t="s">
        <v>138</v>
      </c>
      <c r="D300" s="108">
        <v>88</v>
      </c>
      <c r="E300" s="294" t="s">
        <v>79</v>
      </c>
      <c r="F300" s="74">
        <v>5.9</v>
      </c>
      <c r="G300" s="39">
        <f>F300*6.3</f>
        <v>37.17</v>
      </c>
      <c r="H300" s="37">
        <v>24</v>
      </c>
      <c r="I300" s="44">
        <f>G300*H300</f>
        <v>892.08</v>
      </c>
      <c r="J300" s="36">
        <v>1600</v>
      </c>
    </row>
    <row r="301" spans="1:10" ht="30" x14ac:dyDescent="0.25">
      <c r="A301" s="31" t="s">
        <v>145</v>
      </c>
      <c r="B301" s="37" t="s">
        <v>65</v>
      </c>
      <c r="C301" s="261" t="s">
        <v>38</v>
      </c>
      <c r="D301" s="34" t="s">
        <v>38</v>
      </c>
      <c r="E301" s="288" t="s">
        <v>67</v>
      </c>
      <c r="F301" s="73" t="s">
        <v>38</v>
      </c>
      <c r="G301" s="74" t="s">
        <v>38</v>
      </c>
      <c r="H301" s="35" t="s">
        <v>38</v>
      </c>
      <c r="I301" s="44" t="s">
        <v>38</v>
      </c>
      <c r="J301" s="36" t="s">
        <v>38</v>
      </c>
    </row>
    <row r="302" spans="1:10" ht="30.75" thickBot="1" x14ac:dyDescent="0.3">
      <c r="A302" s="31" t="s">
        <v>145</v>
      </c>
      <c r="B302" s="43" t="s">
        <v>66</v>
      </c>
      <c r="C302" s="265"/>
      <c r="D302" s="34" t="s">
        <v>38</v>
      </c>
      <c r="E302" s="294" t="s">
        <v>67</v>
      </c>
      <c r="F302" s="73" t="s">
        <v>38</v>
      </c>
      <c r="G302" s="74" t="s">
        <v>38</v>
      </c>
      <c r="H302" s="91" t="s">
        <v>38</v>
      </c>
      <c r="I302" s="96" t="s">
        <v>38</v>
      </c>
      <c r="J302" s="74" t="s">
        <v>38</v>
      </c>
    </row>
    <row r="303" spans="1:10" ht="19.5" thickBot="1" x14ac:dyDescent="0.35">
      <c r="A303" s="146"/>
      <c r="B303" s="175"/>
      <c r="C303" s="176"/>
      <c r="D303" s="78"/>
      <c r="E303" s="302"/>
      <c r="F303" s="177"/>
      <c r="G303" s="177"/>
      <c r="H303" s="178" t="s">
        <v>110</v>
      </c>
      <c r="I303" s="179">
        <f>SUM(I297:I302)</f>
        <v>3689.2799999999997</v>
      </c>
      <c r="J303" s="180">
        <f>SUM(J297:J302)</f>
        <v>4400</v>
      </c>
    </row>
    <row r="304" spans="1:10" ht="15.75" thickBot="1" x14ac:dyDescent="0.3">
      <c r="A304" s="132" t="s">
        <v>146</v>
      </c>
      <c r="B304" s="120" t="s">
        <v>68</v>
      </c>
      <c r="C304" s="268" t="s">
        <v>114</v>
      </c>
      <c r="D304" s="108">
        <v>44</v>
      </c>
      <c r="E304" s="296" t="s">
        <v>79</v>
      </c>
      <c r="F304" s="118">
        <v>5.18</v>
      </c>
      <c r="G304" s="119">
        <f>F304*6.3</f>
        <v>32.634</v>
      </c>
      <c r="H304" s="120">
        <v>24</v>
      </c>
      <c r="I304" s="119">
        <f>G304*H304</f>
        <v>783.21600000000001</v>
      </c>
      <c r="J304" s="121">
        <v>900</v>
      </c>
    </row>
    <row r="305" spans="1:10" ht="15.75" thickBot="1" x14ac:dyDescent="0.3">
      <c r="A305" s="132" t="s">
        <v>146</v>
      </c>
      <c r="B305" s="37" t="s">
        <v>69</v>
      </c>
      <c r="C305" s="261" t="s">
        <v>86</v>
      </c>
      <c r="D305" s="108">
        <v>64.08</v>
      </c>
      <c r="E305" s="288" t="s">
        <v>79</v>
      </c>
      <c r="F305" s="36">
        <v>9.11</v>
      </c>
      <c r="G305" s="36">
        <f>F305*6.3</f>
        <v>57.392999999999994</v>
      </c>
      <c r="H305" s="37">
        <v>24</v>
      </c>
      <c r="I305" s="36">
        <f>G305*H305</f>
        <v>1377.4319999999998</v>
      </c>
      <c r="J305" s="123">
        <v>1400</v>
      </c>
    </row>
    <row r="306" spans="1:10" ht="15.75" thickBot="1" x14ac:dyDescent="0.3">
      <c r="A306" s="132" t="s">
        <v>146</v>
      </c>
      <c r="B306" s="34" t="s">
        <v>70</v>
      </c>
      <c r="C306" s="261" t="s">
        <v>75</v>
      </c>
      <c r="D306" s="108" t="s">
        <v>38</v>
      </c>
      <c r="E306" s="288" t="s">
        <v>79</v>
      </c>
      <c r="F306" s="36">
        <v>2.62</v>
      </c>
      <c r="G306" s="36">
        <f>F306*6.3</f>
        <v>16.506</v>
      </c>
      <c r="H306" s="37">
        <v>24</v>
      </c>
      <c r="I306" s="36">
        <f>G306*H306</f>
        <v>396.14400000000001</v>
      </c>
      <c r="J306" s="123">
        <v>500</v>
      </c>
    </row>
    <row r="307" spans="1:10" ht="15.75" thickBot="1" x14ac:dyDescent="0.3">
      <c r="A307" s="132" t="s">
        <v>146</v>
      </c>
      <c r="B307" s="34" t="s">
        <v>71</v>
      </c>
      <c r="C307" s="273" t="s">
        <v>138</v>
      </c>
      <c r="D307" s="108">
        <v>88</v>
      </c>
      <c r="E307" s="288" t="s">
        <v>79</v>
      </c>
      <c r="F307" s="36">
        <v>4.49</v>
      </c>
      <c r="G307" s="36">
        <f>F307*6.3</f>
        <v>28.286999999999999</v>
      </c>
      <c r="H307" s="37">
        <v>24</v>
      </c>
      <c r="I307" s="139">
        <f>G307*H307</f>
        <v>678.88799999999992</v>
      </c>
      <c r="J307" s="123">
        <v>1600</v>
      </c>
    </row>
    <row r="308" spans="1:10" ht="30.75" thickBot="1" x14ac:dyDescent="0.3">
      <c r="A308" s="132" t="s">
        <v>146</v>
      </c>
      <c r="B308" s="37" t="s">
        <v>65</v>
      </c>
      <c r="C308" s="261" t="s">
        <v>38</v>
      </c>
      <c r="D308" s="34" t="s">
        <v>38</v>
      </c>
      <c r="E308" s="288" t="s">
        <v>67</v>
      </c>
      <c r="F308" s="37" t="s">
        <v>38</v>
      </c>
      <c r="G308" s="36" t="s">
        <v>38</v>
      </c>
      <c r="H308" s="35" t="s">
        <v>38</v>
      </c>
      <c r="I308" s="139" t="s">
        <v>38</v>
      </c>
      <c r="J308" s="123" t="s">
        <v>38</v>
      </c>
    </row>
    <row r="309" spans="1:10" ht="30.75" thickBot="1" x14ac:dyDescent="0.3">
      <c r="A309" s="132" t="s">
        <v>146</v>
      </c>
      <c r="B309" s="181" t="s">
        <v>66</v>
      </c>
      <c r="C309" s="271"/>
      <c r="D309" s="34" t="s">
        <v>38</v>
      </c>
      <c r="E309" s="303" t="s">
        <v>67</v>
      </c>
      <c r="F309" s="181" t="s">
        <v>38</v>
      </c>
      <c r="G309" s="182" t="s">
        <v>38</v>
      </c>
      <c r="H309" s="183" t="s">
        <v>38</v>
      </c>
      <c r="I309" s="184" t="s">
        <v>38</v>
      </c>
      <c r="J309" s="185" t="s">
        <v>38</v>
      </c>
    </row>
    <row r="310" spans="1:10" ht="19.5" thickBot="1" x14ac:dyDescent="0.35">
      <c r="A310" s="186"/>
      <c r="B310" s="138"/>
      <c r="C310" s="274"/>
      <c r="D310" s="78"/>
      <c r="E310" s="304"/>
      <c r="F310" s="187"/>
      <c r="G310" s="187"/>
      <c r="H310" s="188" t="s">
        <v>110</v>
      </c>
      <c r="I310" s="189">
        <f>SUM(I304:I309)</f>
        <v>3235.6799999999994</v>
      </c>
      <c r="J310" s="190">
        <f>SUM(J304:J309)</f>
        <v>4400</v>
      </c>
    </row>
    <row r="311" spans="1:10" ht="15.75" thickBot="1" x14ac:dyDescent="0.3">
      <c r="A311" s="146" t="s">
        <v>147</v>
      </c>
      <c r="B311" s="120" t="s">
        <v>68</v>
      </c>
      <c r="C311" s="268" t="s">
        <v>114</v>
      </c>
      <c r="D311" s="108">
        <v>44</v>
      </c>
      <c r="E311" s="296" t="s">
        <v>79</v>
      </c>
      <c r="F311" s="118">
        <v>5.7</v>
      </c>
      <c r="G311" s="119">
        <f>F311*6.3</f>
        <v>35.909999999999997</v>
      </c>
      <c r="H311" s="120">
        <v>24</v>
      </c>
      <c r="I311" s="119">
        <f>G311*H311</f>
        <v>861.83999999999992</v>
      </c>
      <c r="J311" s="121">
        <v>900</v>
      </c>
    </row>
    <row r="312" spans="1:10" ht="15.75" thickBot="1" x14ac:dyDescent="0.3">
      <c r="A312" s="146" t="s">
        <v>147</v>
      </c>
      <c r="B312" s="37" t="s">
        <v>69</v>
      </c>
      <c r="C312" s="261" t="s">
        <v>86</v>
      </c>
      <c r="D312" s="108">
        <v>64.319999999999993</v>
      </c>
      <c r="E312" s="288" t="s">
        <v>79</v>
      </c>
      <c r="F312" s="110">
        <v>9.0500000000000007</v>
      </c>
      <c r="G312" s="36">
        <f>F312*6.3</f>
        <v>57.015000000000001</v>
      </c>
      <c r="H312" s="37">
        <v>24</v>
      </c>
      <c r="I312" s="41">
        <f>G312*H312</f>
        <v>1368.3600000000001</v>
      </c>
      <c r="J312" s="123">
        <v>1400</v>
      </c>
    </row>
    <row r="313" spans="1:10" ht="15.75" thickBot="1" x14ac:dyDescent="0.3">
      <c r="A313" s="146" t="s">
        <v>147</v>
      </c>
      <c r="B313" s="34" t="s">
        <v>70</v>
      </c>
      <c r="C313" s="261" t="s">
        <v>75</v>
      </c>
      <c r="D313" s="108" t="s">
        <v>38</v>
      </c>
      <c r="E313" s="288" t="s">
        <v>79</v>
      </c>
      <c r="F313" s="36">
        <v>3.55</v>
      </c>
      <c r="G313" s="36">
        <f>F313*6.3</f>
        <v>22.364999999999998</v>
      </c>
      <c r="H313" s="37">
        <v>24</v>
      </c>
      <c r="I313" s="36">
        <f>G313*H313</f>
        <v>536.76</v>
      </c>
      <c r="J313" s="123">
        <v>500</v>
      </c>
    </row>
    <row r="314" spans="1:10" ht="15.75" thickBot="1" x14ac:dyDescent="0.3">
      <c r="A314" s="146" t="s">
        <v>147</v>
      </c>
      <c r="B314" s="34" t="s">
        <v>71</v>
      </c>
      <c r="C314" s="272" t="s">
        <v>138</v>
      </c>
      <c r="D314" s="108">
        <v>88</v>
      </c>
      <c r="E314" s="294" t="s">
        <v>79</v>
      </c>
      <c r="F314" s="74">
        <v>5.9</v>
      </c>
      <c r="G314" s="39">
        <f>F314*6.3</f>
        <v>37.17</v>
      </c>
      <c r="H314" s="37">
        <v>24</v>
      </c>
      <c r="I314" s="44">
        <f>G314*H314</f>
        <v>892.08</v>
      </c>
      <c r="J314" s="123">
        <v>1600</v>
      </c>
    </row>
    <row r="315" spans="1:10" ht="30.75" thickBot="1" x14ac:dyDescent="0.3">
      <c r="A315" s="146" t="s">
        <v>147</v>
      </c>
      <c r="B315" s="37" t="s">
        <v>65</v>
      </c>
      <c r="C315" s="261" t="s">
        <v>38</v>
      </c>
      <c r="D315" s="34" t="s">
        <v>38</v>
      </c>
      <c r="E315" s="288" t="s">
        <v>67</v>
      </c>
      <c r="F315" s="73" t="s">
        <v>38</v>
      </c>
      <c r="G315" s="74" t="s">
        <v>38</v>
      </c>
      <c r="H315" s="35" t="s">
        <v>38</v>
      </c>
      <c r="I315" s="44" t="s">
        <v>38</v>
      </c>
      <c r="J315" s="123" t="s">
        <v>38</v>
      </c>
    </row>
    <row r="316" spans="1:10" ht="30.75" thickBot="1" x14ac:dyDescent="0.3">
      <c r="A316" s="146" t="s">
        <v>147</v>
      </c>
      <c r="B316" s="181" t="s">
        <v>66</v>
      </c>
      <c r="C316" s="267"/>
      <c r="D316" s="34" t="s">
        <v>38</v>
      </c>
      <c r="E316" s="288" t="s">
        <v>67</v>
      </c>
      <c r="F316" s="73" t="s">
        <v>38</v>
      </c>
      <c r="G316" s="36" t="s">
        <v>38</v>
      </c>
      <c r="H316" s="35" t="s">
        <v>38</v>
      </c>
      <c r="I316" s="44" t="s">
        <v>38</v>
      </c>
      <c r="J316" s="123" t="s">
        <v>38</v>
      </c>
    </row>
    <row r="317" spans="1:10" ht="19.5" thickBot="1" x14ac:dyDescent="0.35">
      <c r="A317" s="150"/>
      <c r="B317" s="138"/>
      <c r="C317" s="127"/>
      <c r="D317" s="78"/>
      <c r="E317" s="125"/>
      <c r="F317" s="128"/>
      <c r="G317" s="128"/>
      <c r="H317" s="129" t="s">
        <v>110</v>
      </c>
      <c r="I317" s="130">
        <f>SUM(I311:I316)</f>
        <v>3659.04</v>
      </c>
      <c r="J317" s="131">
        <f>SUM(J311:J316)</f>
        <v>4400</v>
      </c>
    </row>
    <row r="318" spans="1:10" x14ac:dyDescent="0.25">
      <c r="A318" s="146" t="s">
        <v>148</v>
      </c>
      <c r="B318" s="120" t="s">
        <v>68</v>
      </c>
      <c r="C318" s="268" t="s">
        <v>114</v>
      </c>
      <c r="D318" s="108">
        <v>65.069999999999993</v>
      </c>
      <c r="E318" s="296" t="s">
        <v>79</v>
      </c>
      <c r="F318" s="118">
        <v>5.7</v>
      </c>
      <c r="G318" s="119">
        <f>F318*6.3</f>
        <v>35.909999999999997</v>
      </c>
      <c r="H318" s="120">
        <v>24</v>
      </c>
      <c r="I318" s="119">
        <f>G318*H318</f>
        <v>861.83999999999992</v>
      </c>
      <c r="J318" s="121">
        <v>900</v>
      </c>
    </row>
    <row r="319" spans="1:10" x14ac:dyDescent="0.25">
      <c r="A319" s="147" t="s">
        <v>148</v>
      </c>
      <c r="B319" s="37" t="s">
        <v>69</v>
      </c>
      <c r="C319" s="261" t="s">
        <v>86</v>
      </c>
      <c r="D319" s="108">
        <v>64.319999999999993</v>
      </c>
      <c r="E319" s="288" t="s">
        <v>79</v>
      </c>
      <c r="F319" s="110">
        <v>9.0500000000000007</v>
      </c>
      <c r="G319" s="36">
        <f>F319*6.3</f>
        <v>57.015000000000001</v>
      </c>
      <c r="H319" s="37">
        <v>24</v>
      </c>
      <c r="I319" s="41">
        <f>G319*H319</f>
        <v>1368.3600000000001</v>
      </c>
      <c r="J319" s="123">
        <v>1400</v>
      </c>
    </row>
    <row r="320" spans="1:10" x14ac:dyDescent="0.25">
      <c r="A320" s="147" t="s">
        <v>148</v>
      </c>
      <c r="B320" s="34" t="s">
        <v>70</v>
      </c>
      <c r="C320" s="261" t="s">
        <v>75</v>
      </c>
      <c r="D320" s="108" t="s">
        <v>38</v>
      </c>
      <c r="E320" s="288" t="s">
        <v>79</v>
      </c>
      <c r="F320" s="36">
        <v>3.6</v>
      </c>
      <c r="G320" s="36">
        <f>F320*6.3</f>
        <v>22.68</v>
      </c>
      <c r="H320" s="37">
        <v>24</v>
      </c>
      <c r="I320" s="36">
        <f>G320*H320</f>
        <v>544.31999999999994</v>
      </c>
      <c r="J320" s="123">
        <v>500</v>
      </c>
    </row>
    <row r="321" spans="1:10" x14ac:dyDescent="0.25">
      <c r="A321" s="147" t="s">
        <v>148</v>
      </c>
      <c r="B321" s="34" t="s">
        <v>71</v>
      </c>
      <c r="C321" s="272" t="s">
        <v>138</v>
      </c>
      <c r="D321" s="108">
        <v>88</v>
      </c>
      <c r="E321" s="294" t="s">
        <v>79</v>
      </c>
      <c r="F321" s="74">
        <v>5.8</v>
      </c>
      <c r="G321" s="39">
        <f>F321*6.3</f>
        <v>36.54</v>
      </c>
      <c r="H321" s="37">
        <v>24</v>
      </c>
      <c r="I321" s="44">
        <f>G321*H321</f>
        <v>876.96</v>
      </c>
      <c r="J321" s="123">
        <v>1600</v>
      </c>
    </row>
    <row r="322" spans="1:10" ht="30" x14ac:dyDescent="0.25">
      <c r="A322" s="147" t="s">
        <v>148</v>
      </c>
      <c r="B322" s="37" t="s">
        <v>65</v>
      </c>
      <c r="C322" s="261" t="s">
        <v>38</v>
      </c>
      <c r="D322" s="34" t="s">
        <v>38</v>
      </c>
      <c r="E322" s="288" t="s">
        <v>67</v>
      </c>
      <c r="F322" s="73" t="s">
        <v>38</v>
      </c>
      <c r="G322" s="74" t="s">
        <v>38</v>
      </c>
      <c r="H322" s="35" t="s">
        <v>38</v>
      </c>
      <c r="I322" s="44" t="s">
        <v>38</v>
      </c>
      <c r="J322" s="123" t="s">
        <v>38</v>
      </c>
    </row>
    <row r="323" spans="1:10" ht="30.75" thickBot="1" x14ac:dyDescent="0.3">
      <c r="A323" s="147" t="s">
        <v>148</v>
      </c>
      <c r="B323" s="181" t="s">
        <v>66</v>
      </c>
      <c r="C323" s="267"/>
      <c r="D323" s="34" t="s">
        <v>38</v>
      </c>
      <c r="E323" s="288" t="s">
        <v>67</v>
      </c>
      <c r="F323" s="73" t="s">
        <v>38</v>
      </c>
      <c r="G323" s="36" t="s">
        <v>38</v>
      </c>
      <c r="H323" s="35" t="s">
        <v>38</v>
      </c>
      <c r="I323" s="44" t="s">
        <v>38</v>
      </c>
      <c r="J323" s="123" t="s">
        <v>38</v>
      </c>
    </row>
    <row r="324" spans="1:10" ht="19.5" thickBot="1" x14ac:dyDescent="0.35">
      <c r="A324" s="150"/>
      <c r="B324" s="138"/>
      <c r="C324" s="127"/>
      <c r="D324" s="78"/>
      <c r="E324" s="125"/>
      <c r="F324" s="128"/>
      <c r="G324" s="128"/>
      <c r="H324" s="129" t="s">
        <v>110</v>
      </c>
      <c r="I324" s="130">
        <f>SUM(I318:I323)</f>
        <v>3651.4799999999996</v>
      </c>
      <c r="J324" s="131">
        <f>SUM(J318:J323)</f>
        <v>4400</v>
      </c>
    </row>
    <row r="325" spans="1:10" x14ac:dyDescent="0.25">
      <c r="A325" s="146" t="s">
        <v>151</v>
      </c>
      <c r="B325" s="120" t="s">
        <v>68</v>
      </c>
      <c r="C325" s="268" t="s">
        <v>114</v>
      </c>
      <c r="D325" s="108">
        <v>78.72</v>
      </c>
      <c r="E325" s="296" t="s">
        <v>79</v>
      </c>
      <c r="F325" s="118">
        <v>5.71</v>
      </c>
      <c r="G325" s="119">
        <f>F325*6.3</f>
        <v>35.972999999999999</v>
      </c>
      <c r="H325" s="120">
        <v>24</v>
      </c>
      <c r="I325" s="119">
        <f>G325*H325</f>
        <v>863.35199999999998</v>
      </c>
      <c r="J325" s="121">
        <v>900</v>
      </c>
    </row>
    <row r="326" spans="1:10" x14ac:dyDescent="0.25">
      <c r="A326" s="147" t="s">
        <v>151</v>
      </c>
      <c r="B326" s="37" t="s">
        <v>69</v>
      </c>
      <c r="C326" s="261" t="s">
        <v>86</v>
      </c>
      <c r="D326" s="108">
        <v>87.94</v>
      </c>
      <c r="E326" s="288" t="s">
        <v>79</v>
      </c>
      <c r="F326" s="110">
        <v>9.0500000000000007</v>
      </c>
      <c r="G326" s="36">
        <f>F326*6.3</f>
        <v>57.015000000000001</v>
      </c>
      <c r="H326" s="37">
        <v>24</v>
      </c>
      <c r="I326" s="41">
        <f>G326*H326</f>
        <v>1368.3600000000001</v>
      </c>
      <c r="J326" s="123">
        <v>1400</v>
      </c>
    </row>
    <row r="327" spans="1:10" x14ac:dyDescent="0.25">
      <c r="A327" s="147" t="s">
        <v>151</v>
      </c>
      <c r="B327" s="34" t="s">
        <v>70</v>
      </c>
      <c r="C327" s="261" t="s">
        <v>75</v>
      </c>
      <c r="D327" s="108" t="s">
        <v>38</v>
      </c>
      <c r="E327" s="288" t="s">
        <v>79</v>
      </c>
      <c r="F327" s="36">
        <v>3.6</v>
      </c>
      <c r="G327" s="36">
        <f>F327*6.3</f>
        <v>22.68</v>
      </c>
      <c r="H327" s="37">
        <v>24</v>
      </c>
      <c r="I327" s="36">
        <f>G327*H327</f>
        <v>544.31999999999994</v>
      </c>
      <c r="J327" s="123">
        <v>500</v>
      </c>
    </row>
    <row r="328" spans="1:10" x14ac:dyDescent="0.25">
      <c r="A328" s="147" t="s">
        <v>151</v>
      </c>
      <c r="B328" s="34" t="s">
        <v>71</v>
      </c>
      <c r="C328" s="272" t="s">
        <v>138</v>
      </c>
      <c r="D328" s="108">
        <v>88</v>
      </c>
      <c r="E328" s="294" t="s">
        <v>79</v>
      </c>
      <c r="F328" s="74">
        <v>5.8</v>
      </c>
      <c r="G328" s="39">
        <f>F328*6.3</f>
        <v>36.54</v>
      </c>
      <c r="H328" s="37">
        <v>24</v>
      </c>
      <c r="I328" s="44">
        <f>G328*H328</f>
        <v>876.96</v>
      </c>
      <c r="J328" s="123">
        <v>1600</v>
      </c>
    </row>
    <row r="329" spans="1:10" ht="30" x14ac:dyDescent="0.25">
      <c r="A329" s="147" t="s">
        <v>151</v>
      </c>
      <c r="B329" s="37" t="s">
        <v>65</v>
      </c>
      <c r="C329" s="261" t="s">
        <v>38</v>
      </c>
      <c r="D329" s="34" t="s">
        <v>38</v>
      </c>
      <c r="E329" s="288" t="s">
        <v>149</v>
      </c>
      <c r="F329" s="73" t="s">
        <v>38</v>
      </c>
      <c r="G329" s="74" t="s">
        <v>38</v>
      </c>
      <c r="H329" s="35" t="s">
        <v>38</v>
      </c>
      <c r="I329" s="44" t="s">
        <v>38</v>
      </c>
      <c r="J329" s="123" t="s">
        <v>38</v>
      </c>
    </row>
    <row r="330" spans="1:10" ht="60.75" thickBot="1" x14ac:dyDescent="0.3">
      <c r="A330" s="147" t="s">
        <v>151</v>
      </c>
      <c r="B330" s="181" t="s">
        <v>66</v>
      </c>
      <c r="C330" s="267"/>
      <c r="D330" s="34" t="s">
        <v>38</v>
      </c>
      <c r="E330" s="288" t="s">
        <v>150</v>
      </c>
      <c r="F330" s="73" t="s">
        <v>38</v>
      </c>
      <c r="G330" s="36" t="s">
        <v>38</v>
      </c>
      <c r="H330" s="35" t="s">
        <v>38</v>
      </c>
      <c r="I330" s="44" t="s">
        <v>38</v>
      </c>
      <c r="J330" s="123" t="s">
        <v>38</v>
      </c>
    </row>
    <row r="331" spans="1:10" ht="19.5" thickBot="1" x14ac:dyDescent="0.35">
      <c r="A331" s="147"/>
      <c r="B331" s="63"/>
      <c r="C331"/>
      <c r="D331" s="78"/>
      <c r="E331" s="295"/>
      <c r="F331" s="114"/>
      <c r="G331" s="114"/>
      <c r="H331" s="115" t="s">
        <v>110</v>
      </c>
      <c r="I331" s="116">
        <f>SUM(I325:I330)</f>
        <v>3652.9920000000002</v>
      </c>
      <c r="J331" s="141">
        <f>SUM(J325:J330)</f>
        <v>4400</v>
      </c>
    </row>
    <row r="332" spans="1:10" x14ac:dyDescent="0.25">
      <c r="A332" s="146" t="s">
        <v>154</v>
      </c>
      <c r="B332" s="120" t="s">
        <v>68</v>
      </c>
      <c r="C332" s="268" t="s">
        <v>114</v>
      </c>
      <c r="D332" s="108">
        <v>80.25</v>
      </c>
      <c r="E332" s="296" t="s">
        <v>79</v>
      </c>
      <c r="F332" s="118">
        <v>5.74</v>
      </c>
      <c r="G332" s="119">
        <f>F332*6.3</f>
        <v>36.161999999999999</v>
      </c>
      <c r="H332" s="120">
        <v>24</v>
      </c>
      <c r="I332" s="119">
        <f>G332*H332</f>
        <v>867.88799999999992</v>
      </c>
      <c r="J332" s="121">
        <v>900</v>
      </c>
    </row>
    <row r="333" spans="1:10" x14ac:dyDescent="0.25">
      <c r="A333" s="147" t="s">
        <v>154</v>
      </c>
      <c r="B333" s="37" t="s">
        <v>69</v>
      </c>
      <c r="C333" s="261" t="s">
        <v>86</v>
      </c>
      <c r="D333" s="108">
        <v>89.91</v>
      </c>
      <c r="E333" s="288" t="s">
        <v>79</v>
      </c>
      <c r="F333" s="110">
        <v>9.1</v>
      </c>
      <c r="G333" s="36">
        <f>F333*6.3</f>
        <v>57.33</v>
      </c>
      <c r="H333" s="37">
        <v>24</v>
      </c>
      <c r="I333" s="41">
        <f>G333*H333</f>
        <v>1375.92</v>
      </c>
      <c r="J333" s="123">
        <v>1400</v>
      </c>
    </row>
    <row r="334" spans="1:10" x14ac:dyDescent="0.25">
      <c r="A334" s="147" t="s">
        <v>154</v>
      </c>
      <c r="B334" s="34" t="s">
        <v>70</v>
      </c>
      <c r="C334" s="261" t="s">
        <v>75</v>
      </c>
      <c r="D334" s="108" t="s">
        <v>38</v>
      </c>
      <c r="E334" s="288" t="s">
        <v>79</v>
      </c>
      <c r="F334" s="36">
        <v>3.45</v>
      </c>
      <c r="G334" s="36">
        <f>F334*6.3</f>
        <v>21.734999999999999</v>
      </c>
      <c r="H334" s="37">
        <v>24</v>
      </c>
      <c r="I334" s="36">
        <f>G334*H334</f>
        <v>521.64</v>
      </c>
      <c r="J334" s="123">
        <v>500</v>
      </c>
    </row>
    <row r="335" spans="1:10" x14ac:dyDescent="0.25">
      <c r="A335" s="147" t="s">
        <v>154</v>
      </c>
      <c r="B335" s="34" t="s">
        <v>71</v>
      </c>
      <c r="C335" s="272" t="s">
        <v>138</v>
      </c>
      <c r="D335" s="108">
        <v>88</v>
      </c>
      <c r="E335" s="294" t="s">
        <v>79</v>
      </c>
      <c r="F335" s="74">
        <v>5.85</v>
      </c>
      <c r="G335" s="39">
        <f>F335*6.3</f>
        <v>36.854999999999997</v>
      </c>
      <c r="H335" s="37">
        <v>24</v>
      </c>
      <c r="I335" s="44">
        <f>G335*H335</f>
        <v>884.52</v>
      </c>
      <c r="J335" s="123">
        <v>1600</v>
      </c>
    </row>
    <row r="336" spans="1:10" ht="30" x14ac:dyDescent="0.25">
      <c r="A336" s="147" t="s">
        <v>154</v>
      </c>
      <c r="B336" s="37" t="s">
        <v>65</v>
      </c>
      <c r="C336" s="261" t="s">
        <v>38</v>
      </c>
      <c r="D336" s="34" t="s">
        <v>38</v>
      </c>
      <c r="E336" s="288" t="s">
        <v>153</v>
      </c>
      <c r="F336" s="73" t="s">
        <v>38</v>
      </c>
      <c r="G336" s="36" t="s">
        <v>38</v>
      </c>
      <c r="H336" s="35" t="s">
        <v>38</v>
      </c>
      <c r="I336" s="44" t="s">
        <v>38</v>
      </c>
      <c r="J336" s="123">
        <v>1000</v>
      </c>
    </row>
    <row r="337" spans="1:10" ht="15.75" thickBot="1" x14ac:dyDescent="0.3">
      <c r="A337" s="147" t="s">
        <v>154</v>
      </c>
      <c r="B337" s="181" t="s">
        <v>66</v>
      </c>
      <c r="C337" s="106" t="s">
        <v>152</v>
      </c>
      <c r="D337" s="34">
        <v>28.12</v>
      </c>
      <c r="E337" s="288" t="s">
        <v>79</v>
      </c>
      <c r="F337" s="73">
        <v>0</v>
      </c>
      <c r="G337" s="39">
        <f>F337*6.3</f>
        <v>0</v>
      </c>
      <c r="H337" s="35">
        <v>18.75</v>
      </c>
      <c r="I337" s="44">
        <f>G337*H337</f>
        <v>0</v>
      </c>
      <c r="J337" s="123">
        <v>1300</v>
      </c>
    </row>
    <row r="338" spans="1:10" ht="19.5" thickBot="1" x14ac:dyDescent="0.35">
      <c r="A338" s="147"/>
      <c r="B338" s="63"/>
      <c r="C338"/>
      <c r="D338" s="78"/>
      <c r="E338" s="295"/>
      <c r="F338" s="114"/>
      <c r="G338" s="114"/>
      <c r="H338" s="115" t="s">
        <v>110</v>
      </c>
      <c r="I338" s="116">
        <f>SUM(I332:I337)</f>
        <v>3649.9679999999998</v>
      </c>
      <c r="J338" s="141">
        <f>SUM(J332:J337)</f>
        <v>6700</v>
      </c>
    </row>
    <row r="339" spans="1:10" x14ac:dyDescent="0.25">
      <c r="A339" s="132" t="s">
        <v>155</v>
      </c>
      <c r="B339" s="120" t="s">
        <v>68</v>
      </c>
      <c r="C339" s="268" t="s">
        <v>114</v>
      </c>
      <c r="D339" s="108">
        <v>80.73</v>
      </c>
      <c r="E339" s="296" t="s">
        <v>79</v>
      </c>
      <c r="F339" s="118">
        <v>5.8</v>
      </c>
      <c r="G339" s="119">
        <f>F339*6.3</f>
        <v>36.54</v>
      </c>
      <c r="H339" s="120">
        <v>24</v>
      </c>
      <c r="I339" s="119">
        <f>G339*H339</f>
        <v>876.96</v>
      </c>
      <c r="J339" s="121">
        <v>900</v>
      </c>
    </row>
    <row r="340" spans="1:10" x14ac:dyDescent="0.25">
      <c r="A340" s="133" t="s">
        <v>155</v>
      </c>
      <c r="B340" s="37" t="s">
        <v>69</v>
      </c>
      <c r="C340" s="261" t="s">
        <v>86</v>
      </c>
      <c r="D340" s="108">
        <v>90.52</v>
      </c>
      <c r="E340" s="288" t="s">
        <v>79</v>
      </c>
      <c r="F340" s="36">
        <v>9.0500000000000007</v>
      </c>
      <c r="G340" s="36">
        <f>F340*6.3</f>
        <v>57.015000000000001</v>
      </c>
      <c r="H340" s="37">
        <v>24</v>
      </c>
      <c r="I340" s="36">
        <f>G340*H340</f>
        <v>1368.3600000000001</v>
      </c>
      <c r="J340" s="123">
        <v>1400</v>
      </c>
    </row>
    <row r="341" spans="1:10" x14ac:dyDescent="0.25">
      <c r="A341" s="133" t="s">
        <v>155</v>
      </c>
      <c r="B341" s="34" t="s">
        <v>70</v>
      </c>
      <c r="C341" s="261" t="s">
        <v>75</v>
      </c>
      <c r="D341" s="108" t="s">
        <v>38</v>
      </c>
      <c r="E341" s="288" t="s">
        <v>79</v>
      </c>
      <c r="F341" s="36">
        <v>3.5</v>
      </c>
      <c r="G341" s="36">
        <f>F341*6.3</f>
        <v>22.05</v>
      </c>
      <c r="H341" s="37">
        <v>24</v>
      </c>
      <c r="I341" s="36">
        <f>G341*H341</f>
        <v>529.20000000000005</v>
      </c>
      <c r="J341" s="123">
        <v>500</v>
      </c>
    </row>
    <row r="342" spans="1:10" x14ac:dyDescent="0.25">
      <c r="A342" s="133" t="s">
        <v>155</v>
      </c>
      <c r="B342" s="34" t="s">
        <v>71</v>
      </c>
      <c r="C342" s="273" t="s">
        <v>138</v>
      </c>
      <c r="D342" s="108">
        <v>88</v>
      </c>
      <c r="E342" s="288" t="s">
        <v>79</v>
      </c>
      <c r="F342" s="36">
        <v>5.75</v>
      </c>
      <c r="G342" s="36">
        <f>F342*6.3</f>
        <v>36.225000000000001</v>
      </c>
      <c r="H342" s="37">
        <v>24</v>
      </c>
      <c r="I342" s="139">
        <f>G342*H342</f>
        <v>869.40000000000009</v>
      </c>
      <c r="J342" s="123">
        <v>1600</v>
      </c>
    </row>
    <row r="343" spans="1:10" ht="30" x14ac:dyDescent="0.25">
      <c r="A343" s="133" t="s">
        <v>155</v>
      </c>
      <c r="B343" s="37" t="s">
        <v>65</v>
      </c>
      <c r="C343" s="261" t="s">
        <v>38</v>
      </c>
      <c r="D343" s="34" t="s">
        <v>38</v>
      </c>
      <c r="E343" s="288" t="s">
        <v>153</v>
      </c>
      <c r="F343" s="37" t="s">
        <v>38</v>
      </c>
      <c r="G343" s="36" t="s">
        <v>38</v>
      </c>
      <c r="H343" s="35" t="s">
        <v>38</v>
      </c>
      <c r="I343" s="139" t="s">
        <v>38</v>
      </c>
      <c r="J343" s="123">
        <v>1000</v>
      </c>
    </row>
    <row r="344" spans="1:10" x14ac:dyDescent="0.25">
      <c r="A344" s="133" t="s">
        <v>155</v>
      </c>
      <c r="B344" s="37" t="s">
        <v>66</v>
      </c>
      <c r="C344" s="106" t="s">
        <v>152</v>
      </c>
      <c r="D344" s="34">
        <v>28.12</v>
      </c>
      <c r="E344" s="288" t="s">
        <v>79</v>
      </c>
      <c r="F344" s="37">
        <v>0</v>
      </c>
      <c r="G344" s="36">
        <f>F344*6.3</f>
        <v>0</v>
      </c>
      <c r="H344" s="35">
        <v>24</v>
      </c>
      <c r="I344" s="139">
        <f>G344*H344</f>
        <v>0</v>
      </c>
      <c r="J344" s="123">
        <v>1300</v>
      </c>
    </row>
    <row r="345" spans="1:10" ht="19.5" thickBot="1" x14ac:dyDescent="0.35">
      <c r="A345" s="134"/>
      <c r="B345" s="66"/>
      <c r="C345" s="269"/>
      <c r="E345" s="68"/>
      <c r="F345" s="66"/>
      <c r="G345" s="66"/>
      <c r="H345" s="129" t="s">
        <v>110</v>
      </c>
      <c r="I345" s="130">
        <f>SUM(I339:I344)</f>
        <v>3643.9200000000005</v>
      </c>
      <c r="J345" s="131">
        <f>SUM(J339:J344)</f>
        <v>6700</v>
      </c>
    </row>
    <row r="346" spans="1:10" x14ac:dyDescent="0.25">
      <c r="A346" s="146" t="s">
        <v>157</v>
      </c>
      <c r="B346" s="120" t="s">
        <v>68</v>
      </c>
      <c r="C346" s="268" t="s">
        <v>114</v>
      </c>
      <c r="D346" s="108">
        <v>81.83</v>
      </c>
      <c r="E346" s="296" t="s">
        <v>79</v>
      </c>
      <c r="F346" s="118">
        <v>5.8</v>
      </c>
      <c r="G346" s="119">
        <f t="shared" ref="G346:G351" si="0">F346*6.3</f>
        <v>36.54</v>
      </c>
      <c r="H346" s="120">
        <v>24</v>
      </c>
      <c r="I346" s="119">
        <f t="shared" ref="I346:I351" si="1">G346*H346</f>
        <v>876.96</v>
      </c>
      <c r="J346" s="121">
        <v>900</v>
      </c>
    </row>
    <row r="347" spans="1:10" x14ac:dyDescent="0.25">
      <c r="A347" s="147" t="s">
        <v>157</v>
      </c>
      <c r="B347" s="37" t="s">
        <v>69</v>
      </c>
      <c r="C347" s="261" t="s">
        <v>86</v>
      </c>
      <c r="D347" s="108">
        <v>91.75</v>
      </c>
      <c r="E347" s="288" t="s">
        <v>79</v>
      </c>
      <c r="F347" s="110">
        <v>9.25</v>
      </c>
      <c r="G347" s="36">
        <f t="shared" si="0"/>
        <v>58.274999999999999</v>
      </c>
      <c r="H347" s="37">
        <v>24</v>
      </c>
      <c r="I347" s="41">
        <f t="shared" si="1"/>
        <v>1398.6</v>
      </c>
      <c r="J347" s="123">
        <v>1400</v>
      </c>
    </row>
    <row r="348" spans="1:10" x14ac:dyDescent="0.25">
      <c r="A348" s="147" t="s">
        <v>157</v>
      </c>
      <c r="B348" s="50" t="s">
        <v>70</v>
      </c>
      <c r="C348" s="261" t="s">
        <v>75</v>
      </c>
      <c r="D348" s="108" t="s">
        <v>38</v>
      </c>
      <c r="E348" s="288" t="s">
        <v>79</v>
      </c>
      <c r="F348" s="36">
        <v>3.4</v>
      </c>
      <c r="G348" s="36">
        <f t="shared" si="0"/>
        <v>21.419999999999998</v>
      </c>
      <c r="H348" s="37">
        <v>24</v>
      </c>
      <c r="I348" s="36">
        <f t="shared" si="1"/>
        <v>514.07999999999993</v>
      </c>
      <c r="J348" s="123">
        <v>500</v>
      </c>
    </row>
    <row r="349" spans="1:10" x14ac:dyDescent="0.25">
      <c r="A349" s="147" t="s">
        <v>157</v>
      </c>
      <c r="B349" s="75" t="s">
        <v>71</v>
      </c>
      <c r="C349" s="272" t="s">
        <v>156</v>
      </c>
      <c r="D349" s="108">
        <v>88</v>
      </c>
      <c r="E349" s="294" t="s">
        <v>79</v>
      </c>
      <c r="F349" s="74">
        <v>5.6</v>
      </c>
      <c r="G349" s="36">
        <f t="shared" si="0"/>
        <v>35.279999999999994</v>
      </c>
      <c r="H349" s="37">
        <v>24</v>
      </c>
      <c r="I349" s="44">
        <f t="shared" si="1"/>
        <v>846.7199999999998</v>
      </c>
      <c r="J349" s="123">
        <v>1600</v>
      </c>
    </row>
    <row r="350" spans="1:10" x14ac:dyDescent="0.25">
      <c r="A350" s="147" t="s">
        <v>157</v>
      </c>
      <c r="B350" s="37" t="s">
        <v>65</v>
      </c>
      <c r="C350" s="261" t="s">
        <v>152</v>
      </c>
      <c r="D350" s="46">
        <v>91.34</v>
      </c>
      <c r="E350" s="288" t="s">
        <v>79</v>
      </c>
      <c r="F350" s="74">
        <v>12.05</v>
      </c>
      <c r="G350" s="36">
        <f t="shared" si="0"/>
        <v>75.915000000000006</v>
      </c>
      <c r="H350" s="35">
        <v>11.5</v>
      </c>
      <c r="I350" s="44">
        <f t="shared" si="1"/>
        <v>873.02250000000004</v>
      </c>
      <c r="J350" s="123">
        <v>1000</v>
      </c>
    </row>
    <row r="351" spans="1:10" x14ac:dyDescent="0.25">
      <c r="A351" s="147" t="s">
        <v>157</v>
      </c>
      <c r="B351" s="37" t="s">
        <v>66</v>
      </c>
      <c r="C351" s="106" t="s">
        <v>152</v>
      </c>
      <c r="D351" s="34">
        <v>42.183999999999997</v>
      </c>
      <c r="E351" s="288" t="s">
        <v>79</v>
      </c>
      <c r="F351" s="73">
        <v>6.25</v>
      </c>
      <c r="G351" s="36">
        <f t="shared" si="0"/>
        <v>39.375</v>
      </c>
      <c r="H351" s="35">
        <v>11</v>
      </c>
      <c r="I351" s="44">
        <f t="shared" si="1"/>
        <v>433.125</v>
      </c>
      <c r="J351" s="123">
        <v>1300</v>
      </c>
    </row>
    <row r="352" spans="1:10" ht="19.5" thickBot="1" x14ac:dyDescent="0.35">
      <c r="A352" s="147"/>
      <c r="B352" s="149"/>
      <c r="C352"/>
      <c r="D352" s="78"/>
      <c r="E352" s="295"/>
      <c r="F352" s="114"/>
      <c r="G352" s="114"/>
      <c r="H352" s="115" t="s">
        <v>110</v>
      </c>
      <c r="I352" s="116">
        <f>SUM(I346:I351)</f>
        <v>4942.5074999999997</v>
      </c>
      <c r="J352" s="141">
        <f>SUM(J346:J351)</f>
        <v>6700</v>
      </c>
    </row>
    <row r="353" spans="1:10" x14ac:dyDescent="0.25">
      <c r="A353" s="132" t="s">
        <v>159</v>
      </c>
      <c r="B353" s="120" t="s">
        <v>68</v>
      </c>
      <c r="C353" s="268" t="s">
        <v>114</v>
      </c>
      <c r="D353" s="108">
        <v>82.4</v>
      </c>
      <c r="E353" s="296" t="s">
        <v>79</v>
      </c>
      <c r="F353" s="118">
        <v>4.7699999999999996</v>
      </c>
      <c r="G353" s="119">
        <f t="shared" ref="G353:G358" si="2">F353*6.3</f>
        <v>30.050999999999995</v>
      </c>
      <c r="H353" s="120">
        <v>24</v>
      </c>
      <c r="I353" s="119">
        <f t="shared" ref="I353:I358" si="3">G353*H353</f>
        <v>721.22399999999993</v>
      </c>
      <c r="J353" s="121">
        <v>900</v>
      </c>
    </row>
    <row r="354" spans="1:10" x14ac:dyDescent="0.25">
      <c r="A354" s="133" t="s">
        <v>159</v>
      </c>
      <c r="B354" s="37" t="s">
        <v>69</v>
      </c>
      <c r="C354" s="261" t="s">
        <v>86</v>
      </c>
      <c r="D354" s="108">
        <v>89.36</v>
      </c>
      <c r="E354" s="288" t="s">
        <v>79</v>
      </c>
      <c r="F354" s="36">
        <v>4.95</v>
      </c>
      <c r="G354" s="36">
        <f t="shared" si="2"/>
        <v>31.184999999999999</v>
      </c>
      <c r="H354" s="37">
        <v>24</v>
      </c>
      <c r="I354" s="36">
        <f t="shared" si="3"/>
        <v>748.43999999999994</v>
      </c>
      <c r="J354" s="123">
        <v>1400</v>
      </c>
    </row>
    <row r="355" spans="1:10" x14ac:dyDescent="0.25">
      <c r="A355" s="133" t="s">
        <v>159</v>
      </c>
      <c r="B355" s="34" t="s">
        <v>70</v>
      </c>
      <c r="C355" s="261" t="s">
        <v>75</v>
      </c>
      <c r="D355" s="108" t="s">
        <v>38</v>
      </c>
      <c r="E355" s="288" t="s">
        <v>79</v>
      </c>
      <c r="F355" s="36">
        <v>3.85</v>
      </c>
      <c r="G355" s="36">
        <f t="shared" si="2"/>
        <v>24.254999999999999</v>
      </c>
      <c r="H355" s="37">
        <v>24</v>
      </c>
      <c r="I355" s="36">
        <f t="shared" si="3"/>
        <v>582.12</v>
      </c>
      <c r="J355" s="123">
        <v>500</v>
      </c>
    </row>
    <row r="356" spans="1:10" x14ac:dyDescent="0.25">
      <c r="A356" s="133" t="s">
        <v>160</v>
      </c>
      <c r="B356" s="34" t="s">
        <v>71</v>
      </c>
      <c r="C356" s="273" t="s">
        <v>156</v>
      </c>
      <c r="D356" s="108">
        <v>88</v>
      </c>
      <c r="E356" s="288" t="s">
        <v>79</v>
      </c>
      <c r="F356" s="36">
        <v>4.5999999999999996</v>
      </c>
      <c r="G356" s="36">
        <f t="shared" si="2"/>
        <v>28.979999999999997</v>
      </c>
      <c r="H356" s="37">
        <v>24</v>
      </c>
      <c r="I356" s="139">
        <f t="shared" si="3"/>
        <v>695.52</v>
      </c>
      <c r="J356" s="123">
        <v>1600</v>
      </c>
    </row>
    <row r="357" spans="1:10" x14ac:dyDescent="0.25">
      <c r="A357" s="133" t="s">
        <v>159</v>
      </c>
      <c r="B357" s="37" t="s">
        <v>65</v>
      </c>
      <c r="C357" s="261" t="s">
        <v>158</v>
      </c>
      <c r="D357" s="46">
        <v>91.34</v>
      </c>
      <c r="E357" s="288" t="s">
        <v>79</v>
      </c>
      <c r="F357" s="36">
        <v>8.9700000000000006</v>
      </c>
      <c r="G357" s="36">
        <f t="shared" si="2"/>
        <v>56.511000000000003</v>
      </c>
      <c r="H357" s="35">
        <v>24</v>
      </c>
      <c r="I357" s="139">
        <f t="shared" si="3"/>
        <v>1356.2640000000001</v>
      </c>
      <c r="J357" s="123">
        <v>1000</v>
      </c>
    </row>
    <row r="358" spans="1:10" x14ac:dyDescent="0.25">
      <c r="A358" s="133" t="s">
        <v>159</v>
      </c>
      <c r="B358" s="37" t="s">
        <v>66</v>
      </c>
      <c r="C358" s="106" t="s">
        <v>152</v>
      </c>
      <c r="D358" s="34">
        <v>42.183999999999997</v>
      </c>
      <c r="E358" s="288" t="s">
        <v>79</v>
      </c>
      <c r="F358" s="37">
        <v>6.4</v>
      </c>
      <c r="G358" s="36">
        <f t="shared" si="2"/>
        <v>40.32</v>
      </c>
      <c r="H358" s="35">
        <v>24</v>
      </c>
      <c r="I358" s="139">
        <f t="shared" si="3"/>
        <v>967.68000000000006</v>
      </c>
      <c r="J358" s="123">
        <v>1300</v>
      </c>
    </row>
    <row r="359" spans="1:10" ht="19.5" thickBot="1" x14ac:dyDescent="0.35">
      <c r="A359" s="140"/>
      <c r="B359" s="149"/>
      <c r="C359" s="265"/>
      <c r="D359" s="78"/>
      <c r="E359" s="295"/>
      <c r="F359" s="114"/>
      <c r="G359" s="114"/>
      <c r="H359" s="115" t="s">
        <v>110</v>
      </c>
      <c r="I359" s="116">
        <f>SUM(I353:I358)</f>
        <v>5071.2479999999996</v>
      </c>
      <c r="J359" s="141">
        <f>SUM(J353:J358)</f>
        <v>6700</v>
      </c>
    </row>
    <row r="360" spans="1:10" x14ac:dyDescent="0.25">
      <c r="A360" s="132" t="s">
        <v>161</v>
      </c>
      <c r="B360" s="120" t="s">
        <v>68</v>
      </c>
      <c r="C360" s="268" t="s">
        <v>114</v>
      </c>
      <c r="D360" s="108">
        <v>82.7</v>
      </c>
      <c r="E360" s="296" t="s">
        <v>79</v>
      </c>
      <c r="F360" s="118">
        <v>5.09</v>
      </c>
      <c r="G360" s="119">
        <f t="shared" ref="G360:G365" si="4">F360*6.3</f>
        <v>32.067</v>
      </c>
      <c r="H360" s="120">
        <v>24</v>
      </c>
      <c r="I360" s="119">
        <f t="shared" ref="I360:I365" si="5">G360*H360</f>
        <v>769.60799999999995</v>
      </c>
      <c r="J360" s="121">
        <v>900</v>
      </c>
    </row>
    <row r="361" spans="1:10" x14ac:dyDescent="0.25">
      <c r="A361" s="133" t="s">
        <v>161</v>
      </c>
      <c r="B361" s="37" t="s">
        <v>69</v>
      </c>
      <c r="C361" s="261" t="s">
        <v>86</v>
      </c>
      <c r="D361" s="108">
        <v>87.58</v>
      </c>
      <c r="E361" s="288" t="s">
        <v>79</v>
      </c>
      <c r="F361" s="36">
        <v>5.22</v>
      </c>
      <c r="G361" s="36">
        <f t="shared" si="4"/>
        <v>32.885999999999996</v>
      </c>
      <c r="H361" s="37">
        <v>24</v>
      </c>
      <c r="I361" s="36">
        <f t="shared" si="5"/>
        <v>789.2639999999999</v>
      </c>
      <c r="J361" s="123">
        <v>1400</v>
      </c>
    </row>
    <row r="362" spans="1:10" x14ac:dyDescent="0.25">
      <c r="A362" s="133" t="s">
        <v>161</v>
      </c>
      <c r="B362" s="34" t="s">
        <v>70</v>
      </c>
      <c r="C362" s="261" t="s">
        <v>75</v>
      </c>
      <c r="D362" s="108" t="s">
        <v>38</v>
      </c>
      <c r="E362" s="288" t="s">
        <v>79</v>
      </c>
      <c r="F362" s="36">
        <v>3.89</v>
      </c>
      <c r="G362" s="36">
        <f t="shared" si="4"/>
        <v>24.507000000000001</v>
      </c>
      <c r="H362" s="37">
        <v>24</v>
      </c>
      <c r="I362" s="36">
        <f t="shared" si="5"/>
        <v>588.16800000000001</v>
      </c>
      <c r="J362" s="123">
        <v>500</v>
      </c>
    </row>
    <row r="363" spans="1:10" x14ac:dyDescent="0.25">
      <c r="A363" s="133" t="s">
        <v>161</v>
      </c>
      <c r="B363" s="34" t="s">
        <v>71</v>
      </c>
      <c r="C363" s="273" t="s">
        <v>156</v>
      </c>
      <c r="D363" s="108">
        <v>88</v>
      </c>
      <c r="E363" s="288" t="s">
        <v>79</v>
      </c>
      <c r="F363" s="36">
        <v>4.57</v>
      </c>
      <c r="G363" s="36">
        <f t="shared" si="4"/>
        <v>28.791</v>
      </c>
      <c r="H363" s="37">
        <v>24</v>
      </c>
      <c r="I363" s="139">
        <f t="shared" si="5"/>
        <v>690.98400000000004</v>
      </c>
      <c r="J363" s="123">
        <v>1600</v>
      </c>
    </row>
    <row r="364" spans="1:10" x14ac:dyDescent="0.25">
      <c r="A364" s="133" t="s">
        <v>161</v>
      </c>
      <c r="B364" s="37" t="s">
        <v>65</v>
      </c>
      <c r="C364" s="261" t="s">
        <v>158</v>
      </c>
      <c r="D364" s="46">
        <v>91.34</v>
      </c>
      <c r="E364" s="288" t="s">
        <v>79</v>
      </c>
      <c r="F364" s="36">
        <v>8.9600000000000009</v>
      </c>
      <c r="G364" s="36">
        <f t="shared" si="4"/>
        <v>56.448</v>
      </c>
      <c r="H364" s="35">
        <v>24</v>
      </c>
      <c r="I364" s="139">
        <f t="shared" si="5"/>
        <v>1354.752</v>
      </c>
      <c r="J364" s="123">
        <v>1000</v>
      </c>
    </row>
    <row r="365" spans="1:10" x14ac:dyDescent="0.25">
      <c r="A365" s="133" t="s">
        <v>161</v>
      </c>
      <c r="B365" s="37" t="s">
        <v>66</v>
      </c>
      <c r="C365" s="106" t="s">
        <v>152</v>
      </c>
      <c r="D365" s="34">
        <v>42.183999999999997</v>
      </c>
      <c r="E365" s="288" t="s">
        <v>79</v>
      </c>
      <c r="F365" s="37">
        <v>6.46</v>
      </c>
      <c r="G365" s="36">
        <f t="shared" si="4"/>
        <v>40.698</v>
      </c>
      <c r="H365" s="35">
        <v>24</v>
      </c>
      <c r="I365" s="139">
        <f t="shared" si="5"/>
        <v>976.75199999999995</v>
      </c>
      <c r="J365" s="123">
        <v>1300</v>
      </c>
    </row>
    <row r="366" spans="1:10" ht="19.5" thickBot="1" x14ac:dyDescent="0.35">
      <c r="A366" s="140"/>
      <c r="B366" s="149"/>
      <c r="C366" s="265"/>
      <c r="D366" s="78"/>
      <c r="E366" s="295"/>
      <c r="F366" s="114"/>
      <c r="G366" s="114"/>
      <c r="H366" s="115" t="s">
        <v>110</v>
      </c>
      <c r="I366" s="116">
        <f>SUM(I360:I365)</f>
        <v>5169.5280000000002</v>
      </c>
      <c r="J366" s="141">
        <f>SUM(J360:J365)</f>
        <v>6700</v>
      </c>
    </row>
    <row r="367" spans="1:10" x14ac:dyDescent="0.25">
      <c r="A367" s="132" t="s">
        <v>164</v>
      </c>
      <c r="B367" s="164" t="s">
        <v>68</v>
      </c>
      <c r="C367" s="105" t="s">
        <v>114</v>
      </c>
      <c r="D367" s="56">
        <v>81.77</v>
      </c>
      <c r="E367" s="300" t="s">
        <v>79</v>
      </c>
      <c r="F367" s="164">
        <v>4.8099999999999996</v>
      </c>
      <c r="G367" s="164">
        <v>30.3</v>
      </c>
      <c r="H367" s="164">
        <v>24</v>
      </c>
      <c r="I367" s="119">
        <v>727.27</v>
      </c>
      <c r="J367" s="121">
        <v>900</v>
      </c>
    </row>
    <row r="368" spans="1:10" x14ac:dyDescent="0.25">
      <c r="A368" s="133" t="s">
        <v>164</v>
      </c>
      <c r="B368" s="56" t="s">
        <v>69</v>
      </c>
      <c r="C368" s="106" t="s">
        <v>86</v>
      </c>
      <c r="D368" s="56">
        <v>86.66</v>
      </c>
      <c r="E368" s="194" t="s">
        <v>79</v>
      </c>
      <c r="F368" s="56">
        <v>5.18</v>
      </c>
      <c r="G368" s="56">
        <v>32.630000000000003</v>
      </c>
      <c r="H368" s="56">
        <v>24</v>
      </c>
      <c r="I368" s="36">
        <v>783.22</v>
      </c>
      <c r="J368" s="123">
        <v>1400</v>
      </c>
    </row>
    <row r="369" spans="1:10" x14ac:dyDescent="0.25">
      <c r="A369" s="133" t="s">
        <v>164</v>
      </c>
      <c r="B369" s="56" t="s">
        <v>70</v>
      </c>
      <c r="C369" s="106" t="s">
        <v>75</v>
      </c>
      <c r="D369" s="56" t="s">
        <v>38</v>
      </c>
      <c r="E369" s="194" t="s">
        <v>79</v>
      </c>
      <c r="F369" s="56">
        <v>3.55</v>
      </c>
      <c r="G369" s="56">
        <v>22.37</v>
      </c>
      <c r="H369" s="56">
        <v>24</v>
      </c>
      <c r="I369" s="36">
        <v>536.76</v>
      </c>
      <c r="J369" s="123">
        <v>500</v>
      </c>
    </row>
    <row r="370" spans="1:10" x14ac:dyDescent="0.25">
      <c r="A370" s="133" t="s">
        <v>164</v>
      </c>
      <c r="B370" s="56" t="s">
        <v>71</v>
      </c>
      <c r="C370" s="106" t="s">
        <v>156</v>
      </c>
      <c r="D370" s="56">
        <v>88</v>
      </c>
      <c r="E370" s="194" t="s">
        <v>79</v>
      </c>
      <c r="F370" s="56">
        <v>4.42</v>
      </c>
      <c r="G370" s="56">
        <v>27.85</v>
      </c>
      <c r="H370" s="56">
        <v>24</v>
      </c>
      <c r="I370" s="36">
        <v>668.3</v>
      </c>
      <c r="J370" s="123">
        <v>1600</v>
      </c>
    </row>
    <row r="371" spans="1:10" x14ac:dyDescent="0.25">
      <c r="A371" s="133" t="s">
        <v>164</v>
      </c>
      <c r="B371" s="56" t="s">
        <v>65</v>
      </c>
      <c r="C371" s="106" t="s">
        <v>158</v>
      </c>
      <c r="D371" s="56">
        <v>68</v>
      </c>
      <c r="E371" s="194" t="s">
        <v>79</v>
      </c>
      <c r="F371" s="56">
        <v>8.94</v>
      </c>
      <c r="G371" s="56">
        <v>56.32</v>
      </c>
      <c r="H371" s="56">
        <v>24</v>
      </c>
      <c r="I371" s="36">
        <v>1351.73</v>
      </c>
      <c r="J371" s="123">
        <v>1000</v>
      </c>
    </row>
    <row r="372" spans="1:10" x14ac:dyDescent="0.25">
      <c r="A372" s="133" t="s">
        <v>164</v>
      </c>
      <c r="B372" s="56" t="s">
        <v>66</v>
      </c>
      <c r="C372" s="106" t="s">
        <v>152</v>
      </c>
      <c r="D372" s="56">
        <v>42.183999999999997</v>
      </c>
      <c r="E372" s="194" t="s">
        <v>79</v>
      </c>
      <c r="F372" s="56">
        <v>6.4</v>
      </c>
      <c r="G372" s="56">
        <v>40.32</v>
      </c>
      <c r="H372" s="56">
        <v>24</v>
      </c>
      <c r="I372" s="36">
        <v>967.68</v>
      </c>
      <c r="J372" s="123">
        <v>1300</v>
      </c>
    </row>
    <row r="373" spans="1:10" ht="19.5" thickBot="1" x14ac:dyDescent="0.35">
      <c r="A373" s="134"/>
      <c r="B373" s="200"/>
      <c r="C373" s="271"/>
      <c r="D373" s="162"/>
      <c r="E373" s="305"/>
      <c r="F373" s="201"/>
      <c r="G373" s="201"/>
      <c r="H373" s="129" t="s">
        <v>110</v>
      </c>
      <c r="I373" s="130">
        <v>5034.96</v>
      </c>
      <c r="J373" s="131">
        <v>6700</v>
      </c>
    </row>
    <row r="374" spans="1:10" x14ac:dyDescent="0.25">
      <c r="A374" s="195" t="s">
        <v>163</v>
      </c>
      <c r="B374" s="197" t="s">
        <v>68</v>
      </c>
      <c r="C374" s="275" t="s">
        <v>114</v>
      </c>
      <c r="D374" s="56">
        <v>81.53</v>
      </c>
      <c r="E374" s="306" t="s">
        <v>79</v>
      </c>
      <c r="F374" s="198">
        <v>4.8600000000000003</v>
      </c>
      <c r="G374" s="199">
        <v>30.62</v>
      </c>
      <c r="H374" s="198">
        <v>24</v>
      </c>
      <c r="I374" s="51">
        <v>734.83</v>
      </c>
      <c r="J374" s="154">
        <v>900</v>
      </c>
    </row>
    <row r="375" spans="1:10" x14ac:dyDescent="0.25">
      <c r="A375" s="195" t="s">
        <v>163</v>
      </c>
      <c r="B375" s="194" t="s">
        <v>69</v>
      </c>
      <c r="C375" s="267" t="s">
        <v>86</v>
      </c>
      <c r="D375" s="56">
        <v>87.03</v>
      </c>
      <c r="E375" s="307" t="s">
        <v>79</v>
      </c>
      <c r="F375" s="56">
        <v>5.23</v>
      </c>
      <c r="G375" s="162">
        <v>32.950000000000003</v>
      </c>
      <c r="H375" s="56">
        <v>24</v>
      </c>
      <c r="I375" s="36">
        <v>790.78</v>
      </c>
      <c r="J375" s="123">
        <v>1400</v>
      </c>
    </row>
    <row r="376" spans="1:10" x14ac:dyDescent="0.25">
      <c r="A376" s="195" t="s">
        <v>163</v>
      </c>
      <c r="B376" s="194" t="s">
        <v>70</v>
      </c>
      <c r="C376" s="267" t="s">
        <v>75</v>
      </c>
      <c r="D376" s="56" t="s">
        <v>38</v>
      </c>
      <c r="E376" s="307" t="s">
        <v>79</v>
      </c>
      <c r="F376" s="56">
        <v>3.37</v>
      </c>
      <c r="G376" s="162">
        <v>21.23</v>
      </c>
      <c r="H376" s="56">
        <v>24</v>
      </c>
      <c r="I376" s="36">
        <v>509.54</v>
      </c>
      <c r="J376" s="123">
        <v>500</v>
      </c>
    </row>
    <row r="377" spans="1:10" x14ac:dyDescent="0.25">
      <c r="A377" s="195" t="s">
        <v>163</v>
      </c>
      <c r="B377" s="194" t="s">
        <v>71</v>
      </c>
      <c r="C377" s="267" t="s">
        <v>156</v>
      </c>
      <c r="D377" s="56">
        <v>88</v>
      </c>
      <c r="E377" s="307" t="s">
        <v>79</v>
      </c>
      <c r="F377" s="56">
        <v>4.46</v>
      </c>
      <c r="G377" s="162">
        <v>28.1</v>
      </c>
      <c r="H377" s="56">
        <v>24</v>
      </c>
      <c r="I377" s="36">
        <v>674.35</v>
      </c>
      <c r="J377" s="123">
        <v>1600</v>
      </c>
    </row>
    <row r="378" spans="1:10" x14ac:dyDescent="0.25">
      <c r="A378" s="195" t="s">
        <v>163</v>
      </c>
      <c r="B378" s="194" t="s">
        <v>65</v>
      </c>
      <c r="C378" s="267" t="s">
        <v>158</v>
      </c>
      <c r="D378" s="56">
        <v>62</v>
      </c>
      <c r="E378" s="307" t="s">
        <v>79</v>
      </c>
      <c r="F378" s="56">
        <v>9.09</v>
      </c>
      <c r="G378" s="162">
        <v>57.27</v>
      </c>
      <c r="H378" s="56">
        <v>24</v>
      </c>
      <c r="I378" s="36">
        <v>1374.41</v>
      </c>
      <c r="J378" s="123">
        <v>1000</v>
      </c>
    </row>
    <row r="379" spans="1:10" x14ac:dyDescent="0.25">
      <c r="A379" s="195" t="s">
        <v>163</v>
      </c>
      <c r="B379" s="194" t="s">
        <v>66</v>
      </c>
      <c r="C379" s="267" t="s">
        <v>152</v>
      </c>
      <c r="D379" s="56">
        <v>42.183999999999997</v>
      </c>
      <c r="E379" s="307" t="s">
        <v>79</v>
      </c>
      <c r="F379" s="56">
        <v>6.49</v>
      </c>
      <c r="G379" s="162">
        <v>40.89</v>
      </c>
      <c r="H379" s="56">
        <v>24</v>
      </c>
      <c r="I379" s="36">
        <v>981.29</v>
      </c>
      <c r="J379" s="123">
        <v>1300</v>
      </c>
    </row>
    <row r="380" spans="1:10" ht="19.5" thickBot="1" x14ac:dyDescent="0.35">
      <c r="A380" s="196"/>
      <c r="B380" s="193"/>
      <c r="C380" s="276"/>
      <c r="D380" s="108"/>
      <c r="E380" s="303"/>
      <c r="F380" s="192"/>
      <c r="G380" s="182"/>
      <c r="H380" s="145" t="s">
        <v>110</v>
      </c>
      <c r="I380" s="130">
        <v>5065.2</v>
      </c>
      <c r="J380" s="131">
        <v>6700</v>
      </c>
    </row>
    <row r="381" spans="1:10" x14ac:dyDescent="0.25">
      <c r="A381" s="147" t="s">
        <v>162</v>
      </c>
      <c r="B381" s="120" t="s">
        <v>68</v>
      </c>
      <c r="C381" s="268" t="s">
        <v>114</v>
      </c>
      <c r="D381" s="108">
        <v>81.77</v>
      </c>
      <c r="E381" s="296" t="s">
        <v>79</v>
      </c>
      <c r="F381" s="118">
        <v>4.92</v>
      </c>
      <c r="G381" s="119">
        <f t="shared" ref="G381:G386" si="6">F381*6.3</f>
        <v>30.995999999999999</v>
      </c>
      <c r="H381" s="120">
        <v>24</v>
      </c>
      <c r="I381" s="119">
        <f t="shared" ref="I381:I386" si="7">G381*H381</f>
        <v>743.904</v>
      </c>
      <c r="J381" s="121">
        <v>900</v>
      </c>
    </row>
    <row r="382" spans="1:10" x14ac:dyDescent="0.25">
      <c r="A382" s="147" t="s">
        <v>162</v>
      </c>
      <c r="B382" s="37" t="s">
        <v>69</v>
      </c>
      <c r="C382" s="261" t="s">
        <v>86</v>
      </c>
      <c r="D382" s="108">
        <v>87.21</v>
      </c>
      <c r="E382" s="288" t="s">
        <v>79</v>
      </c>
      <c r="F382" s="110">
        <v>5.26</v>
      </c>
      <c r="G382" s="36">
        <f t="shared" si="6"/>
        <v>33.137999999999998</v>
      </c>
      <c r="H382" s="151">
        <v>24</v>
      </c>
      <c r="I382" s="41">
        <f t="shared" si="7"/>
        <v>795.3119999999999</v>
      </c>
      <c r="J382" s="154">
        <v>1400</v>
      </c>
    </row>
    <row r="383" spans="1:10" x14ac:dyDescent="0.25">
      <c r="A383" s="147" t="s">
        <v>162</v>
      </c>
      <c r="B383" s="50" t="s">
        <v>70</v>
      </c>
      <c r="C383" s="261" t="s">
        <v>75</v>
      </c>
      <c r="D383" s="108" t="s">
        <v>38</v>
      </c>
      <c r="E383" s="288" t="s">
        <v>79</v>
      </c>
      <c r="F383" s="36">
        <v>3.5</v>
      </c>
      <c r="G383" s="36">
        <f t="shared" si="6"/>
        <v>22.05</v>
      </c>
      <c r="H383" s="37">
        <v>24</v>
      </c>
      <c r="I383" s="36">
        <f t="shared" si="7"/>
        <v>529.20000000000005</v>
      </c>
      <c r="J383" s="123">
        <v>500</v>
      </c>
    </row>
    <row r="384" spans="1:10" x14ac:dyDescent="0.25">
      <c r="A384" s="147" t="s">
        <v>162</v>
      </c>
      <c r="B384" s="75" t="s">
        <v>71</v>
      </c>
      <c r="C384" s="272" t="s">
        <v>156</v>
      </c>
      <c r="D384" s="108">
        <v>88</v>
      </c>
      <c r="E384" s="294" t="s">
        <v>79</v>
      </c>
      <c r="F384" s="74">
        <v>4.55</v>
      </c>
      <c r="G384" s="36">
        <f t="shared" si="6"/>
        <v>28.664999999999999</v>
      </c>
      <c r="H384" s="37">
        <v>24</v>
      </c>
      <c r="I384" s="44">
        <f t="shared" si="7"/>
        <v>687.96</v>
      </c>
      <c r="J384" s="123">
        <v>1600</v>
      </c>
    </row>
    <row r="385" spans="1:10" x14ac:dyDescent="0.25">
      <c r="A385" s="147" t="s">
        <v>162</v>
      </c>
      <c r="B385" s="37" t="s">
        <v>65</v>
      </c>
      <c r="C385" s="261" t="s">
        <v>158</v>
      </c>
      <c r="D385" s="46">
        <v>57</v>
      </c>
      <c r="E385" s="288" t="s">
        <v>79</v>
      </c>
      <c r="F385" s="74">
        <v>9.19</v>
      </c>
      <c r="G385" s="36">
        <f t="shared" si="6"/>
        <v>57.896999999999998</v>
      </c>
      <c r="H385" s="35">
        <v>24</v>
      </c>
      <c r="I385" s="44">
        <f t="shared" si="7"/>
        <v>1389.528</v>
      </c>
      <c r="J385" s="123">
        <v>1000</v>
      </c>
    </row>
    <row r="386" spans="1:10" x14ac:dyDescent="0.25">
      <c r="A386" s="147" t="s">
        <v>162</v>
      </c>
      <c r="B386" s="37" t="s">
        <v>66</v>
      </c>
      <c r="C386" s="106" t="s">
        <v>152</v>
      </c>
      <c r="D386" s="34">
        <v>42.183999999999997</v>
      </c>
      <c r="E386" s="288" t="s">
        <v>79</v>
      </c>
      <c r="F386" s="73">
        <v>6.56</v>
      </c>
      <c r="G386" s="36">
        <f t="shared" si="6"/>
        <v>41.327999999999996</v>
      </c>
      <c r="H386" s="35">
        <v>24</v>
      </c>
      <c r="I386" s="44">
        <f t="shared" si="7"/>
        <v>991.87199999999984</v>
      </c>
      <c r="J386" s="123">
        <v>1300</v>
      </c>
    </row>
    <row r="387" spans="1:10" ht="19.5" thickBot="1" x14ac:dyDescent="0.35">
      <c r="A387" s="147"/>
      <c r="B387" s="149"/>
      <c r="C387"/>
      <c r="D387" s="78"/>
      <c r="E387" s="295"/>
      <c r="F387" s="114"/>
      <c r="G387" s="114"/>
      <c r="H387" s="115" t="s">
        <v>110</v>
      </c>
      <c r="I387" s="116">
        <f>SUM(I381:I386)</f>
        <v>5137.7759999999998</v>
      </c>
      <c r="J387" s="141">
        <f>SUM(J381:J386)</f>
        <v>6700</v>
      </c>
    </row>
    <row r="388" spans="1:10" x14ac:dyDescent="0.25">
      <c r="A388" s="132" t="s">
        <v>165</v>
      </c>
      <c r="B388" s="120" t="s">
        <v>68</v>
      </c>
      <c r="C388" s="268" t="s">
        <v>114</v>
      </c>
      <c r="D388" s="108">
        <v>81.77</v>
      </c>
      <c r="E388" s="296" t="s">
        <v>79</v>
      </c>
      <c r="F388" s="118">
        <v>4.8899999999999997</v>
      </c>
      <c r="G388" s="119">
        <f t="shared" ref="G388:G400" si="8">F388*6.3</f>
        <v>30.806999999999999</v>
      </c>
      <c r="H388" s="120">
        <v>24</v>
      </c>
      <c r="I388" s="119">
        <f t="shared" ref="I388:I400" si="9">G388*H388</f>
        <v>739.36799999999994</v>
      </c>
      <c r="J388" s="121">
        <v>900</v>
      </c>
    </row>
    <row r="389" spans="1:10" x14ac:dyDescent="0.25">
      <c r="A389" s="133" t="s">
        <v>165</v>
      </c>
      <c r="B389" s="37" t="s">
        <v>69</v>
      </c>
      <c r="C389" s="261" t="s">
        <v>86</v>
      </c>
      <c r="D389" s="108">
        <v>87.39</v>
      </c>
      <c r="E389" s="288" t="s">
        <v>79</v>
      </c>
      <c r="F389" s="36">
        <v>5.32</v>
      </c>
      <c r="G389" s="36">
        <f t="shared" si="8"/>
        <v>33.515999999999998</v>
      </c>
      <c r="H389" s="37">
        <v>24</v>
      </c>
      <c r="I389" s="36">
        <f t="shared" si="9"/>
        <v>804.38400000000001</v>
      </c>
      <c r="J389" s="123">
        <v>1400</v>
      </c>
    </row>
    <row r="390" spans="1:10" x14ac:dyDescent="0.25">
      <c r="A390" s="133" t="s">
        <v>165</v>
      </c>
      <c r="B390" s="34" t="s">
        <v>70</v>
      </c>
      <c r="C390" s="261" t="s">
        <v>75</v>
      </c>
      <c r="D390" s="108" t="s">
        <v>38</v>
      </c>
      <c r="E390" s="288" t="s">
        <v>79</v>
      </c>
      <c r="F390" s="36">
        <v>4.37</v>
      </c>
      <c r="G390" s="36">
        <f t="shared" si="8"/>
        <v>27.530999999999999</v>
      </c>
      <c r="H390" s="37">
        <v>24</v>
      </c>
      <c r="I390" s="36">
        <f t="shared" si="9"/>
        <v>660.74399999999991</v>
      </c>
      <c r="J390" s="123">
        <v>500</v>
      </c>
    </row>
    <row r="391" spans="1:10" x14ac:dyDescent="0.25">
      <c r="A391" s="133" t="s">
        <v>165</v>
      </c>
      <c r="B391" s="34" t="s">
        <v>71</v>
      </c>
      <c r="C391" s="273" t="s">
        <v>156</v>
      </c>
      <c r="D391" s="108">
        <v>91</v>
      </c>
      <c r="E391" s="288" t="s">
        <v>79</v>
      </c>
      <c r="F391" s="36">
        <v>4.54</v>
      </c>
      <c r="G391" s="36">
        <f t="shared" si="8"/>
        <v>28.602</v>
      </c>
      <c r="H391" s="37">
        <v>23</v>
      </c>
      <c r="I391" s="139">
        <f t="shared" si="9"/>
        <v>657.846</v>
      </c>
      <c r="J391" s="123">
        <v>1600</v>
      </c>
    </row>
    <row r="392" spans="1:10" x14ac:dyDescent="0.25">
      <c r="A392" s="133" t="s">
        <v>165</v>
      </c>
      <c r="B392" s="37" t="s">
        <v>65</v>
      </c>
      <c r="C392" s="261" t="s">
        <v>158</v>
      </c>
      <c r="D392" s="46">
        <v>54</v>
      </c>
      <c r="E392" s="288" t="s">
        <v>79</v>
      </c>
      <c r="F392" s="36">
        <v>9.1999999999999993</v>
      </c>
      <c r="G392" s="36">
        <f t="shared" si="8"/>
        <v>57.959999999999994</v>
      </c>
      <c r="H392" s="35">
        <v>24</v>
      </c>
      <c r="I392" s="139">
        <f t="shared" si="9"/>
        <v>1391.04</v>
      </c>
      <c r="J392" s="123">
        <v>1000</v>
      </c>
    </row>
    <row r="393" spans="1:10" x14ac:dyDescent="0.25">
      <c r="A393" s="133" t="s">
        <v>165</v>
      </c>
      <c r="B393" s="37" t="s">
        <v>66</v>
      </c>
      <c r="C393" s="106" t="s">
        <v>152</v>
      </c>
      <c r="D393" s="34">
        <v>42.183999999999997</v>
      </c>
      <c r="E393" s="288" t="s">
        <v>79</v>
      </c>
      <c r="F393" s="37">
        <v>6.58</v>
      </c>
      <c r="G393" s="36">
        <f t="shared" si="8"/>
        <v>41.454000000000001</v>
      </c>
      <c r="H393" s="35">
        <v>24</v>
      </c>
      <c r="I393" s="139">
        <f t="shared" si="9"/>
        <v>994.89599999999996</v>
      </c>
      <c r="J393" s="123">
        <v>1300</v>
      </c>
    </row>
    <row r="394" spans="1:10" ht="19.5" thickBot="1" x14ac:dyDescent="0.35">
      <c r="A394" s="134"/>
      <c r="B394" s="148"/>
      <c r="C394" s="271"/>
      <c r="D394" s="78"/>
      <c r="E394" s="125"/>
      <c r="F394" s="128"/>
      <c r="G394" s="128"/>
      <c r="H394" s="129" t="s">
        <v>110</v>
      </c>
      <c r="I394" s="130">
        <f>SUM(I388:I393)</f>
        <v>5248.2779999999993</v>
      </c>
      <c r="J394" s="131">
        <f>SUM(J388:J393)</f>
        <v>6700</v>
      </c>
    </row>
    <row r="395" spans="1:10" x14ac:dyDescent="0.25">
      <c r="A395" s="31" t="s">
        <v>168</v>
      </c>
      <c r="B395" s="120" t="s">
        <v>68</v>
      </c>
      <c r="C395" s="268" t="s">
        <v>114</v>
      </c>
      <c r="D395" s="108">
        <v>81.709999999999994</v>
      </c>
      <c r="E395" s="296" t="s">
        <v>79</v>
      </c>
      <c r="F395" s="118">
        <v>4.9400000000000004</v>
      </c>
      <c r="G395" s="119">
        <f t="shared" si="8"/>
        <v>31.122</v>
      </c>
      <c r="H395" s="120">
        <v>24</v>
      </c>
      <c r="I395" s="119">
        <f t="shared" si="9"/>
        <v>746.928</v>
      </c>
      <c r="J395" s="121">
        <v>900</v>
      </c>
    </row>
    <row r="396" spans="1:10" x14ac:dyDescent="0.25">
      <c r="A396" s="31" t="s">
        <v>168</v>
      </c>
      <c r="B396" s="37" t="s">
        <v>69</v>
      </c>
      <c r="C396" s="261" t="s">
        <v>86</v>
      </c>
      <c r="D396" s="108">
        <v>87.47</v>
      </c>
      <c r="E396" s="288" t="s">
        <v>79</v>
      </c>
      <c r="F396" s="36">
        <v>5.43</v>
      </c>
      <c r="G396" s="36">
        <f t="shared" si="8"/>
        <v>34.208999999999996</v>
      </c>
      <c r="H396" s="37">
        <v>24</v>
      </c>
      <c r="I396" s="36">
        <f t="shared" si="9"/>
        <v>821.01599999999985</v>
      </c>
      <c r="J396" s="123">
        <v>1400</v>
      </c>
    </row>
    <row r="397" spans="1:10" x14ac:dyDescent="0.25">
      <c r="A397" s="31" t="s">
        <v>168</v>
      </c>
      <c r="B397" s="34" t="s">
        <v>70</v>
      </c>
      <c r="C397" s="261" t="s">
        <v>75</v>
      </c>
      <c r="D397" s="108" t="s">
        <v>38</v>
      </c>
      <c r="E397" s="288" t="s">
        <v>79</v>
      </c>
      <c r="F397" s="36">
        <v>4.5599999999999996</v>
      </c>
      <c r="G397" s="36">
        <f t="shared" si="8"/>
        <v>28.727999999999998</v>
      </c>
      <c r="H397" s="37">
        <v>24</v>
      </c>
      <c r="I397" s="36">
        <f t="shared" si="9"/>
        <v>689.47199999999998</v>
      </c>
      <c r="J397" s="123">
        <v>500</v>
      </c>
    </row>
    <row r="398" spans="1:10" x14ac:dyDescent="0.25">
      <c r="A398" s="31" t="s">
        <v>168</v>
      </c>
      <c r="B398" s="34" t="s">
        <v>71</v>
      </c>
      <c r="C398" s="273" t="s">
        <v>156</v>
      </c>
      <c r="D398" s="108">
        <v>91</v>
      </c>
      <c r="E398" s="288" t="s">
        <v>79</v>
      </c>
      <c r="F398" s="36">
        <v>4.24</v>
      </c>
      <c r="G398" s="36">
        <f t="shared" si="8"/>
        <v>26.712</v>
      </c>
      <c r="H398" s="37">
        <v>24</v>
      </c>
      <c r="I398" s="139">
        <f t="shared" si="9"/>
        <v>641.08799999999997</v>
      </c>
      <c r="J398" s="123">
        <v>1600</v>
      </c>
    </row>
    <row r="399" spans="1:10" x14ac:dyDescent="0.25">
      <c r="A399" s="31" t="s">
        <v>168</v>
      </c>
      <c r="B399" s="37" t="s">
        <v>65</v>
      </c>
      <c r="C399" s="261" t="s">
        <v>158</v>
      </c>
      <c r="D399" s="46">
        <v>54</v>
      </c>
      <c r="E399" s="288" t="s">
        <v>79</v>
      </c>
      <c r="F399" s="36">
        <v>9.14</v>
      </c>
      <c r="G399" s="36">
        <f t="shared" si="8"/>
        <v>57.582000000000001</v>
      </c>
      <c r="H399" s="35">
        <v>24</v>
      </c>
      <c r="I399" s="139">
        <f t="shared" si="9"/>
        <v>1381.9680000000001</v>
      </c>
      <c r="J399" s="123">
        <v>1000</v>
      </c>
    </row>
    <row r="400" spans="1:10" ht="15.75" thickBot="1" x14ac:dyDescent="0.3">
      <c r="A400" s="31" t="s">
        <v>168</v>
      </c>
      <c r="B400" s="37" t="s">
        <v>66</v>
      </c>
      <c r="C400" s="106" t="s">
        <v>152</v>
      </c>
      <c r="D400" s="34">
        <v>42.183999999999997</v>
      </c>
      <c r="E400" s="288" t="s">
        <v>79</v>
      </c>
      <c r="F400" s="37">
        <v>6.57</v>
      </c>
      <c r="G400" s="36">
        <f t="shared" si="8"/>
        <v>41.390999999999998</v>
      </c>
      <c r="H400" s="35">
        <v>24</v>
      </c>
      <c r="I400" s="139">
        <f t="shared" si="9"/>
        <v>993.38400000000001</v>
      </c>
      <c r="J400" s="123">
        <v>1300</v>
      </c>
    </row>
    <row r="401" spans="1:10" ht="19.5" thickBot="1" x14ac:dyDescent="0.35">
      <c r="A401" s="82"/>
      <c r="B401" s="171"/>
      <c r="C401" s="277"/>
      <c r="D401" s="78"/>
      <c r="E401" s="301"/>
      <c r="F401" s="173"/>
      <c r="G401" s="173"/>
      <c r="H401" s="129" t="s">
        <v>110</v>
      </c>
      <c r="I401" s="130">
        <f>SUM(I395:I400)</f>
        <v>5273.8559999999998</v>
      </c>
      <c r="J401" s="131">
        <f>SUM(J395:J400)</f>
        <v>6700</v>
      </c>
    </row>
    <row r="402" spans="1:10" x14ac:dyDescent="0.25">
      <c r="A402" s="31" t="s">
        <v>166</v>
      </c>
      <c r="B402" s="120" t="s">
        <v>68</v>
      </c>
      <c r="C402" s="261" t="s">
        <v>114</v>
      </c>
      <c r="D402" s="108">
        <v>81.58</v>
      </c>
      <c r="E402" s="288" t="s">
        <v>79</v>
      </c>
      <c r="F402" s="109">
        <v>4.9800000000000004</v>
      </c>
      <c r="G402" s="36">
        <f t="shared" ref="G402:G407" si="10">F402*6.3</f>
        <v>31.374000000000002</v>
      </c>
      <c r="H402" s="37">
        <v>24</v>
      </c>
      <c r="I402" s="36">
        <f t="shared" ref="I402:I407" si="11">G402*H402</f>
        <v>752.97600000000011</v>
      </c>
      <c r="J402" s="36">
        <v>900</v>
      </c>
    </row>
    <row r="403" spans="1:10" x14ac:dyDescent="0.25">
      <c r="A403" s="31" t="s">
        <v>166</v>
      </c>
      <c r="B403" s="37" t="s">
        <v>69</v>
      </c>
      <c r="C403" s="261" t="s">
        <v>86</v>
      </c>
      <c r="D403" s="108">
        <v>87.47</v>
      </c>
      <c r="E403" s="288" t="s">
        <v>79</v>
      </c>
      <c r="F403" s="110">
        <v>5.52</v>
      </c>
      <c r="G403" s="36">
        <f t="shared" si="10"/>
        <v>34.775999999999996</v>
      </c>
      <c r="H403" s="37">
        <v>24</v>
      </c>
      <c r="I403" s="41">
        <f t="shared" si="11"/>
        <v>834.62399999999991</v>
      </c>
      <c r="J403" s="36">
        <v>1400</v>
      </c>
    </row>
    <row r="404" spans="1:10" x14ac:dyDescent="0.25">
      <c r="A404" s="31" t="s">
        <v>166</v>
      </c>
      <c r="B404" s="34" t="s">
        <v>70</v>
      </c>
      <c r="C404" s="261" t="s">
        <v>75</v>
      </c>
      <c r="D404" s="108" t="s">
        <v>38</v>
      </c>
      <c r="E404" s="288" t="s">
        <v>79</v>
      </c>
      <c r="F404" s="36">
        <v>4.59</v>
      </c>
      <c r="G404" s="36">
        <f t="shared" si="10"/>
        <v>28.916999999999998</v>
      </c>
      <c r="H404" s="37">
        <v>24</v>
      </c>
      <c r="I404" s="36">
        <f t="shared" si="11"/>
        <v>694.00799999999992</v>
      </c>
      <c r="J404" s="36">
        <v>500</v>
      </c>
    </row>
    <row r="405" spans="1:10" x14ac:dyDescent="0.25">
      <c r="A405" s="31" t="s">
        <v>166</v>
      </c>
      <c r="B405" s="34" t="s">
        <v>71</v>
      </c>
      <c r="C405" s="272" t="s">
        <v>156</v>
      </c>
      <c r="D405" s="108">
        <v>91</v>
      </c>
      <c r="E405" s="294" t="s">
        <v>79</v>
      </c>
      <c r="F405" s="74">
        <v>4.24</v>
      </c>
      <c r="G405" s="36">
        <f t="shared" si="10"/>
        <v>26.712</v>
      </c>
      <c r="H405" s="37">
        <v>24</v>
      </c>
      <c r="I405" s="44">
        <f t="shared" si="11"/>
        <v>641.08799999999997</v>
      </c>
      <c r="J405" s="36">
        <v>1600</v>
      </c>
    </row>
    <row r="406" spans="1:10" x14ac:dyDescent="0.25">
      <c r="A406" s="31" t="s">
        <v>166</v>
      </c>
      <c r="B406" s="37" t="s">
        <v>65</v>
      </c>
      <c r="C406" s="261" t="s">
        <v>158</v>
      </c>
      <c r="D406" s="46">
        <v>53.5</v>
      </c>
      <c r="E406" s="288" t="s">
        <v>79</v>
      </c>
      <c r="F406" s="74">
        <v>9.1</v>
      </c>
      <c r="G406" s="36">
        <f t="shared" si="10"/>
        <v>57.33</v>
      </c>
      <c r="H406" s="35">
        <v>24</v>
      </c>
      <c r="I406" s="44">
        <f t="shared" si="11"/>
        <v>1375.92</v>
      </c>
      <c r="J406" s="36">
        <v>1000</v>
      </c>
    </row>
    <row r="407" spans="1:10" ht="15.75" thickBot="1" x14ac:dyDescent="0.3">
      <c r="A407" s="31" t="s">
        <v>166</v>
      </c>
      <c r="B407" s="43" t="s">
        <v>66</v>
      </c>
      <c r="C407" s="263" t="s">
        <v>152</v>
      </c>
      <c r="D407" s="34">
        <v>43</v>
      </c>
      <c r="E407" s="294" t="s">
        <v>79</v>
      </c>
      <c r="F407" s="73">
        <v>6.6</v>
      </c>
      <c r="G407" s="74">
        <f t="shared" si="10"/>
        <v>41.58</v>
      </c>
      <c r="H407" s="91">
        <v>24</v>
      </c>
      <c r="I407" s="96">
        <f t="shared" si="11"/>
        <v>997.92</v>
      </c>
      <c r="J407" s="74">
        <v>1300</v>
      </c>
    </row>
    <row r="408" spans="1:10" ht="19.5" thickBot="1" x14ac:dyDescent="0.35">
      <c r="A408" s="82"/>
      <c r="B408" s="55"/>
      <c r="C408" s="172"/>
      <c r="D408" s="78"/>
      <c r="E408" s="301"/>
      <c r="F408" s="173"/>
      <c r="G408" s="173"/>
      <c r="H408" s="174" t="s">
        <v>110</v>
      </c>
      <c r="I408" s="101">
        <f>SUM(I402:I407)</f>
        <v>5296.5360000000001</v>
      </c>
      <c r="J408" s="104">
        <f>SUM(J402:J407)</f>
        <v>6700</v>
      </c>
    </row>
    <row r="409" spans="1:10" x14ac:dyDescent="0.25">
      <c r="A409" s="31" t="s">
        <v>167</v>
      </c>
      <c r="B409" s="120" t="s">
        <v>68</v>
      </c>
      <c r="C409" s="261" t="s">
        <v>114</v>
      </c>
      <c r="D409" s="108">
        <v>81.2</v>
      </c>
      <c r="E409" s="288" t="s">
        <v>79</v>
      </c>
      <c r="F409" s="109">
        <v>4.9000000000000004</v>
      </c>
      <c r="G409" s="36">
        <f t="shared" ref="G409:G414" si="12">F409*6.3</f>
        <v>30.87</v>
      </c>
      <c r="H409" s="37">
        <v>24</v>
      </c>
      <c r="I409" s="36">
        <f t="shared" ref="I409:I414" si="13">G409*H409</f>
        <v>740.88</v>
      </c>
      <c r="J409" s="36">
        <v>900</v>
      </c>
    </row>
    <row r="410" spans="1:10" x14ac:dyDescent="0.25">
      <c r="A410" s="31" t="s">
        <v>167</v>
      </c>
      <c r="B410" s="37" t="s">
        <v>69</v>
      </c>
      <c r="C410" s="261" t="s">
        <v>86</v>
      </c>
      <c r="D410" s="108">
        <v>84.47</v>
      </c>
      <c r="E410" s="288" t="s">
        <v>79</v>
      </c>
      <c r="F410" s="110">
        <v>5.6</v>
      </c>
      <c r="G410" s="36">
        <f t="shared" si="12"/>
        <v>35.279999999999994</v>
      </c>
      <c r="H410" s="37">
        <v>24</v>
      </c>
      <c r="I410" s="41">
        <f t="shared" si="13"/>
        <v>846.7199999999998</v>
      </c>
      <c r="J410" s="36">
        <v>1400</v>
      </c>
    </row>
    <row r="411" spans="1:10" x14ac:dyDescent="0.25">
      <c r="A411" s="31" t="s">
        <v>167</v>
      </c>
      <c r="B411" s="34" t="s">
        <v>70</v>
      </c>
      <c r="C411" s="261" t="s">
        <v>75</v>
      </c>
      <c r="D411" s="108" t="s">
        <v>38</v>
      </c>
      <c r="E411" s="288" t="s">
        <v>79</v>
      </c>
      <c r="F411" s="36">
        <v>4.5</v>
      </c>
      <c r="G411" s="36">
        <f t="shared" si="12"/>
        <v>28.349999999999998</v>
      </c>
      <c r="H411" s="37">
        <v>24</v>
      </c>
      <c r="I411" s="36">
        <f t="shared" si="13"/>
        <v>680.4</v>
      </c>
      <c r="J411" s="36">
        <v>500</v>
      </c>
    </row>
    <row r="412" spans="1:10" x14ac:dyDescent="0.25">
      <c r="A412" s="31" t="s">
        <v>167</v>
      </c>
      <c r="B412" s="34" t="s">
        <v>71</v>
      </c>
      <c r="C412" s="272" t="s">
        <v>156</v>
      </c>
      <c r="D412" s="108">
        <v>91</v>
      </c>
      <c r="E412" s="294" t="s">
        <v>79</v>
      </c>
      <c r="F412" s="74">
        <v>4.21</v>
      </c>
      <c r="G412" s="36">
        <f t="shared" si="12"/>
        <v>26.523</v>
      </c>
      <c r="H412" s="37">
        <v>24</v>
      </c>
      <c r="I412" s="44">
        <f t="shared" si="13"/>
        <v>636.55200000000002</v>
      </c>
      <c r="J412" s="36">
        <v>1600</v>
      </c>
    </row>
    <row r="413" spans="1:10" x14ac:dyDescent="0.25">
      <c r="A413" s="31" t="s">
        <v>167</v>
      </c>
      <c r="B413" s="37" t="s">
        <v>65</v>
      </c>
      <c r="C413" s="261" t="s">
        <v>158</v>
      </c>
      <c r="D413" s="46">
        <v>53.5</v>
      </c>
      <c r="E413" s="288" t="s">
        <v>79</v>
      </c>
      <c r="F413" s="74">
        <v>9.0500000000000007</v>
      </c>
      <c r="G413" s="36">
        <f t="shared" si="12"/>
        <v>57.015000000000001</v>
      </c>
      <c r="H413" s="35">
        <v>24</v>
      </c>
      <c r="I413" s="44">
        <f t="shared" si="13"/>
        <v>1368.3600000000001</v>
      </c>
      <c r="J413" s="36">
        <v>1000</v>
      </c>
    </row>
    <row r="414" spans="1:10" ht="15.75" thickBot="1" x14ac:dyDescent="0.3">
      <c r="A414" s="31" t="s">
        <v>167</v>
      </c>
      <c r="B414" s="43" t="s">
        <v>66</v>
      </c>
      <c r="C414" s="263" t="s">
        <v>152</v>
      </c>
      <c r="D414" s="34">
        <v>50</v>
      </c>
      <c r="E414" s="294" t="s">
        <v>79</v>
      </c>
      <c r="F414" s="73">
        <v>6.95</v>
      </c>
      <c r="G414" s="74">
        <f t="shared" si="12"/>
        <v>43.784999999999997</v>
      </c>
      <c r="H414" s="91">
        <v>24</v>
      </c>
      <c r="I414" s="96">
        <f t="shared" si="13"/>
        <v>1050.8399999999999</v>
      </c>
      <c r="J414" s="74">
        <v>1300</v>
      </c>
    </row>
    <row r="415" spans="1:10" ht="19.5" thickBot="1" x14ac:dyDescent="0.35">
      <c r="A415" s="82"/>
      <c r="B415" s="55"/>
      <c r="C415" s="172"/>
      <c r="D415" s="78"/>
      <c r="E415" s="301"/>
      <c r="F415" s="173"/>
      <c r="G415" s="173"/>
      <c r="H415" s="174" t="s">
        <v>110</v>
      </c>
      <c r="I415" s="101">
        <f>SUM(I409:I414)</f>
        <v>5323.7520000000004</v>
      </c>
      <c r="J415" s="104">
        <f>SUM(J409:J414)</f>
        <v>6700</v>
      </c>
    </row>
    <row r="416" spans="1:10" x14ac:dyDescent="0.25">
      <c r="A416" s="31" t="s">
        <v>169</v>
      </c>
      <c r="B416" s="120" t="s">
        <v>68</v>
      </c>
      <c r="C416" s="261" t="s">
        <v>114</v>
      </c>
      <c r="D416" s="108">
        <v>78.95</v>
      </c>
      <c r="E416" s="288" t="s">
        <v>79</v>
      </c>
      <c r="F416" s="109">
        <v>4.28</v>
      </c>
      <c r="G416" s="36">
        <f t="shared" ref="G416:G421" si="14">F416*6.3</f>
        <v>26.964000000000002</v>
      </c>
      <c r="H416" s="37">
        <v>21</v>
      </c>
      <c r="I416" s="36">
        <f t="shared" ref="I416:I421" si="15">G416*H416</f>
        <v>566.24400000000003</v>
      </c>
      <c r="J416" s="36">
        <v>900</v>
      </c>
    </row>
    <row r="417" spans="1:10" x14ac:dyDescent="0.25">
      <c r="A417" s="31" t="s">
        <v>169</v>
      </c>
      <c r="B417" s="37" t="s">
        <v>69</v>
      </c>
      <c r="C417" s="261" t="s">
        <v>86</v>
      </c>
      <c r="D417" s="108">
        <v>84.4</v>
      </c>
      <c r="E417" s="288" t="s">
        <v>79</v>
      </c>
      <c r="F417" s="110">
        <v>4.58</v>
      </c>
      <c r="G417" s="36">
        <f t="shared" si="14"/>
        <v>28.853999999999999</v>
      </c>
      <c r="H417" s="37">
        <v>21</v>
      </c>
      <c r="I417" s="41">
        <f t="shared" si="15"/>
        <v>605.93399999999997</v>
      </c>
      <c r="J417" s="36">
        <v>1400</v>
      </c>
    </row>
    <row r="418" spans="1:10" x14ac:dyDescent="0.25">
      <c r="A418" s="31" t="s">
        <v>169</v>
      </c>
      <c r="B418" s="34" t="s">
        <v>70</v>
      </c>
      <c r="C418" s="261" t="s">
        <v>75</v>
      </c>
      <c r="D418" s="108" t="s">
        <v>38</v>
      </c>
      <c r="E418" s="288" t="s">
        <v>79</v>
      </c>
      <c r="F418" s="36">
        <v>4.25</v>
      </c>
      <c r="G418" s="36">
        <f t="shared" si="14"/>
        <v>26.774999999999999</v>
      </c>
      <c r="H418" s="37">
        <v>21</v>
      </c>
      <c r="I418" s="36">
        <f t="shared" si="15"/>
        <v>562.27499999999998</v>
      </c>
      <c r="J418" s="36">
        <v>500</v>
      </c>
    </row>
    <row r="419" spans="1:10" x14ac:dyDescent="0.25">
      <c r="A419" s="31" t="s">
        <v>169</v>
      </c>
      <c r="B419" s="34" t="s">
        <v>71</v>
      </c>
      <c r="C419" s="272" t="s">
        <v>156</v>
      </c>
      <c r="D419" s="108">
        <v>90</v>
      </c>
      <c r="E419" s="294" t="s">
        <v>79</v>
      </c>
      <c r="F419" s="74">
        <v>4.5</v>
      </c>
      <c r="G419" s="36">
        <f t="shared" si="14"/>
        <v>28.349999999999998</v>
      </c>
      <c r="H419" s="37">
        <v>21</v>
      </c>
      <c r="I419" s="44">
        <f t="shared" si="15"/>
        <v>595.34999999999991</v>
      </c>
      <c r="J419" s="36">
        <v>1600</v>
      </c>
    </row>
    <row r="420" spans="1:10" x14ac:dyDescent="0.25">
      <c r="A420" s="31" t="s">
        <v>169</v>
      </c>
      <c r="B420" s="37" t="s">
        <v>65</v>
      </c>
      <c r="C420" s="261" t="s">
        <v>158</v>
      </c>
      <c r="D420" s="46">
        <v>56</v>
      </c>
      <c r="E420" s="288" t="s">
        <v>79</v>
      </c>
      <c r="F420" s="74">
        <v>8.58</v>
      </c>
      <c r="G420" s="36">
        <f t="shared" si="14"/>
        <v>54.054000000000002</v>
      </c>
      <c r="H420" s="35">
        <v>21</v>
      </c>
      <c r="I420" s="44">
        <f t="shared" si="15"/>
        <v>1135.134</v>
      </c>
      <c r="J420" s="36">
        <v>1000</v>
      </c>
    </row>
    <row r="421" spans="1:10" ht="15.75" thickBot="1" x14ac:dyDescent="0.3">
      <c r="A421" s="31" t="s">
        <v>169</v>
      </c>
      <c r="B421" s="43" t="s">
        <v>66</v>
      </c>
      <c r="C421" s="263" t="s">
        <v>152</v>
      </c>
      <c r="D421" s="34">
        <v>51</v>
      </c>
      <c r="E421" s="294" t="s">
        <v>79</v>
      </c>
      <c r="F421" s="73">
        <v>6.76</v>
      </c>
      <c r="G421" s="74">
        <f t="shared" si="14"/>
        <v>42.588000000000001</v>
      </c>
      <c r="H421" s="91">
        <v>21</v>
      </c>
      <c r="I421" s="96">
        <f t="shared" si="15"/>
        <v>894.34800000000007</v>
      </c>
      <c r="J421" s="74">
        <v>1300</v>
      </c>
    </row>
    <row r="422" spans="1:10" ht="19.5" thickBot="1" x14ac:dyDescent="0.35">
      <c r="A422" s="82"/>
      <c r="B422" s="55"/>
      <c r="C422" s="172"/>
      <c r="D422" s="78"/>
      <c r="E422" s="301"/>
      <c r="F422" s="173"/>
      <c r="G422" s="173"/>
      <c r="H422" s="174" t="s">
        <v>110</v>
      </c>
      <c r="I422" s="101">
        <f>SUM(I416:I421)</f>
        <v>4359.2849999999999</v>
      </c>
      <c r="J422" s="104">
        <f>SUM(J416:J421)</f>
        <v>6700</v>
      </c>
    </row>
    <row r="423" spans="1:10" x14ac:dyDescent="0.25">
      <c r="A423" s="31" t="s">
        <v>170</v>
      </c>
      <c r="B423" s="120" t="s">
        <v>68</v>
      </c>
      <c r="C423" s="261" t="s">
        <v>114</v>
      </c>
      <c r="D423" s="108">
        <v>78.8</v>
      </c>
      <c r="E423" s="288" t="s">
        <v>79</v>
      </c>
      <c r="F423" s="109">
        <v>5.3</v>
      </c>
      <c r="G423" s="36">
        <f t="shared" ref="G423:G428" si="16">F423*6.3</f>
        <v>33.39</v>
      </c>
      <c r="H423" s="37">
        <v>24</v>
      </c>
      <c r="I423" s="36">
        <f t="shared" ref="I423:I428" si="17">G423*H423</f>
        <v>801.36</v>
      </c>
      <c r="J423" s="36">
        <v>900</v>
      </c>
    </row>
    <row r="424" spans="1:10" x14ac:dyDescent="0.25">
      <c r="A424" s="31" t="s">
        <v>170</v>
      </c>
      <c r="B424" s="37" t="s">
        <v>69</v>
      </c>
      <c r="C424" s="261" t="s">
        <v>86</v>
      </c>
      <c r="D424" s="108">
        <v>84.2</v>
      </c>
      <c r="E424" s="288" t="s">
        <v>79</v>
      </c>
      <c r="F424" s="110">
        <v>4.95</v>
      </c>
      <c r="G424" s="36">
        <f t="shared" si="16"/>
        <v>31.184999999999999</v>
      </c>
      <c r="H424" s="37">
        <v>24</v>
      </c>
      <c r="I424" s="41">
        <f t="shared" si="17"/>
        <v>748.43999999999994</v>
      </c>
      <c r="J424" s="36">
        <v>1400</v>
      </c>
    </row>
    <row r="425" spans="1:10" x14ac:dyDescent="0.25">
      <c r="A425" s="31" t="s">
        <v>170</v>
      </c>
      <c r="B425" s="34" t="s">
        <v>70</v>
      </c>
      <c r="C425" s="261" t="s">
        <v>75</v>
      </c>
      <c r="D425" s="108" t="s">
        <v>38</v>
      </c>
      <c r="E425" s="288" t="s">
        <v>79</v>
      </c>
      <c r="F425" s="36">
        <v>3.9</v>
      </c>
      <c r="G425" s="36">
        <f t="shared" si="16"/>
        <v>24.57</v>
      </c>
      <c r="H425" s="37">
        <v>24</v>
      </c>
      <c r="I425" s="36">
        <f t="shared" si="17"/>
        <v>589.68000000000006</v>
      </c>
      <c r="J425" s="36">
        <v>500</v>
      </c>
    </row>
    <row r="426" spans="1:10" x14ac:dyDescent="0.25">
      <c r="A426" s="31" t="s">
        <v>170</v>
      </c>
      <c r="B426" s="34" t="s">
        <v>71</v>
      </c>
      <c r="C426" s="272" t="s">
        <v>156</v>
      </c>
      <c r="D426" s="108">
        <v>90</v>
      </c>
      <c r="E426" s="294" t="s">
        <v>79</v>
      </c>
      <c r="F426" s="74">
        <v>4.5</v>
      </c>
      <c r="G426" s="36">
        <f t="shared" si="16"/>
        <v>28.349999999999998</v>
      </c>
      <c r="H426" s="37">
        <v>24</v>
      </c>
      <c r="I426" s="44">
        <f t="shared" si="17"/>
        <v>680.4</v>
      </c>
      <c r="J426" s="36">
        <v>1600</v>
      </c>
    </row>
    <row r="427" spans="1:10" x14ac:dyDescent="0.25">
      <c r="A427" s="31" t="s">
        <v>170</v>
      </c>
      <c r="B427" s="37" t="s">
        <v>65</v>
      </c>
      <c r="C427" s="261" t="s">
        <v>158</v>
      </c>
      <c r="D427" s="46">
        <v>55</v>
      </c>
      <c r="E427" s="288" t="s">
        <v>79</v>
      </c>
      <c r="F427" s="74">
        <v>8.9</v>
      </c>
      <c r="G427" s="36">
        <f t="shared" si="16"/>
        <v>56.07</v>
      </c>
      <c r="H427" s="35">
        <v>24</v>
      </c>
      <c r="I427" s="44">
        <f t="shared" si="17"/>
        <v>1345.68</v>
      </c>
      <c r="J427" s="36">
        <v>1000</v>
      </c>
    </row>
    <row r="428" spans="1:10" ht="15.75" thickBot="1" x14ac:dyDescent="0.3">
      <c r="A428" s="31" t="s">
        <v>170</v>
      </c>
      <c r="B428" s="43" t="s">
        <v>66</v>
      </c>
      <c r="C428" s="263" t="s">
        <v>152</v>
      </c>
      <c r="D428" s="34">
        <v>50</v>
      </c>
      <c r="E428" s="294" t="s">
        <v>79</v>
      </c>
      <c r="F428" s="73">
        <v>7.11</v>
      </c>
      <c r="G428" s="74">
        <f t="shared" si="16"/>
        <v>44.792999999999999</v>
      </c>
      <c r="H428" s="91">
        <v>24</v>
      </c>
      <c r="I428" s="96">
        <f t="shared" si="17"/>
        <v>1075.0319999999999</v>
      </c>
      <c r="J428" s="74">
        <v>1300</v>
      </c>
    </row>
    <row r="429" spans="1:10" ht="19.5" thickBot="1" x14ac:dyDescent="0.35">
      <c r="A429" s="82"/>
      <c r="B429" s="55"/>
      <c r="C429" s="172"/>
      <c r="D429" s="78"/>
      <c r="E429" s="301"/>
      <c r="F429" s="173"/>
      <c r="G429" s="173"/>
      <c r="H429" s="174">
        <v>24</v>
      </c>
      <c r="I429" s="101">
        <f>SUM(I423:I428)</f>
        <v>5240.5920000000006</v>
      </c>
      <c r="J429" s="104">
        <f>SUM(J423:J428)</f>
        <v>6700</v>
      </c>
    </row>
    <row r="430" spans="1:10" x14ac:dyDescent="0.25">
      <c r="A430" s="31" t="s">
        <v>172</v>
      </c>
      <c r="B430" s="120" t="s">
        <v>68</v>
      </c>
      <c r="C430" s="261" t="s">
        <v>114</v>
      </c>
      <c r="D430" s="108">
        <v>77.8</v>
      </c>
      <c r="E430" s="288" t="s">
        <v>79</v>
      </c>
      <c r="F430" s="109">
        <v>5.2</v>
      </c>
      <c r="G430" s="36">
        <f t="shared" ref="G430:G435" si="18">F430*6.3</f>
        <v>32.76</v>
      </c>
      <c r="H430" s="37">
        <v>24</v>
      </c>
      <c r="I430" s="36">
        <f t="shared" ref="I430:I435" si="19">G430*H430</f>
        <v>786.24</v>
      </c>
      <c r="J430" s="36">
        <v>900</v>
      </c>
    </row>
    <row r="431" spans="1:10" x14ac:dyDescent="0.25">
      <c r="A431" s="31" t="s">
        <v>172</v>
      </c>
      <c r="B431" s="37" t="s">
        <v>69</v>
      </c>
      <c r="C431" s="261" t="s">
        <v>86</v>
      </c>
      <c r="D431" s="108">
        <v>88.2</v>
      </c>
      <c r="E431" s="288" t="s">
        <v>79</v>
      </c>
      <c r="F431" s="110">
        <v>5.9</v>
      </c>
      <c r="G431" s="36">
        <f t="shared" si="18"/>
        <v>37.17</v>
      </c>
      <c r="H431" s="37">
        <v>24</v>
      </c>
      <c r="I431" s="41">
        <f t="shared" si="19"/>
        <v>892.08</v>
      </c>
      <c r="J431" s="36">
        <v>1400</v>
      </c>
    </row>
    <row r="432" spans="1:10" x14ac:dyDescent="0.25">
      <c r="A432" s="31" t="s">
        <v>172</v>
      </c>
      <c r="B432" s="34" t="s">
        <v>70</v>
      </c>
      <c r="C432" s="261" t="s">
        <v>75</v>
      </c>
      <c r="D432" s="108" t="s">
        <v>38</v>
      </c>
      <c r="E432" s="288" t="s">
        <v>79</v>
      </c>
      <c r="F432" s="36">
        <v>3.9</v>
      </c>
      <c r="G432" s="36">
        <f t="shared" si="18"/>
        <v>24.57</v>
      </c>
      <c r="H432" s="37">
        <v>24</v>
      </c>
      <c r="I432" s="36">
        <f t="shared" si="19"/>
        <v>589.68000000000006</v>
      </c>
      <c r="J432" s="36">
        <v>500</v>
      </c>
    </row>
    <row r="433" spans="1:10" x14ac:dyDescent="0.25">
      <c r="A433" s="31" t="s">
        <v>172</v>
      </c>
      <c r="B433" s="34" t="s">
        <v>71</v>
      </c>
      <c r="C433" s="272" t="s">
        <v>156</v>
      </c>
      <c r="D433" s="108">
        <v>90</v>
      </c>
      <c r="E433" s="294" t="s">
        <v>79</v>
      </c>
      <c r="F433" s="74">
        <v>4.5</v>
      </c>
      <c r="G433" s="36">
        <f t="shared" si="18"/>
        <v>28.349999999999998</v>
      </c>
      <c r="H433" s="37">
        <v>24</v>
      </c>
      <c r="I433" s="44">
        <f t="shared" si="19"/>
        <v>680.4</v>
      </c>
      <c r="J433" s="36">
        <v>1600</v>
      </c>
    </row>
    <row r="434" spans="1:10" x14ac:dyDescent="0.25">
      <c r="A434" s="31" t="s">
        <v>172</v>
      </c>
      <c r="B434" s="37" t="s">
        <v>65</v>
      </c>
      <c r="C434" s="261" t="s">
        <v>158</v>
      </c>
      <c r="D434" s="46">
        <v>57</v>
      </c>
      <c r="E434" s="288" t="s">
        <v>79</v>
      </c>
      <c r="F434" s="74">
        <v>7.9</v>
      </c>
      <c r="G434" s="36">
        <f t="shared" si="18"/>
        <v>49.77</v>
      </c>
      <c r="H434" s="35">
        <v>24</v>
      </c>
      <c r="I434" s="44">
        <f t="shared" si="19"/>
        <v>1194.48</v>
      </c>
      <c r="J434" s="36">
        <v>1000</v>
      </c>
    </row>
    <row r="435" spans="1:10" ht="15.75" thickBot="1" x14ac:dyDescent="0.3">
      <c r="A435" s="31" t="s">
        <v>172</v>
      </c>
      <c r="B435" s="43" t="s">
        <v>66</v>
      </c>
      <c r="C435" s="263" t="s">
        <v>152</v>
      </c>
      <c r="D435" s="34">
        <v>52</v>
      </c>
      <c r="E435" s="294" t="s">
        <v>79</v>
      </c>
      <c r="F435" s="73">
        <v>7.35</v>
      </c>
      <c r="G435" s="74">
        <f t="shared" si="18"/>
        <v>46.305</v>
      </c>
      <c r="H435" s="91">
        <v>24</v>
      </c>
      <c r="I435" s="96">
        <f t="shared" si="19"/>
        <v>1111.32</v>
      </c>
      <c r="J435" s="74">
        <v>1300</v>
      </c>
    </row>
    <row r="436" spans="1:10" ht="19.5" thickBot="1" x14ac:dyDescent="0.35">
      <c r="A436" s="82"/>
      <c r="B436" s="55"/>
      <c r="C436" s="172"/>
      <c r="D436" s="78"/>
      <c r="E436" s="301"/>
      <c r="F436" s="173"/>
      <c r="G436" s="173"/>
      <c r="H436" s="174" t="s">
        <v>171</v>
      </c>
      <c r="I436" s="101">
        <f>SUM(I430:I435)</f>
        <v>5254.2</v>
      </c>
      <c r="J436" s="104">
        <f>SUM(J430:J435)</f>
        <v>6700</v>
      </c>
    </row>
    <row r="437" spans="1:10" x14ac:dyDescent="0.25">
      <c r="A437" s="31" t="s">
        <v>173</v>
      </c>
      <c r="B437" s="120" t="s">
        <v>68</v>
      </c>
      <c r="C437" s="261" t="s">
        <v>114</v>
      </c>
      <c r="D437" s="108">
        <v>77.8</v>
      </c>
      <c r="E437" s="288" t="s">
        <v>79</v>
      </c>
      <c r="F437" s="109">
        <v>5.61</v>
      </c>
      <c r="G437" s="36">
        <f t="shared" ref="G437:G442" si="20">F437*6.3</f>
        <v>35.343000000000004</v>
      </c>
      <c r="H437" s="37">
        <v>24</v>
      </c>
      <c r="I437" s="36">
        <f t="shared" ref="I437:I442" si="21">G437*H437</f>
        <v>848.23200000000008</v>
      </c>
      <c r="J437" s="36">
        <v>900</v>
      </c>
    </row>
    <row r="438" spans="1:10" x14ac:dyDescent="0.25">
      <c r="A438" s="31" t="s">
        <v>173</v>
      </c>
      <c r="B438" s="37" t="s">
        <v>69</v>
      </c>
      <c r="C438" s="261" t="s">
        <v>86</v>
      </c>
      <c r="D438" s="108">
        <v>89.91</v>
      </c>
      <c r="E438" s="288" t="s">
        <v>79</v>
      </c>
      <c r="F438" s="110">
        <v>6.22</v>
      </c>
      <c r="G438" s="36">
        <f t="shared" si="20"/>
        <v>39.186</v>
      </c>
      <c r="H438" s="37">
        <v>24</v>
      </c>
      <c r="I438" s="41">
        <f t="shared" si="21"/>
        <v>940.46399999999994</v>
      </c>
      <c r="J438" s="36">
        <v>1400</v>
      </c>
    </row>
    <row r="439" spans="1:10" x14ac:dyDescent="0.25">
      <c r="A439" s="31" t="s">
        <v>173</v>
      </c>
      <c r="B439" s="34" t="s">
        <v>70</v>
      </c>
      <c r="C439" s="261" t="s">
        <v>75</v>
      </c>
      <c r="D439" s="108" t="s">
        <v>38</v>
      </c>
      <c r="E439" s="288" t="s">
        <v>79</v>
      </c>
      <c r="F439" s="36">
        <v>3.9</v>
      </c>
      <c r="G439" s="36">
        <f t="shared" si="20"/>
        <v>24.57</v>
      </c>
      <c r="H439" s="37">
        <v>24</v>
      </c>
      <c r="I439" s="36">
        <f t="shared" si="21"/>
        <v>589.68000000000006</v>
      </c>
      <c r="J439" s="36">
        <v>500</v>
      </c>
    </row>
    <row r="440" spans="1:10" x14ac:dyDescent="0.25">
      <c r="A440" s="31" t="s">
        <v>173</v>
      </c>
      <c r="B440" s="34" t="s">
        <v>71</v>
      </c>
      <c r="C440" s="272" t="s">
        <v>156</v>
      </c>
      <c r="D440" s="108">
        <v>90</v>
      </c>
      <c r="E440" s="294" t="s">
        <v>79</v>
      </c>
      <c r="F440" s="74">
        <v>4.3600000000000003</v>
      </c>
      <c r="G440" s="36">
        <f t="shared" si="20"/>
        <v>27.468</v>
      </c>
      <c r="H440" s="37">
        <v>24</v>
      </c>
      <c r="I440" s="44">
        <f t="shared" si="21"/>
        <v>659.23199999999997</v>
      </c>
      <c r="J440" s="36">
        <v>1600</v>
      </c>
    </row>
    <row r="441" spans="1:10" x14ac:dyDescent="0.25">
      <c r="A441" s="31" t="s">
        <v>173</v>
      </c>
      <c r="B441" s="37" t="s">
        <v>65</v>
      </c>
      <c r="C441" s="261" t="s">
        <v>158</v>
      </c>
      <c r="D441" s="46">
        <v>40.82</v>
      </c>
      <c r="E441" s="288" t="s">
        <v>79</v>
      </c>
      <c r="F441" s="74">
        <v>7.02</v>
      </c>
      <c r="G441" s="36">
        <f t="shared" si="20"/>
        <v>44.225999999999999</v>
      </c>
      <c r="H441" s="35">
        <v>24</v>
      </c>
      <c r="I441" s="44">
        <f t="shared" si="21"/>
        <v>1061.424</v>
      </c>
      <c r="J441" s="36">
        <v>1000</v>
      </c>
    </row>
    <row r="442" spans="1:10" ht="15.75" thickBot="1" x14ac:dyDescent="0.3">
      <c r="A442" s="31" t="s">
        <v>173</v>
      </c>
      <c r="B442" s="43" t="s">
        <v>66</v>
      </c>
      <c r="C442" s="263" t="s">
        <v>152</v>
      </c>
      <c r="D442" s="34">
        <v>43.54</v>
      </c>
      <c r="E442" s="294" t="s">
        <v>79</v>
      </c>
      <c r="F442" s="73">
        <v>7.5</v>
      </c>
      <c r="G442" s="74">
        <f t="shared" si="20"/>
        <v>47.25</v>
      </c>
      <c r="H442" s="91">
        <v>24</v>
      </c>
      <c r="I442" s="96">
        <f t="shared" si="21"/>
        <v>1134</v>
      </c>
      <c r="J442" s="74">
        <v>1300</v>
      </c>
    </row>
    <row r="443" spans="1:10" ht="19.5" thickBot="1" x14ac:dyDescent="0.35">
      <c r="A443" s="82"/>
      <c r="B443" s="55"/>
      <c r="C443" s="172"/>
      <c r="D443" s="78"/>
      <c r="E443" s="301"/>
      <c r="F443" s="173"/>
      <c r="G443" s="173"/>
      <c r="H443" s="174" t="s">
        <v>171</v>
      </c>
      <c r="I443" s="101">
        <f>SUM(I437:I442)</f>
        <v>5233.0320000000002</v>
      </c>
      <c r="J443" s="104">
        <f>SUM(J437:J442)</f>
        <v>6700</v>
      </c>
    </row>
    <row r="444" spans="1:10" x14ac:dyDescent="0.25">
      <c r="A444" s="31" t="s">
        <v>174</v>
      </c>
      <c r="B444" s="120" t="s">
        <v>68</v>
      </c>
      <c r="C444" s="261" t="s">
        <v>114</v>
      </c>
      <c r="D444" s="108">
        <v>77.430000000000007</v>
      </c>
      <c r="E444" s="288" t="s">
        <v>79</v>
      </c>
      <c r="F444" s="109">
        <v>5.71</v>
      </c>
      <c r="G444" s="36">
        <f t="shared" ref="G444:G449" si="22">F444*6.3</f>
        <v>35.972999999999999</v>
      </c>
      <c r="H444" s="37">
        <v>24</v>
      </c>
      <c r="I444" s="36">
        <f t="shared" ref="I444:I449" si="23">G444*H444</f>
        <v>863.35199999999998</v>
      </c>
      <c r="J444" s="36">
        <v>900</v>
      </c>
    </row>
    <row r="445" spans="1:10" x14ac:dyDescent="0.25">
      <c r="A445" s="31" t="s">
        <v>174</v>
      </c>
      <c r="B445" s="37" t="s">
        <v>69</v>
      </c>
      <c r="C445" s="261" t="s">
        <v>86</v>
      </c>
      <c r="D445" s="108">
        <v>91.31</v>
      </c>
      <c r="E445" s="288" t="s">
        <v>79</v>
      </c>
      <c r="F445" s="110">
        <v>6.51</v>
      </c>
      <c r="G445" s="36">
        <f t="shared" si="22"/>
        <v>41.012999999999998</v>
      </c>
      <c r="H445" s="37">
        <v>24</v>
      </c>
      <c r="I445" s="41">
        <f t="shared" si="23"/>
        <v>984.3119999999999</v>
      </c>
      <c r="J445" s="36">
        <v>1400</v>
      </c>
    </row>
    <row r="446" spans="1:10" x14ac:dyDescent="0.25">
      <c r="A446" s="31" t="s">
        <v>174</v>
      </c>
      <c r="B446" s="34" t="s">
        <v>70</v>
      </c>
      <c r="C446" s="261" t="s">
        <v>75</v>
      </c>
      <c r="D446" s="108" t="s">
        <v>38</v>
      </c>
      <c r="E446" s="288" t="s">
        <v>79</v>
      </c>
      <c r="F446" s="36">
        <v>4.3</v>
      </c>
      <c r="G446" s="36">
        <f t="shared" si="22"/>
        <v>27.09</v>
      </c>
      <c r="H446" s="37">
        <v>24</v>
      </c>
      <c r="I446" s="36">
        <f t="shared" si="23"/>
        <v>650.16</v>
      </c>
      <c r="J446" s="36">
        <v>500</v>
      </c>
    </row>
    <row r="447" spans="1:10" x14ac:dyDescent="0.25">
      <c r="A447" s="31" t="s">
        <v>174</v>
      </c>
      <c r="B447" s="34" t="s">
        <v>71</v>
      </c>
      <c r="C447" s="272" t="s">
        <v>156</v>
      </c>
      <c r="D447" s="108">
        <v>91.33</v>
      </c>
      <c r="E447" s="294" t="s">
        <v>79</v>
      </c>
      <c r="F447" s="74">
        <v>4.3899999999999997</v>
      </c>
      <c r="G447" s="36">
        <f t="shared" si="22"/>
        <v>27.656999999999996</v>
      </c>
      <c r="H447" s="37">
        <v>24</v>
      </c>
      <c r="I447" s="44">
        <f t="shared" si="23"/>
        <v>663.76799999999992</v>
      </c>
      <c r="J447" s="36">
        <v>1600</v>
      </c>
    </row>
    <row r="448" spans="1:10" x14ac:dyDescent="0.25">
      <c r="A448" s="31" t="s">
        <v>174</v>
      </c>
      <c r="B448" s="37" t="s">
        <v>65</v>
      </c>
      <c r="C448" s="261" t="s">
        <v>158</v>
      </c>
      <c r="D448" s="46">
        <v>40.82</v>
      </c>
      <c r="E448" s="288" t="s">
        <v>79</v>
      </c>
      <c r="F448" s="74">
        <v>6.8</v>
      </c>
      <c r="G448" s="36">
        <f t="shared" si="22"/>
        <v>42.839999999999996</v>
      </c>
      <c r="H448" s="35">
        <v>24</v>
      </c>
      <c r="I448" s="44">
        <f t="shared" si="23"/>
        <v>1028.1599999999999</v>
      </c>
      <c r="J448" s="36">
        <v>1000</v>
      </c>
    </row>
    <row r="449" spans="1:10" ht="15.75" thickBot="1" x14ac:dyDescent="0.3">
      <c r="A449" s="31" t="s">
        <v>174</v>
      </c>
      <c r="B449" s="43" t="s">
        <v>66</v>
      </c>
      <c r="C449" s="263" t="s">
        <v>152</v>
      </c>
      <c r="D449" s="34">
        <v>56.8</v>
      </c>
      <c r="E449" s="294" t="s">
        <v>79</v>
      </c>
      <c r="F449" s="73">
        <v>7.9</v>
      </c>
      <c r="G449" s="74">
        <f t="shared" si="22"/>
        <v>49.77</v>
      </c>
      <c r="H449" s="91">
        <v>24</v>
      </c>
      <c r="I449" s="96">
        <f t="shared" si="23"/>
        <v>1194.48</v>
      </c>
      <c r="J449" s="74">
        <v>1300</v>
      </c>
    </row>
    <row r="450" spans="1:10" ht="19.5" thickBot="1" x14ac:dyDescent="0.35">
      <c r="A450" s="82"/>
      <c r="B450" s="55"/>
      <c r="C450" s="172"/>
      <c r="D450" s="78"/>
      <c r="E450" s="301"/>
      <c r="F450" s="173"/>
      <c r="G450" s="173"/>
      <c r="H450" s="174" t="s">
        <v>171</v>
      </c>
      <c r="I450" s="101">
        <f>SUM(I444:I449)</f>
        <v>5384.232</v>
      </c>
      <c r="J450" s="104">
        <f>SUM(J444:J449)</f>
        <v>6700</v>
      </c>
    </row>
    <row r="451" spans="1:10" x14ac:dyDescent="0.25">
      <c r="A451" s="31" t="s">
        <v>175</v>
      </c>
      <c r="B451" s="120" t="s">
        <v>68</v>
      </c>
      <c r="C451" s="261" t="s">
        <v>114</v>
      </c>
      <c r="D451" s="108">
        <v>75.650000000000006</v>
      </c>
      <c r="E451" s="288" t="s">
        <v>79</v>
      </c>
      <c r="F451" s="109">
        <v>5.78</v>
      </c>
      <c r="G451" s="36">
        <f t="shared" ref="G451:G456" si="24">F451*6.3</f>
        <v>36.414000000000001</v>
      </c>
      <c r="H451" s="37">
        <v>24</v>
      </c>
      <c r="I451" s="36">
        <f t="shared" ref="I451:I456" si="25">G451*H451</f>
        <v>873.93600000000004</v>
      </c>
      <c r="J451" s="36">
        <v>900</v>
      </c>
    </row>
    <row r="452" spans="1:10" x14ac:dyDescent="0.25">
      <c r="A452" s="31" t="s">
        <v>175</v>
      </c>
      <c r="B452" s="37" t="s">
        <v>69</v>
      </c>
      <c r="C452" s="261" t="s">
        <v>86</v>
      </c>
      <c r="D452" s="108">
        <v>90.82</v>
      </c>
      <c r="E452" s="288" t="s">
        <v>79</v>
      </c>
      <c r="F452" s="110">
        <v>6.58</v>
      </c>
      <c r="G452" s="36">
        <f t="shared" si="24"/>
        <v>41.454000000000001</v>
      </c>
      <c r="H452" s="37">
        <v>24</v>
      </c>
      <c r="I452" s="41">
        <f t="shared" si="25"/>
        <v>994.89599999999996</v>
      </c>
      <c r="J452" s="36">
        <v>1400</v>
      </c>
    </row>
    <row r="453" spans="1:10" x14ac:dyDescent="0.25">
      <c r="A453" s="31" t="s">
        <v>175</v>
      </c>
      <c r="B453" s="34" t="s">
        <v>70</v>
      </c>
      <c r="C453" s="261" t="s">
        <v>75</v>
      </c>
      <c r="D453" s="108" t="s">
        <v>38</v>
      </c>
      <c r="E453" s="288" t="s">
        <v>79</v>
      </c>
      <c r="F453" s="36">
        <v>4.2</v>
      </c>
      <c r="G453" s="36">
        <f t="shared" si="24"/>
        <v>26.46</v>
      </c>
      <c r="H453" s="37">
        <v>24</v>
      </c>
      <c r="I453" s="36">
        <f t="shared" si="25"/>
        <v>635.04</v>
      </c>
      <c r="J453" s="36">
        <v>500</v>
      </c>
    </row>
    <row r="454" spans="1:10" x14ac:dyDescent="0.25">
      <c r="A454" s="31" t="s">
        <v>175</v>
      </c>
      <c r="B454" s="34" t="s">
        <v>71</v>
      </c>
      <c r="C454" s="272" t="s">
        <v>156</v>
      </c>
      <c r="D454" s="108">
        <v>90</v>
      </c>
      <c r="E454" s="294" t="s">
        <v>79</v>
      </c>
      <c r="F454" s="74">
        <v>4.25</v>
      </c>
      <c r="G454" s="36">
        <f t="shared" si="24"/>
        <v>26.774999999999999</v>
      </c>
      <c r="H454" s="37">
        <v>24</v>
      </c>
      <c r="I454" s="44">
        <f t="shared" si="25"/>
        <v>642.59999999999991</v>
      </c>
      <c r="J454" s="36">
        <v>1600</v>
      </c>
    </row>
    <row r="455" spans="1:10" x14ac:dyDescent="0.25">
      <c r="A455" s="31" t="s">
        <v>175</v>
      </c>
      <c r="B455" s="37" t="s">
        <v>65</v>
      </c>
      <c r="C455" s="261" t="s">
        <v>158</v>
      </c>
      <c r="D455" s="46">
        <v>40.82</v>
      </c>
      <c r="E455" s="288" t="s">
        <v>79</v>
      </c>
      <c r="F455" s="74">
        <v>6.81</v>
      </c>
      <c r="G455" s="36">
        <f t="shared" si="24"/>
        <v>42.902999999999999</v>
      </c>
      <c r="H455" s="35">
        <v>24</v>
      </c>
      <c r="I455" s="44">
        <f t="shared" si="25"/>
        <v>1029.672</v>
      </c>
      <c r="J455" s="36">
        <v>1000</v>
      </c>
    </row>
    <row r="456" spans="1:10" ht="15.75" thickBot="1" x14ac:dyDescent="0.3">
      <c r="A456" s="31" t="s">
        <v>175</v>
      </c>
      <c r="B456" s="43" t="s">
        <v>66</v>
      </c>
      <c r="C456" s="263" t="s">
        <v>152</v>
      </c>
      <c r="D456" s="34">
        <v>56.8</v>
      </c>
      <c r="E456" s="294" t="s">
        <v>79</v>
      </c>
      <c r="F456" s="73">
        <v>7.69</v>
      </c>
      <c r="G456" s="74">
        <f t="shared" si="24"/>
        <v>48.447000000000003</v>
      </c>
      <c r="H456" s="91">
        <v>24</v>
      </c>
      <c r="I456" s="96">
        <f t="shared" si="25"/>
        <v>1162.7280000000001</v>
      </c>
      <c r="J456" s="74">
        <v>1300</v>
      </c>
    </row>
    <row r="457" spans="1:10" ht="19.5" thickBot="1" x14ac:dyDescent="0.35">
      <c r="A457" s="82"/>
      <c r="B457" s="55"/>
      <c r="C457" s="172"/>
      <c r="D457" s="78"/>
      <c r="E457" s="301"/>
      <c r="F457" s="173"/>
      <c r="G457" s="173"/>
      <c r="H457" s="174" t="s">
        <v>171</v>
      </c>
      <c r="I457" s="101">
        <f>SUM(I451:I456)</f>
        <v>5338.8720000000003</v>
      </c>
      <c r="J457" s="104">
        <f>SUM(J451:J456)</f>
        <v>6700</v>
      </c>
    </row>
    <row r="458" spans="1:10" x14ac:dyDescent="0.25">
      <c r="A458" s="31" t="s">
        <v>176</v>
      </c>
      <c r="B458" s="120" t="s">
        <v>68</v>
      </c>
      <c r="C458" s="261" t="s">
        <v>114</v>
      </c>
      <c r="D458" s="108">
        <v>74.98</v>
      </c>
      <c r="E458" s="288" t="s">
        <v>79</v>
      </c>
      <c r="F458" s="109">
        <v>6.05</v>
      </c>
      <c r="G458" s="36">
        <f t="shared" ref="G458:G463" si="26">F458*6.3</f>
        <v>38.114999999999995</v>
      </c>
      <c r="H458" s="37">
        <v>24</v>
      </c>
      <c r="I458" s="36">
        <f t="shared" ref="I458:I463" si="27">G458*H458</f>
        <v>914.75999999999988</v>
      </c>
      <c r="J458" s="36">
        <v>900</v>
      </c>
    </row>
    <row r="459" spans="1:10" x14ac:dyDescent="0.25">
      <c r="A459" s="31" t="s">
        <v>176</v>
      </c>
      <c r="B459" s="37" t="s">
        <v>69</v>
      </c>
      <c r="C459" s="261" t="s">
        <v>86</v>
      </c>
      <c r="D459" s="108">
        <v>91</v>
      </c>
      <c r="E459" s="288" t="s">
        <v>79</v>
      </c>
      <c r="F459" s="110">
        <v>6.93</v>
      </c>
      <c r="G459" s="36">
        <f t="shared" si="26"/>
        <v>43.658999999999999</v>
      </c>
      <c r="H459" s="37">
        <v>24</v>
      </c>
      <c r="I459" s="41">
        <f t="shared" si="27"/>
        <v>1047.816</v>
      </c>
      <c r="J459" s="36">
        <v>1400</v>
      </c>
    </row>
    <row r="460" spans="1:10" x14ac:dyDescent="0.25">
      <c r="A460" s="31" t="s">
        <v>176</v>
      </c>
      <c r="B460" s="34" t="s">
        <v>70</v>
      </c>
      <c r="C460" s="261" t="s">
        <v>75</v>
      </c>
      <c r="D460" s="108" t="s">
        <v>38</v>
      </c>
      <c r="E460" s="288" t="s">
        <v>79</v>
      </c>
      <c r="F460" s="36">
        <v>3.9</v>
      </c>
      <c r="G460" s="36">
        <f t="shared" si="26"/>
        <v>24.57</v>
      </c>
      <c r="H460" s="37">
        <v>24</v>
      </c>
      <c r="I460" s="36">
        <f t="shared" si="27"/>
        <v>589.68000000000006</v>
      </c>
      <c r="J460" s="36">
        <v>500</v>
      </c>
    </row>
    <row r="461" spans="1:10" x14ac:dyDescent="0.25">
      <c r="A461" s="31" t="s">
        <v>176</v>
      </c>
      <c r="B461" s="34" t="s">
        <v>71</v>
      </c>
      <c r="C461" s="272" t="s">
        <v>156</v>
      </c>
      <c r="D461" s="108">
        <v>90</v>
      </c>
      <c r="E461" s="294" t="s">
        <v>79</v>
      </c>
      <c r="F461" s="74">
        <v>4.4000000000000004</v>
      </c>
      <c r="G461" s="36">
        <f t="shared" si="26"/>
        <v>27.720000000000002</v>
      </c>
      <c r="H461" s="37">
        <v>24</v>
      </c>
      <c r="I461" s="44">
        <f t="shared" si="27"/>
        <v>665.28000000000009</v>
      </c>
      <c r="J461" s="36">
        <v>1600</v>
      </c>
    </row>
    <row r="462" spans="1:10" x14ac:dyDescent="0.25">
      <c r="A462" s="31" t="s">
        <v>176</v>
      </c>
      <c r="B462" s="37" t="s">
        <v>65</v>
      </c>
      <c r="C462" s="261" t="s">
        <v>158</v>
      </c>
      <c r="D462" s="46">
        <v>40.82</v>
      </c>
      <c r="E462" s="288" t="s">
        <v>79</v>
      </c>
      <c r="F462" s="74">
        <v>7.2</v>
      </c>
      <c r="G462" s="36">
        <f t="shared" si="26"/>
        <v>45.36</v>
      </c>
      <c r="H462" s="35">
        <v>24</v>
      </c>
      <c r="I462" s="44">
        <f t="shared" si="27"/>
        <v>1088.6399999999999</v>
      </c>
      <c r="J462" s="36">
        <v>1000</v>
      </c>
    </row>
    <row r="463" spans="1:10" ht="15.75" thickBot="1" x14ac:dyDescent="0.3">
      <c r="A463" s="31" t="s">
        <v>176</v>
      </c>
      <c r="B463" s="43" t="s">
        <v>66</v>
      </c>
      <c r="C463" s="263" t="s">
        <v>152</v>
      </c>
      <c r="D463" s="34">
        <v>56.8</v>
      </c>
      <c r="E463" s="294" t="s">
        <v>79</v>
      </c>
      <c r="F463" s="73">
        <v>7.8</v>
      </c>
      <c r="G463" s="74">
        <f t="shared" si="26"/>
        <v>49.14</v>
      </c>
      <c r="H463" s="91">
        <v>24</v>
      </c>
      <c r="I463" s="96">
        <f t="shared" si="27"/>
        <v>1179.3600000000001</v>
      </c>
      <c r="J463" s="74">
        <v>1300</v>
      </c>
    </row>
    <row r="464" spans="1:10" ht="19.5" thickBot="1" x14ac:dyDescent="0.35">
      <c r="A464" s="82"/>
      <c r="B464" s="55"/>
      <c r="C464" s="172"/>
      <c r="D464" s="78"/>
      <c r="E464" s="301"/>
      <c r="F464" s="173"/>
      <c r="G464" s="173"/>
      <c r="H464" s="174" t="s">
        <v>171</v>
      </c>
      <c r="I464" s="101">
        <f>SUM(I458:I463)</f>
        <v>5485.5360000000001</v>
      </c>
      <c r="J464" s="104">
        <f>SUM(J458:J463)</f>
        <v>6700</v>
      </c>
    </row>
    <row r="465" spans="1:10" x14ac:dyDescent="0.25">
      <c r="A465" s="31" t="s">
        <v>177</v>
      </c>
      <c r="B465" s="120" t="s">
        <v>68</v>
      </c>
      <c r="C465" s="261" t="s">
        <v>114</v>
      </c>
      <c r="D465" s="108">
        <v>74.12</v>
      </c>
      <c r="E465" s="288" t="s">
        <v>79</v>
      </c>
      <c r="F465" s="109">
        <v>5.95</v>
      </c>
      <c r="G465" s="36">
        <f t="shared" ref="G465:G470" si="28">F465*6.3</f>
        <v>37.484999999999999</v>
      </c>
      <c r="H465" s="37">
        <v>24</v>
      </c>
      <c r="I465" s="36">
        <f t="shared" ref="I465:I470" si="29">G465*H465</f>
        <v>899.64</v>
      </c>
      <c r="J465" s="36">
        <v>900</v>
      </c>
    </row>
    <row r="466" spans="1:10" x14ac:dyDescent="0.25">
      <c r="A466" s="31" t="s">
        <v>177</v>
      </c>
      <c r="B466" s="37" t="s">
        <v>69</v>
      </c>
      <c r="C466" s="261" t="s">
        <v>86</v>
      </c>
      <c r="D466" s="108">
        <v>91</v>
      </c>
      <c r="E466" s="288" t="s">
        <v>79</v>
      </c>
      <c r="F466" s="110">
        <v>6.8</v>
      </c>
      <c r="G466" s="36">
        <f t="shared" si="28"/>
        <v>42.839999999999996</v>
      </c>
      <c r="H466" s="37">
        <v>24</v>
      </c>
      <c r="I466" s="41">
        <f t="shared" si="29"/>
        <v>1028.1599999999999</v>
      </c>
      <c r="J466" s="36">
        <v>1400</v>
      </c>
    </row>
    <row r="467" spans="1:10" x14ac:dyDescent="0.25">
      <c r="A467" s="31" t="s">
        <v>177</v>
      </c>
      <c r="B467" s="34" t="s">
        <v>70</v>
      </c>
      <c r="C467" s="261" t="s">
        <v>75</v>
      </c>
      <c r="D467" s="108" t="s">
        <v>38</v>
      </c>
      <c r="E467" s="288" t="s">
        <v>79</v>
      </c>
      <c r="F467" s="36">
        <v>3.9</v>
      </c>
      <c r="G467" s="36">
        <f t="shared" si="28"/>
        <v>24.57</v>
      </c>
      <c r="H467" s="37">
        <v>24</v>
      </c>
      <c r="I467" s="36">
        <f t="shared" si="29"/>
        <v>589.68000000000006</v>
      </c>
      <c r="J467" s="36">
        <v>500</v>
      </c>
    </row>
    <row r="468" spans="1:10" x14ac:dyDescent="0.25">
      <c r="A468" s="31" t="s">
        <v>177</v>
      </c>
      <c r="B468" s="34" t="s">
        <v>71</v>
      </c>
      <c r="C468" s="272" t="s">
        <v>156</v>
      </c>
      <c r="D468" s="108">
        <v>90</v>
      </c>
      <c r="E468" s="294" t="s">
        <v>79</v>
      </c>
      <c r="F468" s="74">
        <v>4.3</v>
      </c>
      <c r="G468" s="36">
        <f t="shared" si="28"/>
        <v>27.09</v>
      </c>
      <c r="H468" s="37">
        <v>24</v>
      </c>
      <c r="I468" s="44">
        <f t="shared" si="29"/>
        <v>650.16</v>
      </c>
      <c r="J468" s="36">
        <v>1600</v>
      </c>
    </row>
    <row r="469" spans="1:10" x14ac:dyDescent="0.25">
      <c r="A469" s="31" t="s">
        <v>177</v>
      </c>
      <c r="B469" s="37" t="s">
        <v>65</v>
      </c>
      <c r="C469" s="261" t="s">
        <v>158</v>
      </c>
      <c r="D469" s="46">
        <v>40</v>
      </c>
      <c r="E469" s="288" t="s">
        <v>79</v>
      </c>
      <c r="F469" s="74">
        <v>7.2</v>
      </c>
      <c r="G469" s="36">
        <f t="shared" si="28"/>
        <v>45.36</v>
      </c>
      <c r="H469" s="35">
        <v>24</v>
      </c>
      <c r="I469" s="44">
        <f t="shared" si="29"/>
        <v>1088.6399999999999</v>
      </c>
      <c r="J469" s="36">
        <v>1000</v>
      </c>
    </row>
    <row r="470" spans="1:10" ht="15.75" thickBot="1" x14ac:dyDescent="0.3">
      <c r="A470" s="31" t="s">
        <v>177</v>
      </c>
      <c r="B470" s="43" t="s">
        <v>66</v>
      </c>
      <c r="C470" s="263" t="s">
        <v>152</v>
      </c>
      <c r="D470" s="34">
        <v>91</v>
      </c>
      <c r="E470" s="294" t="s">
        <v>79</v>
      </c>
      <c r="F470" s="73">
        <v>7.86</v>
      </c>
      <c r="G470" s="74">
        <f t="shared" si="28"/>
        <v>49.518000000000001</v>
      </c>
      <c r="H470" s="91">
        <v>24</v>
      </c>
      <c r="I470" s="96">
        <f t="shared" si="29"/>
        <v>1188.432</v>
      </c>
      <c r="J470" s="74">
        <v>1300</v>
      </c>
    </row>
    <row r="471" spans="1:10" ht="19.5" thickBot="1" x14ac:dyDescent="0.35">
      <c r="A471" s="204"/>
      <c r="B471" s="53"/>
      <c r="C471" s="277"/>
      <c r="D471" s="78"/>
      <c r="E471" s="301"/>
      <c r="F471" s="173"/>
      <c r="G471" s="173"/>
      <c r="H471" s="174" t="s">
        <v>171</v>
      </c>
      <c r="I471" s="101">
        <f>SUM(I465:I470)</f>
        <v>5444.7119999999986</v>
      </c>
      <c r="J471" s="104">
        <f>SUM(J465:J470)</f>
        <v>6700</v>
      </c>
    </row>
    <row r="472" spans="1:10" x14ac:dyDescent="0.25">
      <c r="A472" s="31" t="s">
        <v>178</v>
      </c>
      <c r="B472" s="120" t="s">
        <v>68</v>
      </c>
      <c r="C472" s="261" t="s">
        <v>114</v>
      </c>
      <c r="D472" s="108">
        <v>73.819999999999993</v>
      </c>
      <c r="E472" s="288" t="s">
        <v>79</v>
      </c>
      <c r="F472" s="109">
        <v>5.98</v>
      </c>
      <c r="G472" s="36">
        <f t="shared" ref="G472:G477" si="30">F472*6.3</f>
        <v>37.673999999999999</v>
      </c>
      <c r="H472" s="37">
        <v>24</v>
      </c>
      <c r="I472" s="36">
        <f t="shared" ref="I472:I477" si="31">G472*H472</f>
        <v>904.17599999999993</v>
      </c>
      <c r="J472" s="36">
        <v>900</v>
      </c>
    </row>
    <row r="473" spans="1:10" x14ac:dyDescent="0.25">
      <c r="A473" s="31" t="s">
        <v>178</v>
      </c>
      <c r="B473" s="37" t="s">
        <v>69</v>
      </c>
      <c r="C473" s="261" t="s">
        <v>86</v>
      </c>
      <c r="D473" s="108">
        <v>91</v>
      </c>
      <c r="E473" s="288" t="s">
        <v>79</v>
      </c>
      <c r="F473" s="110">
        <v>6.8</v>
      </c>
      <c r="G473" s="36">
        <f t="shared" si="30"/>
        <v>42.839999999999996</v>
      </c>
      <c r="H473" s="37">
        <v>24</v>
      </c>
      <c r="I473" s="41">
        <f t="shared" si="31"/>
        <v>1028.1599999999999</v>
      </c>
      <c r="J473" s="36">
        <v>1400</v>
      </c>
    </row>
    <row r="474" spans="1:10" x14ac:dyDescent="0.25">
      <c r="A474" s="31" t="s">
        <v>178</v>
      </c>
      <c r="B474" s="34" t="s">
        <v>70</v>
      </c>
      <c r="C474" s="261" t="s">
        <v>75</v>
      </c>
      <c r="D474" s="108" t="s">
        <v>38</v>
      </c>
      <c r="E474" s="288" t="s">
        <v>79</v>
      </c>
      <c r="F474" s="36">
        <v>3.9</v>
      </c>
      <c r="G474" s="36">
        <f t="shared" si="30"/>
        <v>24.57</v>
      </c>
      <c r="H474" s="37">
        <v>24</v>
      </c>
      <c r="I474" s="36">
        <f t="shared" si="31"/>
        <v>589.68000000000006</v>
      </c>
      <c r="J474" s="36">
        <v>500</v>
      </c>
    </row>
    <row r="475" spans="1:10" x14ac:dyDescent="0.25">
      <c r="A475" s="31" t="s">
        <v>178</v>
      </c>
      <c r="B475" s="34" t="s">
        <v>71</v>
      </c>
      <c r="C475" s="272" t="s">
        <v>156</v>
      </c>
      <c r="D475" s="108">
        <v>90</v>
      </c>
      <c r="E475" s="294" t="s">
        <v>79</v>
      </c>
      <c r="F475" s="74">
        <v>4.3</v>
      </c>
      <c r="G475" s="36">
        <f t="shared" si="30"/>
        <v>27.09</v>
      </c>
      <c r="H475" s="37">
        <v>24</v>
      </c>
      <c r="I475" s="44">
        <f t="shared" si="31"/>
        <v>650.16</v>
      </c>
      <c r="J475" s="36">
        <v>1600</v>
      </c>
    </row>
    <row r="476" spans="1:10" x14ac:dyDescent="0.25">
      <c r="A476" s="31" t="s">
        <v>178</v>
      </c>
      <c r="B476" s="37" t="s">
        <v>65</v>
      </c>
      <c r="C476" s="261" t="s">
        <v>158</v>
      </c>
      <c r="D476" s="46">
        <v>40</v>
      </c>
      <c r="E476" s="288" t="s">
        <v>79</v>
      </c>
      <c r="F476" s="74">
        <v>7.15</v>
      </c>
      <c r="G476" s="36">
        <f t="shared" si="30"/>
        <v>45.045000000000002</v>
      </c>
      <c r="H476" s="35">
        <v>24</v>
      </c>
      <c r="I476" s="44">
        <f t="shared" si="31"/>
        <v>1081.08</v>
      </c>
      <c r="J476" s="36">
        <v>1000</v>
      </c>
    </row>
    <row r="477" spans="1:10" ht="15.75" thickBot="1" x14ac:dyDescent="0.3">
      <c r="A477" s="31" t="s">
        <v>178</v>
      </c>
      <c r="B477" s="43" t="s">
        <v>66</v>
      </c>
      <c r="C477" s="263" t="s">
        <v>152</v>
      </c>
      <c r="D477" s="34">
        <v>91</v>
      </c>
      <c r="E477" s="294" t="s">
        <v>79</v>
      </c>
      <c r="F477" s="73">
        <v>7.68</v>
      </c>
      <c r="G477" s="74">
        <f t="shared" si="30"/>
        <v>48.384</v>
      </c>
      <c r="H477" s="91">
        <v>24</v>
      </c>
      <c r="I477" s="96">
        <f t="shared" si="31"/>
        <v>1161.2159999999999</v>
      </c>
      <c r="J477" s="74">
        <v>1300</v>
      </c>
    </row>
    <row r="478" spans="1:10" ht="19.5" thickBot="1" x14ac:dyDescent="0.35">
      <c r="A478" s="82"/>
      <c r="B478" s="55"/>
      <c r="C478" s="172"/>
      <c r="D478" s="78"/>
      <c r="E478" s="301"/>
      <c r="F478" s="173"/>
      <c r="G478" s="173"/>
      <c r="H478" s="174" t="s">
        <v>171</v>
      </c>
      <c r="I478" s="101">
        <f>SUM(I472:I477)</f>
        <v>5414.4719999999998</v>
      </c>
      <c r="J478" s="104">
        <f>SUM(J472:J477)</f>
        <v>6700</v>
      </c>
    </row>
    <row r="479" spans="1:10" x14ac:dyDescent="0.25">
      <c r="A479" s="31" t="s">
        <v>179</v>
      </c>
      <c r="B479" s="120" t="s">
        <v>68</v>
      </c>
      <c r="C479" s="261" t="s">
        <v>114</v>
      </c>
      <c r="D479" s="108">
        <v>73.819999999999993</v>
      </c>
      <c r="E479" s="288" t="s">
        <v>79</v>
      </c>
      <c r="F479" s="109">
        <v>5.98</v>
      </c>
      <c r="G479" s="36">
        <f t="shared" ref="G479:G484" si="32">F479*6.3</f>
        <v>37.673999999999999</v>
      </c>
      <c r="H479" s="37">
        <v>24</v>
      </c>
      <c r="I479" s="36">
        <f t="shared" ref="I479:I484" si="33">G479*H479</f>
        <v>904.17599999999993</v>
      </c>
      <c r="J479" s="36">
        <v>900</v>
      </c>
    </row>
    <row r="480" spans="1:10" x14ac:dyDescent="0.25">
      <c r="A480" s="31" t="s">
        <v>179</v>
      </c>
      <c r="B480" s="37" t="s">
        <v>69</v>
      </c>
      <c r="C480" s="261" t="s">
        <v>86</v>
      </c>
      <c r="D480" s="108">
        <v>91</v>
      </c>
      <c r="E480" s="288" t="s">
        <v>79</v>
      </c>
      <c r="F480" s="110">
        <v>6.85</v>
      </c>
      <c r="G480" s="36">
        <f t="shared" si="32"/>
        <v>43.154999999999994</v>
      </c>
      <c r="H480" s="37">
        <v>24</v>
      </c>
      <c r="I480" s="41">
        <f t="shared" si="33"/>
        <v>1035.7199999999998</v>
      </c>
      <c r="J480" s="36">
        <v>1400</v>
      </c>
    </row>
    <row r="481" spans="1:10" x14ac:dyDescent="0.25">
      <c r="A481" s="31" t="s">
        <v>179</v>
      </c>
      <c r="B481" s="34" t="s">
        <v>70</v>
      </c>
      <c r="C481" s="261" t="s">
        <v>75</v>
      </c>
      <c r="D481" s="108" t="s">
        <v>38</v>
      </c>
      <c r="E481" s="288" t="s">
        <v>79</v>
      </c>
      <c r="F481" s="36">
        <v>4.0999999999999996</v>
      </c>
      <c r="G481" s="36">
        <f t="shared" si="32"/>
        <v>25.83</v>
      </c>
      <c r="H481" s="37">
        <v>24</v>
      </c>
      <c r="I481" s="36">
        <f t="shared" si="33"/>
        <v>619.91999999999996</v>
      </c>
      <c r="J481" s="36">
        <v>500</v>
      </c>
    </row>
    <row r="482" spans="1:10" x14ac:dyDescent="0.25">
      <c r="A482" s="31" t="s">
        <v>179</v>
      </c>
      <c r="B482" s="34" t="s">
        <v>71</v>
      </c>
      <c r="C482" s="272" t="s">
        <v>156</v>
      </c>
      <c r="D482" s="108">
        <v>90</v>
      </c>
      <c r="E482" s="294" t="s">
        <v>79</v>
      </c>
      <c r="F482" s="74">
        <v>4.4000000000000004</v>
      </c>
      <c r="G482" s="36">
        <f t="shared" si="32"/>
        <v>27.720000000000002</v>
      </c>
      <c r="H482" s="37">
        <v>24</v>
      </c>
      <c r="I482" s="44">
        <f t="shared" si="33"/>
        <v>665.28000000000009</v>
      </c>
      <c r="J482" s="36">
        <v>1600</v>
      </c>
    </row>
    <row r="483" spans="1:10" x14ac:dyDescent="0.25">
      <c r="A483" s="31" t="s">
        <v>179</v>
      </c>
      <c r="B483" s="37" t="s">
        <v>65</v>
      </c>
      <c r="C483" s="261" t="s">
        <v>158</v>
      </c>
      <c r="D483" s="46">
        <v>40</v>
      </c>
      <c r="E483" s="288" t="s">
        <v>79</v>
      </c>
      <c r="F483" s="74">
        <v>7.15</v>
      </c>
      <c r="G483" s="36">
        <f t="shared" si="32"/>
        <v>45.045000000000002</v>
      </c>
      <c r="H483" s="35">
        <v>24</v>
      </c>
      <c r="I483" s="44">
        <f t="shared" si="33"/>
        <v>1081.08</v>
      </c>
      <c r="J483" s="36">
        <v>1000</v>
      </c>
    </row>
    <row r="484" spans="1:10" ht="15.75" thickBot="1" x14ac:dyDescent="0.3">
      <c r="A484" s="31" t="s">
        <v>179</v>
      </c>
      <c r="B484" s="43" t="s">
        <v>66</v>
      </c>
      <c r="C484" s="263" t="s">
        <v>152</v>
      </c>
      <c r="D484" s="34">
        <v>91</v>
      </c>
      <c r="E484" s="294" t="s">
        <v>79</v>
      </c>
      <c r="F484" s="73">
        <v>7.75</v>
      </c>
      <c r="G484" s="74">
        <f t="shared" si="32"/>
        <v>48.824999999999996</v>
      </c>
      <c r="H484" s="91">
        <v>24</v>
      </c>
      <c r="I484" s="96">
        <f t="shared" si="33"/>
        <v>1171.8</v>
      </c>
      <c r="J484" s="74">
        <v>1300</v>
      </c>
    </row>
    <row r="485" spans="1:10" ht="19.5" thickBot="1" x14ac:dyDescent="0.35">
      <c r="A485" s="82"/>
      <c r="B485" s="55"/>
      <c r="C485" s="172"/>
      <c r="D485" s="78"/>
      <c r="E485" s="301"/>
      <c r="F485" s="173"/>
      <c r="G485" s="173"/>
      <c r="H485" s="174" t="s">
        <v>171</v>
      </c>
      <c r="I485" s="101">
        <f>SUM(I479:I484)</f>
        <v>5477.9759999999997</v>
      </c>
      <c r="J485" s="104">
        <f>SUM(J479:J484)</f>
        <v>6700</v>
      </c>
    </row>
    <row r="486" spans="1:10" x14ac:dyDescent="0.25">
      <c r="A486" s="31" t="s">
        <v>180</v>
      </c>
      <c r="B486" s="120" t="s">
        <v>68</v>
      </c>
      <c r="C486" s="261" t="s">
        <v>114</v>
      </c>
      <c r="D486" s="108">
        <v>74</v>
      </c>
      <c r="E486" s="288" t="s">
        <v>79</v>
      </c>
      <c r="F486" s="109">
        <v>5.9</v>
      </c>
      <c r="G486" s="36">
        <f t="shared" ref="G486:G491" si="34">F486*6.3</f>
        <v>37.17</v>
      </c>
      <c r="H486" s="37">
        <v>24</v>
      </c>
      <c r="I486" s="36">
        <f t="shared" ref="I486:I491" si="35">G486*H486</f>
        <v>892.08</v>
      </c>
      <c r="J486" s="36">
        <v>900</v>
      </c>
    </row>
    <row r="487" spans="1:10" x14ac:dyDescent="0.25">
      <c r="A487" s="31" t="s">
        <v>180</v>
      </c>
      <c r="B487" s="37" t="s">
        <v>69</v>
      </c>
      <c r="C487" s="261" t="s">
        <v>86</v>
      </c>
      <c r="D487" s="108">
        <v>90.6</v>
      </c>
      <c r="E487" s="288" t="s">
        <v>79</v>
      </c>
      <c r="F487" s="110">
        <v>7.2</v>
      </c>
      <c r="G487" s="36">
        <f t="shared" si="34"/>
        <v>45.36</v>
      </c>
      <c r="H487" s="37">
        <v>24</v>
      </c>
      <c r="I487" s="41">
        <f t="shared" si="35"/>
        <v>1088.6399999999999</v>
      </c>
      <c r="J487" s="36">
        <v>1400</v>
      </c>
    </row>
    <row r="488" spans="1:10" x14ac:dyDescent="0.25">
      <c r="A488" s="31" t="s">
        <v>180</v>
      </c>
      <c r="B488" s="34" t="s">
        <v>70</v>
      </c>
      <c r="C488" s="261" t="s">
        <v>75</v>
      </c>
      <c r="D488" s="108" t="s">
        <v>38</v>
      </c>
      <c r="E488" s="288" t="s">
        <v>79</v>
      </c>
      <c r="F488" s="36">
        <v>3.9</v>
      </c>
      <c r="G488" s="36">
        <f t="shared" si="34"/>
        <v>24.57</v>
      </c>
      <c r="H488" s="37">
        <v>24</v>
      </c>
      <c r="I488" s="36">
        <f t="shared" si="35"/>
        <v>589.68000000000006</v>
      </c>
      <c r="J488" s="36">
        <v>500</v>
      </c>
    </row>
    <row r="489" spans="1:10" x14ac:dyDescent="0.25">
      <c r="A489" s="31" t="s">
        <v>180</v>
      </c>
      <c r="B489" s="34" t="s">
        <v>71</v>
      </c>
      <c r="C489" s="272" t="s">
        <v>156</v>
      </c>
      <c r="D489" s="108">
        <v>90</v>
      </c>
      <c r="E489" s="294" t="s">
        <v>79</v>
      </c>
      <c r="F489" s="74">
        <v>4.3</v>
      </c>
      <c r="G489" s="36">
        <f t="shared" si="34"/>
        <v>27.09</v>
      </c>
      <c r="H489" s="37">
        <v>24</v>
      </c>
      <c r="I489" s="44">
        <f t="shared" si="35"/>
        <v>650.16</v>
      </c>
      <c r="J489" s="36">
        <v>1600</v>
      </c>
    </row>
    <row r="490" spans="1:10" x14ac:dyDescent="0.25">
      <c r="A490" s="31" t="s">
        <v>180</v>
      </c>
      <c r="B490" s="37" t="s">
        <v>65</v>
      </c>
      <c r="C490" s="261" t="s">
        <v>158</v>
      </c>
      <c r="D490" s="46">
        <v>38</v>
      </c>
      <c r="E490" s="288" t="s">
        <v>79</v>
      </c>
      <c r="F490" s="74">
        <v>7.15</v>
      </c>
      <c r="G490" s="36">
        <f t="shared" si="34"/>
        <v>45.045000000000002</v>
      </c>
      <c r="H490" s="35">
        <v>24</v>
      </c>
      <c r="I490" s="44">
        <f t="shared" si="35"/>
        <v>1081.08</v>
      </c>
      <c r="J490" s="36">
        <v>1000</v>
      </c>
    </row>
    <row r="491" spans="1:10" ht="15.75" thickBot="1" x14ac:dyDescent="0.3">
      <c r="A491" s="31" t="s">
        <v>180</v>
      </c>
      <c r="B491" s="43" t="s">
        <v>66</v>
      </c>
      <c r="C491" s="263" t="s">
        <v>152</v>
      </c>
      <c r="D491" s="34">
        <v>91</v>
      </c>
      <c r="E491" s="294" t="s">
        <v>79</v>
      </c>
      <c r="F491" s="73">
        <v>7.85</v>
      </c>
      <c r="G491" s="74">
        <f t="shared" si="34"/>
        <v>49.454999999999998</v>
      </c>
      <c r="H491" s="91">
        <v>24</v>
      </c>
      <c r="I491" s="96">
        <f t="shared" si="35"/>
        <v>1186.92</v>
      </c>
      <c r="J491" s="74">
        <v>1300</v>
      </c>
    </row>
    <row r="492" spans="1:10" ht="19.5" thickBot="1" x14ac:dyDescent="0.35">
      <c r="A492" s="82"/>
      <c r="B492" s="55"/>
      <c r="C492" s="172"/>
      <c r="D492" s="78"/>
      <c r="E492" s="301"/>
      <c r="F492" s="173"/>
      <c r="G492" s="173"/>
      <c r="H492" s="174" t="s">
        <v>171</v>
      </c>
      <c r="I492" s="101">
        <f>SUM(I486:I491)</f>
        <v>5488.5599999999995</v>
      </c>
      <c r="J492" s="104">
        <f>SUM(J486:J491)</f>
        <v>6700</v>
      </c>
    </row>
    <row r="493" spans="1:10" x14ac:dyDescent="0.25">
      <c r="A493" s="31" t="s">
        <v>181</v>
      </c>
      <c r="B493" s="120" t="s">
        <v>68</v>
      </c>
      <c r="C493" s="261" t="s">
        <v>114</v>
      </c>
      <c r="D493" s="108">
        <v>73.400000000000006</v>
      </c>
      <c r="E493" s="288" t="s">
        <v>79</v>
      </c>
      <c r="F493" s="109">
        <v>5.95</v>
      </c>
      <c r="G493" s="36">
        <f t="shared" ref="G493:G498" si="36">F493*6.3</f>
        <v>37.484999999999999</v>
      </c>
      <c r="H493" s="37">
        <v>24</v>
      </c>
      <c r="I493" s="36">
        <f t="shared" ref="I493:I498" si="37">G493*H493</f>
        <v>899.64</v>
      </c>
      <c r="J493" s="36">
        <v>900</v>
      </c>
    </row>
    <row r="494" spans="1:10" x14ac:dyDescent="0.25">
      <c r="A494" s="31" t="s">
        <v>181</v>
      </c>
      <c r="B494" s="37" t="s">
        <v>69</v>
      </c>
      <c r="C494" s="261" t="s">
        <v>86</v>
      </c>
      <c r="D494" s="108">
        <v>90.6</v>
      </c>
      <c r="E494" s="288" t="s">
        <v>79</v>
      </c>
      <c r="F494" s="110">
        <v>7.25</v>
      </c>
      <c r="G494" s="36">
        <f t="shared" si="36"/>
        <v>45.674999999999997</v>
      </c>
      <c r="H494" s="37">
        <v>24</v>
      </c>
      <c r="I494" s="41">
        <f t="shared" si="37"/>
        <v>1096.1999999999998</v>
      </c>
      <c r="J494" s="36">
        <v>1400</v>
      </c>
    </row>
    <row r="495" spans="1:10" x14ac:dyDescent="0.25">
      <c r="A495" s="31" t="s">
        <v>181</v>
      </c>
      <c r="B495" s="34" t="s">
        <v>70</v>
      </c>
      <c r="C495" s="261" t="s">
        <v>75</v>
      </c>
      <c r="D495" s="108" t="s">
        <v>38</v>
      </c>
      <c r="E495" s="288" t="s">
        <v>79</v>
      </c>
      <c r="F495" s="36">
        <v>3.8</v>
      </c>
      <c r="G495" s="36">
        <f t="shared" si="36"/>
        <v>23.939999999999998</v>
      </c>
      <c r="H495" s="37">
        <v>24</v>
      </c>
      <c r="I495" s="36">
        <f t="shared" si="37"/>
        <v>574.55999999999995</v>
      </c>
      <c r="J495" s="36">
        <v>500</v>
      </c>
    </row>
    <row r="496" spans="1:10" x14ac:dyDescent="0.25">
      <c r="A496" s="31" t="s">
        <v>181</v>
      </c>
      <c r="B496" s="34" t="s">
        <v>71</v>
      </c>
      <c r="C496" s="272" t="s">
        <v>156</v>
      </c>
      <c r="D496" s="108">
        <v>90</v>
      </c>
      <c r="E496" s="294" t="s">
        <v>79</v>
      </c>
      <c r="F496" s="74">
        <v>4.3</v>
      </c>
      <c r="G496" s="36">
        <f t="shared" si="36"/>
        <v>27.09</v>
      </c>
      <c r="H496" s="37">
        <v>24</v>
      </c>
      <c r="I496" s="44">
        <f t="shared" si="37"/>
        <v>650.16</v>
      </c>
      <c r="J496" s="36">
        <v>1600</v>
      </c>
    </row>
    <row r="497" spans="1:10" x14ac:dyDescent="0.25">
      <c r="A497" s="31" t="s">
        <v>181</v>
      </c>
      <c r="B497" s="37" t="s">
        <v>65</v>
      </c>
      <c r="C497" s="261" t="s">
        <v>158</v>
      </c>
      <c r="D497" s="46">
        <v>38</v>
      </c>
      <c r="E497" s="288" t="s">
        <v>79</v>
      </c>
      <c r="F497" s="74">
        <v>7.2</v>
      </c>
      <c r="G497" s="36">
        <f t="shared" si="36"/>
        <v>45.36</v>
      </c>
      <c r="H497" s="35">
        <v>24</v>
      </c>
      <c r="I497" s="44">
        <f t="shared" si="37"/>
        <v>1088.6399999999999</v>
      </c>
      <c r="J497" s="36">
        <v>1000</v>
      </c>
    </row>
    <row r="498" spans="1:10" ht="15.75" thickBot="1" x14ac:dyDescent="0.3">
      <c r="A498" s="31" t="s">
        <v>181</v>
      </c>
      <c r="B498" s="43" t="s">
        <v>66</v>
      </c>
      <c r="C498" s="106" t="s">
        <v>152</v>
      </c>
      <c r="D498" s="34">
        <v>91</v>
      </c>
      <c r="E498" s="288" t="s">
        <v>79</v>
      </c>
      <c r="F498" s="73">
        <v>7.85</v>
      </c>
      <c r="G498" s="36">
        <f t="shared" si="36"/>
        <v>49.454999999999998</v>
      </c>
      <c r="H498" s="35">
        <v>24</v>
      </c>
      <c r="I498" s="44">
        <f t="shared" si="37"/>
        <v>1186.92</v>
      </c>
      <c r="J498" s="36">
        <v>1300</v>
      </c>
    </row>
    <row r="499" spans="1:10" ht="19.5" thickBot="1" x14ac:dyDescent="0.35">
      <c r="A499" s="146"/>
      <c r="B499" s="175"/>
      <c r="C499"/>
      <c r="D499" s="78"/>
      <c r="E499" s="295"/>
      <c r="F499" s="114"/>
      <c r="G499" s="114"/>
      <c r="H499" s="115" t="s">
        <v>171</v>
      </c>
      <c r="I499" s="116">
        <f>SUM(I493:I498)</f>
        <v>5496.119999999999</v>
      </c>
      <c r="J499" s="116">
        <f>SUM(J493:J498)</f>
        <v>6700</v>
      </c>
    </row>
    <row r="500" spans="1:10" s="31" customFormat="1" x14ac:dyDescent="0.25">
      <c r="A500" s="132" t="s">
        <v>182</v>
      </c>
      <c r="B500" s="120" t="s">
        <v>68</v>
      </c>
      <c r="C500" s="268" t="s">
        <v>114</v>
      </c>
      <c r="D500" s="108">
        <v>73.69</v>
      </c>
      <c r="E500" s="296" t="s">
        <v>79</v>
      </c>
      <c r="F500" s="118">
        <v>5.97</v>
      </c>
      <c r="G500" s="119">
        <f t="shared" ref="G500:G505" si="38">F500*6.3</f>
        <v>37.610999999999997</v>
      </c>
      <c r="H500" s="120">
        <v>24</v>
      </c>
      <c r="I500" s="119">
        <f t="shared" ref="I500:I505" si="39">G500*H500</f>
        <v>902.66399999999999</v>
      </c>
      <c r="J500" s="121">
        <v>900</v>
      </c>
    </row>
    <row r="501" spans="1:10" s="31" customFormat="1" x14ac:dyDescent="0.25">
      <c r="A501" s="133" t="s">
        <v>182</v>
      </c>
      <c r="B501" s="37" t="s">
        <v>69</v>
      </c>
      <c r="C501" s="261" t="s">
        <v>86</v>
      </c>
      <c r="D501" s="108">
        <v>91.63</v>
      </c>
      <c r="E501" s="288" t="s">
        <v>79</v>
      </c>
      <c r="F501" s="36">
        <v>6.74</v>
      </c>
      <c r="G501" s="36">
        <f t="shared" si="38"/>
        <v>42.462000000000003</v>
      </c>
      <c r="H501" s="37">
        <v>24</v>
      </c>
      <c r="I501" s="36">
        <f t="shared" si="39"/>
        <v>1019.0880000000001</v>
      </c>
      <c r="J501" s="123">
        <v>1400</v>
      </c>
    </row>
    <row r="502" spans="1:10" s="31" customFormat="1" x14ac:dyDescent="0.25">
      <c r="A502" s="133" t="s">
        <v>182</v>
      </c>
      <c r="B502" s="34" t="s">
        <v>70</v>
      </c>
      <c r="C502" s="261" t="s">
        <v>75</v>
      </c>
      <c r="D502" s="108" t="s">
        <v>38</v>
      </c>
      <c r="E502" s="288" t="s">
        <v>79</v>
      </c>
      <c r="F502" s="36">
        <v>4.5199999999999996</v>
      </c>
      <c r="G502" s="36">
        <f t="shared" si="38"/>
        <v>28.475999999999996</v>
      </c>
      <c r="H502" s="37">
        <v>24</v>
      </c>
      <c r="I502" s="36">
        <f t="shared" si="39"/>
        <v>683.42399999999986</v>
      </c>
      <c r="J502" s="123">
        <v>500</v>
      </c>
    </row>
    <row r="503" spans="1:10" s="31" customFormat="1" x14ac:dyDescent="0.25">
      <c r="A503" s="133" t="s">
        <v>182</v>
      </c>
      <c r="B503" s="34" t="s">
        <v>71</v>
      </c>
      <c r="C503" s="273" t="s">
        <v>156</v>
      </c>
      <c r="D503" s="108">
        <v>90</v>
      </c>
      <c r="E503" s="288" t="s">
        <v>79</v>
      </c>
      <c r="F503" s="36">
        <v>4.2699999999999996</v>
      </c>
      <c r="G503" s="36">
        <f t="shared" si="38"/>
        <v>26.900999999999996</v>
      </c>
      <c r="H503" s="37">
        <v>24</v>
      </c>
      <c r="I503" s="139">
        <f t="shared" si="39"/>
        <v>645.62399999999991</v>
      </c>
      <c r="J503" s="123">
        <v>1600</v>
      </c>
    </row>
    <row r="504" spans="1:10" s="31" customFormat="1" x14ac:dyDescent="0.25">
      <c r="A504" s="133" t="s">
        <v>182</v>
      </c>
      <c r="B504" s="37" t="s">
        <v>65</v>
      </c>
      <c r="C504" s="261" t="s">
        <v>158</v>
      </c>
      <c r="D504" s="46">
        <v>37.090000000000003</v>
      </c>
      <c r="E504" s="288" t="s">
        <v>79</v>
      </c>
      <c r="F504" s="36">
        <v>7.09</v>
      </c>
      <c r="G504" s="36">
        <f t="shared" si="38"/>
        <v>44.666999999999994</v>
      </c>
      <c r="H504" s="35">
        <v>24</v>
      </c>
      <c r="I504" s="139">
        <f t="shared" si="39"/>
        <v>1072.0079999999998</v>
      </c>
      <c r="J504" s="123">
        <v>1000</v>
      </c>
    </row>
    <row r="505" spans="1:10" s="31" customFormat="1" x14ac:dyDescent="0.25">
      <c r="A505" s="133" t="s">
        <v>182</v>
      </c>
      <c r="B505" s="37" t="s">
        <v>66</v>
      </c>
      <c r="C505" s="106" t="s">
        <v>152</v>
      </c>
      <c r="D505" s="34">
        <v>92.84</v>
      </c>
      <c r="E505" s="288" t="s">
        <v>79</v>
      </c>
      <c r="F505" s="37">
        <v>7.34</v>
      </c>
      <c r="G505" s="36">
        <f t="shared" si="38"/>
        <v>46.241999999999997</v>
      </c>
      <c r="H505" s="35">
        <v>24</v>
      </c>
      <c r="I505" s="139">
        <f t="shared" si="39"/>
        <v>1109.808</v>
      </c>
      <c r="J505" s="123">
        <v>1300</v>
      </c>
    </row>
    <row r="506" spans="1:10" s="31" customFormat="1" ht="19.5" thickBot="1" x14ac:dyDescent="0.35">
      <c r="A506" s="134"/>
      <c r="B506" s="66"/>
      <c r="C506" s="271"/>
      <c r="D506" s="78"/>
      <c r="E506" s="125"/>
      <c r="F506" s="128"/>
      <c r="G506" s="128"/>
      <c r="H506" s="129" t="s">
        <v>171</v>
      </c>
      <c r="I506" s="130">
        <f>SUM(I500:I505)</f>
        <v>5432.6159999999991</v>
      </c>
      <c r="J506" s="131">
        <f>SUM(J500:J505)</f>
        <v>6700</v>
      </c>
    </row>
    <row r="507" spans="1:10" x14ac:dyDescent="0.25">
      <c r="A507" s="146" t="s">
        <v>183</v>
      </c>
      <c r="B507" s="120" t="s">
        <v>68</v>
      </c>
      <c r="C507" s="268" t="s">
        <v>114</v>
      </c>
      <c r="D507" s="108">
        <v>73.94</v>
      </c>
      <c r="E507" s="296" t="s">
        <v>79</v>
      </c>
      <c r="F507" s="118">
        <v>6.04</v>
      </c>
      <c r="G507" s="119">
        <f t="shared" ref="G507:G512" si="40">F507*6.3</f>
        <v>38.052</v>
      </c>
      <c r="H507" s="120">
        <v>24</v>
      </c>
      <c r="I507" s="119">
        <f t="shared" ref="I507:I512" si="41">G507*H507</f>
        <v>913.24800000000005</v>
      </c>
      <c r="J507" s="121">
        <v>900</v>
      </c>
    </row>
    <row r="508" spans="1:10" x14ac:dyDescent="0.25">
      <c r="A508" s="147" t="s">
        <v>183</v>
      </c>
      <c r="B508" s="37" t="s">
        <v>69</v>
      </c>
      <c r="C508" s="261" t="s">
        <v>86</v>
      </c>
      <c r="D508" s="108">
        <v>90.58</v>
      </c>
      <c r="E508" s="288" t="s">
        <v>79</v>
      </c>
      <c r="F508" s="110">
        <v>6.67</v>
      </c>
      <c r="G508" s="36">
        <f t="shared" si="40"/>
        <v>42.021000000000001</v>
      </c>
      <c r="H508" s="37">
        <v>24</v>
      </c>
      <c r="I508" s="41">
        <f t="shared" si="41"/>
        <v>1008.504</v>
      </c>
      <c r="J508" s="123">
        <v>1400</v>
      </c>
    </row>
    <row r="509" spans="1:10" x14ac:dyDescent="0.25">
      <c r="A509" s="147" t="s">
        <v>183</v>
      </c>
      <c r="B509" s="34" t="s">
        <v>70</v>
      </c>
      <c r="C509" s="261" t="s">
        <v>75</v>
      </c>
      <c r="D509" s="108" t="s">
        <v>38</v>
      </c>
      <c r="E509" s="288" t="s">
        <v>79</v>
      </c>
      <c r="F509" s="36">
        <v>4.84</v>
      </c>
      <c r="G509" s="36">
        <f t="shared" si="40"/>
        <v>30.491999999999997</v>
      </c>
      <c r="H509" s="37">
        <v>24</v>
      </c>
      <c r="I509" s="36">
        <f t="shared" si="41"/>
        <v>731.80799999999999</v>
      </c>
      <c r="J509" s="123">
        <v>500</v>
      </c>
    </row>
    <row r="510" spans="1:10" x14ac:dyDescent="0.25">
      <c r="A510" s="147" t="s">
        <v>183</v>
      </c>
      <c r="B510" s="34" t="s">
        <v>71</v>
      </c>
      <c r="C510" s="272" t="s">
        <v>156</v>
      </c>
      <c r="D510" s="108">
        <v>90</v>
      </c>
      <c r="E510" s="294" t="s">
        <v>79</v>
      </c>
      <c r="F510" s="74">
        <v>4.33</v>
      </c>
      <c r="G510" s="36">
        <f t="shared" si="40"/>
        <v>27.279</v>
      </c>
      <c r="H510" s="37">
        <v>24</v>
      </c>
      <c r="I510" s="44">
        <f t="shared" si="41"/>
        <v>654.69600000000003</v>
      </c>
      <c r="J510" s="123">
        <v>1600</v>
      </c>
    </row>
    <row r="511" spans="1:10" x14ac:dyDescent="0.25">
      <c r="A511" s="147" t="s">
        <v>183</v>
      </c>
      <c r="B511" s="37" t="s">
        <v>65</v>
      </c>
      <c r="C511" s="261" t="s">
        <v>158</v>
      </c>
      <c r="D511" s="46">
        <v>37.49</v>
      </c>
      <c r="E511" s="288" t="s">
        <v>79</v>
      </c>
      <c r="F511" s="74">
        <v>7.09</v>
      </c>
      <c r="G511" s="36">
        <f t="shared" si="40"/>
        <v>44.666999999999994</v>
      </c>
      <c r="H511" s="35">
        <v>24</v>
      </c>
      <c r="I511" s="44">
        <f t="shared" si="41"/>
        <v>1072.0079999999998</v>
      </c>
      <c r="J511" s="123">
        <v>1000</v>
      </c>
    </row>
    <row r="512" spans="1:10" x14ac:dyDescent="0.25">
      <c r="A512" s="147" t="s">
        <v>183</v>
      </c>
      <c r="B512" s="37" t="s">
        <v>66</v>
      </c>
      <c r="C512" s="106" t="s">
        <v>152</v>
      </c>
      <c r="D512" s="34">
        <v>93.03</v>
      </c>
      <c r="E512" s="288" t="s">
        <v>79</v>
      </c>
      <c r="F512" s="73">
        <v>7.31</v>
      </c>
      <c r="G512" s="36">
        <f t="shared" si="40"/>
        <v>46.052999999999997</v>
      </c>
      <c r="H512" s="35">
        <v>24</v>
      </c>
      <c r="I512" s="44">
        <f t="shared" si="41"/>
        <v>1105.2719999999999</v>
      </c>
      <c r="J512" s="123">
        <v>1300</v>
      </c>
    </row>
    <row r="513" spans="1:10" ht="19.5" thickBot="1" x14ac:dyDescent="0.35">
      <c r="A513" s="150"/>
      <c r="B513" s="66"/>
      <c r="C513" s="127"/>
      <c r="D513" s="78"/>
      <c r="E513" s="125"/>
      <c r="F513" s="128"/>
      <c r="G513" s="128"/>
      <c r="H513" s="129" t="s">
        <v>171</v>
      </c>
      <c r="I513" s="130">
        <f>SUM(I507:I512)</f>
        <v>5485.5359999999991</v>
      </c>
      <c r="J513" s="131">
        <f>SUM(J507:J512)</f>
        <v>6700</v>
      </c>
    </row>
    <row r="514" spans="1:10" x14ac:dyDescent="0.25">
      <c r="A514" s="146" t="s">
        <v>184</v>
      </c>
      <c r="B514" s="120" t="s">
        <v>68</v>
      </c>
      <c r="C514" s="268" t="s">
        <v>114</v>
      </c>
      <c r="D514" s="108">
        <v>72.95</v>
      </c>
      <c r="E514" s="296" t="s">
        <v>79</v>
      </c>
      <c r="F514" s="118">
        <v>5.74</v>
      </c>
      <c r="G514" s="119">
        <f t="shared" ref="G514:G519" si="42">F514*6.3</f>
        <v>36.161999999999999</v>
      </c>
      <c r="H514" s="120">
        <v>24</v>
      </c>
      <c r="I514" s="119">
        <f t="shared" ref="I514:I519" si="43">G514*H514</f>
        <v>867.88799999999992</v>
      </c>
      <c r="J514" s="121">
        <v>900</v>
      </c>
    </row>
    <row r="515" spans="1:10" x14ac:dyDescent="0.25">
      <c r="A515" s="147" t="s">
        <v>184</v>
      </c>
      <c r="B515" s="37" t="s">
        <v>69</v>
      </c>
      <c r="C515" s="261" t="s">
        <v>86</v>
      </c>
      <c r="D515" s="108">
        <v>88.78</v>
      </c>
      <c r="E515" s="288" t="s">
        <v>79</v>
      </c>
      <c r="F515" s="110">
        <v>6.04</v>
      </c>
      <c r="G515" s="36">
        <f t="shared" si="42"/>
        <v>38.052</v>
      </c>
      <c r="H515" s="37">
        <v>24</v>
      </c>
      <c r="I515" s="41">
        <f t="shared" si="43"/>
        <v>913.24800000000005</v>
      </c>
      <c r="J515" s="123">
        <v>1400</v>
      </c>
    </row>
    <row r="516" spans="1:10" x14ac:dyDescent="0.25">
      <c r="A516" s="147" t="s">
        <v>184</v>
      </c>
      <c r="B516" s="34" t="s">
        <v>70</v>
      </c>
      <c r="C516" s="261" t="s">
        <v>75</v>
      </c>
      <c r="D516" s="108" t="s">
        <v>38</v>
      </c>
      <c r="E516" s="288" t="s">
        <v>79</v>
      </c>
      <c r="F516" s="36">
        <v>3.85</v>
      </c>
      <c r="G516" s="36">
        <f t="shared" si="42"/>
        <v>24.254999999999999</v>
      </c>
      <c r="H516" s="37">
        <v>24</v>
      </c>
      <c r="I516" s="36">
        <f t="shared" si="43"/>
        <v>582.12</v>
      </c>
      <c r="J516" s="123">
        <v>500</v>
      </c>
    </row>
    <row r="517" spans="1:10" x14ac:dyDescent="0.25">
      <c r="A517" s="147" t="s">
        <v>184</v>
      </c>
      <c r="B517" s="34" t="s">
        <v>71</v>
      </c>
      <c r="C517" s="272" t="s">
        <v>156</v>
      </c>
      <c r="D517" s="108">
        <v>90</v>
      </c>
      <c r="E517" s="294" t="s">
        <v>79</v>
      </c>
      <c r="F517" s="74">
        <v>4.13</v>
      </c>
      <c r="G517" s="36">
        <f t="shared" si="42"/>
        <v>26.018999999999998</v>
      </c>
      <c r="H517" s="37">
        <v>24</v>
      </c>
      <c r="I517" s="44">
        <f t="shared" si="43"/>
        <v>624.4559999999999</v>
      </c>
      <c r="J517" s="123">
        <v>1600</v>
      </c>
    </row>
    <row r="518" spans="1:10" x14ac:dyDescent="0.25">
      <c r="A518" s="147" t="s">
        <v>184</v>
      </c>
      <c r="B518" s="37" t="s">
        <v>65</v>
      </c>
      <c r="C518" s="261" t="s">
        <v>158</v>
      </c>
      <c r="D518" s="46">
        <v>36.71</v>
      </c>
      <c r="E518" s="288" t="s">
        <v>79</v>
      </c>
      <c r="F518" s="74">
        <v>6.98</v>
      </c>
      <c r="G518" s="36">
        <f t="shared" si="42"/>
        <v>43.974000000000004</v>
      </c>
      <c r="H518" s="35">
        <v>24</v>
      </c>
      <c r="I518" s="44">
        <f t="shared" si="43"/>
        <v>1055.3760000000002</v>
      </c>
      <c r="J518" s="123">
        <v>1000</v>
      </c>
    </row>
    <row r="519" spans="1:10" x14ac:dyDescent="0.25">
      <c r="A519" s="147" t="s">
        <v>184</v>
      </c>
      <c r="B519" s="37" t="s">
        <v>66</v>
      </c>
      <c r="C519" s="106" t="s">
        <v>152</v>
      </c>
      <c r="D519" s="34">
        <v>92.66</v>
      </c>
      <c r="E519" s="288" t="s">
        <v>79</v>
      </c>
      <c r="F519" s="73">
        <v>7.15</v>
      </c>
      <c r="G519" s="36">
        <f t="shared" si="42"/>
        <v>45.045000000000002</v>
      </c>
      <c r="H519" s="35">
        <v>24</v>
      </c>
      <c r="I519" s="44">
        <f t="shared" si="43"/>
        <v>1081.08</v>
      </c>
      <c r="J519" s="123">
        <v>1300</v>
      </c>
    </row>
    <row r="520" spans="1:10" ht="19.5" thickBot="1" x14ac:dyDescent="0.35">
      <c r="A520" s="150"/>
      <c r="B520" s="66"/>
      <c r="C520" s="127"/>
      <c r="D520" s="78"/>
      <c r="E520" s="125"/>
      <c r="F520" s="128"/>
      <c r="G520" s="128"/>
      <c r="H520" s="129" t="s">
        <v>171</v>
      </c>
      <c r="I520" s="130">
        <f>SUM(I514:I519)</f>
        <v>5124.1679999999997</v>
      </c>
      <c r="J520" s="131">
        <f>SUM(J514:J519)</f>
        <v>6700</v>
      </c>
    </row>
    <row r="521" spans="1:10" x14ac:dyDescent="0.25">
      <c r="A521" s="146" t="s">
        <v>186</v>
      </c>
      <c r="B521" s="120" t="s">
        <v>68</v>
      </c>
      <c r="C521" s="268" t="s">
        <v>114</v>
      </c>
      <c r="D521" s="108">
        <v>73.010000000000005</v>
      </c>
      <c r="E521" s="296" t="s">
        <v>79</v>
      </c>
      <c r="F521" s="118">
        <v>5.88</v>
      </c>
      <c r="G521" s="119">
        <f t="shared" ref="G521:G526" si="44">F521*6.3</f>
        <v>37.043999999999997</v>
      </c>
      <c r="H521" s="120">
        <v>24</v>
      </c>
      <c r="I521" s="119">
        <f t="shared" ref="I521:I526" si="45">G521*H521</f>
        <v>889.05599999999993</v>
      </c>
      <c r="J521" s="121">
        <v>900</v>
      </c>
    </row>
    <row r="522" spans="1:10" x14ac:dyDescent="0.25">
      <c r="A522" s="147" t="s">
        <v>186</v>
      </c>
      <c r="B522" s="37" t="s">
        <v>69</v>
      </c>
      <c r="C522" s="261" t="s">
        <v>86</v>
      </c>
      <c r="D522" s="108">
        <v>89.78</v>
      </c>
      <c r="E522" s="288" t="s">
        <v>79</v>
      </c>
      <c r="F522" s="110">
        <v>6.4</v>
      </c>
      <c r="G522" s="36">
        <f t="shared" si="44"/>
        <v>40.32</v>
      </c>
      <c r="H522" s="37">
        <v>24</v>
      </c>
      <c r="I522" s="41">
        <f t="shared" si="45"/>
        <v>967.68000000000006</v>
      </c>
      <c r="J522" s="123">
        <v>1400</v>
      </c>
    </row>
    <row r="523" spans="1:10" x14ac:dyDescent="0.25">
      <c r="A523" s="147" t="s">
        <v>186</v>
      </c>
      <c r="B523" s="34" t="s">
        <v>70</v>
      </c>
      <c r="C523" s="261" t="s">
        <v>75</v>
      </c>
      <c r="D523" s="108" t="s">
        <v>38</v>
      </c>
      <c r="E523" s="288" t="s">
        <v>79</v>
      </c>
      <c r="F523" s="36">
        <v>4.45</v>
      </c>
      <c r="G523" s="36">
        <f t="shared" si="44"/>
        <v>28.035</v>
      </c>
      <c r="H523" s="37">
        <v>24</v>
      </c>
      <c r="I523" s="36">
        <f t="shared" si="45"/>
        <v>672.84</v>
      </c>
      <c r="J523" s="123">
        <v>500</v>
      </c>
    </row>
    <row r="524" spans="1:10" x14ac:dyDescent="0.25">
      <c r="A524" s="147" t="s">
        <v>186</v>
      </c>
      <c r="B524" s="34" t="s">
        <v>71</v>
      </c>
      <c r="C524" s="272" t="s">
        <v>156</v>
      </c>
      <c r="D524" s="108">
        <v>90</v>
      </c>
      <c r="E524" s="294" t="s">
        <v>79</v>
      </c>
      <c r="F524" s="74">
        <v>4.24</v>
      </c>
      <c r="G524" s="36">
        <f t="shared" si="44"/>
        <v>26.712</v>
      </c>
      <c r="H524" s="37">
        <v>24</v>
      </c>
      <c r="I524" s="44">
        <f t="shared" si="45"/>
        <v>641.08799999999997</v>
      </c>
      <c r="J524" s="123">
        <v>1600</v>
      </c>
    </row>
    <row r="525" spans="1:10" x14ac:dyDescent="0.25">
      <c r="A525" s="147" t="s">
        <v>186</v>
      </c>
      <c r="B525" s="37" t="s">
        <v>65</v>
      </c>
      <c r="C525" s="261" t="s">
        <v>158</v>
      </c>
      <c r="D525" s="46">
        <v>36.21</v>
      </c>
      <c r="E525" s="288" t="s">
        <v>79</v>
      </c>
      <c r="F525" s="74">
        <v>7.1</v>
      </c>
      <c r="G525" s="36">
        <f t="shared" si="44"/>
        <v>44.73</v>
      </c>
      <c r="H525" s="35">
        <v>24</v>
      </c>
      <c r="I525" s="44">
        <f t="shared" si="45"/>
        <v>1073.52</v>
      </c>
      <c r="J525" s="123">
        <v>1000</v>
      </c>
    </row>
    <row r="526" spans="1:10" x14ac:dyDescent="0.25">
      <c r="A526" s="147" t="s">
        <v>186</v>
      </c>
      <c r="B526" s="37" t="s">
        <v>66</v>
      </c>
      <c r="C526" s="106" t="s">
        <v>152</v>
      </c>
      <c r="D526" s="34">
        <v>92.66</v>
      </c>
      <c r="E526" s="288" t="s">
        <v>79</v>
      </c>
      <c r="F526" s="73">
        <v>7.33</v>
      </c>
      <c r="G526" s="36">
        <f t="shared" si="44"/>
        <v>46.179000000000002</v>
      </c>
      <c r="H526" s="35">
        <v>24</v>
      </c>
      <c r="I526" s="44">
        <f t="shared" si="45"/>
        <v>1108.296</v>
      </c>
      <c r="J526" s="123">
        <v>1300</v>
      </c>
    </row>
    <row r="527" spans="1:10" ht="19.5" thickBot="1" x14ac:dyDescent="0.35">
      <c r="A527" s="147"/>
      <c r="B527" s="52"/>
      <c r="C527"/>
      <c r="D527" s="78"/>
      <c r="E527" s="295"/>
      <c r="F527" s="114"/>
      <c r="G527" s="114"/>
      <c r="H527" s="115" t="s">
        <v>171</v>
      </c>
      <c r="I527" s="116">
        <f>SUM(I521:I526)</f>
        <v>5352.48</v>
      </c>
      <c r="J527" s="141">
        <f>SUM(J521:J526)</f>
        <v>6700</v>
      </c>
    </row>
    <row r="528" spans="1:10" x14ac:dyDescent="0.25">
      <c r="A528" s="132" t="s">
        <v>187</v>
      </c>
      <c r="B528" s="120" t="s">
        <v>68</v>
      </c>
      <c r="C528" s="268" t="s">
        <v>114</v>
      </c>
      <c r="D528" s="108">
        <v>73.209999999999994</v>
      </c>
      <c r="E528" s="296" t="s">
        <v>79</v>
      </c>
      <c r="F528" s="118">
        <v>6.03</v>
      </c>
      <c r="G528" s="119">
        <f t="shared" ref="G528:G533" si="46">F528*6.3</f>
        <v>37.988999999999997</v>
      </c>
      <c r="H528" s="120">
        <v>24</v>
      </c>
      <c r="I528" s="119">
        <f t="shared" ref="I528:I533" si="47">G528*H528</f>
        <v>911.73599999999988</v>
      </c>
      <c r="J528" s="121">
        <v>900</v>
      </c>
    </row>
    <row r="529" spans="1:10" x14ac:dyDescent="0.25">
      <c r="A529" s="133" t="s">
        <v>187</v>
      </c>
      <c r="B529" s="37" t="s">
        <v>69</v>
      </c>
      <c r="C529" s="261" t="s">
        <v>86</v>
      </c>
      <c r="D529" s="108">
        <v>89.85</v>
      </c>
      <c r="E529" s="288" t="s">
        <v>79</v>
      </c>
      <c r="F529" s="36">
        <v>6.71</v>
      </c>
      <c r="G529" s="36">
        <f t="shared" si="46"/>
        <v>42.272999999999996</v>
      </c>
      <c r="H529" s="37">
        <v>24</v>
      </c>
      <c r="I529" s="36">
        <f t="shared" si="47"/>
        <v>1014.5519999999999</v>
      </c>
      <c r="J529" s="123">
        <v>1400</v>
      </c>
    </row>
    <row r="530" spans="1:10" x14ac:dyDescent="0.25">
      <c r="A530" s="133" t="s">
        <v>187</v>
      </c>
      <c r="B530" s="34" t="s">
        <v>70</v>
      </c>
      <c r="C530" s="261" t="s">
        <v>75</v>
      </c>
      <c r="D530" s="108" t="s">
        <v>38</v>
      </c>
      <c r="E530" s="288" t="s">
        <v>79</v>
      </c>
      <c r="F530" s="36">
        <v>5.1100000000000003</v>
      </c>
      <c r="G530" s="36">
        <f t="shared" si="46"/>
        <v>32.192999999999998</v>
      </c>
      <c r="H530" s="37">
        <v>24</v>
      </c>
      <c r="I530" s="36">
        <f t="shared" si="47"/>
        <v>772.63199999999995</v>
      </c>
      <c r="J530" s="123">
        <v>500</v>
      </c>
    </row>
    <row r="531" spans="1:10" x14ac:dyDescent="0.25">
      <c r="A531" s="133" t="s">
        <v>187</v>
      </c>
      <c r="B531" s="34" t="s">
        <v>71</v>
      </c>
      <c r="C531" s="273" t="s">
        <v>156</v>
      </c>
      <c r="D531" s="108">
        <v>90</v>
      </c>
      <c r="E531" s="288" t="s">
        <v>79</v>
      </c>
      <c r="F531" s="36">
        <v>4.34</v>
      </c>
      <c r="G531" s="36">
        <f t="shared" si="46"/>
        <v>27.341999999999999</v>
      </c>
      <c r="H531" s="37">
        <v>24</v>
      </c>
      <c r="I531" s="139">
        <f t="shared" si="47"/>
        <v>656.20799999999997</v>
      </c>
      <c r="J531" s="123">
        <v>1600</v>
      </c>
    </row>
    <row r="532" spans="1:10" x14ac:dyDescent="0.25">
      <c r="A532" s="133" t="s">
        <v>187</v>
      </c>
      <c r="B532" s="37" t="s">
        <v>65</v>
      </c>
      <c r="C532" s="261" t="s">
        <v>158</v>
      </c>
      <c r="D532" s="46">
        <v>36.58</v>
      </c>
      <c r="E532" s="288" t="s">
        <v>79</v>
      </c>
      <c r="F532" s="36">
        <v>7.17</v>
      </c>
      <c r="G532" s="36">
        <f t="shared" si="46"/>
        <v>45.170999999999999</v>
      </c>
      <c r="H532" s="35">
        <v>24</v>
      </c>
      <c r="I532" s="139">
        <f t="shared" si="47"/>
        <v>1084.104</v>
      </c>
      <c r="J532" s="123">
        <v>1000</v>
      </c>
    </row>
    <row r="533" spans="1:10" x14ac:dyDescent="0.25">
      <c r="A533" s="133" t="s">
        <v>187</v>
      </c>
      <c r="B533" s="37" t="s">
        <v>66</v>
      </c>
      <c r="C533" s="106" t="s">
        <v>152</v>
      </c>
      <c r="D533" s="34">
        <v>92.55</v>
      </c>
      <c r="E533" s="288" t="s">
        <v>79</v>
      </c>
      <c r="F533" s="37">
        <v>7.4</v>
      </c>
      <c r="G533" s="36">
        <f t="shared" si="46"/>
        <v>46.62</v>
      </c>
      <c r="H533" s="35">
        <v>24</v>
      </c>
      <c r="I533" s="139">
        <f t="shared" si="47"/>
        <v>1118.8799999999999</v>
      </c>
      <c r="J533" s="123">
        <v>1300</v>
      </c>
    </row>
    <row r="534" spans="1:10" ht="19.5" thickBot="1" x14ac:dyDescent="0.35">
      <c r="A534" s="134"/>
      <c r="B534" s="66"/>
      <c r="C534" s="271"/>
      <c r="D534" s="78"/>
      <c r="E534" s="125"/>
      <c r="F534" s="128"/>
      <c r="G534" s="128"/>
      <c r="H534" s="129" t="s">
        <v>171</v>
      </c>
      <c r="I534" s="130">
        <f>SUM(I528:I533)</f>
        <v>5558.1120000000001</v>
      </c>
      <c r="J534" s="131">
        <f>SUM(J528:J533)</f>
        <v>6700</v>
      </c>
    </row>
    <row r="535" spans="1:10" x14ac:dyDescent="0.25">
      <c r="A535" s="146" t="s">
        <v>188</v>
      </c>
      <c r="B535" s="120" t="s">
        <v>68</v>
      </c>
      <c r="C535" s="268" t="s">
        <v>114</v>
      </c>
      <c r="D535" s="108">
        <v>73.010000000000005</v>
      </c>
      <c r="E535" s="296" t="s">
        <v>79</v>
      </c>
      <c r="F535" s="118">
        <v>6.04</v>
      </c>
      <c r="G535" s="119">
        <f t="shared" ref="G535:G540" si="48">F535*6.3</f>
        <v>38.052</v>
      </c>
      <c r="H535" s="120">
        <v>24</v>
      </c>
      <c r="I535" s="119">
        <f t="shared" ref="I535:I540" si="49">G535*H535</f>
        <v>913.24800000000005</v>
      </c>
      <c r="J535" s="121">
        <v>900</v>
      </c>
    </row>
    <row r="536" spans="1:10" x14ac:dyDescent="0.25">
      <c r="A536" s="147" t="s">
        <v>188</v>
      </c>
      <c r="B536" s="37" t="s">
        <v>69</v>
      </c>
      <c r="C536" s="261" t="s">
        <v>86</v>
      </c>
      <c r="D536" s="108">
        <v>89.47</v>
      </c>
      <c r="E536" s="288" t="s">
        <v>79</v>
      </c>
      <c r="F536" s="110">
        <v>6.68</v>
      </c>
      <c r="G536" s="36">
        <f t="shared" si="48"/>
        <v>42.083999999999996</v>
      </c>
      <c r="H536" s="37">
        <v>24</v>
      </c>
      <c r="I536" s="41">
        <f t="shared" si="49"/>
        <v>1010.0159999999998</v>
      </c>
      <c r="J536" s="123">
        <v>1400</v>
      </c>
    </row>
    <row r="537" spans="1:10" x14ac:dyDescent="0.25">
      <c r="A537" s="147" t="s">
        <v>188</v>
      </c>
      <c r="B537" s="34" t="s">
        <v>70</v>
      </c>
      <c r="C537" s="261" t="s">
        <v>75</v>
      </c>
      <c r="D537" s="108" t="s">
        <v>38</v>
      </c>
      <c r="E537" s="288" t="s">
        <v>79</v>
      </c>
      <c r="F537" s="36">
        <v>3.59</v>
      </c>
      <c r="G537" s="36">
        <f t="shared" si="48"/>
        <v>22.616999999999997</v>
      </c>
      <c r="H537" s="37">
        <v>24</v>
      </c>
      <c r="I537" s="36">
        <f t="shared" si="49"/>
        <v>542.80799999999999</v>
      </c>
      <c r="J537" s="123">
        <v>500</v>
      </c>
    </row>
    <row r="538" spans="1:10" x14ac:dyDescent="0.25">
      <c r="A538" s="147" t="s">
        <v>188</v>
      </c>
      <c r="B538" s="34" t="s">
        <v>71</v>
      </c>
      <c r="C538" s="272" t="s">
        <v>156</v>
      </c>
      <c r="D538" s="108">
        <v>90</v>
      </c>
      <c r="E538" s="294" t="s">
        <v>79</v>
      </c>
      <c r="F538" s="74">
        <v>4.33</v>
      </c>
      <c r="G538" s="36">
        <f t="shared" si="48"/>
        <v>27.279</v>
      </c>
      <c r="H538" s="37">
        <v>24</v>
      </c>
      <c r="I538" s="44">
        <f t="shared" si="49"/>
        <v>654.69600000000003</v>
      </c>
      <c r="J538" s="123">
        <v>1600</v>
      </c>
    </row>
    <row r="539" spans="1:10" x14ac:dyDescent="0.25">
      <c r="A539" s="147" t="s">
        <v>188</v>
      </c>
      <c r="B539" s="37" t="s">
        <v>65</v>
      </c>
      <c r="C539" s="261" t="s">
        <v>158</v>
      </c>
      <c r="D539" s="46">
        <v>36.76</v>
      </c>
      <c r="E539" s="288" t="s">
        <v>79</v>
      </c>
      <c r="F539" s="74">
        <v>7.17</v>
      </c>
      <c r="G539" s="36">
        <f t="shared" si="48"/>
        <v>45.170999999999999</v>
      </c>
      <c r="H539" s="35">
        <v>24</v>
      </c>
      <c r="I539" s="44">
        <f t="shared" si="49"/>
        <v>1084.104</v>
      </c>
      <c r="J539" s="123">
        <v>1000</v>
      </c>
    </row>
    <row r="540" spans="1:10" x14ac:dyDescent="0.25">
      <c r="A540" s="147" t="s">
        <v>188</v>
      </c>
      <c r="B540" s="37" t="s">
        <v>66</v>
      </c>
      <c r="C540" s="106" t="s">
        <v>152</v>
      </c>
      <c r="D540" s="34">
        <v>92.05</v>
      </c>
      <c r="E540" s="288" t="s">
        <v>79</v>
      </c>
      <c r="F540" s="73">
        <v>7.38</v>
      </c>
      <c r="G540" s="36">
        <f t="shared" si="48"/>
        <v>46.494</v>
      </c>
      <c r="H540" s="35">
        <v>24</v>
      </c>
      <c r="I540" s="44">
        <f t="shared" si="49"/>
        <v>1115.856</v>
      </c>
      <c r="J540" s="123">
        <v>1300</v>
      </c>
    </row>
    <row r="541" spans="1:10" ht="19.5" thickBot="1" x14ac:dyDescent="0.35">
      <c r="A541" s="150"/>
      <c r="B541" s="66"/>
      <c r="C541" s="127"/>
      <c r="D541" s="78"/>
      <c r="E541" s="125"/>
      <c r="F541" s="128"/>
      <c r="G541" s="128"/>
      <c r="H541" s="129" t="s">
        <v>171</v>
      </c>
      <c r="I541" s="130">
        <f>SUM(I535:I540)</f>
        <v>5320.7280000000001</v>
      </c>
      <c r="J541" s="131">
        <f>SUM(J535:J540)</f>
        <v>6700</v>
      </c>
    </row>
    <row r="542" spans="1:10" x14ac:dyDescent="0.25">
      <c r="A542" s="146" t="s">
        <v>189</v>
      </c>
      <c r="B542" s="120" t="s">
        <v>68</v>
      </c>
      <c r="C542" s="268" t="s">
        <v>114</v>
      </c>
      <c r="D542" s="108">
        <v>73.09</v>
      </c>
      <c r="E542" s="296" t="s">
        <v>79</v>
      </c>
      <c r="F542" s="118">
        <v>6.07</v>
      </c>
      <c r="G542" s="119">
        <f t="shared" ref="G542:G547" si="50">F542*6.3</f>
        <v>38.241</v>
      </c>
      <c r="H542" s="120">
        <v>24</v>
      </c>
      <c r="I542" s="119">
        <f t="shared" ref="I542:I547" si="51">G542*H542</f>
        <v>917.78399999999999</v>
      </c>
      <c r="J542" s="121">
        <v>900</v>
      </c>
    </row>
    <row r="543" spans="1:10" x14ac:dyDescent="0.25">
      <c r="A543" s="147" t="s">
        <v>189</v>
      </c>
      <c r="B543" s="37" t="s">
        <v>69</v>
      </c>
      <c r="C543" s="261" t="s">
        <v>86</v>
      </c>
      <c r="D543" s="108">
        <v>89.55</v>
      </c>
      <c r="E543" s="288" t="s">
        <v>79</v>
      </c>
      <c r="F543" s="110">
        <v>6.69</v>
      </c>
      <c r="G543" s="36">
        <f t="shared" si="50"/>
        <v>42.146999999999998</v>
      </c>
      <c r="H543" s="37">
        <v>24</v>
      </c>
      <c r="I543" s="41">
        <f t="shared" si="51"/>
        <v>1011.528</v>
      </c>
      <c r="J543" s="123">
        <v>1400</v>
      </c>
    </row>
    <row r="544" spans="1:10" x14ac:dyDescent="0.25">
      <c r="A544" s="147" t="s">
        <v>189</v>
      </c>
      <c r="B544" s="34" t="s">
        <v>70</v>
      </c>
      <c r="C544" s="261" t="s">
        <v>75</v>
      </c>
      <c r="D544" s="108" t="s">
        <v>38</v>
      </c>
      <c r="E544" s="288" t="s">
        <v>79</v>
      </c>
      <c r="F544" s="36">
        <v>4.74</v>
      </c>
      <c r="G544" s="36">
        <f t="shared" si="50"/>
        <v>29.862000000000002</v>
      </c>
      <c r="H544" s="37">
        <v>24</v>
      </c>
      <c r="I544" s="36">
        <f t="shared" si="51"/>
        <v>716.6880000000001</v>
      </c>
      <c r="J544" s="123">
        <v>500</v>
      </c>
    </row>
    <row r="545" spans="1:10" x14ac:dyDescent="0.25">
      <c r="A545" s="147" t="s">
        <v>189</v>
      </c>
      <c r="B545" s="34" t="s">
        <v>71</v>
      </c>
      <c r="C545" s="272" t="s">
        <v>156</v>
      </c>
      <c r="D545" s="108">
        <v>90</v>
      </c>
      <c r="E545" s="294" t="s">
        <v>79</v>
      </c>
      <c r="F545" s="74">
        <v>4.3099999999999996</v>
      </c>
      <c r="G545" s="36">
        <f t="shared" si="50"/>
        <v>27.152999999999995</v>
      </c>
      <c r="H545" s="37">
        <v>24</v>
      </c>
      <c r="I545" s="44">
        <f t="shared" si="51"/>
        <v>651.67199999999991</v>
      </c>
      <c r="J545" s="123">
        <v>1600</v>
      </c>
    </row>
    <row r="546" spans="1:10" x14ac:dyDescent="0.25">
      <c r="A546" s="147" t="s">
        <v>189</v>
      </c>
      <c r="B546" s="37" t="s">
        <v>65</v>
      </c>
      <c r="C546" s="261" t="s">
        <v>158</v>
      </c>
      <c r="D546" s="46">
        <v>36.89</v>
      </c>
      <c r="E546" s="288" t="s">
        <v>79</v>
      </c>
      <c r="F546" s="74">
        <v>7.11</v>
      </c>
      <c r="G546" s="36">
        <f t="shared" si="50"/>
        <v>44.792999999999999</v>
      </c>
      <c r="H546" s="35">
        <v>24</v>
      </c>
      <c r="I546" s="44">
        <f t="shared" si="51"/>
        <v>1075.0319999999999</v>
      </c>
      <c r="J546" s="123">
        <v>1000</v>
      </c>
    </row>
    <row r="547" spans="1:10" x14ac:dyDescent="0.25">
      <c r="A547" s="147" t="s">
        <v>189</v>
      </c>
      <c r="B547" s="37" t="s">
        <v>66</v>
      </c>
      <c r="C547" s="106" t="s">
        <v>152</v>
      </c>
      <c r="D547" s="34">
        <v>92.05</v>
      </c>
      <c r="E547" s="288" t="s">
        <v>79</v>
      </c>
      <c r="F547" s="73">
        <v>7.28</v>
      </c>
      <c r="G547" s="36">
        <f t="shared" si="50"/>
        <v>45.863999999999997</v>
      </c>
      <c r="H547" s="35">
        <v>24</v>
      </c>
      <c r="I547" s="44">
        <f t="shared" si="51"/>
        <v>1100.7359999999999</v>
      </c>
      <c r="J547" s="123">
        <v>1300</v>
      </c>
    </row>
    <row r="548" spans="1:10" ht="19.5" thickBot="1" x14ac:dyDescent="0.35">
      <c r="A548" s="150"/>
      <c r="B548" s="66"/>
      <c r="C548" s="127"/>
      <c r="D548" s="78"/>
      <c r="E548" s="125"/>
      <c r="F548" s="128"/>
      <c r="G548" s="128"/>
      <c r="H548" s="129" t="s">
        <v>171</v>
      </c>
      <c r="I548" s="130">
        <f>SUM(I542:I547)</f>
        <v>5473.44</v>
      </c>
      <c r="J548" s="131">
        <f>SUM(J542:J547)</f>
        <v>6700</v>
      </c>
    </row>
    <row r="549" spans="1:10" x14ac:dyDescent="0.25">
      <c r="A549" s="146" t="s">
        <v>191</v>
      </c>
      <c r="B549" s="120" t="s">
        <v>68</v>
      </c>
      <c r="C549" s="268" t="s">
        <v>114</v>
      </c>
      <c r="D549" s="108">
        <v>73.09</v>
      </c>
      <c r="E549" s="296" t="s">
        <v>79</v>
      </c>
      <c r="F549" s="118">
        <v>6.11</v>
      </c>
      <c r="G549" s="119">
        <f t="shared" ref="G549:G554" si="52">F549*6.3</f>
        <v>38.493000000000002</v>
      </c>
      <c r="H549" s="120">
        <v>24</v>
      </c>
      <c r="I549" s="119">
        <f t="shared" ref="I549:I554" si="53">G549*H549</f>
        <v>923.83200000000011</v>
      </c>
      <c r="J549" s="121">
        <v>900</v>
      </c>
    </row>
    <row r="550" spans="1:10" x14ac:dyDescent="0.25">
      <c r="A550" s="147" t="s">
        <v>191</v>
      </c>
      <c r="B550" s="37" t="s">
        <v>69</v>
      </c>
      <c r="C550" s="261" t="s">
        <v>86</v>
      </c>
      <c r="D550" s="108">
        <v>89.61</v>
      </c>
      <c r="E550" s="288" t="s">
        <v>79</v>
      </c>
      <c r="F550" s="110">
        <v>6.85</v>
      </c>
      <c r="G550" s="36">
        <f t="shared" si="52"/>
        <v>43.154999999999994</v>
      </c>
      <c r="H550" s="37">
        <v>24</v>
      </c>
      <c r="I550" s="41">
        <f t="shared" si="53"/>
        <v>1035.7199999999998</v>
      </c>
      <c r="J550" s="123">
        <v>1400</v>
      </c>
    </row>
    <row r="551" spans="1:10" x14ac:dyDescent="0.25">
      <c r="A551" s="147" t="s">
        <v>191</v>
      </c>
      <c r="B551" s="34" t="s">
        <v>70</v>
      </c>
      <c r="C551" s="261" t="s">
        <v>75</v>
      </c>
      <c r="D551" s="108" t="s">
        <v>38</v>
      </c>
      <c r="E551" s="288" t="s">
        <v>79</v>
      </c>
      <c r="F551" s="36">
        <v>4.9000000000000004</v>
      </c>
      <c r="G551" s="36">
        <f t="shared" si="52"/>
        <v>30.87</v>
      </c>
      <c r="H551" s="37">
        <v>24</v>
      </c>
      <c r="I551" s="36">
        <f t="shared" si="53"/>
        <v>740.88</v>
      </c>
      <c r="J551" s="123">
        <v>500</v>
      </c>
    </row>
    <row r="552" spans="1:10" x14ac:dyDescent="0.25">
      <c r="A552" s="147" t="s">
        <v>191</v>
      </c>
      <c r="B552" s="34" t="s">
        <v>71</v>
      </c>
      <c r="C552" s="272" t="s">
        <v>156</v>
      </c>
      <c r="D552" s="108">
        <v>90</v>
      </c>
      <c r="E552" s="294" t="s">
        <v>79</v>
      </c>
      <c r="F552" s="74">
        <v>4.33</v>
      </c>
      <c r="G552" s="36">
        <f t="shared" si="52"/>
        <v>27.279</v>
      </c>
      <c r="H552" s="37">
        <v>24</v>
      </c>
      <c r="I552" s="44">
        <f t="shared" si="53"/>
        <v>654.69600000000003</v>
      </c>
      <c r="J552" s="123">
        <v>1600</v>
      </c>
    </row>
    <row r="553" spans="1:10" x14ac:dyDescent="0.25">
      <c r="A553" s="147" t="s">
        <v>191</v>
      </c>
      <c r="B553" s="37" t="s">
        <v>65</v>
      </c>
      <c r="C553" s="261" t="s">
        <v>158</v>
      </c>
      <c r="D553" s="46">
        <v>37.44</v>
      </c>
      <c r="E553" s="288" t="s">
        <v>79</v>
      </c>
      <c r="F553" s="74">
        <v>7.11</v>
      </c>
      <c r="G553" s="36">
        <f t="shared" si="52"/>
        <v>44.792999999999999</v>
      </c>
      <c r="H553" s="35">
        <v>24</v>
      </c>
      <c r="I553" s="44">
        <f t="shared" si="53"/>
        <v>1075.0319999999999</v>
      </c>
      <c r="J553" s="123">
        <v>1000</v>
      </c>
    </row>
    <row r="554" spans="1:10" x14ac:dyDescent="0.25">
      <c r="A554" s="147" t="s">
        <v>191</v>
      </c>
      <c r="B554" s="37" t="s">
        <v>66</v>
      </c>
      <c r="C554" s="106" t="s">
        <v>152</v>
      </c>
      <c r="D554" s="34">
        <v>92.43</v>
      </c>
      <c r="E554" s="288" t="s">
        <v>79</v>
      </c>
      <c r="F554" s="73">
        <v>7.24</v>
      </c>
      <c r="G554" s="36">
        <f t="shared" si="52"/>
        <v>45.612000000000002</v>
      </c>
      <c r="H554" s="35">
        <v>24</v>
      </c>
      <c r="I554" s="44">
        <f t="shared" si="53"/>
        <v>1094.6880000000001</v>
      </c>
      <c r="J554" s="123">
        <v>1300</v>
      </c>
    </row>
    <row r="555" spans="1:10" ht="19.5" thickBot="1" x14ac:dyDescent="0.35">
      <c r="A555" s="150"/>
      <c r="B555" s="66"/>
      <c r="C555" s="127"/>
      <c r="D555" s="78"/>
      <c r="E555" s="125"/>
      <c r="F555" s="128"/>
      <c r="G555" s="128"/>
      <c r="H555" s="129" t="s">
        <v>171</v>
      </c>
      <c r="I555" s="130">
        <f>SUM(I549:I554)</f>
        <v>5524.848</v>
      </c>
      <c r="J555" s="131">
        <f>SUM(J549:J554)</f>
        <v>6700</v>
      </c>
    </row>
    <row r="556" spans="1:10" x14ac:dyDescent="0.25">
      <c r="A556" s="146" t="s">
        <v>192</v>
      </c>
      <c r="B556" s="120" t="s">
        <v>68</v>
      </c>
      <c r="C556" s="268" t="s">
        <v>114</v>
      </c>
      <c r="D556" s="108">
        <v>63.29</v>
      </c>
      <c r="E556" s="296" t="s">
        <v>79</v>
      </c>
      <c r="F556" s="118">
        <v>6.14</v>
      </c>
      <c r="G556" s="119">
        <f t="shared" ref="G556:G561" si="54">F556*6.3</f>
        <v>38.681999999999995</v>
      </c>
      <c r="H556" s="120">
        <v>18</v>
      </c>
      <c r="I556" s="119">
        <f t="shared" ref="I556:I561" si="55">G556*H556</f>
        <v>696.27599999999995</v>
      </c>
      <c r="J556" s="121">
        <v>900</v>
      </c>
    </row>
    <row r="557" spans="1:10" x14ac:dyDescent="0.25">
      <c r="A557" s="147" t="s">
        <v>192</v>
      </c>
      <c r="B557" s="37" t="s">
        <v>69</v>
      </c>
      <c r="C557" s="261" t="s">
        <v>86</v>
      </c>
      <c r="D557" s="108">
        <v>82.56</v>
      </c>
      <c r="E557" s="288" t="s">
        <v>79</v>
      </c>
      <c r="F557" s="110">
        <v>6.81</v>
      </c>
      <c r="G557" s="36">
        <f t="shared" si="54"/>
        <v>42.902999999999999</v>
      </c>
      <c r="H557" s="37">
        <v>18</v>
      </c>
      <c r="I557" s="41">
        <f t="shared" si="55"/>
        <v>772.25400000000002</v>
      </c>
      <c r="J557" s="123">
        <v>1400</v>
      </c>
    </row>
    <row r="558" spans="1:10" x14ac:dyDescent="0.25">
      <c r="A558" s="147" t="s">
        <v>192</v>
      </c>
      <c r="B558" s="34" t="s">
        <v>70</v>
      </c>
      <c r="C558" s="261" t="s">
        <v>75</v>
      </c>
      <c r="D558" s="108" t="s">
        <v>38</v>
      </c>
      <c r="E558" s="288" t="s">
        <v>79</v>
      </c>
      <c r="F558" s="36">
        <v>4.9000000000000004</v>
      </c>
      <c r="G558" s="36">
        <f t="shared" si="54"/>
        <v>30.87</v>
      </c>
      <c r="H558" s="37">
        <v>18</v>
      </c>
      <c r="I558" s="36">
        <f t="shared" si="55"/>
        <v>555.66</v>
      </c>
      <c r="J558" s="123">
        <v>500</v>
      </c>
    </row>
    <row r="559" spans="1:10" x14ac:dyDescent="0.25">
      <c r="A559" s="147" t="s">
        <v>192</v>
      </c>
      <c r="B559" s="34" t="s">
        <v>71</v>
      </c>
      <c r="C559" s="272" t="s">
        <v>156</v>
      </c>
      <c r="D559" s="108">
        <v>85.5</v>
      </c>
      <c r="E559" s="294" t="s">
        <v>79</v>
      </c>
      <c r="F559" s="74">
        <v>4.33</v>
      </c>
      <c r="G559" s="36">
        <f t="shared" si="54"/>
        <v>27.279</v>
      </c>
      <c r="H559" s="37">
        <v>18</v>
      </c>
      <c r="I559" s="44">
        <f t="shared" si="55"/>
        <v>491.02199999999999</v>
      </c>
      <c r="J559" s="123">
        <v>1600</v>
      </c>
    </row>
    <row r="560" spans="1:10" x14ac:dyDescent="0.25">
      <c r="A560" s="147" t="s">
        <v>192</v>
      </c>
      <c r="B560" s="37" t="s">
        <v>65</v>
      </c>
      <c r="C560" s="261" t="s">
        <v>158</v>
      </c>
      <c r="D560" s="46">
        <v>33.950000000000003</v>
      </c>
      <c r="E560" s="288" t="s">
        <v>79</v>
      </c>
      <c r="F560" s="74">
        <v>7.11</v>
      </c>
      <c r="G560" s="36">
        <f t="shared" si="54"/>
        <v>44.792999999999999</v>
      </c>
      <c r="H560" s="35">
        <v>18</v>
      </c>
      <c r="I560" s="44">
        <f t="shared" si="55"/>
        <v>806.274</v>
      </c>
      <c r="J560" s="123">
        <v>1000</v>
      </c>
    </row>
    <row r="561" spans="1:10" x14ac:dyDescent="0.25">
      <c r="A561" s="147" t="s">
        <v>192</v>
      </c>
      <c r="B561" s="37" t="s">
        <v>66</v>
      </c>
      <c r="C561" s="106" t="s">
        <v>152</v>
      </c>
      <c r="D561" s="34">
        <v>86.31</v>
      </c>
      <c r="E561" s="288" t="s">
        <v>79</v>
      </c>
      <c r="F561" s="73">
        <v>7.24</v>
      </c>
      <c r="G561" s="36">
        <f t="shared" si="54"/>
        <v>45.612000000000002</v>
      </c>
      <c r="H561" s="35">
        <v>18</v>
      </c>
      <c r="I561" s="44">
        <f t="shared" si="55"/>
        <v>821.01600000000008</v>
      </c>
      <c r="J561" s="123">
        <v>1300</v>
      </c>
    </row>
    <row r="562" spans="1:10" ht="19.5" thickBot="1" x14ac:dyDescent="0.35">
      <c r="A562" s="150"/>
      <c r="B562" s="66"/>
      <c r="C562" s="127"/>
      <c r="D562" s="78"/>
      <c r="E562" s="125"/>
      <c r="F562" s="128"/>
      <c r="G562" s="128"/>
      <c r="H562" s="129" t="s">
        <v>171</v>
      </c>
      <c r="I562" s="130">
        <f>SUM(I556:I561)</f>
        <v>4142.5020000000004</v>
      </c>
      <c r="J562" s="131">
        <f>SUM(J556:J561)</f>
        <v>6700</v>
      </c>
    </row>
    <row r="563" spans="1:10" x14ac:dyDescent="0.25">
      <c r="A563" s="146" t="s">
        <v>192</v>
      </c>
      <c r="B563" s="120" t="s">
        <v>68</v>
      </c>
      <c r="C563" s="268" t="s">
        <v>114</v>
      </c>
      <c r="D563" s="108">
        <v>71.430000000000007</v>
      </c>
      <c r="E563" s="296" t="s">
        <v>79</v>
      </c>
      <c r="F563" s="118">
        <v>6.54</v>
      </c>
      <c r="G563" s="119">
        <f t="shared" ref="G563:G568" si="56">F563*6.3</f>
        <v>41.201999999999998</v>
      </c>
      <c r="H563" s="120">
        <v>24</v>
      </c>
      <c r="I563" s="119">
        <f t="shared" ref="I563:I568" si="57">G563*H563</f>
        <v>988.84799999999996</v>
      </c>
      <c r="J563" s="121">
        <v>900</v>
      </c>
    </row>
    <row r="564" spans="1:10" x14ac:dyDescent="0.25">
      <c r="A564" s="147" t="s">
        <v>192</v>
      </c>
      <c r="B564" s="37" t="s">
        <v>69</v>
      </c>
      <c r="C564" s="261" t="s">
        <v>86</v>
      </c>
      <c r="D564" s="108">
        <v>87.47</v>
      </c>
      <c r="E564" s="288" t="s">
        <v>79</v>
      </c>
      <c r="F564" s="110">
        <v>7.1</v>
      </c>
      <c r="G564" s="36">
        <f t="shared" si="56"/>
        <v>44.73</v>
      </c>
      <c r="H564" s="37">
        <v>24</v>
      </c>
      <c r="I564" s="41">
        <f t="shared" si="57"/>
        <v>1073.52</v>
      </c>
      <c r="J564" s="123">
        <v>1400</v>
      </c>
    </row>
    <row r="565" spans="1:10" x14ac:dyDescent="0.25">
      <c r="A565" s="147" t="s">
        <v>192</v>
      </c>
      <c r="B565" s="34" t="s">
        <v>70</v>
      </c>
      <c r="C565" s="261" t="s">
        <v>75</v>
      </c>
      <c r="D565" s="108" t="s">
        <v>38</v>
      </c>
      <c r="E565" s="288" t="s">
        <v>79</v>
      </c>
      <c r="F565" s="36">
        <v>2.4500000000000002</v>
      </c>
      <c r="G565" s="36">
        <f t="shared" si="56"/>
        <v>15.435</v>
      </c>
      <c r="H565" s="37">
        <v>24</v>
      </c>
      <c r="I565" s="36">
        <f t="shared" si="57"/>
        <v>370.44</v>
      </c>
      <c r="J565" s="123">
        <v>500</v>
      </c>
    </row>
    <row r="566" spans="1:10" x14ac:dyDescent="0.25">
      <c r="A566" s="147" t="s">
        <v>192</v>
      </c>
      <c r="B566" s="34" t="s">
        <v>71</v>
      </c>
      <c r="C566" s="272" t="s">
        <v>156</v>
      </c>
      <c r="D566" s="108">
        <v>90</v>
      </c>
      <c r="E566" s="294" t="s">
        <v>79</v>
      </c>
      <c r="F566" s="74">
        <v>4.49</v>
      </c>
      <c r="G566" s="36">
        <f t="shared" si="56"/>
        <v>28.286999999999999</v>
      </c>
      <c r="H566" s="37">
        <v>24</v>
      </c>
      <c r="I566" s="44">
        <f t="shared" si="57"/>
        <v>678.88799999999992</v>
      </c>
      <c r="J566" s="123">
        <v>1600</v>
      </c>
    </row>
    <row r="567" spans="1:10" x14ac:dyDescent="0.25">
      <c r="A567" s="147" t="s">
        <v>192</v>
      </c>
      <c r="B567" s="37" t="s">
        <v>65</v>
      </c>
      <c r="C567" s="261" t="s">
        <v>158</v>
      </c>
      <c r="D567" s="46">
        <v>36.090000000000003</v>
      </c>
      <c r="E567" s="288" t="s">
        <v>79</v>
      </c>
      <c r="F567" s="74">
        <v>6.98</v>
      </c>
      <c r="G567" s="36">
        <f t="shared" si="56"/>
        <v>43.974000000000004</v>
      </c>
      <c r="H567" s="35">
        <v>24</v>
      </c>
      <c r="I567" s="44">
        <f t="shared" si="57"/>
        <v>1055.3760000000002</v>
      </c>
      <c r="J567" s="123">
        <v>1000</v>
      </c>
    </row>
    <row r="568" spans="1:10" x14ac:dyDescent="0.25">
      <c r="A568" s="147" t="s">
        <v>192</v>
      </c>
      <c r="B568" s="37" t="s">
        <v>66</v>
      </c>
      <c r="C568" s="106" t="s">
        <v>152</v>
      </c>
      <c r="D568" s="34">
        <v>90.4</v>
      </c>
      <c r="E568" s="288" t="s">
        <v>79</v>
      </c>
      <c r="F568" s="73">
        <v>7.43</v>
      </c>
      <c r="G568" s="36">
        <f t="shared" si="56"/>
        <v>46.808999999999997</v>
      </c>
      <c r="H568" s="35">
        <v>24</v>
      </c>
      <c r="I568" s="44">
        <f t="shared" si="57"/>
        <v>1123.4159999999999</v>
      </c>
      <c r="J568" s="123">
        <v>1300</v>
      </c>
    </row>
    <row r="569" spans="1:10" ht="19.5" thickBot="1" x14ac:dyDescent="0.35">
      <c r="A569" s="147"/>
      <c r="B569" s="52"/>
      <c r="C569"/>
      <c r="D569" s="78"/>
      <c r="E569" s="295"/>
      <c r="F569" s="114"/>
      <c r="G569" s="114"/>
      <c r="H569" s="115" t="s">
        <v>171</v>
      </c>
      <c r="I569" s="116">
        <f>SUM(I563:I568)</f>
        <v>5290.4880000000003</v>
      </c>
      <c r="J569" s="141">
        <f>SUM(J563:J568)</f>
        <v>6700</v>
      </c>
    </row>
    <row r="570" spans="1:10" x14ac:dyDescent="0.25">
      <c r="A570" s="132" t="s">
        <v>194</v>
      </c>
      <c r="B570" s="64" t="s">
        <v>68</v>
      </c>
      <c r="C570" s="105" t="s">
        <v>114</v>
      </c>
      <c r="D570" s="56">
        <v>71.430000000000007</v>
      </c>
      <c r="E570" s="300" t="s">
        <v>79</v>
      </c>
      <c r="F570" s="164">
        <v>6.54</v>
      </c>
      <c r="G570" s="164">
        <v>41.2</v>
      </c>
      <c r="H570" s="164">
        <v>24</v>
      </c>
      <c r="I570" s="119">
        <v>988.85</v>
      </c>
      <c r="J570" s="121">
        <v>900</v>
      </c>
    </row>
    <row r="571" spans="1:10" x14ac:dyDescent="0.25">
      <c r="A571" s="133" t="s">
        <v>194</v>
      </c>
      <c r="B571" s="46" t="s">
        <v>69</v>
      </c>
      <c r="C571" s="106" t="s">
        <v>86</v>
      </c>
      <c r="D571" s="56">
        <v>87.47</v>
      </c>
      <c r="E571" s="194" t="s">
        <v>79</v>
      </c>
      <c r="F571" s="56">
        <v>7.1</v>
      </c>
      <c r="G571" s="56">
        <v>44.73</v>
      </c>
      <c r="H571" s="56">
        <v>24</v>
      </c>
      <c r="I571" s="36">
        <v>1073.52</v>
      </c>
      <c r="J571" s="123">
        <v>1400</v>
      </c>
    </row>
    <row r="572" spans="1:10" x14ac:dyDescent="0.25">
      <c r="A572" s="133" t="s">
        <v>194</v>
      </c>
      <c r="B572" s="46" t="s">
        <v>70</v>
      </c>
      <c r="C572" s="106" t="s">
        <v>75</v>
      </c>
      <c r="D572" s="56" t="s">
        <v>38</v>
      </c>
      <c r="E572" s="194" t="s">
        <v>79</v>
      </c>
      <c r="F572" s="56">
        <v>2.4500000000000002</v>
      </c>
      <c r="G572" s="56">
        <v>15.44</v>
      </c>
      <c r="H572" s="56">
        <v>24</v>
      </c>
      <c r="I572" s="36">
        <v>370.44</v>
      </c>
      <c r="J572" s="123">
        <v>500</v>
      </c>
    </row>
    <row r="573" spans="1:10" x14ac:dyDescent="0.25">
      <c r="A573" s="133" t="s">
        <v>194</v>
      </c>
      <c r="B573" s="46" t="s">
        <v>71</v>
      </c>
      <c r="C573" s="106" t="s">
        <v>156</v>
      </c>
      <c r="D573" s="56">
        <v>90</v>
      </c>
      <c r="E573" s="194" t="s">
        <v>79</v>
      </c>
      <c r="F573" s="56">
        <v>4.49</v>
      </c>
      <c r="G573" s="56">
        <v>28.29</v>
      </c>
      <c r="H573" s="56">
        <v>24</v>
      </c>
      <c r="I573" s="36">
        <v>678.89</v>
      </c>
      <c r="J573" s="123">
        <v>1600</v>
      </c>
    </row>
    <row r="574" spans="1:10" x14ac:dyDescent="0.25">
      <c r="A574" s="133" t="s">
        <v>194</v>
      </c>
      <c r="B574" s="46" t="s">
        <v>65</v>
      </c>
      <c r="C574" s="106" t="s">
        <v>158</v>
      </c>
      <c r="D574" s="56">
        <v>36.090000000000003</v>
      </c>
      <c r="E574" s="194" t="s">
        <v>79</v>
      </c>
      <c r="F574" s="56">
        <v>6.98</v>
      </c>
      <c r="G574" s="56">
        <v>43.97</v>
      </c>
      <c r="H574" s="56">
        <v>24</v>
      </c>
      <c r="I574" s="36">
        <v>1055.3800000000001</v>
      </c>
      <c r="J574" s="123">
        <v>1000</v>
      </c>
    </row>
    <row r="575" spans="1:10" x14ac:dyDescent="0.25">
      <c r="A575" s="133" t="s">
        <v>194</v>
      </c>
      <c r="B575" s="46" t="s">
        <v>66</v>
      </c>
      <c r="C575" s="106" t="s">
        <v>152</v>
      </c>
      <c r="D575" s="56">
        <v>90.4</v>
      </c>
      <c r="E575" s="194" t="s">
        <v>79</v>
      </c>
      <c r="F575" s="56">
        <v>7.43</v>
      </c>
      <c r="G575" s="56">
        <v>46.81</v>
      </c>
      <c r="H575" s="56">
        <v>24</v>
      </c>
      <c r="I575" s="36">
        <v>1123.42</v>
      </c>
      <c r="J575" s="123">
        <v>1300</v>
      </c>
    </row>
    <row r="576" spans="1:10" ht="19.5" thickBot="1" x14ac:dyDescent="0.35">
      <c r="A576" s="134"/>
      <c r="B576" s="66"/>
      <c r="C576" s="269"/>
      <c r="D576" s="56"/>
      <c r="E576" s="308"/>
      <c r="F576" s="200"/>
      <c r="G576" s="200"/>
      <c r="H576" s="129" t="s">
        <v>171</v>
      </c>
      <c r="I576" s="130">
        <v>5290.49</v>
      </c>
      <c r="J576" s="131">
        <v>6700</v>
      </c>
    </row>
    <row r="577" spans="1:10" x14ac:dyDescent="0.25">
      <c r="A577" s="132" t="s">
        <v>195</v>
      </c>
      <c r="B577" s="64" t="s">
        <v>68</v>
      </c>
      <c r="C577" s="105" t="s">
        <v>114</v>
      </c>
      <c r="D577" s="56">
        <v>71.8</v>
      </c>
      <c r="E577" s="300" t="s">
        <v>79</v>
      </c>
      <c r="F577" s="164">
        <v>6.28</v>
      </c>
      <c r="G577" s="164">
        <v>39.56</v>
      </c>
      <c r="H577" s="164">
        <v>23.5</v>
      </c>
      <c r="I577" s="119">
        <v>929.75</v>
      </c>
      <c r="J577" s="121">
        <v>900</v>
      </c>
    </row>
    <row r="578" spans="1:10" x14ac:dyDescent="0.25">
      <c r="A578" s="133" t="s">
        <v>195</v>
      </c>
      <c r="B578" s="46" t="s">
        <v>69</v>
      </c>
      <c r="C578" s="106" t="s">
        <v>86</v>
      </c>
      <c r="D578" s="56">
        <v>86.98</v>
      </c>
      <c r="E578" s="194" t="s">
        <v>79</v>
      </c>
      <c r="F578" s="56">
        <v>6.83</v>
      </c>
      <c r="G578" s="56">
        <v>43.03</v>
      </c>
      <c r="H578" s="56">
        <v>23.5</v>
      </c>
      <c r="I578" s="36">
        <v>1011.18</v>
      </c>
      <c r="J578" s="123">
        <v>1400</v>
      </c>
    </row>
    <row r="579" spans="1:10" x14ac:dyDescent="0.25">
      <c r="A579" s="133" t="s">
        <v>195</v>
      </c>
      <c r="B579" s="46" t="s">
        <v>70</v>
      </c>
      <c r="C579" s="106" t="s">
        <v>75</v>
      </c>
      <c r="D579" s="56" t="s">
        <v>38</v>
      </c>
      <c r="E579" s="194" t="s">
        <v>79</v>
      </c>
      <c r="F579" s="56">
        <v>3.11</v>
      </c>
      <c r="G579" s="56">
        <v>19.59</v>
      </c>
      <c r="H579" s="56">
        <v>23.5</v>
      </c>
      <c r="I579" s="36">
        <v>460.44</v>
      </c>
      <c r="J579" s="123">
        <v>500</v>
      </c>
    </row>
    <row r="580" spans="1:10" x14ac:dyDescent="0.25">
      <c r="A580" s="133" t="s">
        <v>195</v>
      </c>
      <c r="B580" s="46" t="s">
        <v>71</v>
      </c>
      <c r="C580" s="106" t="s">
        <v>156</v>
      </c>
      <c r="D580" s="56">
        <v>90</v>
      </c>
      <c r="E580" s="194" t="s">
        <v>79</v>
      </c>
      <c r="F580" s="56">
        <v>4.3099999999999996</v>
      </c>
      <c r="G580" s="56">
        <v>27.15</v>
      </c>
      <c r="H580" s="56">
        <v>23.5</v>
      </c>
      <c r="I580" s="36">
        <v>638.1</v>
      </c>
      <c r="J580" s="123">
        <v>1600</v>
      </c>
    </row>
    <row r="581" spans="1:10" x14ac:dyDescent="0.25">
      <c r="A581" s="133" t="s">
        <v>195</v>
      </c>
      <c r="B581" s="46" t="s">
        <v>65</v>
      </c>
      <c r="C581" s="106" t="s">
        <v>158</v>
      </c>
      <c r="D581" s="56">
        <v>36.090000000000003</v>
      </c>
      <c r="E581" s="194" t="s">
        <v>79</v>
      </c>
      <c r="F581" s="56">
        <v>7.02</v>
      </c>
      <c r="G581" s="56">
        <v>44.23</v>
      </c>
      <c r="H581" s="56">
        <v>23.5</v>
      </c>
      <c r="I581" s="36">
        <v>1039.31</v>
      </c>
      <c r="J581" s="123">
        <v>1000</v>
      </c>
    </row>
    <row r="582" spans="1:10" x14ac:dyDescent="0.25">
      <c r="A582" s="133" t="s">
        <v>195</v>
      </c>
      <c r="B582" s="46" t="s">
        <v>66</v>
      </c>
      <c r="C582" s="106" t="s">
        <v>152</v>
      </c>
      <c r="D582" s="56">
        <v>89.98</v>
      </c>
      <c r="E582" s="194" t="s">
        <v>79</v>
      </c>
      <c r="F582" s="56">
        <v>7.36</v>
      </c>
      <c r="G582" s="56">
        <v>46.37</v>
      </c>
      <c r="H582" s="56">
        <v>23.5</v>
      </c>
      <c r="I582" s="36">
        <v>1089.6500000000001</v>
      </c>
      <c r="J582" s="123">
        <v>1300</v>
      </c>
    </row>
    <row r="583" spans="1:10" ht="19.5" thickBot="1" x14ac:dyDescent="0.35">
      <c r="A583" s="134"/>
      <c r="B583" s="66"/>
      <c r="C583" s="271"/>
      <c r="D583" s="162"/>
      <c r="E583" s="305"/>
      <c r="F583" s="201"/>
      <c r="G583" s="201"/>
      <c r="H583" s="129" t="s">
        <v>171</v>
      </c>
      <c r="I583" s="130">
        <v>5168.43</v>
      </c>
      <c r="J583" s="131">
        <v>6700</v>
      </c>
    </row>
    <row r="584" spans="1:10" x14ac:dyDescent="0.25">
      <c r="A584" s="147" t="s">
        <v>193</v>
      </c>
      <c r="B584" s="151" t="s">
        <v>68</v>
      </c>
      <c r="C584" s="264" t="s">
        <v>114</v>
      </c>
      <c r="D584" s="108">
        <v>69.58</v>
      </c>
      <c r="E584" s="291" t="s">
        <v>79</v>
      </c>
      <c r="F584" s="153">
        <v>6.04</v>
      </c>
      <c r="G584" s="51">
        <f t="shared" ref="G584:G589" si="58">F584*6.3</f>
        <v>38.052</v>
      </c>
      <c r="H584" s="151">
        <v>24</v>
      </c>
      <c r="I584" s="51">
        <f t="shared" ref="I584:I589" si="59">G584*H584</f>
        <v>913.24800000000005</v>
      </c>
      <c r="J584" s="154">
        <v>900</v>
      </c>
    </row>
    <row r="585" spans="1:10" x14ac:dyDescent="0.25">
      <c r="A585" s="147" t="s">
        <v>193</v>
      </c>
      <c r="B585" s="37" t="s">
        <v>69</v>
      </c>
      <c r="C585" s="261" t="s">
        <v>86</v>
      </c>
      <c r="D585" s="108">
        <v>87.03</v>
      </c>
      <c r="E585" s="288" t="s">
        <v>79</v>
      </c>
      <c r="F585" s="110">
        <v>6.8</v>
      </c>
      <c r="G585" s="36">
        <f t="shared" si="58"/>
        <v>42.839999999999996</v>
      </c>
      <c r="H585" s="37">
        <v>24</v>
      </c>
      <c r="I585" s="41">
        <f t="shared" si="59"/>
        <v>1028.1599999999999</v>
      </c>
      <c r="J585" s="123">
        <v>1400</v>
      </c>
    </row>
    <row r="586" spans="1:10" x14ac:dyDescent="0.25">
      <c r="A586" s="147" t="s">
        <v>193</v>
      </c>
      <c r="B586" s="34" t="s">
        <v>70</v>
      </c>
      <c r="C586" s="261" t="s">
        <v>75</v>
      </c>
      <c r="D586" s="108" t="s">
        <v>38</v>
      </c>
      <c r="E586" s="288" t="s">
        <v>79</v>
      </c>
      <c r="F586" s="36">
        <v>2.98</v>
      </c>
      <c r="G586" s="36">
        <f t="shared" si="58"/>
        <v>18.774000000000001</v>
      </c>
      <c r="H586" s="37">
        <v>24</v>
      </c>
      <c r="I586" s="36">
        <f t="shared" si="59"/>
        <v>450.57600000000002</v>
      </c>
      <c r="J586" s="123">
        <v>500</v>
      </c>
    </row>
    <row r="587" spans="1:10" x14ac:dyDescent="0.25">
      <c r="A587" s="147" t="s">
        <v>193</v>
      </c>
      <c r="B587" s="34" t="s">
        <v>71</v>
      </c>
      <c r="C587" s="272" t="s">
        <v>156</v>
      </c>
      <c r="D587" s="108">
        <v>90</v>
      </c>
      <c r="E587" s="294" t="s">
        <v>79</v>
      </c>
      <c r="F587" s="74">
        <v>4.24</v>
      </c>
      <c r="G587" s="36">
        <f t="shared" si="58"/>
        <v>26.712</v>
      </c>
      <c r="H587" s="37">
        <v>24</v>
      </c>
      <c r="I587" s="44">
        <f t="shared" si="59"/>
        <v>641.08799999999997</v>
      </c>
      <c r="J587" s="123">
        <v>1600</v>
      </c>
    </row>
    <row r="588" spans="1:10" x14ac:dyDescent="0.25">
      <c r="A588" s="147" t="s">
        <v>193</v>
      </c>
      <c r="B588" s="37" t="s">
        <v>65</v>
      </c>
      <c r="C588" s="261" t="s">
        <v>158</v>
      </c>
      <c r="D588" s="46">
        <v>36.21</v>
      </c>
      <c r="E588" s="288" t="s">
        <v>79</v>
      </c>
      <c r="F588" s="74">
        <v>7</v>
      </c>
      <c r="G588" s="36">
        <f t="shared" si="58"/>
        <v>44.1</v>
      </c>
      <c r="H588" s="35">
        <v>24</v>
      </c>
      <c r="I588" s="44">
        <f t="shared" si="59"/>
        <v>1058.4000000000001</v>
      </c>
      <c r="J588" s="123">
        <v>1000</v>
      </c>
    </row>
    <row r="589" spans="1:10" x14ac:dyDescent="0.25">
      <c r="A589" s="147" t="s">
        <v>193</v>
      </c>
      <c r="B589" s="37" t="s">
        <v>66</v>
      </c>
      <c r="C589" s="106" t="s">
        <v>152</v>
      </c>
      <c r="D589" s="34">
        <v>89.62</v>
      </c>
      <c r="E589" s="288" t="s">
        <v>79</v>
      </c>
      <c r="F589" s="73">
        <v>7.23</v>
      </c>
      <c r="G589" s="36">
        <f t="shared" si="58"/>
        <v>45.548999999999999</v>
      </c>
      <c r="H589" s="35">
        <v>24</v>
      </c>
      <c r="I589" s="44">
        <f t="shared" si="59"/>
        <v>1093.1759999999999</v>
      </c>
      <c r="J589" s="123">
        <v>1300</v>
      </c>
    </row>
    <row r="590" spans="1:10" ht="19.5" thickBot="1" x14ac:dyDescent="0.35">
      <c r="A590" s="150"/>
      <c r="B590" s="66"/>
      <c r="C590" s="127"/>
      <c r="D590" s="78"/>
      <c r="E590" s="125"/>
      <c r="F590" s="128"/>
      <c r="G590" s="128"/>
      <c r="H590" s="129" t="s">
        <v>171</v>
      </c>
      <c r="I590" s="130">
        <f>SUM(I584:I589)</f>
        <v>5184.6480000000001</v>
      </c>
      <c r="J590" s="131">
        <f>SUM(J584:J589)</f>
        <v>6700</v>
      </c>
    </row>
    <row r="591" spans="1:10" x14ac:dyDescent="0.25">
      <c r="A591" s="146" t="s">
        <v>196</v>
      </c>
      <c r="B591" s="120" t="s">
        <v>68</v>
      </c>
      <c r="C591" s="268" t="s">
        <v>114</v>
      </c>
      <c r="D591" s="108">
        <v>67.33</v>
      </c>
      <c r="E591" s="296" t="s">
        <v>79</v>
      </c>
      <c r="F591" s="118">
        <v>5.88</v>
      </c>
      <c r="G591" s="119">
        <f t="shared" ref="G591:G596" si="60">F591*6.3</f>
        <v>37.043999999999997</v>
      </c>
      <c r="H591" s="120">
        <v>24</v>
      </c>
      <c r="I591" s="119">
        <f t="shared" ref="I591:I596" si="61">G591*H591</f>
        <v>889.05599999999993</v>
      </c>
      <c r="J591" s="121">
        <v>900</v>
      </c>
    </row>
    <row r="592" spans="1:10" x14ac:dyDescent="0.25">
      <c r="A592" s="147" t="s">
        <v>196</v>
      </c>
      <c r="B592" s="37" t="s">
        <v>69</v>
      </c>
      <c r="C592" s="261" t="s">
        <v>86</v>
      </c>
      <c r="D592" s="108">
        <v>87.16</v>
      </c>
      <c r="E592" s="288" t="s">
        <v>79</v>
      </c>
      <c r="F592" s="110">
        <v>7.08</v>
      </c>
      <c r="G592" s="36">
        <f t="shared" si="60"/>
        <v>44.603999999999999</v>
      </c>
      <c r="H592" s="37">
        <v>24</v>
      </c>
      <c r="I592" s="41">
        <f t="shared" si="61"/>
        <v>1070.4960000000001</v>
      </c>
      <c r="J592" s="123">
        <v>1400</v>
      </c>
    </row>
    <row r="593" spans="1:11" x14ac:dyDescent="0.25">
      <c r="A593" s="147" t="s">
        <v>196</v>
      </c>
      <c r="B593" s="34" t="s">
        <v>70</v>
      </c>
      <c r="C593" s="261" t="s">
        <v>75</v>
      </c>
      <c r="D593" s="108" t="s">
        <v>38</v>
      </c>
      <c r="E593" s="288" t="s">
        <v>79</v>
      </c>
      <c r="F593" s="36">
        <v>2.86</v>
      </c>
      <c r="G593" s="36">
        <f t="shared" si="60"/>
        <v>18.017999999999997</v>
      </c>
      <c r="H593" s="37">
        <v>24</v>
      </c>
      <c r="I593" s="36">
        <f t="shared" si="61"/>
        <v>432.4319999999999</v>
      </c>
      <c r="J593" s="123">
        <v>500</v>
      </c>
    </row>
    <row r="594" spans="1:11" x14ac:dyDescent="0.25">
      <c r="A594" s="147" t="s">
        <v>196</v>
      </c>
      <c r="B594" s="34" t="s">
        <v>71</v>
      </c>
      <c r="C594" s="272" t="s">
        <v>156</v>
      </c>
      <c r="D594" s="108">
        <v>90</v>
      </c>
      <c r="E594" s="294" t="s">
        <v>79</v>
      </c>
      <c r="F594" s="74">
        <v>4.21</v>
      </c>
      <c r="G594" s="36">
        <f t="shared" si="60"/>
        <v>26.523</v>
      </c>
      <c r="H594" s="37">
        <v>24</v>
      </c>
      <c r="I594" s="44">
        <f t="shared" si="61"/>
        <v>636.55200000000002</v>
      </c>
      <c r="J594" s="123">
        <v>1600</v>
      </c>
    </row>
    <row r="595" spans="1:11" x14ac:dyDescent="0.25">
      <c r="A595" s="147" t="s">
        <v>196</v>
      </c>
      <c r="B595" s="37" t="s">
        <v>65</v>
      </c>
      <c r="C595" s="261" t="s">
        <v>158</v>
      </c>
      <c r="D595" s="46">
        <v>36.4</v>
      </c>
      <c r="E595" s="288" t="s">
        <v>79</v>
      </c>
      <c r="F595" s="74">
        <v>7.02</v>
      </c>
      <c r="G595" s="36">
        <f t="shared" si="60"/>
        <v>44.225999999999999</v>
      </c>
      <c r="H595" s="35">
        <v>24</v>
      </c>
      <c r="I595" s="44">
        <f t="shared" si="61"/>
        <v>1061.424</v>
      </c>
      <c r="J595" s="123">
        <v>1000</v>
      </c>
    </row>
    <row r="596" spans="1:11" x14ac:dyDescent="0.25">
      <c r="A596" s="147" t="s">
        <v>196</v>
      </c>
      <c r="B596" s="37" t="s">
        <v>66</v>
      </c>
      <c r="C596" s="106" t="s">
        <v>152</v>
      </c>
      <c r="D596" s="34">
        <v>89.8</v>
      </c>
      <c r="E596" s="288" t="s">
        <v>79</v>
      </c>
      <c r="F596" s="73">
        <v>7.12</v>
      </c>
      <c r="G596" s="36">
        <f t="shared" si="60"/>
        <v>44.856000000000002</v>
      </c>
      <c r="H596" s="35">
        <v>24</v>
      </c>
      <c r="I596" s="44">
        <f t="shared" si="61"/>
        <v>1076.5440000000001</v>
      </c>
      <c r="J596" s="123">
        <v>1300</v>
      </c>
    </row>
    <row r="597" spans="1:11" ht="19.5" thickBot="1" x14ac:dyDescent="0.35">
      <c r="A597" s="150"/>
      <c r="B597" s="66"/>
      <c r="C597" s="127"/>
      <c r="D597" s="78"/>
      <c r="E597" s="125"/>
      <c r="F597" s="128"/>
      <c r="G597" s="128"/>
      <c r="H597" s="129" t="s">
        <v>171</v>
      </c>
      <c r="I597" s="130">
        <f>SUM(I591:I596)</f>
        <v>5166.5039999999999</v>
      </c>
      <c r="J597" s="131">
        <f>SUM(J591:J596)</f>
        <v>6700</v>
      </c>
    </row>
    <row r="598" spans="1:11" x14ac:dyDescent="0.25">
      <c r="A598" s="146" t="s">
        <v>197</v>
      </c>
      <c r="B598" s="120" t="s">
        <v>68</v>
      </c>
      <c r="C598" s="268" t="s">
        <v>114</v>
      </c>
      <c r="D598" s="108">
        <v>64.569999999999993</v>
      </c>
      <c r="E598" s="296" t="s">
        <v>79</v>
      </c>
      <c r="F598" s="118">
        <v>6.09</v>
      </c>
      <c r="G598" s="119">
        <f t="shared" ref="G598:G603" si="62">F598*6.3</f>
        <v>38.366999999999997</v>
      </c>
      <c r="H598" s="120">
        <v>24</v>
      </c>
      <c r="I598" s="119">
        <f t="shared" ref="I598:I603" si="63">G598*H598</f>
        <v>920.80799999999999</v>
      </c>
      <c r="J598" s="121">
        <v>900</v>
      </c>
    </row>
    <row r="599" spans="1:11" x14ac:dyDescent="0.25">
      <c r="A599" s="147" t="s">
        <v>197</v>
      </c>
      <c r="B599" s="37" t="s">
        <v>69</v>
      </c>
      <c r="C599" s="261" t="s">
        <v>86</v>
      </c>
      <c r="D599" s="108">
        <v>85.99</v>
      </c>
      <c r="E599" s="288" t="s">
        <v>79</v>
      </c>
      <c r="F599" s="110">
        <v>7.66</v>
      </c>
      <c r="G599" s="36">
        <f t="shared" si="62"/>
        <v>48.258000000000003</v>
      </c>
      <c r="H599" s="37">
        <v>24</v>
      </c>
      <c r="I599" s="41">
        <f t="shared" si="63"/>
        <v>1158.192</v>
      </c>
      <c r="J599" s="123">
        <v>1400</v>
      </c>
    </row>
    <row r="600" spans="1:11" x14ac:dyDescent="0.25">
      <c r="A600" s="147" t="s">
        <v>197</v>
      </c>
      <c r="B600" s="34" t="s">
        <v>70</v>
      </c>
      <c r="C600" s="261" t="s">
        <v>75</v>
      </c>
      <c r="D600" s="108" t="s">
        <v>38</v>
      </c>
      <c r="E600" s="288" t="s">
        <v>79</v>
      </c>
      <c r="F600" s="36">
        <v>4.4400000000000004</v>
      </c>
      <c r="G600" s="36">
        <f t="shared" si="62"/>
        <v>27.972000000000001</v>
      </c>
      <c r="H600" s="37">
        <v>24</v>
      </c>
      <c r="I600" s="36">
        <f t="shared" si="63"/>
        <v>671.32799999999997</v>
      </c>
      <c r="J600" s="123">
        <v>500</v>
      </c>
    </row>
    <row r="601" spans="1:11" x14ac:dyDescent="0.25">
      <c r="A601" s="147" t="s">
        <v>197</v>
      </c>
      <c r="B601" s="34" t="s">
        <v>71</v>
      </c>
      <c r="C601" s="272" t="s">
        <v>156</v>
      </c>
      <c r="D601" s="108">
        <v>90</v>
      </c>
      <c r="E601" s="294" t="s">
        <v>79</v>
      </c>
      <c r="F601" s="74">
        <v>4.45</v>
      </c>
      <c r="G601" s="36">
        <f t="shared" si="62"/>
        <v>28.035</v>
      </c>
      <c r="H601" s="37">
        <v>24</v>
      </c>
      <c r="I601" s="44">
        <f t="shared" si="63"/>
        <v>672.84</v>
      </c>
      <c r="J601" s="123">
        <v>1600</v>
      </c>
    </row>
    <row r="602" spans="1:11" x14ac:dyDescent="0.25">
      <c r="A602" s="147" t="s">
        <v>197</v>
      </c>
      <c r="B602" s="37" t="s">
        <v>65</v>
      </c>
      <c r="C602" s="261" t="s">
        <v>158</v>
      </c>
      <c r="D602" s="46">
        <v>37.08</v>
      </c>
      <c r="E602" s="288" t="s">
        <v>79</v>
      </c>
      <c r="F602" s="74">
        <v>7.21</v>
      </c>
      <c r="G602" s="36">
        <f t="shared" si="62"/>
        <v>45.423000000000002</v>
      </c>
      <c r="H602" s="35">
        <v>24</v>
      </c>
      <c r="I602" s="44">
        <f t="shared" si="63"/>
        <v>1090.152</v>
      </c>
      <c r="J602" s="123">
        <v>1000</v>
      </c>
    </row>
    <row r="603" spans="1:11" x14ac:dyDescent="0.25">
      <c r="A603" s="147" t="s">
        <v>197</v>
      </c>
      <c r="B603" s="37" t="s">
        <v>66</v>
      </c>
      <c r="C603" s="106" t="s">
        <v>152</v>
      </c>
      <c r="D603" s="34">
        <v>91.88</v>
      </c>
      <c r="E603" s="288" t="s">
        <v>79</v>
      </c>
      <c r="F603" s="73">
        <v>7.33</v>
      </c>
      <c r="G603" s="36">
        <f t="shared" si="62"/>
        <v>46.179000000000002</v>
      </c>
      <c r="H603" s="35">
        <v>24</v>
      </c>
      <c r="I603" s="44">
        <f t="shared" si="63"/>
        <v>1108.296</v>
      </c>
      <c r="J603" s="123">
        <v>1300</v>
      </c>
    </row>
    <row r="604" spans="1:11" ht="19.5" thickBot="1" x14ac:dyDescent="0.35">
      <c r="A604" s="213"/>
      <c r="B604" s="135"/>
      <c r="C604" s="214"/>
      <c r="D604" s="217"/>
      <c r="E604" s="309"/>
      <c r="F604" s="215"/>
      <c r="G604" s="215"/>
      <c r="H604" s="129" t="s">
        <v>171</v>
      </c>
      <c r="I604" s="130">
        <f>SUM(I598:I603)</f>
        <v>5621.616</v>
      </c>
      <c r="J604" s="131">
        <f>SUM(J598:J603)</f>
        <v>6700</v>
      </c>
      <c r="K604" s="209"/>
    </row>
    <row r="605" spans="1:11" x14ac:dyDescent="0.25">
      <c r="A605" s="31" t="s">
        <v>198</v>
      </c>
      <c r="B605" s="37" t="s">
        <v>68</v>
      </c>
      <c r="C605" s="261" t="s">
        <v>114</v>
      </c>
      <c r="D605" s="108">
        <v>64.02</v>
      </c>
      <c r="E605" s="288" t="s">
        <v>79</v>
      </c>
      <c r="F605" s="109">
        <v>6.8</v>
      </c>
      <c r="G605" s="36">
        <f t="shared" ref="G605:G610" si="64">F605*6.3</f>
        <v>42.839999999999996</v>
      </c>
      <c r="H605" s="37">
        <v>24</v>
      </c>
      <c r="I605" s="36">
        <f t="shared" ref="I605:I610" si="65">G605*H605</f>
        <v>1028.1599999999999</v>
      </c>
      <c r="J605" s="36">
        <v>900</v>
      </c>
    </row>
    <row r="606" spans="1:11" x14ac:dyDescent="0.25">
      <c r="A606" s="31" t="s">
        <v>198</v>
      </c>
      <c r="B606" s="37" t="s">
        <v>69</v>
      </c>
      <c r="C606" s="261" t="s">
        <v>86</v>
      </c>
      <c r="D606" s="108">
        <v>86.12</v>
      </c>
      <c r="E606" s="288" t="s">
        <v>79</v>
      </c>
      <c r="F606" s="110">
        <v>8.5</v>
      </c>
      <c r="G606" s="36">
        <f t="shared" si="64"/>
        <v>53.55</v>
      </c>
      <c r="H606" s="37">
        <v>24</v>
      </c>
      <c r="I606" s="41">
        <f t="shared" si="65"/>
        <v>1285.1999999999998</v>
      </c>
      <c r="J606" s="36">
        <v>1400</v>
      </c>
    </row>
    <row r="607" spans="1:11" x14ac:dyDescent="0.25">
      <c r="A607" s="31" t="s">
        <v>198</v>
      </c>
      <c r="B607" s="50" t="s">
        <v>70</v>
      </c>
      <c r="C607" s="261" t="s">
        <v>75</v>
      </c>
      <c r="D607" s="108" t="s">
        <v>38</v>
      </c>
      <c r="E607" s="288" t="s">
        <v>79</v>
      </c>
      <c r="F607" s="36">
        <v>4.4000000000000004</v>
      </c>
      <c r="G607" s="36">
        <f t="shared" si="64"/>
        <v>27.720000000000002</v>
      </c>
      <c r="H607" s="37">
        <v>24</v>
      </c>
      <c r="I607" s="36">
        <f t="shared" si="65"/>
        <v>665.28000000000009</v>
      </c>
      <c r="J607" s="36">
        <v>500</v>
      </c>
    </row>
    <row r="608" spans="1:11" x14ac:dyDescent="0.25">
      <c r="A608" s="31" t="s">
        <v>198</v>
      </c>
      <c r="B608" s="75" t="s">
        <v>71</v>
      </c>
      <c r="C608" s="272" t="s">
        <v>156</v>
      </c>
      <c r="D608" s="108">
        <v>89</v>
      </c>
      <c r="E608" s="294" t="s">
        <v>79</v>
      </c>
      <c r="F608" s="74">
        <v>4.49</v>
      </c>
      <c r="G608" s="36">
        <f t="shared" si="64"/>
        <v>28.286999999999999</v>
      </c>
      <c r="H608" s="37">
        <v>24</v>
      </c>
      <c r="I608" s="44">
        <f t="shared" si="65"/>
        <v>678.88799999999992</v>
      </c>
      <c r="J608" s="36">
        <v>1600</v>
      </c>
    </row>
    <row r="609" spans="1:11" x14ac:dyDescent="0.25">
      <c r="A609" s="31" t="s">
        <v>198</v>
      </c>
      <c r="B609" s="37" t="s">
        <v>65</v>
      </c>
      <c r="C609" s="261" t="s">
        <v>158</v>
      </c>
      <c r="D609" s="46">
        <v>37.44</v>
      </c>
      <c r="E609" s="288" t="s">
        <v>79</v>
      </c>
      <c r="F609" s="74">
        <v>7.27</v>
      </c>
      <c r="G609" s="36">
        <f t="shared" si="64"/>
        <v>45.800999999999995</v>
      </c>
      <c r="H609" s="35">
        <v>24</v>
      </c>
      <c r="I609" s="44">
        <f t="shared" si="65"/>
        <v>1099.2239999999999</v>
      </c>
      <c r="J609" s="36">
        <v>1000</v>
      </c>
    </row>
    <row r="610" spans="1:11" ht="15.75" thickBot="1" x14ac:dyDescent="0.3">
      <c r="A610" s="31" t="s">
        <v>198</v>
      </c>
      <c r="B610" s="43" t="s">
        <v>66</v>
      </c>
      <c r="C610" s="263" t="s">
        <v>152</v>
      </c>
      <c r="D610" s="34">
        <v>91.88</v>
      </c>
      <c r="E610" s="294" t="s">
        <v>79</v>
      </c>
      <c r="F610" s="73">
        <v>7.5</v>
      </c>
      <c r="G610" s="74">
        <f t="shared" si="64"/>
        <v>47.25</v>
      </c>
      <c r="H610" s="91">
        <v>24</v>
      </c>
      <c r="I610" s="96">
        <f t="shared" si="65"/>
        <v>1134</v>
      </c>
      <c r="J610" s="74">
        <v>1300</v>
      </c>
    </row>
    <row r="611" spans="1:11" ht="19.5" thickBot="1" x14ac:dyDescent="0.35">
      <c r="A611" s="206"/>
      <c r="B611" s="174"/>
      <c r="C611" s="207"/>
      <c r="D611" s="217"/>
      <c r="E611" s="310"/>
      <c r="F611" s="208"/>
      <c r="G611" s="208"/>
      <c r="H611" s="174" t="s">
        <v>171</v>
      </c>
      <c r="I611" s="101">
        <f>SUM(I605:I610)</f>
        <v>5890.7519999999995</v>
      </c>
      <c r="J611" s="104">
        <f>SUM(J605:J610)</f>
        <v>6700</v>
      </c>
      <c r="K611" s="209"/>
    </row>
    <row r="612" spans="1:11" x14ac:dyDescent="0.25">
      <c r="A612" s="31" t="s">
        <v>199</v>
      </c>
      <c r="B612" s="37" t="s">
        <v>68</v>
      </c>
      <c r="C612" s="261" t="s">
        <v>114</v>
      </c>
      <c r="D612" s="108">
        <v>61.4</v>
      </c>
      <c r="E612" s="288" t="s">
        <v>79</v>
      </c>
      <c r="F612" s="109">
        <v>7.33</v>
      </c>
      <c r="G612" s="36">
        <f t="shared" ref="G612:G617" si="66">F612*6.3</f>
        <v>46.179000000000002</v>
      </c>
      <c r="H612" s="37">
        <v>24</v>
      </c>
      <c r="I612" s="36">
        <f t="shared" ref="I612:I617" si="67">G612*H612</f>
        <v>1108.296</v>
      </c>
      <c r="J612" s="36">
        <v>900</v>
      </c>
    </row>
    <row r="613" spans="1:11" x14ac:dyDescent="0.25">
      <c r="A613" s="31" t="s">
        <v>199</v>
      </c>
      <c r="B613" s="37" t="s">
        <v>69</v>
      </c>
      <c r="C613" s="261" t="s">
        <v>86</v>
      </c>
      <c r="D613" s="108">
        <v>86.66</v>
      </c>
      <c r="E613" s="288" t="s">
        <v>79</v>
      </c>
      <c r="F613" s="110">
        <v>9.6</v>
      </c>
      <c r="G613" s="36">
        <f t="shared" si="66"/>
        <v>60.48</v>
      </c>
      <c r="H613" s="37">
        <v>24</v>
      </c>
      <c r="I613" s="41">
        <f t="shared" si="67"/>
        <v>1451.52</v>
      </c>
      <c r="J613" s="36">
        <v>1400</v>
      </c>
    </row>
    <row r="614" spans="1:11" x14ac:dyDescent="0.25">
      <c r="A614" s="31" t="s">
        <v>199</v>
      </c>
      <c r="B614" s="50" t="s">
        <v>70</v>
      </c>
      <c r="C614" s="261" t="s">
        <v>75</v>
      </c>
      <c r="D614" s="108" t="s">
        <v>38</v>
      </c>
      <c r="E614" s="288" t="s">
        <v>79</v>
      </c>
      <c r="F614" s="36">
        <v>4.3</v>
      </c>
      <c r="G614" s="36">
        <f t="shared" si="66"/>
        <v>27.09</v>
      </c>
      <c r="H614" s="37">
        <v>24</v>
      </c>
      <c r="I614" s="36">
        <f t="shared" si="67"/>
        <v>650.16</v>
      </c>
      <c r="J614" s="36">
        <v>500</v>
      </c>
    </row>
    <row r="615" spans="1:11" x14ac:dyDescent="0.25">
      <c r="A615" s="31" t="s">
        <v>199</v>
      </c>
      <c r="B615" s="75" t="s">
        <v>71</v>
      </c>
      <c r="C615" s="272" t="s">
        <v>156</v>
      </c>
      <c r="D615" s="108">
        <v>90.76</v>
      </c>
      <c r="E615" s="294" t="s">
        <v>79</v>
      </c>
      <c r="F615" s="74">
        <v>4.5999999999999996</v>
      </c>
      <c r="G615" s="36">
        <f t="shared" si="66"/>
        <v>28.979999999999997</v>
      </c>
      <c r="H615" s="37">
        <v>24</v>
      </c>
      <c r="I615" s="44">
        <f t="shared" si="67"/>
        <v>695.52</v>
      </c>
      <c r="J615" s="36">
        <v>1600</v>
      </c>
    </row>
    <row r="616" spans="1:11" x14ac:dyDescent="0.25">
      <c r="A616" s="31" t="s">
        <v>199</v>
      </c>
      <c r="B616" s="37" t="s">
        <v>65</v>
      </c>
      <c r="C616" s="261" t="s">
        <v>158</v>
      </c>
      <c r="D616" s="46">
        <v>38.15</v>
      </c>
      <c r="E616" s="288" t="s">
        <v>79</v>
      </c>
      <c r="F616" s="74">
        <v>7.31</v>
      </c>
      <c r="G616" s="36">
        <f t="shared" si="66"/>
        <v>46.052999999999997</v>
      </c>
      <c r="H616" s="35">
        <v>24</v>
      </c>
      <c r="I616" s="44">
        <f t="shared" si="67"/>
        <v>1105.2719999999999</v>
      </c>
      <c r="J616" s="36">
        <v>1000</v>
      </c>
    </row>
    <row r="617" spans="1:11" ht="15.75" thickBot="1" x14ac:dyDescent="0.3">
      <c r="A617" s="31" t="s">
        <v>199</v>
      </c>
      <c r="B617" s="43" t="s">
        <v>66</v>
      </c>
      <c r="C617" s="263" t="s">
        <v>152</v>
      </c>
      <c r="D617" s="34">
        <v>93.16</v>
      </c>
      <c r="E617" s="294" t="s">
        <v>79</v>
      </c>
      <c r="F617" s="73">
        <v>7.42</v>
      </c>
      <c r="G617" s="74">
        <f t="shared" si="66"/>
        <v>46.745999999999995</v>
      </c>
      <c r="H617" s="91">
        <v>24</v>
      </c>
      <c r="I617" s="96">
        <f t="shared" si="67"/>
        <v>1121.904</v>
      </c>
      <c r="J617" s="74">
        <v>1300</v>
      </c>
    </row>
    <row r="618" spans="1:11" ht="19.5" thickBot="1" x14ac:dyDescent="0.35">
      <c r="A618" s="206"/>
      <c r="B618" s="100"/>
      <c r="C618" s="207"/>
      <c r="D618" s="217"/>
      <c r="E618" s="310"/>
      <c r="F618" s="208"/>
      <c r="G618" s="208"/>
      <c r="H618" s="174" t="s">
        <v>171</v>
      </c>
      <c r="I618" s="212">
        <f>SUM(I612:I617)</f>
        <v>6132.6720000000005</v>
      </c>
      <c r="J618" s="211">
        <f>SUM(J612:J617)</f>
        <v>6700</v>
      </c>
      <c r="K618" s="209"/>
    </row>
    <row r="619" spans="1:11" x14ac:dyDescent="0.25">
      <c r="A619" s="31" t="s">
        <v>200</v>
      </c>
      <c r="B619" s="37" t="s">
        <v>68</v>
      </c>
      <c r="C619" s="261" t="s">
        <v>114</v>
      </c>
      <c r="D619" s="108">
        <v>53.93</v>
      </c>
      <c r="E619" s="288" t="s">
        <v>79</v>
      </c>
      <c r="F619" s="109">
        <v>6.02</v>
      </c>
      <c r="G619" s="36">
        <f t="shared" ref="G619:G624" si="68">F619*6.3</f>
        <v>37.925999999999995</v>
      </c>
      <c r="H619" s="37">
        <v>24</v>
      </c>
      <c r="I619" s="36">
        <f t="shared" ref="I619:I624" si="69">G619*H619</f>
        <v>910.22399999999993</v>
      </c>
      <c r="J619" s="36">
        <v>900</v>
      </c>
    </row>
    <row r="620" spans="1:11" x14ac:dyDescent="0.25">
      <c r="A620" s="31" t="s">
        <v>200</v>
      </c>
      <c r="B620" s="37" t="s">
        <v>69</v>
      </c>
      <c r="C620" s="261" t="s">
        <v>86</v>
      </c>
      <c r="D620" s="108">
        <v>74.290000000000006</v>
      </c>
      <c r="E620" s="288" t="s">
        <v>79</v>
      </c>
      <c r="F620" s="110">
        <v>6.42</v>
      </c>
      <c r="G620" s="36">
        <f t="shared" si="68"/>
        <v>40.445999999999998</v>
      </c>
      <c r="H620" s="37">
        <v>24</v>
      </c>
      <c r="I620" s="41">
        <f t="shared" si="69"/>
        <v>970.70399999999995</v>
      </c>
      <c r="J620" s="36">
        <v>1400</v>
      </c>
    </row>
    <row r="621" spans="1:11" x14ac:dyDescent="0.25">
      <c r="A621" s="31" t="s">
        <v>200</v>
      </c>
      <c r="B621" s="50" t="s">
        <v>70</v>
      </c>
      <c r="C621" s="261" t="s">
        <v>75</v>
      </c>
      <c r="D621" s="108" t="s">
        <v>38</v>
      </c>
      <c r="E621" s="288" t="s">
        <v>79</v>
      </c>
      <c r="F621" s="36">
        <v>4.3</v>
      </c>
      <c r="G621" s="36">
        <f t="shared" si="68"/>
        <v>27.09</v>
      </c>
      <c r="H621" s="37">
        <v>24</v>
      </c>
      <c r="I621" s="36">
        <f t="shared" si="69"/>
        <v>650.16</v>
      </c>
      <c r="J621" s="36">
        <v>500</v>
      </c>
    </row>
    <row r="622" spans="1:11" x14ac:dyDescent="0.25">
      <c r="A622" s="31" t="s">
        <v>200</v>
      </c>
      <c r="B622" s="75" t="s">
        <v>71</v>
      </c>
      <c r="C622" s="272" t="s">
        <v>156</v>
      </c>
      <c r="D622" s="108">
        <v>90.1</v>
      </c>
      <c r="E622" s="294" t="s">
        <v>79</v>
      </c>
      <c r="F622" s="74">
        <v>4.5</v>
      </c>
      <c r="G622" s="36">
        <f t="shared" si="68"/>
        <v>28.349999999999998</v>
      </c>
      <c r="H622" s="37">
        <v>24</v>
      </c>
      <c r="I622" s="44">
        <f t="shared" si="69"/>
        <v>680.4</v>
      </c>
      <c r="J622" s="36">
        <v>1600</v>
      </c>
    </row>
    <row r="623" spans="1:11" x14ac:dyDescent="0.25">
      <c r="A623" s="31" t="s">
        <v>200</v>
      </c>
      <c r="B623" s="37" t="s">
        <v>65</v>
      </c>
      <c r="C623" s="261" t="s">
        <v>158</v>
      </c>
      <c r="D623" s="46">
        <v>38.29</v>
      </c>
      <c r="E623" s="288" t="s">
        <v>79</v>
      </c>
      <c r="F623" s="74">
        <v>7.32</v>
      </c>
      <c r="G623" s="36">
        <f t="shared" si="68"/>
        <v>46.116</v>
      </c>
      <c r="H623" s="35">
        <v>24</v>
      </c>
      <c r="I623" s="44">
        <f t="shared" si="69"/>
        <v>1106.7840000000001</v>
      </c>
      <c r="J623" s="36">
        <v>1000</v>
      </c>
    </row>
    <row r="624" spans="1:11" ht="15.75" thickBot="1" x14ac:dyDescent="0.3">
      <c r="A624" s="31" t="s">
        <v>200</v>
      </c>
      <c r="B624" s="43" t="s">
        <v>66</v>
      </c>
      <c r="C624" s="263" t="s">
        <v>152</v>
      </c>
      <c r="D624" s="34">
        <v>92.55</v>
      </c>
      <c r="E624" s="294" t="s">
        <v>79</v>
      </c>
      <c r="F624" s="73">
        <v>7.4</v>
      </c>
      <c r="G624" s="74">
        <f t="shared" si="68"/>
        <v>46.62</v>
      </c>
      <c r="H624" s="91">
        <v>24</v>
      </c>
      <c r="I624" s="96">
        <f t="shared" si="69"/>
        <v>1118.8799999999999</v>
      </c>
      <c r="J624" s="74">
        <v>1300</v>
      </c>
    </row>
    <row r="625" spans="1:11" ht="19.5" thickBot="1" x14ac:dyDescent="0.35">
      <c r="A625" s="206"/>
      <c r="B625" s="100"/>
      <c r="C625" s="207"/>
      <c r="D625" s="217"/>
      <c r="E625" s="310"/>
      <c r="F625" s="208"/>
      <c r="G625" s="208"/>
      <c r="H625" s="174" t="s">
        <v>171</v>
      </c>
      <c r="I625" s="212">
        <f>SUM(I619:I624)</f>
        <v>5437.152</v>
      </c>
      <c r="J625" s="211">
        <f>SUM(J619:J624)</f>
        <v>6700</v>
      </c>
      <c r="K625" s="209"/>
    </row>
    <row r="626" spans="1:11" x14ac:dyDescent="0.25">
      <c r="A626" s="31" t="s">
        <v>202</v>
      </c>
      <c r="B626" s="37" t="s">
        <v>68</v>
      </c>
      <c r="C626" s="261" t="s">
        <v>114</v>
      </c>
      <c r="D626" s="108">
        <v>44.68</v>
      </c>
      <c r="E626" s="288" t="s">
        <v>79</v>
      </c>
      <c r="F626" s="109">
        <v>5.72</v>
      </c>
      <c r="G626" s="36">
        <f t="shared" ref="G626:G631" si="70">F626*6.3</f>
        <v>36.035999999999994</v>
      </c>
      <c r="H626" s="37">
        <v>14</v>
      </c>
      <c r="I626" s="36">
        <f t="shared" ref="I626:I631" si="71">G626*H626</f>
        <v>504.50399999999991</v>
      </c>
      <c r="J626" s="36">
        <v>900</v>
      </c>
    </row>
    <row r="627" spans="1:11" x14ac:dyDescent="0.25">
      <c r="A627" s="31" t="s">
        <v>202</v>
      </c>
      <c r="B627" s="37" t="s">
        <v>69</v>
      </c>
      <c r="C627" s="261" t="s">
        <v>86</v>
      </c>
      <c r="D627" s="108">
        <v>62.92</v>
      </c>
      <c r="E627" s="288" t="s">
        <v>79</v>
      </c>
      <c r="F627" s="110">
        <v>5.87</v>
      </c>
      <c r="G627" s="36">
        <f t="shared" si="70"/>
        <v>36.981000000000002</v>
      </c>
      <c r="H627" s="37">
        <v>14</v>
      </c>
      <c r="I627" s="41">
        <f t="shared" si="71"/>
        <v>517.73400000000004</v>
      </c>
      <c r="J627" s="36">
        <v>1400</v>
      </c>
    </row>
    <row r="628" spans="1:11" x14ac:dyDescent="0.25">
      <c r="A628" s="31" t="s">
        <v>202</v>
      </c>
      <c r="B628" s="50" t="s">
        <v>70</v>
      </c>
      <c r="C628" s="261" t="s">
        <v>75</v>
      </c>
      <c r="D628" s="108" t="s">
        <v>38</v>
      </c>
      <c r="E628" s="288" t="s">
        <v>79</v>
      </c>
      <c r="F628" s="36">
        <v>4.25</v>
      </c>
      <c r="G628" s="36">
        <f t="shared" si="70"/>
        <v>26.774999999999999</v>
      </c>
      <c r="H628" s="37">
        <v>14</v>
      </c>
      <c r="I628" s="36">
        <f t="shared" si="71"/>
        <v>374.84999999999997</v>
      </c>
      <c r="J628" s="36">
        <v>500</v>
      </c>
    </row>
    <row r="629" spans="1:11" x14ac:dyDescent="0.25">
      <c r="A629" s="31" t="s">
        <v>202</v>
      </c>
      <c r="B629" s="75" t="s">
        <v>71</v>
      </c>
      <c r="C629" s="272" t="s">
        <v>156</v>
      </c>
      <c r="D629" s="108">
        <v>86.37</v>
      </c>
      <c r="E629" s="294" t="s">
        <v>79</v>
      </c>
      <c r="F629" s="74">
        <v>4.82</v>
      </c>
      <c r="G629" s="36">
        <f t="shared" si="70"/>
        <v>30.366</v>
      </c>
      <c r="H629" s="37">
        <v>14</v>
      </c>
      <c r="I629" s="44">
        <f t="shared" si="71"/>
        <v>425.12400000000002</v>
      </c>
      <c r="J629" s="36">
        <v>1600</v>
      </c>
    </row>
    <row r="630" spans="1:11" x14ac:dyDescent="0.25">
      <c r="A630" s="31" t="s">
        <v>202</v>
      </c>
      <c r="B630" s="37" t="s">
        <v>65</v>
      </c>
      <c r="C630" s="261" t="s">
        <v>158</v>
      </c>
      <c r="D630" s="46">
        <v>36.21</v>
      </c>
      <c r="E630" s="288" t="s">
        <v>79</v>
      </c>
      <c r="F630" s="74">
        <v>7.32</v>
      </c>
      <c r="G630" s="36">
        <f t="shared" si="70"/>
        <v>46.116</v>
      </c>
      <c r="H630" s="35">
        <v>14</v>
      </c>
      <c r="I630" s="44">
        <f t="shared" si="71"/>
        <v>645.62400000000002</v>
      </c>
      <c r="J630" s="36">
        <v>1000</v>
      </c>
    </row>
    <row r="631" spans="1:11" ht="15.75" thickBot="1" x14ac:dyDescent="0.3">
      <c r="A631" s="31" t="s">
        <v>202</v>
      </c>
      <c r="B631" s="43" t="s">
        <v>66</v>
      </c>
      <c r="C631" s="263" t="s">
        <v>152</v>
      </c>
      <c r="D631" s="34">
        <v>89.25</v>
      </c>
      <c r="E631" s="294" t="s">
        <v>79</v>
      </c>
      <c r="F631" s="73">
        <v>7.56</v>
      </c>
      <c r="G631" s="74">
        <f t="shared" si="70"/>
        <v>47.627999999999993</v>
      </c>
      <c r="H631" s="91">
        <v>14</v>
      </c>
      <c r="I631" s="96">
        <f t="shared" si="71"/>
        <v>666.79199999999992</v>
      </c>
      <c r="J631" s="74">
        <v>1300</v>
      </c>
    </row>
    <row r="632" spans="1:11" ht="19.5" thickBot="1" x14ac:dyDescent="0.35">
      <c r="A632" s="206"/>
      <c r="B632" s="174"/>
      <c r="C632" s="207"/>
      <c r="D632" s="217"/>
      <c r="E632" s="310"/>
      <c r="F632" s="208"/>
      <c r="G632" s="208"/>
      <c r="H632" s="174" t="s">
        <v>171</v>
      </c>
      <c r="I632" s="212">
        <f>SUM(I626:I631)</f>
        <v>3134.6280000000002</v>
      </c>
      <c r="J632" s="211">
        <f>SUM(J626:J631)</f>
        <v>6700</v>
      </c>
      <c r="K632" s="210" t="s">
        <v>201</v>
      </c>
    </row>
    <row r="633" spans="1:11" x14ac:dyDescent="0.25">
      <c r="A633" s="31" t="s">
        <v>203</v>
      </c>
      <c r="B633" s="37" t="s">
        <v>68</v>
      </c>
      <c r="C633" s="261" t="s">
        <v>114</v>
      </c>
      <c r="D633" s="108">
        <v>46.58</v>
      </c>
      <c r="E633" s="288" t="s">
        <v>79</v>
      </c>
      <c r="F633" s="109">
        <v>5.87</v>
      </c>
      <c r="G633" s="36">
        <f t="shared" ref="G633:G638" si="72">F633*6.3</f>
        <v>36.981000000000002</v>
      </c>
      <c r="H633" s="37">
        <v>24</v>
      </c>
      <c r="I633" s="36">
        <f t="shared" ref="I633:I638" si="73">G633*H633</f>
        <v>887.5440000000001</v>
      </c>
      <c r="J633" s="36">
        <v>900</v>
      </c>
    </row>
    <row r="634" spans="1:11" x14ac:dyDescent="0.25">
      <c r="A634" s="31" t="s">
        <v>203</v>
      </c>
      <c r="B634" s="37" t="s">
        <v>69</v>
      </c>
      <c r="C634" s="261" t="s">
        <v>86</v>
      </c>
      <c r="D634" s="108">
        <v>62.92</v>
      </c>
      <c r="E634" s="288" t="s">
        <v>79</v>
      </c>
      <c r="F634" s="110">
        <v>6.43</v>
      </c>
      <c r="G634" s="36">
        <f t="shared" si="72"/>
        <v>40.509</v>
      </c>
      <c r="H634" s="37">
        <v>24</v>
      </c>
      <c r="I634" s="41">
        <f t="shared" si="73"/>
        <v>972.21600000000001</v>
      </c>
      <c r="J634" s="36">
        <v>1400</v>
      </c>
    </row>
    <row r="635" spans="1:11" x14ac:dyDescent="0.25">
      <c r="A635" s="31" t="s">
        <v>203</v>
      </c>
      <c r="B635" s="50" t="s">
        <v>70</v>
      </c>
      <c r="C635" s="261" t="s">
        <v>75</v>
      </c>
      <c r="D635" s="108" t="s">
        <v>38</v>
      </c>
      <c r="E635" s="288" t="s">
        <v>79</v>
      </c>
      <c r="F635" s="36">
        <v>4.4000000000000004</v>
      </c>
      <c r="G635" s="36">
        <f t="shared" si="72"/>
        <v>27.720000000000002</v>
      </c>
      <c r="H635" s="37">
        <v>24</v>
      </c>
      <c r="I635" s="36">
        <f t="shared" si="73"/>
        <v>665.28000000000009</v>
      </c>
      <c r="J635" s="36">
        <v>500</v>
      </c>
    </row>
    <row r="636" spans="1:11" x14ac:dyDescent="0.25">
      <c r="A636" s="31" t="s">
        <v>203</v>
      </c>
      <c r="B636" s="75" t="s">
        <v>71</v>
      </c>
      <c r="C636" s="272" t="s">
        <v>156</v>
      </c>
      <c r="D636" s="108">
        <v>91.04</v>
      </c>
      <c r="E636" s="294" t="s">
        <v>79</v>
      </c>
      <c r="F636" s="74">
        <v>4.91</v>
      </c>
      <c r="G636" s="36">
        <f t="shared" si="72"/>
        <v>30.933</v>
      </c>
      <c r="H636" s="37">
        <v>24</v>
      </c>
      <c r="I636" s="44">
        <f t="shared" si="73"/>
        <v>742.39200000000005</v>
      </c>
      <c r="J636" s="36">
        <v>1600</v>
      </c>
    </row>
    <row r="637" spans="1:11" x14ac:dyDescent="0.25">
      <c r="A637" s="31" t="s">
        <v>203</v>
      </c>
      <c r="B637" s="37" t="s">
        <v>65</v>
      </c>
      <c r="C637" s="261" t="s">
        <v>158</v>
      </c>
      <c r="D637" s="46">
        <v>38.549999999999997</v>
      </c>
      <c r="E637" s="288" t="s">
        <v>79</v>
      </c>
      <c r="F637" s="74">
        <v>7.51</v>
      </c>
      <c r="G637" s="36">
        <f t="shared" si="72"/>
        <v>47.312999999999995</v>
      </c>
      <c r="H637" s="35">
        <v>24</v>
      </c>
      <c r="I637" s="44">
        <f t="shared" si="73"/>
        <v>1135.5119999999999</v>
      </c>
      <c r="J637" s="36">
        <v>1000</v>
      </c>
    </row>
    <row r="638" spans="1:11" ht="15.75" thickBot="1" x14ac:dyDescent="0.3">
      <c r="A638" s="31" t="s">
        <v>203</v>
      </c>
      <c r="B638" s="43" t="s">
        <v>66</v>
      </c>
      <c r="C638" s="263" t="s">
        <v>152</v>
      </c>
      <c r="D638" s="34">
        <v>93.77</v>
      </c>
      <c r="E638" s="294" t="s">
        <v>79</v>
      </c>
      <c r="F638" s="73">
        <v>7.85</v>
      </c>
      <c r="G638" s="74">
        <f t="shared" si="72"/>
        <v>49.454999999999998</v>
      </c>
      <c r="H638" s="91">
        <v>24</v>
      </c>
      <c r="I638" s="96">
        <f t="shared" si="73"/>
        <v>1186.92</v>
      </c>
      <c r="J638" s="74">
        <v>1300</v>
      </c>
    </row>
    <row r="639" spans="1:11" ht="19.5" thickBot="1" x14ac:dyDescent="0.35">
      <c r="A639" s="206"/>
      <c r="B639" s="174"/>
      <c r="C639" s="207"/>
      <c r="D639" s="217"/>
      <c r="E639" s="310"/>
      <c r="F639" s="208"/>
      <c r="G639" s="208"/>
      <c r="H639" s="174" t="s">
        <v>171</v>
      </c>
      <c r="I639" s="212">
        <f>SUM(I633:I638)</f>
        <v>5589.8640000000005</v>
      </c>
      <c r="J639" s="212">
        <f>SUM(J633:J638)</f>
        <v>6700</v>
      </c>
      <c r="K639" s="216"/>
    </row>
    <row r="640" spans="1:11" x14ac:dyDescent="0.25">
      <c r="A640" s="31" t="s">
        <v>204</v>
      </c>
      <c r="B640" s="37" t="s">
        <v>68</v>
      </c>
      <c r="C640" s="261" t="s">
        <v>114</v>
      </c>
      <c r="D640" s="108">
        <v>44.13</v>
      </c>
      <c r="E640" s="288" t="s">
        <v>79</v>
      </c>
      <c r="F640" s="109">
        <v>5.55</v>
      </c>
      <c r="G640" s="36">
        <f t="shared" ref="G640:G645" si="74">F640*6.3</f>
        <v>34.964999999999996</v>
      </c>
      <c r="H640" s="37">
        <v>24</v>
      </c>
      <c r="I640" s="36">
        <f t="shared" ref="I640:I645" si="75">G640*H640</f>
        <v>839.15999999999985</v>
      </c>
      <c r="J640" s="36">
        <v>900</v>
      </c>
    </row>
    <row r="641" spans="1:11" x14ac:dyDescent="0.25">
      <c r="A641" s="31" t="s">
        <v>204</v>
      </c>
      <c r="B641" s="37" t="s">
        <v>69</v>
      </c>
      <c r="C641" s="261" t="s">
        <v>86</v>
      </c>
      <c r="D641" s="108">
        <v>59.19</v>
      </c>
      <c r="E641" s="288" t="s">
        <v>79</v>
      </c>
      <c r="F641" s="110">
        <v>6.04</v>
      </c>
      <c r="G641" s="36">
        <f t="shared" si="74"/>
        <v>38.052</v>
      </c>
      <c r="H641" s="37">
        <v>24</v>
      </c>
      <c r="I641" s="41">
        <f t="shared" si="75"/>
        <v>913.24800000000005</v>
      </c>
      <c r="J641" s="36">
        <v>1400</v>
      </c>
    </row>
    <row r="642" spans="1:11" x14ac:dyDescent="0.25">
      <c r="A642" s="31" t="s">
        <v>204</v>
      </c>
      <c r="B642" s="50" t="s">
        <v>70</v>
      </c>
      <c r="C642" s="261" t="s">
        <v>75</v>
      </c>
      <c r="D642" s="108" t="s">
        <v>38</v>
      </c>
      <c r="E642" s="288" t="s">
        <v>79</v>
      </c>
      <c r="F642" s="36">
        <v>3.8</v>
      </c>
      <c r="G642" s="36">
        <f t="shared" si="74"/>
        <v>23.939999999999998</v>
      </c>
      <c r="H642" s="37">
        <v>24</v>
      </c>
      <c r="I642" s="36">
        <f t="shared" si="75"/>
        <v>574.55999999999995</v>
      </c>
      <c r="J642" s="36">
        <v>500</v>
      </c>
    </row>
    <row r="643" spans="1:11" x14ac:dyDescent="0.25">
      <c r="A643" s="31" t="s">
        <v>204</v>
      </c>
      <c r="B643" s="75" t="s">
        <v>71</v>
      </c>
      <c r="C643" s="272" t="s">
        <v>156</v>
      </c>
      <c r="D643" s="108">
        <v>92.1</v>
      </c>
      <c r="E643" s="294" t="s">
        <v>79</v>
      </c>
      <c r="F643" s="74">
        <v>4.91</v>
      </c>
      <c r="G643" s="36">
        <f t="shared" si="74"/>
        <v>30.933</v>
      </c>
      <c r="H643" s="37">
        <v>24</v>
      </c>
      <c r="I643" s="44">
        <f t="shared" si="75"/>
        <v>742.39200000000005</v>
      </c>
      <c r="J643" s="36">
        <v>1600</v>
      </c>
    </row>
    <row r="644" spans="1:11" x14ac:dyDescent="0.25">
      <c r="A644" s="31" t="s">
        <v>204</v>
      </c>
      <c r="B644" s="37" t="s">
        <v>65</v>
      </c>
      <c r="C644" s="261" t="s">
        <v>158</v>
      </c>
      <c r="D644" s="46">
        <v>31.2</v>
      </c>
      <c r="E644" s="288" t="s">
        <v>79</v>
      </c>
      <c r="F644" s="74">
        <v>7.1</v>
      </c>
      <c r="G644" s="36">
        <f t="shared" si="74"/>
        <v>44.73</v>
      </c>
      <c r="H644" s="35">
        <v>24</v>
      </c>
      <c r="I644" s="44">
        <f t="shared" si="75"/>
        <v>1073.52</v>
      </c>
      <c r="J644" s="36">
        <v>1000</v>
      </c>
    </row>
    <row r="645" spans="1:11" ht="15.75" thickBot="1" x14ac:dyDescent="0.3">
      <c r="A645" s="31" t="s">
        <v>204</v>
      </c>
      <c r="B645" s="37" t="s">
        <v>66</v>
      </c>
      <c r="C645" s="106" t="s">
        <v>152</v>
      </c>
      <c r="D645" s="34">
        <v>94.68</v>
      </c>
      <c r="E645" s="288" t="s">
        <v>79</v>
      </c>
      <c r="F645" s="73">
        <v>7.95</v>
      </c>
      <c r="G645" s="36">
        <f t="shared" si="74"/>
        <v>50.085000000000001</v>
      </c>
      <c r="H645" s="35">
        <v>24</v>
      </c>
      <c r="I645" s="44">
        <f t="shared" si="75"/>
        <v>1202.04</v>
      </c>
      <c r="J645" s="36">
        <v>1300</v>
      </c>
    </row>
    <row r="646" spans="1:11" ht="19.5" thickBot="1" x14ac:dyDescent="0.35">
      <c r="A646" s="206"/>
      <c r="B646" s="99"/>
      <c r="C646" s="191"/>
      <c r="D646" s="217"/>
      <c r="E646" s="311"/>
      <c r="F646" s="217"/>
      <c r="G646" s="217"/>
      <c r="H646" s="99" t="s">
        <v>171</v>
      </c>
      <c r="I646" s="219">
        <f>SUM(I640:I645)</f>
        <v>5344.9199999999992</v>
      </c>
      <c r="J646" s="219">
        <f>SUM(J640:J645)</f>
        <v>6700</v>
      </c>
      <c r="K646" s="216"/>
    </row>
    <row r="647" spans="1:11" x14ac:dyDescent="0.25">
      <c r="A647" s="31" t="s">
        <v>205</v>
      </c>
      <c r="B647" s="37" t="s">
        <v>68</v>
      </c>
      <c r="C647" s="261" t="s">
        <v>114</v>
      </c>
      <c r="D647" s="108">
        <v>42.98</v>
      </c>
      <c r="E647" s="288" t="s">
        <v>79</v>
      </c>
      <c r="F647" s="109">
        <v>5.33</v>
      </c>
      <c r="G647" s="36">
        <f t="shared" ref="G647:G652" si="76">F647*6.3</f>
        <v>33.579000000000001</v>
      </c>
      <c r="H647" s="37">
        <v>24</v>
      </c>
      <c r="I647" s="36">
        <f t="shared" ref="I647:I652" si="77">G647*H647</f>
        <v>805.89599999999996</v>
      </c>
      <c r="J647" s="36">
        <v>900</v>
      </c>
    </row>
    <row r="648" spans="1:11" x14ac:dyDescent="0.25">
      <c r="A648" s="31" t="s">
        <v>205</v>
      </c>
      <c r="B648" s="37" t="s">
        <v>69</v>
      </c>
      <c r="C648" s="261" t="s">
        <v>86</v>
      </c>
      <c r="D648" s="108">
        <v>57.59</v>
      </c>
      <c r="E648" s="288" t="s">
        <v>79</v>
      </c>
      <c r="F648" s="110">
        <v>5.89</v>
      </c>
      <c r="G648" s="36">
        <f t="shared" si="76"/>
        <v>37.106999999999999</v>
      </c>
      <c r="H648" s="37">
        <v>24</v>
      </c>
      <c r="I648" s="41">
        <f t="shared" si="77"/>
        <v>890.56799999999998</v>
      </c>
      <c r="J648" s="36">
        <v>1400</v>
      </c>
    </row>
    <row r="649" spans="1:11" x14ac:dyDescent="0.25">
      <c r="A649" s="31" t="s">
        <v>205</v>
      </c>
      <c r="B649" s="50" t="s">
        <v>70</v>
      </c>
      <c r="C649" s="261" t="s">
        <v>75</v>
      </c>
      <c r="D649" s="108" t="s">
        <v>38</v>
      </c>
      <c r="E649" s="288" t="s">
        <v>79</v>
      </c>
      <c r="F649" s="36">
        <v>3.8</v>
      </c>
      <c r="G649" s="36">
        <f t="shared" si="76"/>
        <v>23.939999999999998</v>
      </c>
      <c r="H649" s="37">
        <v>24</v>
      </c>
      <c r="I649" s="36">
        <f t="shared" si="77"/>
        <v>574.55999999999995</v>
      </c>
      <c r="J649" s="36">
        <v>500</v>
      </c>
    </row>
    <row r="650" spans="1:11" x14ac:dyDescent="0.25">
      <c r="A650" s="31" t="s">
        <v>205</v>
      </c>
      <c r="B650" s="75" t="s">
        <v>71</v>
      </c>
      <c r="C650" s="272" t="s">
        <v>156</v>
      </c>
      <c r="D650" s="108">
        <v>93.34</v>
      </c>
      <c r="E650" s="294" t="s">
        <v>79</v>
      </c>
      <c r="F650" s="74">
        <v>4.9000000000000004</v>
      </c>
      <c r="G650" s="36">
        <f t="shared" si="76"/>
        <v>30.87</v>
      </c>
      <c r="H650" s="37">
        <v>24</v>
      </c>
      <c r="I650" s="44">
        <f t="shared" si="77"/>
        <v>740.88</v>
      </c>
      <c r="J650" s="36">
        <v>1600</v>
      </c>
    </row>
    <row r="651" spans="1:11" x14ac:dyDescent="0.25">
      <c r="A651" s="31" t="s">
        <v>205</v>
      </c>
      <c r="B651" s="37" t="s">
        <v>65</v>
      </c>
      <c r="C651" s="261" t="s">
        <v>158</v>
      </c>
      <c r="D651" s="46">
        <v>32.06</v>
      </c>
      <c r="E651" s="288" t="s">
        <v>79</v>
      </c>
      <c r="F651" s="74">
        <v>6.75</v>
      </c>
      <c r="G651" s="36">
        <f t="shared" si="76"/>
        <v>42.524999999999999</v>
      </c>
      <c r="H651" s="35">
        <v>24</v>
      </c>
      <c r="I651" s="44">
        <f t="shared" si="77"/>
        <v>1020.5999999999999</v>
      </c>
      <c r="J651" s="36">
        <v>1000</v>
      </c>
    </row>
    <row r="652" spans="1:11" ht="15.75" thickBot="1" x14ac:dyDescent="0.3">
      <c r="A652" s="31" t="s">
        <v>205</v>
      </c>
      <c r="B652" s="43" t="s">
        <v>66</v>
      </c>
      <c r="C652" s="263" t="s">
        <v>152</v>
      </c>
      <c r="D652" s="34">
        <v>96.21</v>
      </c>
      <c r="E652" s="294" t="s">
        <v>79</v>
      </c>
      <c r="F652" s="73">
        <v>8.1</v>
      </c>
      <c r="G652" s="74">
        <f t="shared" si="76"/>
        <v>51.029999999999994</v>
      </c>
      <c r="H652" s="91">
        <v>24</v>
      </c>
      <c r="I652" s="96">
        <f t="shared" si="77"/>
        <v>1224.7199999999998</v>
      </c>
      <c r="J652" s="74">
        <v>1300</v>
      </c>
    </row>
    <row r="653" spans="1:11" ht="19.5" thickBot="1" x14ac:dyDescent="0.35">
      <c r="A653" s="206"/>
      <c r="B653" s="174"/>
      <c r="C653" s="207"/>
      <c r="D653" s="217"/>
      <c r="E653" s="310"/>
      <c r="F653" s="208"/>
      <c r="G653" s="208"/>
      <c r="H653" s="174" t="s">
        <v>171</v>
      </c>
      <c r="I653" s="212">
        <f>SUM(I647:I652)</f>
        <v>5257.2240000000002</v>
      </c>
      <c r="J653" s="211">
        <f>SUM(J647:J652)</f>
        <v>6700</v>
      </c>
      <c r="K653" s="209"/>
    </row>
    <row r="654" spans="1:11" x14ac:dyDescent="0.25">
      <c r="A654" s="31" t="s">
        <v>206</v>
      </c>
      <c r="B654" s="37" t="s">
        <v>68</v>
      </c>
      <c r="C654" s="261" t="s">
        <v>114</v>
      </c>
      <c r="D654" s="108">
        <v>41.75</v>
      </c>
      <c r="E654" s="288" t="s">
        <v>79</v>
      </c>
      <c r="F654" s="109">
        <v>5.3</v>
      </c>
      <c r="G654" s="36">
        <f t="shared" ref="G654:G659" si="78">F654*6.3</f>
        <v>33.39</v>
      </c>
      <c r="H654" s="37">
        <v>24</v>
      </c>
      <c r="I654" s="36">
        <f t="shared" ref="I654:I659" si="79">G654*H654</f>
        <v>801.36</v>
      </c>
      <c r="J654" s="36">
        <v>900</v>
      </c>
    </row>
    <row r="655" spans="1:11" x14ac:dyDescent="0.25">
      <c r="A655" s="31" t="s">
        <v>206</v>
      </c>
      <c r="B655" s="37" t="s">
        <v>69</v>
      </c>
      <c r="C655" s="261" t="s">
        <v>86</v>
      </c>
      <c r="D655" s="108">
        <v>60.22</v>
      </c>
      <c r="E655" s="288" t="s">
        <v>79</v>
      </c>
      <c r="F655" s="110">
        <v>7.4</v>
      </c>
      <c r="G655" s="36">
        <f t="shared" si="78"/>
        <v>46.62</v>
      </c>
      <c r="H655" s="37">
        <v>24</v>
      </c>
      <c r="I655" s="41">
        <f t="shared" si="79"/>
        <v>1118.8799999999999</v>
      </c>
      <c r="J655" s="36">
        <v>1400</v>
      </c>
    </row>
    <row r="656" spans="1:11" x14ac:dyDescent="0.25">
      <c r="A656" s="31" t="s">
        <v>206</v>
      </c>
      <c r="B656" s="50" t="s">
        <v>70</v>
      </c>
      <c r="C656" s="261" t="s">
        <v>75</v>
      </c>
      <c r="D656" s="108" t="s">
        <v>38</v>
      </c>
      <c r="E656" s="288" t="s">
        <v>79</v>
      </c>
      <c r="F656" s="36">
        <v>3.8</v>
      </c>
      <c r="G656" s="36">
        <f t="shared" si="78"/>
        <v>23.939999999999998</v>
      </c>
      <c r="H656" s="37">
        <v>24</v>
      </c>
      <c r="I656" s="36">
        <f t="shared" si="79"/>
        <v>574.55999999999995</v>
      </c>
      <c r="J656" s="36">
        <v>500</v>
      </c>
    </row>
    <row r="657" spans="1:11" x14ac:dyDescent="0.25">
      <c r="A657" s="31" t="s">
        <v>206</v>
      </c>
      <c r="B657" s="75" t="s">
        <v>71</v>
      </c>
      <c r="C657" s="272" t="s">
        <v>156</v>
      </c>
      <c r="D657" s="108">
        <v>94.01</v>
      </c>
      <c r="E657" s="294" t="s">
        <v>79</v>
      </c>
      <c r="F657" s="74">
        <v>4.9000000000000004</v>
      </c>
      <c r="G657" s="36">
        <f t="shared" si="78"/>
        <v>30.87</v>
      </c>
      <c r="H657" s="37">
        <v>24</v>
      </c>
      <c r="I657" s="44">
        <f t="shared" si="79"/>
        <v>740.88</v>
      </c>
      <c r="J657" s="36">
        <v>1600</v>
      </c>
    </row>
    <row r="658" spans="1:11" x14ac:dyDescent="0.25">
      <c r="A658" s="31" t="s">
        <v>206</v>
      </c>
      <c r="B658" s="37" t="s">
        <v>65</v>
      </c>
      <c r="C658" s="261" t="s">
        <v>158</v>
      </c>
      <c r="D658" s="46">
        <v>32.42</v>
      </c>
      <c r="E658" s="288" t="s">
        <v>79</v>
      </c>
      <c r="F658" s="74">
        <v>6.85</v>
      </c>
      <c r="G658" s="36">
        <f t="shared" si="78"/>
        <v>43.154999999999994</v>
      </c>
      <c r="H658" s="35">
        <v>24</v>
      </c>
      <c r="I658" s="44">
        <f t="shared" si="79"/>
        <v>1035.7199999999998</v>
      </c>
      <c r="J658" s="36">
        <v>1000</v>
      </c>
    </row>
    <row r="659" spans="1:11" ht="15.75" thickBot="1" x14ac:dyDescent="0.3">
      <c r="A659" s="31" t="s">
        <v>206</v>
      </c>
      <c r="B659" s="43" t="s">
        <v>66</v>
      </c>
      <c r="C659" s="263" t="s">
        <v>152</v>
      </c>
      <c r="D659" s="34">
        <v>96.58</v>
      </c>
      <c r="E659" s="294" t="s">
        <v>79</v>
      </c>
      <c r="F659" s="73">
        <v>8.1999999999999993</v>
      </c>
      <c r="G659" s="74">
        <f t="shared" si="78"/>
        <v>51.66</v>
      </c>
      <c r="H659" s="91">
        <v>24</v>
      </c>
      <c r="I659" s="96">
        <f t="shared" si="79"/>
        <v>1239.8399999999999</v>
      </c>
      <c r="J659" s="74">
        <v>1300</v>
      </c>
    </row>
    <row r="660" spans="1:11" ht="19.5" thickBot="1" x14ac:dyDescent="0.35">
      <c r="A660" s="206"/>
      <c r="B660" s="174"/>
      <c r="C660" s="207"/>
      <c r="D660" s="217"/>
      <c r="E660" s="310"/>
      <c r="F660" s="208"/>
      <c r="G660" s="208"/>
      <c r="H660" s="174" t="s">
        <v>171</v>
      </c>
      <c r="I660" s="212">
        <f>SUM(I654:I659)</f>
        <v>5511.24</v>
      </c>
      <c r="J660" s="211">
        <f>SUM(J654:J659)</f>
        <v>6700</v>
      </c>
      <c r="K660" s="209"/>
    </row>
    <row r="661" spans="1:11" x14ac:dyDescent="0.25">
      <c r="A661" s="31" t="s">
        <v>207</v>
      </c>
      <c r="B661" s="37" t="s">
        <v>68</v>
      </c>
      <c r="C661" s="261" t="s">
        <v>114</v>
      </c>
      <c r="D661" s="108">
        <v>40.4</v>
      </c>
      <c r="E661" s="288" t="s">
        <v>79</v>
      </c>
      <c r="F661" s="109">
        <v>5.25</v>
      </c>
      <c r="G661" s="36">
        <f t="shared" ref="G661:G666" si="80">F661*6.3</f>
        <v>33.074999999999996</v>
      </c>
      <c r="H661" s="37">
        <v>24</v>
      </c>
      <c r="I661" s="36">
        <f t="shared" ref="I661:I666" si="81">G661*H661</f>
        <v>793.8</v>
      </c>
      <c r="J661" s="36">
        <v>900</v>
      </c>
    </row>
    <row r="662" spans="1:11" x14ac:dyDescent="0.25">
      <c r="A662" s="31" t="s">
        <v>207</v>
      </c>
      <c r="B662" s="37" t="s">
        <v>69</v>
      </c>
      <c r="C662" s="261" t="s">
        <v>86</v>
      </c>
      <c r="D662" s="108">
        <v>59.91</v>
      </c>
      <c r="E662" s="288" t="s">
        <v>79</v>
      </c>
      <c r="F662" s="110">
        <v>7.35</v>
      </c>
      <c r="G662" s="36">
        <f t="shared" si="80"/>
        <v>46.305</v>
      </c>
      <c r="H662" s="37">
        <v>24</v>
      </c>
      <c r="I662" s="41">
        <f t="shared" si="81"/>
        <v>1111.32</v>
      </c>
      <c r="J662" s="36">
        <v>1400</v>
      </c>
    </row>
    <row r="663" spans="1:11" x14ac:dyDescent="0.25">
      <c r="A663" s="31" t="s">
        <v>207</v>
      </c>
      <c r="B663" s="50" t="s">
        <v>70</v>
      </c>
      <c r="C663" s="261" t="s">
        <v>75</v>
      </c>
      <c r="D663" s="108" t="s">
        <v>38</v>
      </c>
      <c r="E663" s="288" t="s">
        <v>79</v>
      </c>
      <c r="F663" s="36">
        <v>3.8</v>
      </c>
      <c r="G663" s="36">
        <f t="shared" si="80"/>
        <v>23.939999999999998</v>
      </c>
      <c r="H663" s="37">
        <v>24</v>
      </c>
      <c r="I663" s="36">
        <f t="shared" si="81"/>
        <v>574.55999999999995</v>
      </c>
      <c r="J663" s="36">
        <v>500</v>
      </c>
    </row>
    <row r="664" spans="1:11" x14ac:dyDescent="0.25">
      <c r="A664" s="31" t="s">
        <v>207</v>
      </c>
      <c r="B664" s="75" t="s">
        <v>71</v>
      </c>
      <c r="C664" s="272" t="s">
        <v>156</v>
      </c>
      <c r="D664" s="108">
        <v>94.01</v>
      </c>
      <c r="E664" s="294" t="s">
        <v>79</v>
      </c>
      <c r="F664" s="74">
        <v>4.9000000000000004</v>
      </c>
      <c r="G664" s="36">
        <f t="shared" si="80"/>
        <v>30.87</v>
      </c>
      <c r="H664" s="37">
        <v>24</v>
      </c>
      <c r="I664" s="44">
        <f t="shared" si="81"/>
        <v>740.88</v>
      </c>
      <c r="J664" s="36">
        <v>1600</v>
      </c>
    </row>
    <row r="665" spans="1:11" x14ac:dyDescent="0.25">
      <c r="A665" s="31" t="s">
        <v>207</v>
      </c>
      <c r="B665" s="37" t="s">
        <v>65</v>
      </c>
      <c r="C665" s="261" t="s">
        <v>158</v>
      </c>
      <c r="D665" s="46">
        <v>33.22</v>
      </c>
      <c r="E665" s="288" t="s">
        <v>79</v>
      </c>
      <c r="F665" s="74">
        <v>6.85</v>
      </c>
      <c r="G665" s="36">
        <f t="shared" si="80"/>
        <v>43.154999999999994</v>
      </c>
      <c r="H665" s="35">
        <v>24</v>
      </c>
      <c r="I665" s="44">
        <f t="shared" si="81"/>
        <v>1035.7199999999998</v>
      </c>
      <c r="J665" s="36">
        <v>1000</v>
      </c>
    </row>
    <row r="666" spans="1:11" ht="15.75" thickBot="1" x14ac:dyDescent="0.3">
      <c r="A666" s="31" t="s">
        <v>207</v>
      </c>
      <c r="B666" s="43" t="s">
        <v>66</v>
      </c>
      <c r="C666" s="263" t="s">
        <v>152</v>
      </c>
      <c r="D666" s="34">
        <v>96.64</v>
      </c>
      <c r="E666" s="294" t="s">
        <v>79</v>
      </c>
      <c r="F666" s="73">
        <v>8.1999999999999993</v>
      </c>
      <c r="G666" s="74">
        <f t="shared" si="80"/>
        <v>51.66</v>
      </c>
      <c r="H666" s="91">
        <v>24</v>
      </c>
      <c r="I666" s="96">
        <f t="shared" si="81"/>
        <v>1239.8399999999999</v>
      </c>
      <c r="J666" s="74">
        <v>1300</v>
      </c>
    </row>
    <row r="667" spans="1:11" ht="19.5" thickBot="1" x14ac:dyDescent="0.35">
      <c r="A667" s="206"/>
      <c r="B667" s="174"/>
      <c r="C667" s="207"/>
      <c r="D667" s="217"/>
      <c r="E667" s="310"/>
      <c r="F667" s="208"/>
      <c r="G667" s="208"/>
      <c r="H667" s="174" t="s">
        <v>171</v>
      </c>
      <c r="I667" s="212">
        <f>SUM(I661:I666)</f>
        <v>5496.12</v>
      </c>
      <c r="J667" s="211">
        <f>SUM(J661:J666)</f>
        <v>6700</v>
      </c>
      <c r="K667" s="209"/>
    </row>
    <row r="668" spans="1:11" x14ac:dyDescent="0.25">
      <c r="A668" s="31" t="s">
        <v>208</v>
      </c>
      <c r="B668" s="37" t="s">
        <v>68</v>
      </c>
      <c r="C668" s="261" t="s">
        <v>114</v>
      </c>
      <c r="D668" s="108">
        <v>39.6</v>
      </c>
      <c r="E668" s="288" t="s">
        <v>79</v>
      </c>
      <c r="F668" s="109">
        <v>5.45</v>
      </c>
      <c r="G668" s="36">
        <f t="shared" ref="G668:G673" si="82">F668*6.3</f>
        <v>34.335000000000001</v>
      </c>
      <c r="H668" s="37">
        <v>24</v>
      </c>
      <c r="I668" s="36">
        <f t="shared" ref="I668:I673" si="83">G668*H668</f>
        <v>824.04</v>
      </c>
      <c r="J668" s="36">
        <v>900</v>
      </c>
    </row>
    <row r="669" spans="1:11" x14ac:dyDescent="0.25">
      <c r="A669" s="31" t="s">
        <v>208</v>
      </c>
      <c r="B669" s="37" t="s">
        <v>69</v>
      </c>
      <c r="C669" s="261" t="s">
        <v>86</v>
      </c>
      <c r="D669" s="108">
        <v>59.8</v>
      </c>
      <c r="E669" s="288" t="s">
        <v>79</v>
      </c>
      <c r="F669" s="110">
        <v>7.45</v>
      </c>
      <c r="G669" s="36">
        <f t="shared" si="82"/>
        <v>46.935000000000002</v>
      </c>
      <c r="H669" s="37">
        <v>24</v>
      </c>
      <c r="I669" s="41">
        <f t="shared" si="83"/>
        <v>1126.44</v>
      </c>
      <c r="J669" s="36">
        <v>1400</v>
      </c>
    </row>
    <row r="670" spans="1:11" x14ac:dyDescent="0.25">
      <c r="A670" s="31" t="s">
        <v>208</v>
      </c>
      <c r="B670" s="50" t="s">
        <v>70</v>
      </c>
      <c r="C670" s="261" t="s">
        <v>75</v>
      </c>
      <c r="D670" s="108" t="s">
        <v>38</v>
      </c>
      <c r="E670" s="288" t="s">
        <v>79</v>
      </c>
      <c r="F670" s="36">
        <v>3.9</v>
      </c>
      <c r="G670" s="36">
        <f t="shared" si="82"/>
        <v>24.57</v>
      </c>
      <c r="H670" s="37">
        <v>24</v>
      </c>
      <c r="I670" s="36">
        <f t="shared" si="83"/>
        <v>589.68000000000006</v>
      </c>
      <c r="J670" s="36">
        <v>500</v>
      </c>
    </row>
    <row r="671" spans="1:11" x14ac:dyDescent="0.25">
      <c r="A671" s="31" t="s">
        <v>208</v>
      </c>
      <c r="B671" s="75" t="s">
        <v>71</v>
      </c>
      <c r="C671" s="272" t="s">
        <v>156</v>
      </c>
      <c r="D671" s="108">
        <v>94.01</v>
      </c>
      <c r="E671" s="294" t="s">
        <v>79</v>
      </c>
      <c r="F671" s="74">
        <v>4.9000000000000004</v>
      </c>
      <c r="G671" s="36">
        <f t="shared" si="82"/>
        <v>30.87</v>
      </c>
      <c r="H671" s="37">
        <v>24</v>
      </c>
      <c r="I671" s="44">
        <f t="shared" si="83"/>
        <v>740.88</v>
      </c>
      <c r="J671" s="36">
        <v>1600</v>
      </c>
    </row>
    <row r="672" spans="1:11" x14ac:dyDescent="0.25">
      <c r="A672" s="31" t="s">
        <v>208</v>
      </c>
      <c r="B672" s="37" t="s">
        <v>65</v>
      </c>
      <c r="C672" s="261" t="s">
        <v>158</v>
      </c>
      <c r="D672" s="46">
        <v>33.65</v>
      </c>
      <c r="E672" s="288" t="s">
        <v>79</v>
      </c>
      <c r="F672" s="74">
        <v>6.8</v>
      </c>
      <c r="G672" s="36">
        <f t="shared" si="82"/>
        <v>42.839999999999996</v>
      </c>
      <c r="H672" s="35">
        <v>24</v>
      </c>
      <c r="I672" s="44">
        <f t="shared" si="83"/>
        <v>1028.1599999999999</v>
      </c>
      <c r="J672" s="36">
        <v>1000</v>
      </c>
    </row>
    <row r="673" spans="1:11" ht="15.75" thickBot="1" x14ac:dyDescent="0.3">
      <c r="A673" s="31" t="s">
        <v>208</v>
      </c>
      <c r="B673" s="43" t="s">
        <v>66</v>
      </c>
      <c r="C673" s="263" t="s">
        <v>152</v>
      </c>
      <c r="D673" s="34">
        <v>96.82</v>
      </c>
      <c r="E673" s="294" t="s">
        <v>79</v>
      </c>
      <c r="F673" s="73">
        <v>8.1999999999999993</v>
      </c>
      <c r="G673" s="74">
        <f t="shared" si="82"/>
        <v>51.66</v>
      </c>
      <c r="H673" s="91">
        <v>24</v>
      </c>
      <c r="I673" s="96">
        <f t="shared" si="83"/>
        <v>1239.8399999999999</v>
      </c>
      <c r="J673" s="74">
        <v>1300</v>
      </c>
    </row>
    <row r="674" spans="1:11" ht="19.5" thickBot="1" x14ac:dyDescent="0.35">
      <c r="A674" s="206"/>
      <c r="B674" s="174"/>
      <c r="C674" s="207"/>
      <c r="D674" s="217"/>
      <c r="E674" s="310"/>
      <c r="F674" s="208"/>
      <c r="G674" s="208"/>
      <c r="H674" s="174" t="s">
        <v>171</v>
      </c>
      <c r="I674" s="212">
        <f>SUM(I668:I673)</f>
        <v>5549.04</v>
      </c>
      <c r="J674" s="211">
        <f>SUM(J668:J673)</f>
        <v>6700</v>
      </c>
      <c r="K674" s="209"/>
    </row>
    <row r="675" spans="1:11" x14ac:dyDescent="0.25">
      <c r="A675" s="31" t="s">
        <v>210</v>
      </c>
      <c r="B675" s="37" t="s">
        <v>68</v>
      </c>
      <c r="C675" s="261" t="s">
        <v>114</v>
      </c>
      <c r="D675" s="108">
        <v>35.31</v>
      </c>
      <c r="E675" s="288" t="s">
        <v>79</v>
      </c>
      <c r="F675" s="109">
        <v>2.5</v>
      </c>
      <c r="G675" s="36">
        <f t="shared" ref="G675:G680" si="84">F675*6.3</f>
        <v>15.75</v>
      </c>
      <c r="H675" s="37">
        <v>24</v>
      </c>
      <c r="I675" s="36">
        <f t="shared" ref="I675:I680" si="85">G675*H675</f>
        <v>378</v>
      </c>
      <c r="J675" s="36">
        <v>900</v>
      </c>
    </row>
    <row r="676" spans="1:11" x14ac:dyDescent="0.25">
      <c r="A676" s="31" t="s">
        <v>210</v>
      </c>
      <c r="B676" s="37" t="s">
        <v>69</v>
      </c>
      <c r="C676" s="261" t="s">
        <v>86</v>
      </c>
      <c r="D676" s="108">
        <v>54.3</v>
      </c>
      <c r="E676" s="288" t="s">
        <v>79</v>
      </c>
      <c r="F676" s="110">
        <v>4.5999999999999996</v>
      </c>
      <c r="G676" s="36">
        <f t="shared" si="84"/>
        <v>28.979999999999997</v>
      </c>
      <c r="H676" s="37">
        <v>24</v>
      </c>
      <c r="I676" s="41">
        <f t="shared" si="85"/>
        <v>695.52</v>
      </c>
      <c r="J676" s="36">
        <v>1400</v>
      </c>
    </row>
    <row r="677" spans="1:11" x14ac:dyDescent="0.25">
      <c r="A677" s="31" t="s">
        <v>210</v>
      </c>
      <c r="B677" s="50" t="s">
        <v>70</v>
      </c>
      <c r="C677" s="261" t="s">
        <v>75</v>
      </c>
      <c r="D677" s="108" t="s">
        <v>38</v>
      </c>
      <c r="E677" s="288" t="s">
        <v>79</v>
      </c>
      <c r="F677" s="36">
        <v>2.1</v>
      </c>
      <c r="G677" s="36">
        <f t="shared" si="84"/>
        <v>13.23</v>
      </c>
      <c r="H677" s="37">
        <v>24</v>
      </c>
      <c r="I677" s="36">
        <f t="shared" si="85"/>
        <v>317.52</v>
      </c>
      <c r="J677" s="36">
        <v>500</v>
      </c>
    </row>
    <row r="678" spans="1:11" x14ac:dyDescent="0.25">
      <c r="A678" s="31" t="s">
        <v>210</v>
      </c>
      <c r="B678" s="75" t="s">
        <v>71</v>
      </c>
      <c r="C678" s="272" t="s">
        <v>156</v>
      </c>
      <c r="D678" s="108">
        <v>92.66</v>
      </c>
      <c r="E678" s="294" t="s">
        <v>79</v>
      </c>
      <c r="F678" s="74">
        <v>3.8</v>
      </c>
      <c r="G678" s="36">
        <f t="shared" si="84"/>
        <v>23.939999999999998</v>
      </c>
      <c r="H678" s="37">
        <v>24</v>
      </c>
      <c r="I678" s="44">
        <f t="shared" si="85"/>
        <v>574.55999999999995</v>
      </c>
      <c r="J678" s="36">
        <v>1600</v>
      </c>
    </row>
    <row r="679" spans="1:11" x14ac:dyDescent="0.25">
      <c r="A679" s="31" t="s">
        <v>210</v>
      </c>
      <c r="B679" s="37" t="s">
        <v>65</v>
      </c>
      <c r="C679" s="261" t="s">
        <v>158</v>
      </c>
      <c r="D679" s="46">
        <v>33.1</v>
      </c>
      <c r="E679" s="288" t="s">
        <v>79</v>
      </c>
      <c r="F679" s="74">
        <v>5.2</v>
      </c>
      <c r="G679" s="36">
        <f t="shared" si="84"/>
        <v>32.76</v>
      </c>
      <c r="H679" s="35">
        <v>24</v>
      </c>
      <c r="I679" s="44">
        <f t="shared" si="85"/>
        <v>786.24</v>
      </c>
      <c r="J679" s="36">
        <v>1000</v>
      </c>
    </row>
    <row r="680" spans="1:11" ht="15.75" thickBot="1" x14ac:dyDescent="0.3">
      <c r="A680" s="31" t="s">
        <v>210</v>
      </c>
      <c r="B680" s="43" t="s">
        <v>66</v>
      </c>
      <c r="C680" s="263" t="s">
        <v>152</v>
      </c>
      <c r="D680" s="34">
        <v>96.27</v>
      </c>
      <c r="E680" s="294" t="s">
        <v>79</v>
      </c>
      <c r="F680" s="73">
        <v>6.9</v>
      </c>
      <c r="G680" s="74">
        <f t="shared" si="84"/>
        <v>43.47</v>
      </c>
      <c r="H680" s="91">
        <v>24</v>
      </c>
      <c r="I680" s="96">
        <f t="shared" si="85"/>
        <v>1043.28</v>
      </c>
      <c r="J680" s="74">
        <v>1300</v>
      </c>
    </row>
    <row r="681" spans="1:11" ht="19.5" thickBot="1" x14ac:dyDescent="0.35">
      <c r="A681" s="206"/>
      <c r="B681" s="174"/>
      <c r="C681" s="207"/>
      <c r="D681" s="217"/>
      <c r="E681" s="310"/>
      <c r="F681" s="208"/>
      <c r="G681" s="208"/>
      <c r="H681" s="174" t="s">
        <v>171</v>
      </c>
      <c r="I681" s="212">
        <f>SUM(I675:I680)</f>
        <v>3795.12</v>
      </c>
      <c r="J681" s="211">
        <f>SUM(J675:J680)</f>
        <v>6700</v>
      </c>
      <c r="K681" s="218" t="s">
        <v>209</v>
      </c>
    </row>
    <row r="682" spans="1:11" x14ac:dyDescent="0.25">
      <c r="A682" s="31" t="s">
        <v>211</v>
      </c>
      <c r="B682" s="37" t="s">
        <v>68</v>
      </c>
      <c r="C682" s="261" t="s">
        <v>114</v>
      </c>
      <c r="D682" s="108">
        <v>34</v>
      </c>
      <c r="E682" s="288" t="s">
        <v>79</v>
      </c>
      <c r="F682" s="109">
        <v>5.2</v>
      </c>
      <c r="G682" s="36">
        <f t="shared" ref="G682:G687" si="86">F682*6.3</f>
        <v>32.76</v>
      </c>
      <c r="H682" s="37">
        <v>24</v>
      </c>
      <c r="I682" s="36">
        <f t="shared" ref="I682:I687" si="87">G682*H682</f>
        <v>786.24</v>
      </c>
      <c r="J682" s="36">
        <v>900</v>
      </c>
    </row>
    <row r="683" spans="1:11" x14ac:dyDescent="0.25">
      <c r="A683" s="31" t="s">
        <v>211</v>
      </c>
      <c r="B683" s="37" t="s">
        <v>69</v>
      </c>
      <c r="C683" s="261" t="s">
        <v>86</v>
      </c>
      <c r="D683" s="108">
        <v>54.5</v>
      </c>
      <c r="E683" s="288" t="s">
        <v>79</v>
      </c>
      <c r="F683" s="110">
        <v>6.8</v>
      </c>
      <c r="G683" s="36">
        <f t="shared" si="86"/>
        <v>42.839999999999996</v>
      </c>
      <c r="H683" s="37">
        <v>24</v>
      </c>
      <c r="I683" s="41">
        <f t="shared" si="87"/>
        <v>1028.1599999999999</v>
      </c>
      <c r="J683" s="36">
        <v>1400</v>
      </c>
    </row>
    <row r="684" spans="1:11" x14ac:dyDescent="0.25">
      <c r="A684" s="31" t="s">
        <v>211</v>
      </c>
      <c r="B684" s="50" t="s">
        <v>70</v>
      </c>
      <c r="C684" s="261" t="s">
        <v>75</v>
      </c>
      <c r="D684" s="108" t="s">
        <v>38</v>
      </c>
      <c r="E684" s="288" t="s">
        <v>79</v>
      </c>
      <c r="F684" s="36">
        <v>3.5</v>
      </c>
      <c r="G684" s="36">
        <f t="shared" si="86"/>
        <v>22.05</v>
      </c>
      <c r="H684" s="37">
        <v>24</v>
      </c>
      <c r="I684" s="36">
        <f t="shared" si="87"/>
        <v>529.20000000000005</v>
      </c>
      <c r="J684" s="36">
        <v>500</v>
      </c>
    </row>
    <row r="685" spans="1:11" x14ac:dyDescent="0.25">
      <c r="A685" s="31" t="s">
        <v>211</v>
      </c>
      <c r="B685" s="75" t="s">
        <v>71</v>
      </c>
      <c r="C685" s="272" t="s">
        <v>156</v>
      </c>
      <c r="D685" s="108">
        <v>93.43</v>
      </c>
      <c r="E685" s="294" t="s">
        <v>79</v>
      </c>
      <c r="F685" s="74">
        <v>6.1</v>
      </c>
      <c r="G685" s="36">
        <f t="shared" si="86"/>
        <v>38.43</v>
      </c>
      <c r="H685" s="37">
        <v>24</v>
      </c>
      <c r="I685" s="44">
        <f t="shared" si="87"/>
        <v>922.31999999999994</v>
      </c>
      <c r="J685" s="36">
        <v>1600</v>
      </c>
    </row>
    <row r="686" spans="1:11" x14ac:dyDescent="0.25">
      <c r="A686" s="31" t="s">
        <v>211</v>
      </c>
      <c r="B686" s="37" t="s">
        <v>65</v>
      </c>
      <c r="C686" s="261" t="s">
        <v>158</v>
      </c>
      <c r="D686" s="46">
        <v>33.46</v>
      </c>
      <c r="E686" s="288" t="s">
        <v>79</v>
      </c>
      <c r="F686" s="74">
        <v>6.95</v>
      </c>
      <c r="G686" s="36">
        <f t="shared" si="86"/>
        <v>43.784999999999997</v>
      </c>
      <c r="H686" s="35">
        <v>24</v>
      </c>
      <c r="I686" s="44">
        <f t="shared" si="87"/>
        <v>1050.8399999999999</v>
      </c>
      <c r="J686" s="36">
        <v>1000</v>
      </c>
    </row>
    <row r="687" spans="1:11" ht="15.75" thickBot="1" x14ac:dyDescent="0.3">
      <c r="A687" s="31" t="s">
        <v>211</v>
      </c>
      <c r="B687" s="43" t="s">
        <v>66</v>
      </c>
      <c r="C687" s="263" t="s">
        <v>152</v>
      </c>
      <c r="D687" s="34">
        <v>96.76</v>
      </c>
      <c r="E687" s="294" t="s">
        <v>79</v>
      </c>
      <c r="F687" s="73">
        <v>8.4</v>
      </c>
      <c r="G687" s="74">
        <f t="shared" si="86"/>
        <v>52.92</v>
      </c>
      <c r="H687" s="91">
        <v>24</v>
      </c>
      <c r="I687" s="96">
        <f t="shared" si="87"/>
        <v>1270.08</v>
      </c>
      <c r="J687" s="74">
        <v>1300</v>
      </c>
    </row>
    <row r="688" spans="1:11" ht="19.5" thickBot="1" x14ac:dyDescent="0.35">
      <c r="A688" s="206"/>
      <c r="B688" s="174"/>
      <c r="C688" s="207"/>
      <c r="D688" s="217"/>
      <c r="E688" s="310"/>
      <c r="F688" s="208"/>
      <c r="G688" s="208"/>
      <c r="H688" s="174" t="s">
        <v>171</v>
      </c>
      <c r="I688" s="212">
        <f>SUM(I682:I687)</f>
        <v>5586.84</v>
      </c>
      <c r="J688" s="211">
        <f>SUM(J682:J687)</f>
        <v>6700</v>
      </c>
    </row>
    <row r="689" spans="1:10" x14ac:dyDescent="0.25">
      <c r="A689" s="31" t="s">
        <v>212</v>
      </c>
      <c r="B689" s="37" t="s">
        <v>68</v>
      </c>
      <c r="C689" s="261" t="s">
        <v>114</v>
      </c>
      <c r="D689" s="108">
        <v>39.299999999999997</v>
      </c>
      <c r="E689" s="288" t="s">
        <v>79</v>
      </c>
      <c r="F689" s="109">
        <v>5.85</v>
      </c>
      <c r="G689" s="36">
        <f t="shared" ref="G689:G694" si="88">F689*6.3</f>
        <v>36.854999999999997</v>
      </c>
      <c r="H689" s="37">
        <v>24</v>
      </c>
      <c r="I689" s="36">
        <f t="shared" ref="I689:I694" si="89">G689*H689</f>
        <v>884.52</v>
      </c>
      <c r="J689" s="36">
        <v>900</v>
      </c>
    </row>
    <row r="690" spans="1:10" x14ac:dyDescent="0.25">
      <c r="A690" s="31" t="s">
        <v>212</v>
      </c>
      <c r="B690" s="37" t="s">
        <v>69</v>
      </c>
      <c r="C690" s="261" t="s">
        <v>86</v>
      </c>
      <c r="D690" s="108">
        <v>68.180000000000007</v>
      </c>
      <c r="E690" s="288" t="s">
        <v>79</v>
      </c>
      <c r="F690" s="110">
        <v>7.68</v>
      </c>
      <c r="G690" s="36">
        <f t="shared" si="88"/>
        <v>48.384</v>
      </c>
      <c r="H690" s="37">
        <v>24</v>
      </c>
      <c r="I690" s="41">
        <f t="shared" si="89"/>
        <v>1161.2159999999999</v>
      </c>
      <c r="J690" s="36">
        <v>1400</v>
      </c>
    </row>
    <row r="691" spans="1:10" x14ac:dyDescent="0.25">
      <c r="A691" s="31" t="s">
        <v>212</v>
      </c>
      <c r="B691" s="50" t="s">
        <v>70</v>
      </c>
      <c r="C691" s="261" t="s">
        <v>75</v>
      </c>
      <c r="D691" s="108" t="s">
        <v>38</v>
      </c>
      <c r="E691" s="288" t="s">
        <v>79</v>
      </c>
      <c r="F691" s="36">
        <v>3.5</v>
      </c>
      <c r="G691" s="36">
        <f t="shared" si="88"/>
        <v>22.05</v>
      </c>
      <c r="H691" s="37">
        <v>24</v>
      </c>
      <c r="I691" s="36">
        <f t="shared" si="89"/>
        <v>529.20000000000005</v>
      </c>
      <c r="J691" s="36">
        <v>500</v>
      </c>
    </row>
    <row r="692" spans="1:10" x14ac:dyDescent="0.25">
      <c r="A692" s="31" t="s">
        <v>212</v>
      </c>
      <c r="B692" s="75" t="s">
        <v>71</v>
      </c>
      <c r="C692" s="272" t="s">
        <v>156</v>
      </c>
      <c r="D692" s="108">
        <v>92.1</v>
      </c>
      <c r="E692" s="294" t="s">
        <v>79</v>
      </c>
      <c r="F692" s="74">
        <v>5.2</v>
      </c>
      <c r="G692" s="36">
        <f t="shared" si="88"/>
        <v>32.76</v>
      </c>
      <c r="H692" s="37">
        <v>24</v>
      </c>
      <c r="I692" s="44">
        <f t="shared" si="89"/>
        <v>786.24</v>
      </c>
      <c r="J692" s="36">
        <v>1600</v>
      </c>
    </row>
    <row r="693" spans="1:10" x14ac:dyDescent="0.25">
      <c r="A693" s="31" t="s">
        <v>212</v>
      </c>
      <c r="B693" s="37" t="s">
        <v>65</v>
      </c>
      <c r="C693" s="261" t="s">
        <v>158</v>
      </c>
      <c r="D693" s="46">
        <v>33.22</v>
      </c>
      <c r="E693" s="288" t="s">
        <v>79</v>
      </c>
      <c r="F693" s="74">
        <v>6.7</v>
      </c>
      <c r="G693" s="36">
        <f t="shared" si="88"/>
        <v>42.21</v>
      </c>
      <c r="H693" s="35">
        <v>24</v>
      </c>
      <c r="I693" s="44">
        <f t="shared" si="89"/>
        <v>1013.04</v>
      </c>
      <c r="J693" s="36">
        <v>1000</v>
      </c>
    </row>
    <row r="694" spans="1:10" ht="15.75" thickBot="1" x14ac:dyDescent="0.3">
      <c r="A694" s="31" t="s">
        <v>212</v>
      </c>
      <c r="B694" s="43" t="s">
        <v>66</v>
      </c>
      <c r="C694" s="263" t="s">
        <v>152</v>
      </c>
      <c r="D694" s="34">
        <v>95.11</v>
      </c>
      <c r="E694" s="294" t="s">
        <v>79</v>
      </c>
      <c r="F694" s="73">
        <v>8</v>
      </c>
      <c r="G694" s="74">
        <f t="shared" si="88"/>
        <v>50.4</v>
      </c>
      <c r="H694" s="91">
        <v>24</v>
      </c>
      <c r="I694" s="96">
        <f t="shared" si="89"/>
        <v>1209.5999999999999</v>
      </c>
      <c r="J694" s="74">
        <v>1300</v>
      </c>
    </row>
    <row r="695" spans="1:10" ht="19.5" thickBot="1" x14ac:dyDescent="0.35">
      <c r="A695" s="206"/>
      <c r="B695" s="174"/>
      <c r="C695" s="207"/>
      <c r="D695" s="217"/>
      <c r="E695" s="310"/>
      <c r="F695" s="208"/>
      <c r="G695" s="208"/>
      <c r="H695" s="174" t="s">
        <v>171</v>
      </c>
      <c r="I695" s="212">
        <f>SUM(I689:I694)</f>
        <v>5583.8159999999989</v>
      </c>
      <c r="J695" s="211">
        <f>SUM(J689:J694)</f>
        <v>6700</v>
      </c>
    </row>
    <row r="696" spans="1:10" x14ac:dyDescent="0.25">
      <c r="A696" s="31" t="s">
        <v>213</v>
      </c>
      <c r="B696" s="37" t="s">
        <v>68</v>
      </c>
      <c r="C696" s="261" t="s">
        <v>114</v>
      </c>
      <c r="D696" s="108">
        <v>39.36</v>
      </c>
      <c r="E696" s="288" t="s">
        <v>79</v>
      </c>
      <c r="F696" s="109">
        <v>5.8</v>
      </c>
      <c r="G696" s="36">
        <f t="shared" ref="G696:G701" si="90">F696*6.3</f>
        <v>36.54</v>
      </c>
      <c r="H696" s="37">
        <v>24</v>
      </c>
      <c r="I696" s="36">
        <f t="shared" ref="I696:I701" si="91">G696*H696</f>
        <v>876.96</v>
      </c>
      <c r="J696" s="36">
        <v>900</v>
      </c>
    </row>
    <row r="697" spans="1:10" x14ac:dyDescent="0.25">
      <c r="A697" s="31" t="s">
        <v>213</v>
      </c>
      <c r="B697" s="37" t="s">
        <v>69</v>
      </c>
      <c r="C697" s="261" t="s">
        <v>86</v>
      </c>
      <c r="D697" s="108">
        <v>71.709999999999994</v>
      </c>
      <c r="E697" s="288" t="s">
        <v>79</v>
      </c>
      <c r="F697" s="110">
        <v>7.2</v>
      </c>
      <c r="G697" s="36">
        <f t="shared" si="90"/>
        <v>45.36</v>
      </c>
      <c r="H697" s="37">
        <v>24</v>
      </c>
      <c r="I697" s="41">
        <f t="shared" si="91"/>
        <v>1088.6399999999999</v>
      </c>
      <c r="J697" s="36">
        <v>1400</v>
      </c>
    </row>
    <row r="698" spans="1:10" x14ac:dyDescent="0.25">
      <c r="A698" s="31" t="s">
        <v>213</v>
      </c>
      <c r="B698" s="50" t="s">
        <v>70</v>
      </c>
      <c r="C698" s="261" t="s">
        <v>75</v>
      </c>
      <c r="D698" s="108" t="s">
        <v>38</v>
      </c>
      <c r="E698" s="288" t="s">
        <v>79</v>
      </c>
      <c r="F698" s="36">
        <v>3.5</v>
      </c>
      <c r="G698" s="36">
        <f t="shared" si="90"/>
        <v>22.05</v>
      </c>
      <c r="H698" s="37">
        <v>24</v>
      </c>
      <c r="I698" s="36">
        <f t="shared" si="91"/>
        <v>529.20000000000005</v>
      </c>
      <c r="J698" s="36">
        <v>500</v>
      </c>
    </row>
    <row r="699" spans="1:10" x14ac:dyDescent="0.25">
      <c r="A699" s="31" t="s">
        <v>213</v>
      </c>
      <c r="B699" s="75" t="s">
        <v>71</v>
      </c>
      <c r="C699" s="272" t="s">
        <v>156</v>
      </c>
      <c r="D699" s="108">
        <v>92.2</v>
      </c>
      <c r="E699" s="294" t="s">
        <v>79</v>
      </c>
      <c r="F699" s="74">
        <v>4.9000000000000004</v>
      </c>
      <c r="G699" s="36">
        <f t="shared" si="90"/>
        <v>30.87</v>
      </c>
      <c r="H699" s="37">
        <v>24</v>
      </c>
      <c r="I699" s="44">
        <f t="shared" si="91"/>
        <v>740.88</v>
      </c>
      <c r="J699" s="36">
        <v>1600</v>
      </c>
    </row>
    <row r="700" spans="1:10" x14ac:dyDescent="0.25">
      <c r="A700" s="31" t="s">
        <v>213</v>
      </c>
      <c r="B700" s="37" t="s">
        <v>65</v>
      </c>
      <c r="C700" s="261" t="s">
        <v>158</v>
      </c>
      <c r="D700" s="46">
        <v>33.46</v>
      </c>
      <c r="E700" s="288" t="s">
        <v>79</v>
      </c>
      <c r="F700" s="74">
        <v>6.87</v>
      </c>
      <c r="G700" s="36">
        <f t="shared" si="90"/>
        <v>43.280999999999999</v>
      </c>
      <c r="H700" s="35">
        <v>24</v>
      </c>
      <c r="I700" s="44">
        <f t="shared" si="91"/>
        <v>1038.7439999999999</v>
      </c>
      <c r="J700" s="36">
        <v>1000</v>
      </c>
    </row>
    <row r="701" spans="1:10" ht="15.75" thickBot="1" x14ac:dyDescent="0.3">
      <c r="A701" s="31" t="s">
        <v>213</v>
      </c>
      <c r="B701" s="43" t="s">
        <v>66</v>
      </c>
      <c r="C701" s="263" t="s">
        <v>152</v>
      </c>
      <c r="D701" s="34">
        <v>95.18</v>
      </c>
      <c r="E701" s="294" t="s">
        <v>79</v>
      </c>
      <c r="F701" s="73">
        <v>8.1999999999999993</v>
      </c>
      <c r="G701" s="74">
        <f t="shared" si="90"/>
        <v>51.66</v>
      </c>
      <c r="H701" s="91">
        <v>24</v>
      </c>
      <c r="I701" s="96">
        <f t="shared" si="91"/>
        <v>1239.8399999999999</v>
      </c>
      <c r="J701" s="74">
        <v>1300</v>
      </c>
    </row>
    <row r="702" spans="1:10" ht="19.5" thickBot="1" x14ac:dyDescent="0.35">
      <c r="A702" s="206"/>
      <c r="B702" s="174"/>
      <c r="C702" s="207"/>
      <c r="D702" s="217"/>
      <c r="E702" s="310"/>
      <c r="F702" s="208"/>
      <c r="G702" s="208"/>
      <c r="H702" s="174" t="s">
        <v>171</v>
      </c>
      <c r="I702" s="212">
        <f>SUM(I696:I701)</f>
        <v>5514.2640000000001</v>
      </c>
      <c r="J702" s="211">
        <f>SUM(J696:J701)</f>
        <v>6700</v>
      </c>
    </row>
    <row r="703" spans="1:10" x14ac:dyDescent="0.25">
      <c r="A703" s="31" t="s">
        <v>214</v>
      </c>
      <c r="B703" s="37" t="s">
        <v>68</v>
      </c>
      <c r="C703" s="261" t="s">
        <v>114</v>
      </c>
      <c r="D703" s="108">
        <v>38.880000000000003</v>
      </c>
      <c r="E703" s="288" t="s">
        <v>79</v>
      </c>
      <c r="F703" s="109">
        <v>5.57</v>
      </c>
      <c r="G703" s="36">
        <f t="shared" ref="G703:G708" si="92">F703*6.3</f>
        <v>35.091000000000001</v>
      </c>
      <c r="H703" s="37">
        <v>24</v>
      </c>
      <c r="I703" s="36">
        <f t="shared" ref="I703:I708" si="93">G703*H703</f>
        <v>842.18399999999997</v>
      </c>
      <c r="J703" s="36">
        <v>900</v>
      </c>
    </row>
    <row r="704" spans="1:10" x14ac:dyDescent="0.25">
      <c r="A704" s="31" t="s">
        <v>214</v>
      </c>
      <c r="B704" s="37" t="s">
        <v>69</v>
      </c>
      <c r="C704" s="261" t="s">
        <v>86</v>
      </c>
      <c r="D704" s="108">
        <v>73.62</v>
      </c>
      <c r="E704" s="288" t="s">
        <v>79</v>
      </c>
      <c r="F704" s="110">
        <v>6.7</v>
      </c>
      <c r="G704" s="36">
        <f t="shared" si="92"/>
        <v>42.21</v>
      </c>
      <c r="H704" s="37">
        <v>24</v>
      </c>
      <c r="I704" s="41">
        <f t="shared" si="93"/>
        <v>1013.04</v>
      </c>
      <c r="J704" s="36">
        <v>1400</v>
      </c>
    </row>
    <row r="705" spans="1:10" x14ac:dyDescent="0.25">
      <c r="A705" s="31" t="s">
        <v>214</v>
      </c>
      <c r="B705" s="50" t="s">
        <v>70</v>
      </c>
      <c r="C705" s="261" t="s">
        <v>75</v>
      </c>
      <c r="D705" s="108" t="s">
        <v>38</v>
      </c>
      <c r="E705" s="288" t="s">
        <v>79</v>
      </c>
      <c r="F705" s="36">
        <v>7.92</v>
      </c>
      <c r="G705" s="36">
        <f t="shared" si="92"/>
        <v>49.896000000000001</v>
      </c>
      <c r="H705" s="37">
        <v>24</v>
      </c>
      <c r="I705" s="36">
        <f t="shared" si="93"/>
        <v>1197.5039999999999</v>
      </c>
      <c r="J705" s="36">
        <v>500</v>
      </c>
    </row>
    <row r="706" spans="1:10" x14ac:dyDescent="0.25">
      <c r="A706" s="31" t="s">
        <v>214</v>
      </c>
      <c r="B706" s="75" t="s">
        <v>71</v>
      </c>
      <c r="C706" s="272" t="s">
        <v>156</v>
      </c>
      <c r="D706" s="108">
        <v>92.2</v>
      </c>
      <c r="E706" s="294" t="s">
        <v>79</v>
      </c>
      <c r="F706" s="74">
        <v>4.78</v>
      </c>
      <c r="G706" s="36">
        <f t="shared" si="92"/>
        <v>30.114000000000001</v>
      </c>
      <c r="H706" s="37">
        <v>24</v>
      </c>
      <c r="I706" s="44">
        <f t="shared" si="93"/>
        <v>722.73599999999999</v>
      </c>
      <c r="J706" s="36">
        <v>1600</v>
      </c>
    </row>
    <row r="707" spans="1:10" x14ac:dyDescent="0.25">
      <c r="A707" s="31" t="s">
        <v>214</v>
      </c>
      <c r="B707" s="37" t="s">
        <v>65</v>
      </c>
      <c r="C707" s="261" t="s">
        <v>158</v>
      </c>
      <c r="D707" s="46">
        <v>34.86</v>
      </c>
      <c r="E707" s="288" t="s">
        <v>79</v>
      </c>
      <c r="F707" s="74">
        <v>6.89</v>
      </c>
      <c r="G707" s="36">
        <f t="shared" si="92"/>
        <v>43.406999999999996</v>
      </c>
      <c r="H707" s="35">
        <v>24</v>
      </c>
      <c r="I707" s="44">
        <f t="shared" si="93"/>
        <v>1041.768</v>
      </c>
      <c r="J707" s="36">
        <v>1000</v>
      </c>
    </row>
    <row r="708" spans="1:10" ht="15.75" thickBot="1" x14ac:dyDescent="0.3">
      <c r="A708" s="31" t="s">
        <v>214</v>
      </c>
      <c r="B708" s="43" t="s">
        <v>66</v>
      </c>
      <c r="C708" s="263" t="s">
        <v>152</v>
      </c>
      <c r="D708" s="34">
        <v>96.94</v>
      </c>
      <c r="E708" s="294" t="s">
        <v>79</v>
      </c>
      <c r="F708" s="73">
        <v>8.06</v>
      </c>
      <c r="G708" s="74">
        <f t="shared" si="92"/>
        <v>50.777999999999999</v>
      </c>
      <c r="H708" s="91">
        <v>24</v>
      </c>
      <c r="I708" s="96">
        <f t="shared" si="93"/>
        <v>1218.672</v>
      </c>
      <c r="J708" s="74">
        <v>1300</v>
      </c>
    </row>
    <row r="709" spans="1:10" ht="19.5" thickBot="1" x14ac:dyDescent="0.35">
      <c r="A709" s="206"/>
      <c r="B709" s="174"/>
      <c r="C709" s="207"/>
      <c r="D709" s="217"/>
      <c r="E709" s="310"/>
      <c r="F709" s="208"/>
      <c r="G709" s="208"/>
      <c r="H709" s="174" t="s">
        <v>171</v>
      </c>
      <c r="I709" s="101">
        <f>SUM(I703:I708)</f>
        <v>6035.9040000000005</v>
      </c>
      <c r="J709" s="104">
        <f>SUM(J703:J708)</f>
        <v>6700</v>
      </c>
    </row>
    <row r="710" spans="1:10" x14ac:dyDescent="0.25">
      <c r="A710" s="31" t="s">
        <v>215</v>
      </c>
      <c r="B710" s="37" t="s">
        <v>68</v>
      </c>
      <c r="C710" s="261" t="s">
        <v>114</v>
      </c>
      <c r="D710" s="108">
        <v>37.53</v>
      </c>
      <c r="E710" s="288" t="s">
        <v>79</v>
      </c>
      <c r="F710" s="109">
        <v>5.33</v>
      </c>
      <c r="G710" s="36">
        <f t="shared" ref="G710:G715" si="94">F710*6.3</f>
        <v>33.579000000000001</v>
      </c>
      <c r="H710" s="37">
        <v>24</v>
      </c>
      <c r="I710" s="36">
        <f t="shared" ref="I710:I715" si="95">G710*H710</f>
        <v>805.89599999999996</v>
      </c>
      <c r="J710" s="36">
        <v>900</v>
      </c>
    </row>
    <row r="711" spans="1:10" x14ac:dyDescent="0.25">
      <c r="A711" s="31" t="s">
        <v>215</v>
      </c>
      <c r="B711" s="37" t="s">
        <v>69</v>
      </c>
      <c r="C711" s="261" t="s">
        <v>86</v>
      </c>
      <c r="D711" s="108">
        <v>74.11</v>
      </c>
      <c r="E711" s="288" t="s">
        <v>79</v>
      </c>
      <c r="F711" s="110">
        <v>6.52</v>
      </c>
      <c r="G711" s="36">
        <f t="shared" si="94"/>
        <v>41.075999999999993</v>
      </c>
      <c r="H711" s="37">
        <v>24</v>
      </c>
      <c r="I711" s="41">
        <f t="shared" si="95"/>
        <v>985.82399999999984</v>
      </c>
      <c r="J711" s="36">
        <v>1400</v>
      </c>
    </row>
    <row r="712" spans="1:10" x14ac:dyDescent="0.25">
      <c r="A712" s="31" t="s">
        <v>215</v>
      </c>
      <c r="B712" s="50" t="s">
        <v>70</v>
      </c>
      <c r="C712" s="261" t="s">
        <v>75</v>
      </c>
      <c r="D712" s="108" t="s">
        <v>38</v>
      </c>
      <c r="E712" s="288" t="s">
        <v>79</v>
      </c>
      <c r="F712" s="36">
        <v>7.95</v>
      </c>
      <c r="G712" s="36">
        <f t="shared" si="94"/>
        <v>50.085000000000001</v>
      </c>
      <c r="H712" s="37">
        <v>24</v>
      </c>
      <c r="I712" s="36">
        <f t="shared" si="95"/>
        <v>1202.04</v>
      </c>
      <c r="J712" s="36">
        <v>500</v>
      </c>
    </row>
    <row r="713" spans="1:10" x14ac:dyDescent="0.25">
      <c r="A713" s="31" t="s">
        <v>215</v>
      </c>
      <c r="B713" s="75" t="s">
        <v>71</v>
      </c>
      <c r="C713" s="272" t="s">
        <v>156</v>
      </c>
      <c r="D713" s="108">
        <v>92.2</v>
      </c>
      <c r="E713" s="294" t="s">
        <v>79</v>
      </c>
      <c r="F713" s="74">
        <v>4.74</v>
      </c>
      <c r="G713" s="36">
        <f t="shared" si="94"/>
        <v>29.862000000000002</v>
      </c>
      <c r="H713" s="37">
        <v>24</v>
      </c>
      <c r="I713" s="44">
        <f t="shared" si="95"/>
        <v>716.6880000000001</v>
      </c>
      <c r="J713" s="36">
        <v>1600</v>
      </c>
    </row>
    <row r="714" spans="1:10" x14ac:dyDescent="0.25">
      <c r="A714" s="31" t="s">
        <v>215</v>
      </c>
      <c r="B714" s="37" t="s">
        <v>65</v>
      </c>
      <c r="C714" s="261" t="s">
        <v>158</v>
      </c>
      <c r="D714" s="46">
        <v>34.68</v>
      </c>
      <c r="E714" s="288" t="s">
        <v>79</v>
      </c>
      <c r="F714" s="74">
        <v>6.89</v>
      </c>
      <c r="G714" s="36">
        <f t="shared" si="94"/>
        <v>43.406999999999996</v>
      </c>
      <c r="H714" s="35">
        <v>24</v>
      </c>
      <c r="I714" s="44">
        <f t="shared" si="95"/>
        <v>1041.768</v>
      </c>
      <c r="J714" s="36">
        <v>1000</v>
      </c>
    </row>
    <row r="715" spans="1:10" ht="15.75" thickBot="1" x14ac:dyDescent="0.3">
      <c r="A715" s="31" t="s">
        <v>215</v>
      </c>
      <c r="B715" s="43" t="s">
        <v>66</v>
      </c>
      <c r="C715" s="278" t="s">
        <v>152</v>
      </c>
      <c r="D715" s="34">
        <v>96.09</v>
      </c>
      <c r="E715" s="294" t="s">
        <v>79</v>
      </c>
      <c r="F715" s="73">
        <v>8.0500000000000007</v>
      </c>
      <c r="G715" s="74">
        <f t="shared" si="94"/>
        <v>50.715000000000003</v>
      </c>
      <c r="H715" s="91">
        <v>24</v>
      </c>
      <c r="I715" s="96">
        <f t="shared" si="95"/>
        <v>1217.1600000000001</v>
      </c>
      <c r="J715" s="74">
        <v>1300</v>
      </c>
    </row>
    <row r="716" spans="1:10" ht="19.5" thickBot="1" x14ac:dyDescent="0.35">
      <c r="A716" s="220"/>
      <c r="B716" s="221"/>
      <c r="C716" s="279"/>
      <c r="D716" s="217"/>
      <c r="E716" s="310"/>
      <c r="F716" s="208"/>
      <c r="G716" s="208"/>
      <c r="H716" s="174" t="s">
        <v>171</v>
      </c>
      <c r="I716" s="101">
        <f>SUM(I710:I715)</f>
        <v>5969.3760000000002</v>
      </c>
      <c r="J716" s="104">
        <f>SUM(J710:J715)</f>
        <v>6700</v>
      </c>
    </row>
    <row r="717" spans="1:10" x14ac:dyDescent="0.25">
      <c r="A717" s="31" t="s">
        <v>216</v>
      </c>
      <c r="B717" s="37" t="s">
        <v>68</v>
      </c>
      <c r="C717" s="261" t="s">
        <v>114</v>
      </c>
      <c r="D717" s="108">
        <v>35.450000000000003</v>
      </c>
      <c r="E717" s="288" t="s">
        <v>79</v>
      </c>
      <c r="F717" s="109">
        <v>4.8499999999999996</v>
      </c>
      <c r="G717" s="36">
        <f t="shared" ref="G717:G722" si="96">F717*6.3</f>
        <v>30.554999999999996</v>
      </c>
      <c r="H717" s="37">
        <v>24</v>
      </c>
      <c r="I717" s="36">
        <f t="shared" ref="I717:I722" si="97">G717*H717</f>
        <v>733.31999999999994</v>
      </c>
      <c r="J717" s="36">
        <v>900</v>
      </c>
    </row>
    <row r="718" spans="1:10" x14ac:dyDescent="0.25">
      <c r="A718" s="31" t="s">
        <v>216</v>
      </c>
      <c r="B718" s="37" t="s">
        <v>69</v>
      </c>
      <c r="C718" s="261" t="s">
        <v>86</v>
      </c>
      <c r="D718" s="108">
        <v>64.86</v>
      </c>
      <c r="E718" s="288" t="s">
        <v>79</v>
      </c>
      <c r="F718" s="110">
        <v>4.03</v>
      </c>
      <c r="G718" s="36">
        <f t="shared" si="96"/>
        <v>25.388999999999999</v>
      </c>
      <c r="H718" s="37">
        <v>19.5</v>
      </c>
      <c r="I718" s="41">
        <f t="shared" si="97"/>
        <v>495.08549999999997</v>
      </c>
      <c r="J718" s="36">
        <v>1400</v>
      </c>
    </row>
    <row r="719" spans="1:10" x14ac:dyDescent="0.25">
      <c r="A719" s="31" t="s">
        <v>216</v>
      </c>
      <c r="B719" s="50" t="s">
        <v>70</v>
      </c>
      <c r="C719" s="261" t="s">
        <v>75</v>
      </c>
      <c r="D719" s="108" t="s">
        <v>38</v>
      </c>
      <c r="E719" s="288" t="s">
        <v>79</v>
      </c>
      <c r="F719" s="36">
        <v>4.3899999999999997</v>
      </c>
      <c r="G719" s="36">
        <f t="shared" si="96"/>
        <v>27.656999999999996</v>
      </c>
      <c r="H719" s="37">
        <v>24</v>
      </c>
      <c r="I719" s="36">
        <f t="shared" si="97"/>
        <v>663.76799999999992</v>
      </c>
      <c r="J719" s="36">
        <v>500</v>
      </c>
    </row>
    <row r="720" spans="1:10" x14ac:dyDescent="0.25">
      <c r="A720" s="31" t="s">
        <v>216</v>
      </c>
      <c r="B720" s="75" t="s">
        <v>71</v>
      </c>
      <c r="C720" s="272" t="s">
        <v>156</v>
      </c>
      <c r="D720" s="108">
        <v>92.2</v>
      </c>
      <c r="E720" s="294" t="s">
        <v>79</v>
      </c>
      <c r="F720" s="74">
        <v>4.71</v>
      </c>
      <c r="G720" s="36">
        <f t="shared" si="96"/>
        <v>29.672999999999998</v>
      </c>
      <c r="H720" s="37">
        <v>24</v>
      </c>
      <c r="I720" s="44">
        <f t="shared" si="97"/>
        <v>712.15199999999993</v>
      </c>
      <c r="J720" s="36">
        <v>1600</v>
      </c>
    </row>
    <row r="721" spans="1:10" x14ac:dyDescent="0.25">
      <c r="A721" s="31" t="s">
        <v>216</v>
      </c>
      <c r="B721" s="37" t="s">
        <v>65</v>
      </c>
      <c r="C721" s="261" t="s">
        <v>158</v>
      </c>
      <c r="D721" s="46">
        <v>34.74</v>
      </c>
      <c r="E721" s="288" t="s">
        <v>79</v>
      </c>
      <c r="F721" s="74">
        <v>6.79</v>
      </c>
      <c r="G721" s="36">
        <f t="shared" si="96"/>
        <v>42.777000000000001</v>
      </c>
      <c r="H721" s="35">
        <v>24</v>
      </c>
      <c r="I721" s="44">
        <f t="shared" si="97"/>
        <v>1026.6480000000001</v>
      </c>
      <c r="J721" s="36">
        <v>1000</v>
      </c>
    </row>
    <row r="722" spans="1:10" x14ac:dyDescent="0.25">
      <c r="A722" s="31" t="s">
        <v>216</v>
      </c>
      <c r="B722" s="43" t="s">
        <v>66</v>
      </c>
      <c r="C722" s="278" t="s">
        <v>152</v>
      </c>
      <c r="D722" s="34">
        <v>95.73</v>
      </c>
      <c r="E722" s="294" t="s">
        <v>79</v>
      </c>
      <c r="F722" s="73">
        <v>7.83</v>
      </c>
      <c r="G722" s="74">
        <f t="shared" si="96"/>
        <v>49.329000000000001</v>
      </c>
      <c r="H722" s="91">
        <v>24</v>
      </c>
      <c r="I722" s="96">
        <f t="shared" si="97"/>
        <v>1183.896</v>
      </c>
      <c r="J722" s="74">
        <v>1300</v>
      </c>
    </row>
    <row r="723" spans="1:10" ht="18.75" x14ac:dyDescent="0.3">
      <c r="A723" s="222"/>
      <c r="B723" s="223"/>
      <c r="C723" s="223"/>
      <c r="D723" s="217"/>
      <c r="E723" s="311"/>
      <c r="F723" s="217"/>
      <c r="G723" s="217"/>
      <c r="H723" s="99" t="s">
        <v>171</v>
      </c>
      <c r="I723" s="33">
        <f>SUM(I717:I722)</f>
        <v>4814.8694999999998</v>
      </c>
      <c r="J723" s="33">
        <f>SUM(J717:J722)</f>
        <v>6700</v>
      </c>
    </row>
    <row r="724" spans="1:10" x14ac:dyDescent="0.25">
      <c r="A724" s="31" t="s">
        <v>217</v>
      </c>
      <c r="B724" s="37" t="s">
        <v>68</v>
      </c>
      <c r="C724" s="261" t="s">
        <v>114</v>
      </c>
      <c r="D724" s="108">
        <v>35.75</v>
      </c>
      <c r="E724" s="288" t="s">
        <v>79</v>
      </c>
      <c r="F724" s="109">
        <v>5.21</v>
      </c>
      <c r="G724" s="36">
        <f t="shared" ref="G724:G729" si="98">F724*6.3</f>
        <v>32.823</v>
      </c>
      <c r="H724" s="37">
        <v>24</v>
      </c>
      <c r="I724" s="36">
        <f t="shared" ref="I724:I729" si="99">G724*H724</f>
        <v>787.75199999999995</v>
      </c>
      <c r="J724" s="36">
        <v>900</v>
      </c>
    </row>
    <row r="725" spans="1:10" x14ac:dyDescent="0.25">
      <c r="A725" s="31" t="s">
        <v>217</v>
      </c>
      <c r="B725" s="37" t="s">
        <v>69</v>
      </c>
      <c r="C725" s="261" t="s">
        <v>86</v>
      </c>
      <c r="D725" s="108">
        <v>71.849999999999994</v>
      </c>
      <c r="E725" s="288" t="s">
        <v>79</v>
      </c>
      <c r="F725" s="110">
        <v>5.71</v>
      </c>
      <c r="G725" s="36">
        <f t="shared" si="98"/>
        <v>35.972999999999999</v>
      </c>
      <c r="H725" s="37">
        <v>21.5</v>
      </c>
      <c r="I725" s="41">
        <f t="shared" si="99"/>
        <v>773.41949999999997</v>
      </c>
      <c r="J725" s="36">
        <v>1400</v>
      </c>
    </row>
    <row r="726" spans="1:10" x14ac:dyDescent="0.25">
      <c r="A726" s="31" t="s">
        <v>217</v>
      </c>
      <c r="B726" s="50" t="s">
        <v>70</v>
      </c>
      <c r="C726" s="261" t="s">
        <v>75</v>
      </c>
      <c r="D726" s="108" t="s">
        <v>38</v>
      </c>
      <c r="E726" s="288" t="s">
        <v>79</v>
      </c>
      <c r="F726" s="36">
        <v>4.09</v>
      </c>
      <c r="G726" s="36">
        <f t="shared" si="98"/>
        <v>25.766999999999999</v>
      </c>
      <c r="H726" s="37">
        <v>24</v>
      </c>
      <c r="I726" s="36">
        <f t="shared" si="99"/>
        <v>618.40800000000002</v>
      </c>
      <c r="J726" s="36">
        <v>500</v>
      </c>
    </row>
    <row r="727" spans="1:10" x14ac:dyDescent="0.25">
      <c r="A727" s="31" t="s">
        <v>217</v>
      </c>
      <c r="B727" s="75" t="s">
        <v>71</v>
      </c>
      <c r="C727" s="272" t="s">
        <v>156</v>
      </c>
      <c r="D727" s="108">
        <v>92.2</v>
      </c>
      <c r="E727" s="294" t="s">
        <v>79</v>
      </c>
      <c r="F727" s="74">
        <v>4.72</v>
      </c>
      <c r="G727" s="36">
        <f t="shared" si="98"/>
        <v>29.735999999999997</v>
      </c>
      <c r="H727" s="37">
        <v>24</v>
      </c>
      <c r="I727" s="44">
        <f t="shared" si="99"/>
        <v>713.66399999999999</v>
      </c>
      <c r="J727" s="36">
        <v>1600</v>
      </c>
    </row>
    <row r="728" spans="1:10" x14ac:dyDescent="0.25">
      <c r="A728" s="31" t="s">
        <v>217</v>
      </c>
      <c r="B728" s="37" t="s">
        <v>65</v>
      </c>
      <c r="C728" s="261" t="s">
        <v>158</v>
      </c>
      <c r="D728" s="46">
        <v>35.18</v>
      </c>
      <c r="E728" s="288" t="s">
        <v>79</v>
      </c>
      <c r="F728" s="74">
        <v>6.89</v>
      </c>
      <c r="G728" s="36">
        <f t="shared" si="98"/>
        <v>43.406999999999996</v>
      </c>
      <c r="H728" s="35">
        <v>24</v>
      </c>
      <c r="I728" s="44">
        <f t="shared" si="99"/>
        <v>1041.768</v>
      </c>
      <c r="J728" s="36">
        <v>1000</v>
      </c>
    </row>
    <row r="729" spans="1:10" x14ac:dyDescent="0.25">
      <c r="A729" s="31" t="s">
        <v>217</v>
      </c>
      <c r="B729" s="43" t="s">
        <v>66</v>
      </c>
      <c r="C729" s="278" t="s">
        <v>152</v>
      </c>
      <c r="D729" s="34">
        <v>95.97</v>
      </c>
      <c r="E729" s="294" t="s">
        <v>79</v>
      </c>
      <c r="F729" s="73">
        <v>7.94</v>
      </c>
      <c r="G729" s="74">
        <f t="shared" si="98"/>
        <v>50.021999999999998</v>
      </c>
      <c r="H729" s="91">
        <v>24</v>
      </c>
      <c r="I729" s="96">
        <f t="shared" si="99"/>
        <v>1200.528</v>
      </c>
      <c r="J729" s="74">
        <v>1300</v>
      </c>
    </row>
    <row r="730" spans="1:10" ht="18.75" x14ac:dyDescent="0.3">
      <c r="A730" s="222"/>
      <c r="B730" s="223"/>
      <c r="C730" s="223"/>
      <c r="D730" s="217"/>
      <c r="E730" s="311"/>
      <c r="F730" s="217"/>
      <c r="G730" s="217"/>
      <c r="H730" s="99" t="s">
        <v>171</v>
      </c>
      <c r="I730" s="33">
        <f>SUM(I724:I729)</f>
        <v>5135.5394999999999</v>
      </c>
      <c r="J730" s="33">
        <f>SUM(J724:J729)</f>
        <v>6700</v>
      </c>
    </row>
    <row r="731" spans="1:10" x14ac:dyDescent="0.25">
      <c r="A731" s="31" t="s">
        <v>218</v>
      </c>
      <c r="B731" s="37" t="s">
        <v>68</v>
      </c>
      <c r="C731" s="261" t="s">
        <v>114</v>
      </c>
      <c r="D731" s="108">
        <v>35.5</v>
      </c>
      <c r="E731" s="288" t="s">
        <v>79</v>
      </c>
      <c r="F731" s="109">
        <v>5.34</v>
      </c>
      <c r="G731" s="36">
        <f t="shared" ref="G731:G736" si="100">F731*6.3</f>
        <v>33.641999999999996</v>
      </c>
      <c r="H731" s="37">
        <v>24</v>
      </c>
      <c r="I731" s="36">
        <f t="shared" ref="I731:I736" si="101">G731*H731</f>
        <v>807.4079999999999</v>
      </c>
      <c r="J731" s="36">
        <v>900</v>
      </c>
    </row>
    <row r="732" spans="1:10" x14ac:dyDescent="0.25">
      <c r="A732" s="31" t="s">
        <v>218</v>
      </c>
      <c r="B732" s="37" t="s">
        <v>69</v>
      </c>
      <c r="C732" s="261" t="s">
        <v>86</v>
      </c>
      <c r="D732" s="108">
        <v>82.31</v>
      </c>
      <c r="E732" s="288" t="s">
        <v>79</v>
      </c>
      <c r="F732" s="110">
        <v>7.7</v>
      </c>
      <c r="G732" s="36">
        <f t="shared" si="100"/>
        <v>48.51</v>
      </c>
      <c r="H732" s="37">
        <v>24</v>
      </c>
      <c r="I732" s="41">
        <f t="shared" si="101"/>
        <v>1164.24</v>
      </c>
      <c r="J732" s="36">
        <v>1400</v>
      </c>
    </row>
    <row r="733" spans="1:10" x14ac:dyDescent="0.25">
      <c r="A733" s="31" t="s">
        <v>218</v>
      </c>
      <c r="B733" s="50" t="s">
        <v>70</v>
      </c>
      <c r="C733" s="261" t="s">
        <v>75</v>
      </c>
      <c r="D733" s="108" t="s">
        <v>38</v>
      </c>
      <c r="E733" s="288" t="s">
        <v>79</v>
      </c>
      <c r="F733" s="36">
        <v>4.72</v>
      </c>
      <c r="G733" s="36">
        <f t="shared" si="100"/>
        <v>29.735999999999997</v>
      </c>
      <c r="H733" s="37">
        <v>24</v>
      </c>
      <c r="I733" s="36">
        <f t="shared" si="101"/>
        <v>713.66399999999999</v>
      </c>
      <c r="J733" s="36">
        <v>500</v>
      </c>
    </row>
    <row r="734" spans="1:10" x14ac:dyDescent="0.25">
      <c r="A734" s="31" t="s">
        <v>218</v>
      </c>
      <c r="B734" s="75" t="s">
        <v>71</v>
      </c>
      <c r="C734" s="272" t="s">
        <v>156</v>
      </c>
      <c r="D734" s="108">
        <v>92.2</v>
      </c>
      <c r="E734" s="294" t="s">
        <v>79</v>
      </c>
      <c r="F734" s="74">
        <v>3.78</v>
      </c>
      <c r="G734" s="36">
        <f t="shared" si="100"/>
        <v>23.813999999999997</v>
      </c>
      <c r="H734" s="37">
        <v>24</v>
      </c>
      <c r="I734" s="44">
        <f t="shared" si="101"/>
        <v>571.53599999999994</v>
      </c>
      <c r="J734" s="36">
        <v>1600</v>
      </c>
    </row>
    <row r="735" spans="1:10" x14ac:dyDescent="0.25">
      <c r="A735" s="31" t="s">
        <v>218</v>
      </c>
      <c r="B735" s="37" t="s">
        <v>65</v>
      </c>
      <c r="C735" s="261" t="s">
        <v>158</v>
      </c>
      <c r="D735" s="46">
        <v>35.67</v>
      </c>
      <c r="E735" s="288" t="s">
        <v>79</v>
      </c>
      <c r="F735" s="74">
        <v>6.91</v>
      </c>
      <c r="G735" s="36">
        <f t="shared" si="100"/>
        <v>43.533000000000001</v>
      </c>
      <c r="H735" s="35">
        <v>24</v>
      </c>
      <c r="I735" s="44">
        <f t="shared" si="101"/>
        <v>1044.7919999999999</v>
      </c>
      <c r="J735" s="36">
        <v>1000</v>
      </c>
    </row>
    <row r="736" spans="1:10" x14ac:dyDescent="0.25">
      <c r="A736" s="31" t="s">
        <v>218</v>
      </c>
      <c r="B736" s="43" t="s">
        <v>66</v>
      </c>
      <c r="C736" s="263" t="s">
        <v>152</v>
      </c>
      <c r="D736" s="34">
        <v>96.35</v>
      </c>
      <c r="E736" s="294" t="s">
        <v>79</v>
      </c>
      <c r="F736" s="73">
        <v>7.89</v>
      </c>
      <c r="G736" s="74">
        <f t="shared" si="100"/>
        <v>49.706999999999994</v>
      </c>
      <c r="H736" s="91">
        <v>24</v>
      </c>
      <c r="I736" s="96">
        <f t="shared" si="101"/>
        <v>1192.9679999999998</v>
      </c>
      <c r="J736" s="74">
        <v>1300</v>
      </c>
    </row>
    <row r="737" spans="1:10" ht="19.5" thickBot="1" x14ac:dyDescent="0.35">
      <c r="A737" s="224"/>
      <c r="B737" s="225"/>
      <c r="C737" s="226"/>
      <c r="D737" s="217"/>
      <c r="E737" s="312"/>
      <c r="F737" s="227"/>
      <c r="G737" s="227"/>
      <c r="H737" s="115" t="s">
        <v>171</v>
      </c>
      <c r="I737" s="116">
        <f>SUM(I731:I736)</f>
        <v>5494.6079999999993</v>
      </c>
      <c r="J737" s="116">
        <f>SUM(J731:J736)</f>
        <v>6700</v>
      </c>
    </row>
    <row r="738" spans="1:10" x14ac:dyDescent="0.25">
      <c r="A738" s="146" t="s">
        <v>219</v>
      </c>
      <c r="B738" s="120" t="s">
        <v>68</v>
      </c>
      <c r="C738" s="268" t="s">
        <v>114</v>
      </c>
      <c r="D738" s="108">
        <v>33.85</v>
      </c>
      <c r="E738" s="296" t="s">
        <v>79</v>
      </c>
      <c r="F738" s="118">
        <v>5.08</v>
      </c>
      <c r="G738" s="119">
        <f t="shared" ref="G738:G743" si="102">F738*6.3</f>
        <v>32.003999999999998</v>
      </c>
      <c r="H738" s="120">
        <v>24</v>
      </c>
      <c r="I738" s="119">
        <f t="shared" ref="I738:I743" si="103">G738*H738</f>
        <v>768.096</v>
      </c>
      <c r="J738" s="121">
        <v>900</v>
      </c>
    </row>
    <row r="739" spans="1:10" x14ac:dyDescent="0.25">
      <c r="A739" s="147" t="s">
        <v>219</v>
      </c>
      <c r="B739" s="37" t="s">
        <v>69</v>
      </c>
      <c r="C739" s="261" t="s">
        <v>86</v>
      </c>
      <c r="D739" s="108">
        <v>79.56</v>
      </c>
      <c r="E739" s="288" t="s">
        <v>79</v>
      </c>
      <c r="F739" s="110">
        <v>6.77</v>
      </c>
      <c r="G739" s="36">
        <f t="shared" si="102"/>
        <v>42.650999999999996</v>
      </c>
      <c r="H739" s="37">
        <v>24</v>
      </c>
      <c r="I739" s="41">
        <f t="shared" si="103"/>
        <v>1023.6239999999999</v>
      </c>
      <c r="J739" s="123">
        <v>1400</v>
      </c>
    </row>
    <row r="740" spans="1:10" x14ac:dyDescent="0.25">
      <c r="A740" s="147" t="s">
        <v>219</v>
      </c>
      <c r="B740" s="50" t="s">
        <v>70</v>
      </c>
      <c r="C740" s="261" t="s">
        <v>75</v>
      </c>
      <c r="D740" s="108" t="s">
        <v>38</v>
      </c>
      <c r="E740" s="288" t="s">
        <v>79</v>
      </c>
      <c r="F740" s="36">
        <v>4.49</v>
      </c>
      <c r="G740" s="36">
        <f t="shared" si="102"/>
        <v>28.286999999999999</v>
      </c>
      <c r="H740" s="37">
        <v>24</v>
      </c>
      <c r="I740" s="36">
        <f t="shared" si="103"/>
        <v>678.88799999999992</v>
      </c>
      <c r="J740" s="123">
        <v>500</v>
      </c>
    </row>
    <row r="741" spans="1:10" x14ac:dyDescent="0.25">
      <c r="A741" s="147" t="s">
        <v>219</v>
      </c>
      <c r="B741" s="75" t="s">
        <v>71</v>
      </c>
      <c r="C741" s="272" t="s">
        <v>156</v>
      </c>
      <c r="D741" s="108">
        <v>92.2</v>
      </c>
      <c r="E741" s="294" t="s">
        <v>79</v>
      </c>
      <c r="F741" s="74">
        <v>4.7300000000000004</v>
      </c>
      <c r="G741" s="36">
        <f t="shared" si="102"/>
        <v>29.799000000000003</v>
      </c>
      <c r="H741" s="37">
        <v>24</v>
      </c>
      <c r="I741" s="44">
        <f t="shared" si="103"/>
        <v>715.17600000000004</v>
      </c>
      <c r="J741" s="123">
        <v>1600</v>
      </c>
    </row>
    <row r="742" spans="1:10" x14ac:dyDescent="0.25">
      <c r="A742" s="147" t="s">
        <v>219</v>
      </c>
      <c r="B742" s="37" t="s">
        <v>65</v>
      </c>
      <c r="C742" s="261" t="s">
        <v>158</v>
      </c>
      <c r="D742" s="46">
        <v>35.979999999999997</v>
      </c>
      <c r="E742" s="288" t="s">
        <v>79</v>
      </c>
      <c r="F742" s="74">
        <v>6.9</v>
      </c>
      <c r="G742" s="36">
        <f t="shared" si="102"/>
        <v>43.47</v>
      </c>
      <c r="H742" s="35">
        <v>24</v>
      </c>
      <c r="I742" s="44">
        <f t="shared" si="103"/>
        <v>1043.28</v>
      </c>
      <c r="J742" s="123">
        <v>1000</v>
      </c>
    </row>
    <row r="743" spans="1:10" x14ac:dyDescent="0.25">
      <c r="A743" s="147" t="s">
        <v>219</v>
      </c>
      <c r="B743" s="43" t="s">
        <v>66</v>
      </c>
      <c r="C743" s="263" t="s">
        <v>152</v>
      </c>
      <c r="D743" s="34">
        <v>96.64</v>
      </c>
      <c r="E743" s="294" t="s">
        <v>79</v>
      </c>
      <c r="F743" s="73">
        <v>7.85</v>
      </c>
      <c r="G743" s="74">
        <f t="shared" si="102"/>
        <v>49.454999999999998</v>
      </c>
      <c r="H743" s="91">
        <v>24</v>
      </c>
      <c r="I743" s="96">
        <f t="shared" si="103"/>
        <v>1186.92</v>
      </c>
      <c r="J743" s="124">
        <v>1300</v>
      </c>
    </row>
    <row r="744" spans="1:10" ht="19.5" thickBot="1" x14ac:dyDescent="0.35">
      <c r="A744" s="228"/>
      <c r="B744" s="228"/>
      <c r="C744" s="280"/>
      <c r="D744" s="229"/>
      <c r="E744" s="313"/>
      <c r="F744" s="229"/>
      <c r="G744" s="229"/>
      <c r="H744" s="230" t="s">
        <v>171</v>
      </c>
      <c r="I744" s="231">
        <f>SUM(I738:I743)</f>
        <v>5415.9839999999995</v>
      </c>
      <c r="J744" s="231">
        <f>SUM(J738:J743)</f>
        <v>6700</v>
      </c>
    </row>
    <row r="745" spans="1:10" x14ac:dyDescent="0.25">
      <c r="A745" s="31" t="s">
        <v>220</v>
      </c>
      <c r="B745" s="120" t="s">
        <v>68</v>
      </c>
      <c r="C745" s="261" t="s">
        <v>114</v>
      </c>
      <c r="D745" s="108">
        <v>34.72</v>
      </c>
      <c r="E745" s="288" t="s">
        <v>79</v>
      </c>
      <c r="F745" s="109">
        <v>5.42</v>
      </c>
      <c r="G745" s="36">
        <f t="shared" ref="G745:G750" si="104">F745*6.3</f>
        <v>34.146000000000001</v>
      </c>
      <c r="H745" s="37">
        <v>24</v>
      </c>
      <c r="I745" s="36">
        <f t="shared" ref="I745:I750" si="105">G745*H745</f>
        <v>819.50400000000002</v>
      </c>
      <c r="J745" s="36">
        <v>900</v>
      </c>
    </row>
    <row r="746" spans="1:10" x14ac:dyDescent="0.25">
      <c r="A746" s="31" t="s">
        <v>220</v>
      </c>
      <c r="B746" s="37" t="s">
        <v>69</v>
      </c>
      <c r="C746" s="261" t="s">
        <v>86</v>
      </c>
      <c r="D746" s="108">
        <v>78.16</v>
      </c>
      <c r="E746" s="288" t="s">
        <v>79</v>
      </c>
      <c r="F746" s="110">
        <v>5.62</v>
      </c>
      <c r="G746" s="36">
        <f t="shared" si="104"/>
        <v>35.405999999999999</v>
      </c>
      <c r="H746" s="37">
        <v>24</v>
      </c>
      <c r="I746" s="41">
        <f t="shared" si="105"/>
        <v>849.74399999999991</v>
      </c>
      <c r="J746" s="36">
        <v>1400</v>
      </c>
    </row>
    <row r="747" spans="1:10" x14ac:dyDescent="0.25">
      <c r="A747" s="31" t="s">
        <v>220</v>
      </c>
      <c r="B747" s="50" t="s">
        <v>70</v>
      </c>
      <c r="C747" s="261" t="s">
        <v>75</v>
      </c>
      <c r="D747" s="108" t="s">
        <v>38</v>
      </c>
      <c r="E747" s="288" t="s">
        <v>79</v>
      </c>
      <c r="F747" s="36">
        <v>4.5199999999999996</v>
      </c>
      <c r="G747" s="36">
        <f t="shared" si="104"/>
        <v>28.475999999999996</v>
      </c>
      <c r="H747" s="37">
        <v>24</v>
      </c>
      <c r="I747" s="36">
        <f t="shared" si="105"/>
        <v>683.42399999999986</v>
      </c>
      <c r="J747" s="36">
        <v>500</v>
      </c>
    </row>
    <row r="748" spans="1:10" x14ac:dyDescent="0.25">
      <c r="A748" s="31" t="s">
        <v>220</v>
      </c>
      <c r="B748" s="75" t="s">
        <v>71</v>
      </c>
      <c r="C748" s="272" t="s">
        <v>156</v>
      </c>
      <c r="D748" s="108">
        <v>92.2</v>
      </c>
      <c r="E748" s="294" t="s">
        <v>79</v>
      </c>
      <c r="F748" s="74">
        <v>4.3600000000000003</v>
      </c>
      <c r="G748" s="36">
        <f t="shared" si="104"/>
        <v>27.468</v>
      </c>
      <c r="H748" s="37">
        <v>24</v>
      </c>
      <c r="I748" s="44">
        <f t="shared" si="105"/>
        <v>659.23199999999997</v>
      </c>
      <c r="J748" s="36">
        <v>1600</v>
      </c>
    </row>
    <row r="749" spans="1:10" x14ac:dyDescent="0.25">
      <c r="A749" s="31" t="s">
        <v>220</v>
      </c>
      <c r="B749" s="37" t="s">
        <v>65</v>
      </c>
      <c r="C749" s="261" t="s">
        <v>158</v>
      </c>
      <c r="D749" s="46">
        <v>36.159999999999997</v>
      </c>
      <c r="E749" s="288" t="s">
        <v>79</v>
      </c>
      <c r="F749" s="74">
        <v>6.68</v>
      </c>
      <c r="G749" s="36">
        <f t="shared" si="104"/>
        <v>42.083999999999996</v>
      </c>
      <c r="H749" s="35">
        <v>24</v>
      </c>
      <c r="I749" s="44">
        <f t="shared" si="105"/>
        <v>1010.0159999999998</v>
      </c>
      <c r="J749" s="36">
        <v>1000</v>
      </c>
    </row>
    <row r="750" spans="1:10" x14ac:dyDescent="0.25">
      <c r="A750" s="31" t="s">
        <v>220</v>
      </c>
      <c r="B750" s="43" t="s">
        <v>66</v>
      </c>
      <c r="C750" s="263" t="s">
        <v>152</v>
      </c>
      <c r="D750" s="34">
        <v>97.08</v>
      </c>
      <c r="E750" s="294" t="s">
        <v>79</v>
      </c>
      <c r="F750" s="73">
        <v>7.46</v>
      </c>
      <c r="G750" s="74">
        <f t="shared" si="104"/>
        <v>46.997999999999998</v>
      </c>
      <c r="H750" s="91">
        <v>24</v>
      </c>
      <c r="I750" s="96">
        <f t="shared" si="105"/>
        <v>1127.952</v>
      </c>
      <c r="J750" s="74">
        <v>1300</v>
      </c>
    </row>
    <row r="751" spans="1:10" ht="18.75" x14ac:dyDescent="0.3">
      <c r="A751" s="228"/>
      <c r="B751" s="228"/>
      <c r="C751" s="280"/>
      <c r="D751" s="229"/>
      <c r="E751" s="313"/>
      <c r="F751" s="229"/>
      <c r="G751" s="229"/>
      <c r="H751" s="230" t="s">
        <v>171</v>
      </c>
      <c r="I751" s="231">
        <f>SUM(I745:I750)</f>
        <v>5149.8720000000003</v>
      </c>
      <c r="J751" s="231">
        <f>SUM(J745:J750)</f>
        <v>6700</v>
      </c>
    </row>
    <row r="752" spans="1:10" x14ac:dyDescent="0.25">
      <c r="A752" s="46" t="s">
        <v>221</v>
      </c>
      <c r="B752" s="46" t="s">
        <v>68</v>
      </c>
      <c r="C752" s="106" t="s">
        <v>114</v>
      </c>
      <c r="D752" s="46">
        <v>32.32</v>
      </c>
      <c r="E752" s="290" t="s">
        <v>79</v>
      </c>
      <c r="F752" s="46">
        <v>5.32</v>
      </c>
      <c r="G752" s="46">
        <v>33.520000000000003</v>
      </c>
      <c r="H752" s="46">
        <v>12</v>
      </c>
      <c r="I752" s="46">
        <v>402.19</v>
      </c>
      <c r="J752" s="46">
        <v>900</v>
      </c>
    </row>
    <row r="753" spans="1:10" x14ac:dyDescent="0.25">
      <c r="A753" s="46" t="s">
        <v>221</v>
      </c>
      <c r="B753" s="46" t="s">
        <v>69</v>
      </c>
      <c r="C753" s="106" t="s">
        <v>86</v>
      </c>
      <c r="D753" s="46">
        <v>78.03</v>
      </c>
      <c r="E753" s="290" t="s">
        <v>79</v>
      </c>
      <c r="F753" s="46">
        <v>6.31</v>
      </c>
      <c r="G753" s="46">
        <v>39.75</v>
      </c>
      <c r="H753" s="46">
        <v>12</v>
      </c>
      <c r="I753" s="46">
        <v>477.04</v>
      </c>
      <c r="J753" s="46">
        <v>1400</v>
      </c>
    </row>
    <row r="754" spans="1:10" x14ac:dyDescent="0.25">
      <c r="A754" s="46" t="s">
        <v>221</v>
      </c>
      <c r="B754" s="46" t="s">
        <v>70</v>
      </c>
      <c r="C754" s="106" t="s">
        <v>75</v>
      </c>
      <c r="D754" s="46" t="s">
        <v>38</v>
      </c>
      <c r="E754" s="290" t="s">
        <v>79</v>
      </c>
      <c r="F754" s="46">
        <v>4.9800000000000004</v>
      </c>
      <c r="G754" s="46">
        <v>31.37</v>
      </c>
      <c r="H754" s="46">
        <v>12</v>
      </c>
      <c r="I754" s="46">
        <v>376.49</v>
      </c>
      <c r="J754" s="46">
        <v>500</v>
      </c>
    </row>
    <row r="755" spans="1:10" x14ac:dyDescent="0.25">
      <c r="A755" s="46" t="s">
        <v>221</v>
      </c>
      <c r="B755" s="46" t="s">
        <v>71</v>
      </c>
      <c r="C755" s="106" t="s">
        <v>156</v>
      </c>
      <c r="D755" s="46">
        <v>92.2</v>
      </c>
      <c r="E755" s="290" t="s">
        <v>79</v>
      </c>
      <c r="F755" s="46">
        <v>4.82</v>
      </c>
      <c r="G755" s="46">
        <v>30.37</v>
      </c>
      <c r="H755" s="46">
        <v>12</v>
      </c>
      <c r="I755" s="46">
        <v>364.39</v>
      </c>
      <c r="J755" s="46">
        <v>1600</v>
      </c>
    </row>
    <row r="756" spans="1:10" x14ac:dyDescent="0.25">
      <c r="A756" s="46" t="s">
        <v>221</v>
      </c>
      <c r="B756" s="46" t="s">
        <v>65</v>
      </c>
      <c r="C756" s="106" t="s">
        <v>158</v>
      </c>
      <c r="D756" s="46">
        <v>35.58</v>
      </c>
      <c r="E756" s="290" t="s">
        <v>79</v>
      </c>
      <c r="F756" s="46">
        <v>6.9</v>
      </c>
      <c r="G756" s="46">
        <v>43.47</v>
      </c>
      <c r="H756" s="46">
        <v>12</v>
      </c>
      <c r="I756" s="46">
        <v>521.64</v>
      </c>
      <c r="J756" s="46">
        <v>1000</v>
      </c>
    </row>
    <row r="757" spans="1:10" x14ac:dyDescent="0.25">
      <c r="A757" s="46" t="s">
        <v>221</v>
      </c>
      <c r="B757" s="46" t="s">
        <v>66</v>
      </c>
      <c r="C757" s="106" t="s">
        <v>152</v>
      </c>
      <c r="D757" s="46">
        <v>96.4</v>
      </c>
      <c r="E757" s="290" t="s">
        <v>79</v>
      </c>
      <c r="F757" s="46">
        <v>7.9</v>
      </c>
      <c r="G757" s="46">
        <v>49.77</v>
      </c>
      <c r="H757" s="46">
        <v>12</v>
      </c>
      <c r="I757" s="46">
        <v>597.24</v>
      </c>
      <c r="J757" s="46">
        <v>1300</v>
      </c>
    </row>
    <row r="758" spans="1:10" ht="18.75" x14ac:dyDescent="0.3">
      <c r="A758" s="232"/>
      <c r="B758" s="232"/>
      <c r="C758" s="281"/>
      <c r="D758" s="232"/>
      <c r="E758" s="314"/>
      <c r="F758" s="232"/>
      <c r="G758" s="232"/>
      <c r="H758" s="232" t="s">
        <v>171</v>
      </c>
      <c r="I758" s="228">
        <v>2738.99</v>
      </c>
      <c r="J758" s="228">
        <v>6700</v>
      </c>
    </row>
    <row r="759" spans="1:10" x14ac:dyDescent="0.25">
      <c r="A759" s="31" t="s">
        <v>222</v>
      </c>
      <c r="B759" s="46" t="s">
        <v>68</v>
      </c>
      <c r="C759" s="261" t="s">
        <v>114</v>
      </c>
      <c r="D759" s="108">
        <v>34.1</v>
      </c>
      <c r="E759" s="288" t="s">
        <v>79</v>
      </c>
      <c r="F759" s="109">
        <v>5.77</v>
      </c>
      <c r="G759" s="36">
        <f t="shared" ref="G759:G764" si="106">F759*6.3</f>
        <v>36.350999999999999</v>
      </c>
      <c r="H759" s="37">
        <v>24</v>
      </c>
      <c r="I759" s="36">
        <f t="shared" ref="I759:I764" si="107">G759*H759</f>
        <v>872.42399999999998</v>
      </c>
      <c r="J759" s="36">
        <v>900</v>
      </c>
    </row>
    <row r="760" spans="1:10" x14ac:dyDescent="0.25">
      <c r="A760" s="31" t="s">
        <v>222</v>
      </c>
      <c r="B760" s="46" t="s">
        <v>69</v>
      </c>
      <c r="C760" s="261" t="s">
        <v>86</v>
      </c>
      <c r="D760" s="108">
        <v>79.19</v>
      </c>
      <c r="E760" s="288" t="s">
        <v>79</v>
      </c>
      <c r="F760" s="110">
        <v>6.38</v>
      </c>
      <c r="G760" s="36">
        <f t="shared" si="106"/>
        <v>40.193999999999996</v>
      </c>
      <c r="H760" s="37">
        <v>24</v>
      </c>
      <c r="I760" s="41">
        <f t="shared" si="107"/>
        <v>964.65599999999995</v>
      </c>
      <c r="J760" s="36">
        <v>1400</v>
      </c>
    </row>
    <row r="761" spans="1:10" x14ac:dyDescent="0.25">
      <c r="A761" s="31" t="s">
        <v>222</v>
      </c>
      <c r="B761" s="46" t="s">
        <v>70</v>
      </c>
      <c r="C761" s="261" t="s">
        <v>75</v>
      </c>
      <c r="D761" s="108" t="s">
        <v>38</v>
      </c>
      <c r="E761" s="288" t="s">
        <v>79</v>
      </c>
      <c r="F761" s="36">
        <v>5.03</v>
      </c>
      <c r="G761" s="36">
        <f t="shared" si="106"/>
        <v>31.689</v>
      </c>
      <c r="H761" s="37">
        <v>24</v>
      </c>
      <c r="I761" s="36">
        <f t="shared" si="107"/>
        <v>760.53600000000006</v>
      </c>
      <c r="J761" s="36">
        <v>500</v>
      </c>
    </row>
    <row r="762" spans="1:10" x14ac:dyDescent="0.25">
      <c r="A762" s="31" t="s">
        <v>222</v>
      </c>
      <c r="B762" s="46" t="s">
        <v>71</v>
      </c>
      <c r="C762" s="272" t="s">
        <v>156</v>
      </c>
      <c r="D762" s="108">
        <v>92.2</v>
      </c>
      <c r="E762" s="294" t="s">
        <v>79</v>
      </c>
      <c r="F762" s="74">
        <v>4.8600000000000003</v>
      </c>
      <c r="G762" s="36">
        <f t="shared" si="106"/>
        <v>30.618000000000002</v>
      </c>
      <c r="H762" s="37">
        <v>24</v>
      </c>
      <c r="I762" s="44">
        <f t="shared" si="107"/>
        <v>734.83200000000011</v>
      </c>
      <c r="J762" s="36">
        <v>1600</v>
      </c>
    </row>
    <row r="763" spans="1:10" x14ac:dyDescent="0.25">
      <c r="A763" s="31" t="s">
        <v>222</v>
      </c>
      <c r="B763" s="46" t="s">
        <v>65</v>
      </c>
      <c r="C763" s="261" t="s">
        <v>158</v>
      </c>
      <c r="D763" s="46">
        <v>36.83</v>
      </c>
      <c r="E763" s="288" t="s">
        <v>79</v>
      </c>
      <c r="F763" s="74">
        <v>6.9</v>
      </c>
      <c r="G763" s="36">
        <f t="shared" si="106"/>
        <v>43.47</v>
      </c>
      <c r="H763" s="35">
        <v>24</v>
      </c>
      <c r="I763" s="44">
        <f t="shared" si="107"/>
        <v>1043.28</v>
      </c>
      <c r="J763" s="36">
        <v>1000</v>
      </c>
    </row>
    <row r="764" spans="1:10" x14ac:dyDescent="0.25">
      <c r="A764" s="31" t="s">
        <v>222</v>
      </c>
      <c r="B764" s="52" t="s">
        <v>66</v>
      </c>
      <c r="C764" s="263" t="s">
        <v>152</v>
      </c>
      <c r="D764" s="34">
        <v>98.17</v>
      </c>
      <c r="E764" s="294" t="s">
        <v>79</v>
      </c>
      <c r="F764" s="73">
        <v>7.9</v>
      </c>
      <c r="G764" s="74">
        <f t="shared" si="106"/>
        <v>49.77</v>
      </c>
      <c r="H764" s="91">
        <v>24</v>
      </c>
      <c r="I764" s="96">
        <f t="shared" si="107"/>
        <v>1194.48</v>
      </c>
      <c r="J764" s="74">
        <v>1300</v>
      </c>
    </row>
    <row r="765" spans="1:10" ht="18.75" x14ac:dyDescent="0.3">
      <c r="A765" s="228"/>
      <c r="B765" s="232"/>
      <c r="C765" s="280"/>
      <c r="D765" s="229"/>
      <c r="E765" s="313"/>
      <c r="F765" s="229"/>
      <c r="G765" s="229"/>
      <c r="H765" s="230" t="s">
        <v>171</v>
      </c>
      <c r="I765" s="231">
        <f>SUM(I759:I764)</f>
        <v>5570.2080000000005</v>
      </c>
      <c r="J765" s="231">
        <f>SUM(J759:J764)</f>
        <v>6700</v>
      </c>
    </row>
    <row r="766" spans="1:10" x14ac:dyDescent="0.25">
      <c r="A766" s="31" t="s">
        <v>223</v>
      </c>
      <c r="B766" s="46" t="s">
        <v>68</v>
      </c>
      <c r="C766" s="261" t="s">
        <v>114</v>
      </c>
      <c r="D766" s="108">
        <v>32.869999999999997</v>
      </c>
      <c r="E766" s="288" t="s">
        <v>79</v>
      </c>
      <c r="F766" s="109">
        <v>5.7</v>
      </c>
      <c r="G766" s="36">
        <f t="shared" ref="G766:G771" si="108">F766*6.3</f>
        <v>35.909999999999997</v>
      </c>
      <c r="H766" s="37">
        <v>24</v>
      </c>
      <c r="I766" s="36">
        <f t="shared" ref="I766:I771" si="109">G766*H766</f>
        <v>861.83999999999992</v>
      </c>
      <c r="J766" s="36">
        <v>900</v>
      </c>
    </row>
    <row r="767" spans="1:10" x14ac:dyDescent="0.25">
      <c r="A767" s="31" t="s">
        <v>223</v>
      </c>
      <c r="B767" s="46" t="s">
        <v>69</v>
      </c>
      <c r="C767" s="261" t="s">
        <v>86</v>
      </c>
      <c r="D767" s="108">
        <v>79.56</v>
      </c>
      <c r="E767" s="288" t="s">
        <v>79</v>
      </c>
      <c r="F767" s="110">
        <v>6.36</v>
      </c>
      <c r="G767" s="36">
        <f t="shared" si="108"/>
        <v>40.067999999999998</v>
      </c>
      <c r="H767" s="37">
        <v>24</v>
      </c>
      <c r="I767" s="41">
        <f t="shared" si="109"/>
        <v>961.63199999999995</v>
      </c>
      <c r="J767" s="36">
        <v>1400</v>
      </c>
    </row>
    <row r="768" spans="1:10" x14ac:dyDescent="0.25">
      <c r="A768" s="31" t="s">
        <v>223</v>
      </c>
      <c r="B768" s="46" t="s">
        <v>70</v>
      </c>
      <c r="C768" s="261" t="s">
        <v>75</v>
      </c>
      <c r="D768" s="108" t="s">
        <v>38</v>
      </c>
      <c r="E768" s="288" t="s">
        <v>79</v>
      </c>
      <c r="F768" s="36">
        <v>4.8099999999999996</v>
      </c>
      <c r="G768" s="36">
        <f t="shared" si="108"/>
        <v>30.302999999999997</v>
      </c>
      <c r="H768" s="37">
        <v>24</v>
      </c>
      <c r="I768" s="36">
        <f t="shared" si="109"/>
        <v>727.27199999999993</v>
      </c>
      <c r="J768" s="36">
        <v>500</v>
      </c>
    </row>
    <row r="769" spans="1:10" x14ac:dyDescent="0.25">
      <c r="A769" s="31" t="s">
        <v>223</v>
      </c>
      <c r="B769" s="46" t="s">
        <v>71</v>
      </c>
      <c r="C769" s="272" t="s">
        <v>156</v>
      </c>
      <c r="D769" s="108">
        <v>92.2</v>
      </c>
      <c r="E769" s="294" t="s">
        <v>79</v>
      </c>
      <c r="F769" s="74">
        <v>4.8499999999999996</v>
      </c>
      <c r="G769" s="36">
        <f t="shared" si="108"/>
        <v>30.554999999999996</v>
      </c>
      <c r="H769" s="37">
        <v>24</v>
      </c>
      <c r="I769" s="44">
        <f t="shared" si="109"/>
        <v>733.31999999999994</v>
      </c>
      <c r="J769" s="36">
        <v>1600</v>
      </c>
    </row>
    <row r="770" spans="1:10" x14ac:dyDescent="0.25">
      <c r="A770" s="31" t="s">
        <v>223</v>
      </c>
      <c r="B770" s="46" t="s">
        <v>65</v>
      </c>
      <c r="C770" s="261" t="s">
        <v>158</v>
      </c>
      <c r="D770" s="46">
        <v>37.200000000000003</v>
      </c>
      <c r="E770" s="288" t="s">
        <v>79</v>
      </c>
      <c r="F770" s="74">
        <v>6.96</v>
      </c>
      <c r="G770" s="36">
        <f t="shared" si="108"/>
        <v>43.847999999999999</v>
      </c>
      <c r="H770" s="35">
        <v>24</v>
      </c>
      <c r="I770" s="44">
        <f t="shared" si="109"/>
        <v>1052.3519999999999</v>
      </c>
      <c r="J770" s="36">
        <v>1000</v>
      </c>
    </row>
    <row r="771" spans="1:10" x14ac:dyDescent="0.25">
      <c r="A771" s="31" t="s">
        <v>223</v>
      </c>
      <c r="B771" s="52" t="s">
        <v>66</v>
      </c>
      <c r="C771" s="263" t="s">
        <v>152</v>
      </c>
      <c r="D771" s="34">
        <v>98.9</v>
      </c>
      <c r="E771" s="294" t="s">
        <v>79</v>
      </c>
      <c r="F771" s="73">
        <v>7.97</v>
      </c>
      <c r="G771" s="74">
        <f t="shared" si="108"/>
        <v>50.210999999999999</v>
      </c>
      <c r="H771" s="91">
        <v>24</v>
      </c>
      <c r="I771" s="96">
        <f t="shared" si="109"/>
        <v>1205.0639999999999</v>
      </c>
      <c r="J771" s="74">
        <v>1300</v>
      </c>
    </row>
    <row r="772" spans="1:10" ht="18.75" x14ac:dyDescent="0.3">
      <c r="A772" s="228"/>
      <c r="B772" s="232"/>
      <c r="C772" s="280"/>
      <c r="D772" s="229"/>
      <c r="E772" s="313"/>
      <c r="F772" s="229"/>
      <c r="G772" s="229"/>
      <c r="H772" s="230" t="s">
        <v>171</v>
      </c>
      <c r="I772" s="231">
        <f>SUM(I766:I771)</f>
        <v>5541.48</v>
      </c>
      <c r="J772" s="231">
        <f>SUM(J766:J771)</f>
        <v>6700</v>
      </c>
    </row>
    <row r="773" spans="1:10" x14ac:dyDescent="0.25">
      <c r="A773" s="46" t="s">
        <v>224</v>
      </c>
      <c r="B773" s="46" t="s">
        <v>68</v>
      </c>
      <c r="C773" s="261" t="s">
        <v>114</v>
      </c>
      <c r="D773" s="108">
        <v>29.94</v>
      </c>
      <c r="E773" s="288" t="s">
        <v>79</v>
      </c>
      <c r="F773" s="109">
        <v>4.97</v>
      </c>
      <c r="G773" s="36">
        <f t="shared" ref="G773:G778" si="110">F773*6.3</f>
        <v>31.310999999999996</v>
      </c>
      <c r="H773" s="37">
        <v>24</v>
      </c>
      <c r="I773" s="36">
        <f t="shared" ref="I773:I778" si="111">G773*H773</f>
        <v>751.46399999999994</v>
      </c>
      <c r="J773" s="36">
        <v>900</v>
      </c>
    </row>
    <row r="774" spans="1:10" x14ac:dyDescent="0.25">
      <c r="A774" s="46" t="s">
        <v>224</v>
      </c>
      <c r="B774" s="46" t="s">
        <v>69</v>
      </c>
      <c r="C774" s="261" t="s">
        <v>86</v>
      </c>
      <c r="D774" s="108">
        <v>79.19</v>
      </c>
      <c r="E774" s="288" t="s">
        <v>79</v>
      </c>
      <c r="F774" s="36">
        <v>6.26</v>
      </c>
      <c r="G774" s="36">
        <f t="shared" si="110"/>
        <v>39.437999999999995</v>
      </c>
      <c r="H774" s="37">
        <v>24</v>
      </c>
      <c r="I774" s="36">
        <f t="shared" si="111"/>
        <v>946.51199999999994</v>
      </c>
      <c r="J774" s="36">
        <v>1400</v>
      </c>
    </row>
    <row r="775" spans="1:10" x14ac:dyDescent="0.25">
      <c r="A775" s="46" t="s">
        <v>224</v>
      </c>
      <c r="B775" s="46" t="s">
        <v>70</v>
      </c>
      <c r="C775" s="261" t="s">
        <v>75</v>
      </c>
      <c r="D775" s="108" t="s">
        <v>38</v>
      </c>
      <c r="E775" s="288" t="s">
        <v>79</v>
      </c>
      <c r="F775" s="36">
        <v>5.01</v>
      </c>
      <c r="G775" s="36">
        <f t="shared" si="110"/>
        <v>31.562999999999999</v>
      </c>
      <c r="H775" s="37">
        <v>24</v>
      </c>
      <c r="I775" s="36">
        <f t="shared" si="111"/>
        <v>757.51199999999994</v>
      </c>
      <c r="J775" s="36">
        <v>500</v>
      </c>
    </row>
    <row r="776" spans="1:10" x14ac:dyDescent="0.25">
      <c r="A776" s="46" t="s">
        <v>224</v>
      </c>
      <c r="B776" s="46" t="s">
        <v>71</v>
      </c>
      <c r="C776" s="273" t="s">
        <v>156</v>
      </c>
      <c r="D776" s="108">
        <v>92.2</v>
      </c>
      <c r="E776" s="288" t="s">
        <v>79</v>
      </c>
      <c r="F776" s="36">
        <v>4.8</v>
      </c>
      <c r="G776" s="36">
        <f t="shared" si="110"/>
        <v>30.24</v>
      </c>
      <c r="H776" s="37">
        <v>24</v>
      </c>
      <c r="I776" s="139">
        <f t="shared" si="111"/>
        <v>725.76</v>
      </c>
      <c r="J776" s="36">
        <v>1600</v>
      </c>
    </row>
    <row r="777" spans="1:10" x14ac:dyDescent="0.25">
      <c r="A777" s="46" t="s">
        <v>224</v>
      </c>
      <c r="B777" s="46" t="s">
        <v>65</v>
      </c>
      <c r="C777" s="261" t="s">
        <v>158</v>
      </c>
      <c r="D777" s="46">
        <v>37.31</v>
      </c>
      <c r="E777" s="288" t="s">
        <v>79</v>
      </c>
      <c r="F777" s="36">
        <v>6.94</v>
      </c>
      <c r="G777" s="36">
        <f t="shared" si="110"/>
        <v>43.722000000000001</v>
      </c>
      <c r="H777" s="35">
        <v>24</v>
      </c>
      <c r="I777" s="139">
        <f t="shared" si="111"/>
        <v>1049.328</v>
      </c>
      <c r="J777" s="36">
        <v>1000</v>
      </c>
    </row>
    <row r="778" spans="1:10" x14ac:dyDescent="0.25">
      <c r="A778" s="46" t="s">
        <v>224</v>
      </c>
      <c r="B778" s="46" t="s">
        <v>66</v>
      </c>
      <c r="C778" s="106" t="s">
        <v>152</v>
      </c>
      <c r="D778" s="34">
        <v>98.43</v>
      </c>
      <c r="E778" s="288" t="s">
        <v>79</v>
      </c>
      <c r="F778" s="37">
        <v>7.86</v>
      </c>
      <c r="G778" s="36">
        <f t="shared" si="110"/>
        <v>49.518000000000001</v>
      </c>
      <c r="H778" s="35">
        <v>24</v>
      </c>
      <c r="I778" s="139">
        <f t="shared" si="111"/>
        <v>1188.432</v>
      </c>
      <c r="J778" s="36">
        <v>1300</v>
      </c>
    </row>
    <row r="779" spans="1:10" ht="18.75" x14ac:dyDescent="0.3">
      <c r="A779" s="228"/>
      <c r="B779" s="232"/>
      <c r="C779" s="280"/>
      <c r="D779" s="229"/>
      <c r="E779" s="313"/>
      <c r="F779" s="229"/>
      <c r="G779" s="229"/>
      <c r="H779" s="230" t="s">
        <v>171</v>
      </c>
      <c r="I779" s="231">
        <f>SUM(I773:I778)</f>
        <v>5419.0079999999989</v>
      </c>
      <c r="J779" s="231">
        <f>SUM(J773:J778)</f>
        <v>6700</v>
      </c>
    </row>
    <row r="780" spans="1:10" x14ac:dyDescent="0.25">
      <c r="A780" s="46" t="s">
        <v>225</v>
      </c>
      <c r="B780" s="46" t="s">
        <v>68</v>
      </c>
      <c r="C780" s="261" t="s">
        <v>114</v>
      </c>
      <c r="D780" s="108">
        <v>36.799999999999997</v>
      </c>
      <c r="E780" s="288" t="s">
        <v>79</v>
      </c>
      <c r="F780" s="109">
        <v>4.54</v>
      </c>
      <c r="G780" s="36">
        <f t="shared" ref="G780:G785" si="112">F780*6.3</f>
        <v>28.602</v>
      </c>
      <c r="H780" s="37">
        <v>19</v>
      </c>
      <c r="I780" s="36">
        <f t="shared" ref="I780:I785" si="113">G780*H780</f>
        <v>543.43799999999999</v>
      </c>
      <c r="J780" s="36">
        <v>900</v>
      </c>
    </row>
    <row r="781" spans="1:10" x14ac:dyDescent="0.25">
      <c r="A781" s="46" t="s">
        <v>225</v>
      </c>
      <c r="B781" s="46" t="s">
        <v>69</v>
      </c>
      <c r="C781" s="261" t="s">
        <v>86</v>
      </c>
      <c r="D781" s="108">
        <v>83.91</v>
      </c>
      <c r="E781" s="288" t="s">
        <v>79</v>
      </c>
      <c r="F781" s="36">
        <v>7.32</v>
      </c>
      <c r="G781" s="36">
        <f t="shared" si="112"/>
        <v>46.116</v>
      </c>
      <c r="H781" s="37">
        <v>22.5</v>
      </c>
      <c r="I781" s="36">
        <f t="shared" si="113"/>
        <v>1037.6099999999999</v>
      </c>
      <c r="J781" s="36">
        <v>1400</v>
      </c>
    </row>
    <row r="782" spans="1:10" x14ac:dyDescent="0.25">
      <c r="A782" s="46" t="s">
        <v>225</v>
      </c>
      <c r="B782" s="46" t="s">
        <v>70</v>
      </c>
      <c r="C782" s="261" t="s">
        <v>75</v>
      </c>
      <c r="D782" s="108" t="s">
        <v>38</v>
      </c>
      <c r="E782" s="288" t="s">
        <v>79</v>
      </c>
      <c r="F782" s="36">
        <v>4.72</v>
      </c>
      <c r="G782" s="36">
        <f t="shared" si="112"/>
        <v>29.735999999999997</v>
      </c>
      <c r="H782" s="37">
        <v>22.5</v>
      </c>
      <c r="I782" s="36">
        <f t="shared" si="113"/>
        <v>669.06</v>
      </c>
      <c r="J782" s="36">
        <v>500</v>
      </c>
    </row>
    <row r="783" spans="1:10" x14ac:dyDescent="0.25">
      <c r="A783" s="46" t="s">
        <v>225</v>
      </c>
      <c r="B783" s="46" t="s">
        <v>71</v>
      </c>
      <c r="C783" s="273" t="s">
        <v>156</v>
      </c>
      <c r="D783" s="108">
        <v>92.2</v>
      </c>
      <c r="E783" s="288" t="s">
        <v>79</v>
      </c>
      <c r="F783" s="36">
        <v>4.7</v>
      </c>
      <c r="G783" s="36">
        <f t="shared" si="112"/>
        <v>29.61</v>
      </c>
      <c r="H783" s="37">
        <v>22.5</v>
      </c>
      <c r="I783" s="139">
        <f t="shared" si="113"/>
        <v>666.22500000000002</v>
      </c>
      <c r="J783" s="36">
        <v>1600</v>
      </c>
    </row>
    <row r="784" spans="1:10" x14ac:dyDescent="0.25">
      <c r="A784" s="46" t="s">
        <v>225</v>
      </c>
      <c r="B784" s="46" t="s">
        <v>65</v>
      </c>
      <c r="C784" s="261" t="s">
        <v>158</v>
      </c>
      <c r="D784" s="46">
        <v>37.200000000000003</v>
      </c>
      <c r="E784" s="288" t="s">
        <v>79</v>
      </c>
      <c r="F784" s="36">
        <v>6.86</v>
      </c>
      <c r="G784" s="36">
        <f t="shared" si="112"/>
        <v>43.218000000000004</v>
      </c>
      <c r="H784" s="35">
        <v>22.5</v>
      </c>
      <c r="I784" s="139">
        <f t="shared" si="113"/>
        <v>972.40500000000009</v>
      </c>
      <c r="J784" s="36">
        <v>1000</v>
      </c>
    </row>
    <row r="785" spans="1:10" x14ac:dyDescent="0.25">
      <c r="A785" s="46" t="s">
        <v>225</v>
      </c>
      <c r="B785" s="46" t="s">
        <v>66</v>
      </c>
      <c r="C785" s="106" t="s">
        <v>152</v>
      </c>
      <c r="D785" s="34">
        <v>98.35</v>
      </c>
      <c r="E785" s="288" t="s">
        <v>79</v>
      </c>
      <c r="F785" s="37">
        <v>7.61</v>
      </c>
      <c r="G785" s="36">
        <f t="shared" si="112"/>
        <v>47.942999999999998</v>
      </c>
      <c r="H785" s="35">
        <v>22.5</v>
      </c>
      <c r="I785" s="139">
        <f t="shared" si="113"/>
        <v>1078.7175</v>
      </c>
      <c r="J785" s="36">
        <v>1300</v>
      </c>
    </row>
    <row r="786" spans="1:10" ht="18.75" x14ac:dyDescent="0.3">
      <c r="A786" s="228"/>
      <c r="B786" s="228"/>
      <c r="C786" s="280"/>
      <c r="D786" s="229"/>
      <c r="E786" s="313"/>
      <c r="F786" s="229"/>
      <c r="G786" s="229"/>
      <c r="H786" s="230" t="s">
        <v>171</v>
      </c>
      <c r="I786" s="231">
        <f>SUM(I780:I785)</f>
        <v>4967.4555</v>
      </c>
      <c r="J786" s="231">
        <f>SUM(J780:J785)</f>
        <v>6700</v>
      </c>
    </row>
    <row r="787" spans="1:10" x14ac:dyDescent="0.25">
      <c r="A787" s="31" t="s">
        <v>226</v>
      </c>
      <c r="B787" s="46" t="s">
        <v>68</v>
      </c>
      <c r="C787" s="261" t="s">
        <v>114</v>
      </c>
      <c r="D787" s="108">
        <v>45.41</v>
      </c>
      <c r="E787" s="288" t="s">
        <v>79</v>
      </c>
      <c r="F787" s="109">
        <v>5.34</v>
      </c>
      <c r="G787" s="36">
        <f t="shared" ref="G787:G792" si="114">F787*6.3</f>
        <v>33.641999999999996</v>
      </c>
      <c r="H787" s="37">
        <v>24</v>
      </c>
      <c r="I787" s="36">
        <f t="shared" ref="I787:I792" si="115">G787*H787</f>
        <v>807.4079999999999</v>
      </c>
      <c r="J787" s="36">
        <v>900</v>
      </c>
    </row>
    <row r="788" spans="1:10" x14ac:dyDescent="0.25">
      <c r="A788" s="31" t="s">
        <v>226</v>
      </c>
      <c r="B788" s="46" t="s">
        <v>69</v>
      </c>
      <c r="C788" s="261" t="s">
        <v>86</v>
      </c>
      <c r="D788" s="108">
        <v>82.7</v>
      </c>
      <c r="E788" s="288" t="s">
        <v>79</v>
      </c>
      <c r="F788" s="110">
        <v>6.77</v>
      </c>
      <c r="G788" s="36">
        <f t="shared" si="114"/>
        <v>42.650999999999996</v>
      </c>
      <c r="H788" s="37">
        <v>24</v>
      </c>
      <c r="I788" s="41">
        <f t="shared" si="115"/>
        <v>1023.6239999999999</v>
      </c>
      <c r="J788" s="36">
        <v>1400</v>
      </c>
    </row>
    <row r="789" spans="1:10" x14ac:dyDescent="0.25">
      <c r="A789" s="31" t="s">
        <v>226</v>
      </c>
      <c r="B789" s="46" t="s">
        <v>70</v>
      </c>
      <c r="C789" s="261" t="s">
        <v>75</v>
      </c>
      <c r="D789" s="108" t="s">
        <v>38</v>
      </c>
      <c r="E789" s="288" t="s">
        <v>79</v>
      </c>
      <c r="F789" s="36">
        <v>5.05</v>
      </c>
      <c r="G789" s="36">
        <f t="shared" si="114"/>
        <v>31.814999999999998</v>
      </c>
      <c r="H789" s="37">
        <v>24</v>
      </c>
      <c r="I789" s="36">
        <f t="shared" si="115"/>
        <v>763.56</v>
      </c>
      <c r="J789" s="36">
        <v>500</v>
      </c>
    </row>
    <row r="790" spans="1:10" x14ac:dyDescent="0.25">
      <c r="A790" s="31" t="s">
        <v>226</v>
      </c>
      <c r="B790" s="46" t="s">
        <v>71</v>
      </c>
      <c r="C790" s="272" t="s">
        <v>156</v>
      </c>
      <c r="D790" s="108">
        <v>92.2</v>
      </c>
      <c r="E790" s="294" t="s">
        <v>79</v>
      </c>
      <c r="F790" s="74">
        <v>4.8</v>
      </c>
      <c r="G790" s="36">
        <f t="shared" si="114"/>
        <v>30.24</v>
      </c>
      <c r="H790" s="37">
        <v>24</v>
      </c>
      <c r="I790" s="44">
        <f t="shared" si="115"/>
        <v>725.76</v>
      </c>
      <c r="J790" s="36">
        <v>1600</v>
      </c>
    </row>
    <row r="791" spans="1:10" x14ac:dyDescent="0.25">
      <c r="A791" s="31" t="s">
        <v>226</v>
      </c>
      <c r="B791" s="46" t="s">
        <v>65</v>
      </c>
      <c r="C791" s="261" t="s">
        <v>158</v>
      </c>
      <c r="D791" s="46">
        <v>37.44</v>
      </c>
      <c r="E791" s="288" t="s">
        <v>79</v>
      </c>
      <c r="F791" s="74">
        <v>6.94</v>
      </c>
      <c r="G791" s="36">
        <f t="shared" si="114"/>
        <v>43.722000000000001</v>
      </c>
      <c r="H791" s="35">
        <v>24</v>
      </c>
      <c r="I791" s="44">
        <f t="shared" si="115"/>
        <v>1049.328</v>
      </c>
      <c r="J791" s="36">
        <v>1000</v>
      </c>
    </row>
    <row r="792" spans="1:10" x14ac:dyDescent="0.25">
      <c r="A792" s="31" t="s">
        <v>226</v>
      </c>
      <c r="B792" s="52" t="s">
        <v>66</v>
      </c>
      <c r="C792" s="263" t="s">
        <v>152</v>
      </c>
      <c r="D792" s="34">
        <v>98.66</v>
      </c>
      <c r="E792" s="294" t="s">
        <v>79</v>
      </c>
      <c r="F792" s="73">
        <v>7.73</v>
      </c>
      <c r="G792" s="74">
        <f t="shared" si="114"/>
        <v>48.698999999999998</v>
      </c>
      <c r="H792" s="91">
        <v>24</v>
      </c>
      <c r="I792" s="96">
        <f t="shared" si="115"/>
        <v>1168.7759999999998</v>
      </c>
      <c r="J792" s="74">
        <v>1300</v>
      </c>
    </row>
    <row r="793" spans="1:10" ht="18.75" x14ac:dyDescent="0.3">
      <c r="A793" s="228"/>
      <c r="B793" s="228"/>
      <c r="C793" s="280"/>
      <c r="D793" s="229"/>
      <c r="E793" s="313"/>
      <c r="F793" s="229"/>
      <c r="G793" s="229"/>
      <c r="H793" s="230" t="s">
        <v>171</v>
      </c>
      <c r="I793" s="231">
        <f>SUM(I787:I792)</f>
        <v>5538.4560000000001</v>
      </c>
      <c r="J793" s="231">
        <f>SUM(J787:J792)</f>
        <v>6700</v>
      </c>
    </row>
    <row r="794" spans="1:10" x14ac:dyDescent="0.25">
      <c r="A794" s="46" t="s">
        <v>227</v>
      </c>
      <c r="B794" s="46" t="s">
        <v>68</v>
      </c>
      <c r="C794" s="261" t="s">
        <v>114</v>
      </c>
      <c r="D794" s="108">
        <v>47.75</v>
      </c>
      <c r="E794" s="288" t="s">
        <v>79</v>
      </c>
      <c r="F794" s="109">
        <v>5.29</v>
      </c>
      <c r="G794" s="36">
        <f t="shared" ref="G794:G799" si="116">F794*6.3</f>
        <v>33.326999999999998</v>
      </c>
      <c r="H794" s="37">
        <v>24</v>
      </c>
      <c r="I794" s="36">
        <f t="shared" ref="I794:I799" si="117">G794*H794</f>
        <v>799.84799999999996</v>
      </c>
      <c r="J794" s="36">
        <v>900</v>
      </c>
    </row>
    <row r="795" spans="1:10" x14ac:dyDescent="0.25">
      <c r="A795" s="46" t="s">
        <v>227</v>
      </c>
      <c r="B795" s="46" t="s">
        <v>69</v>
      </c>
      <c r="C795" s="261" t="s">
        <v>86</v>
      </c>
      <c r="D795" s="108">
        <v>82.08</v>
      </c>
      <c r="E795" s="288" t="s">
        <v>79</v>
      </c>
      <c r="F795" s="36">
        <v>6.4</v>
      </c>
      <c r="G795" s="36">
        <f t="shared" si="116"/>
        <v>40.32</v>
      </c>
      <c r="H795" s="37">
        <v>24</v>
      </c>
      <c r="I795" s="36">
        <f t="shared" si="117"/>
        <v>967.68000000000006</v>
      </c>
      <c r="J795" s="36">
        <v>1400</v>
      </c>
    </row>
    <row r="796" spans="1:10" x14ac:dyDescent="0.25">
      <c r="A796" s="46" t="s">
        <v>227</v>
      </c>
      <c r="B796" s="46" t="s">
        <v>70</v>
      </c>
      <c r="C796" s="261" t="s">
        <v>75</v>
      </c>
      <c r="D796" s="108" t="s">
        <v>38</v>
      </c>
      <c r="E796" s="288" t="s">
        <v>79</v>
      </c>
      <c r="F796" s="36">
        <v>4.1100000000000003</v>
      </c>
      <c r="G796" s="36">
        <f t="shared" si="116"/>
        <v>25.893000000000001</v>
      </c>
      <c r="H796" s="37">
        <v>24</v>
      </c>
      <c r="I796" s="36">
        <f t="shared" si="117"/>
        <v>621.43200000000002</v>
      </c>
      <c r="J796" s="36">
        <v>500</v>
      </c>
    </row>
    <row r="797" spans="1:10" x14ac:dyDescent="0.25">
      <c r="A797" s="46" t="s">
        <v>227</v>
      </c>
      <c r="B797" s="46" t="s">
        <v>71</v>
      </c>
      <c r="C797" s="273" t="s">
        <v>156</v>
      </c>
      <c r="D797" s="108">
        <v>92.2</v>
      </c>
      <c r="E797" s="288" t="s">
        <v>79</v>
      </c>
      <c r="F797" s="36">
        <v>4.62</v>
      </c>
      <c r="G797" s="36">
        <f t="shared" si="116"/>
        <v>29.105999999999998</v>
      </c>
      <c r="H797" s="37">
        <v>24</v>
      </c>
      <c r="I797" s="139">
        <f t="shared" si="117"/>
        <v>698.54399999999998</v>
      </c>
      <c r="J797" s="36">
        <v>1600</v>
      </c>
    </row>
    <row r="798" spans="1:10" x14ac:dyDescent="0.25">
      <c r="A798" s="46" t="s">
        <v>227</v>
      </c>
      <c r="B798" s="46" t="s">
        <v>65</v>
      </c>
      <c r="C798" s="261" t="s">
        <v>158</v>
      </c>
      <c r="D798" s="46">
        <v>37.44</v>
      </c>
      <c r="E798" s="288" t="s">
        <v>79</v>
      </c>
      <c r="F798" s="36">
        <v>6.84</v>
      </c>
      <c r="G798" s="36">
        <f t="shared" si="116"/>
        <v>43.091999999999999</v>
      </c>
      <c r="H798" s="35">
        <v>24</v>
      </c>
      <c r="I798" s="139">
        <f t="shared" si="117"/>
        <v>1034.2080000000001</v>
      </c>
      <c r="J798" s="36">
        <v>1000</v>
      </c>
    </row>
    <row r="799" spans="1:10" x14ac:dyDescent="0.25">
      <c r="A799" s="46" t="s">
        <v>227</v>
      </c>
      <c r="B799" s="46" t="s">
        <v>66</v>
      </c>
      <c r="C799" s="106" t="s">
        <v>152</v>
      </c>
      <c r="D799" s="34">
        <v>98.66</v>
      </c>
      <c r="E799" s="288" t="s">
        <v>79</v>
      </c>
      <c r="F799" s="37">
        <v>7.6</v>
      </c>
      <c r="G799" s="36">
        <f t="shared" si="116"/>
        <v>47.879999999999995</v>
      </c>
      <c r="H799" s="35">
        <v>24</v>
      </c>
      <c r="I799" s="139">
        <f t="shared" si="117"/>
        <v>1149.1199999999999</v>
      </c>
      <c r="J799" s="36">
        <v>1300</v>
      </c>
    </row>
    <row r="800" spans="1:10" ht="18.75" x14ac:dyDescent="0.3">
      <c r="A800" s="233"/>
      <c r="B800" s="233"/>
      <c r="C800" s="222"/>
      <c r="D800" s="217"/>
      <c r="E800" s="311"/>
      <c r="F800" s="217"/>
      <c r="G800" s="217"/>
      <c r="H800" s="99" t="s">
        <v>171</v>
      </c>
      <c r="I800" s="33">
        <f>SUM(I794:I799)</f>
        <v>5270.8319999999994</v>
      </c>
      <c r="J800" s="33">
        <f>SUM(J794:J799)</f>
        <v>6700</v>
      </c>
    </row>
    <row r="801" spans="1:10" x14ac:dyDescent="0.25">
      <c r="A801" s="31" t="s">
        <v>228</v>
      </c>
      <c r="B801" s="37" t="s">
        <v>68</v>
      </c>
      <c r="C801" s="261" t="s">
        <v>114</v>
      </c>
      <c r="D801" s="108">
        <v>47.62</v>
      </c>
      <c r="E801" s="288" t="s">
        <v>79</v>
      </c>
      <c r="F801" s="109">
        <v>5.29</v>
      </c>
      <c r="G801" s="36">
        <f t="shared" ref="G801:G806" si="118">F801*6.3</f>
        <v>33.326999999999998</v>
      </c>
      <c r="H801" s="37">
        <v>24</v>
      </c>
      <c r="I801" s="36">
        <f t="shared" ref="I801:I806" si="119">G801*H801</f>
        <v>799.84799999999996</v>
      </c>
      <c r="J801" s="36">
        <v>900</v>
      </c>
    </row>
    <row r="802" spans="1:10" x14ac:dyDescent="0.25">
      <c r="A802" s="31" t="s">
        <v>228</v>
      </c>
      <c r="B802" s="37" t="s">
        <v>69</v>
      </c>
      <c r="C802" s="261" t="s">
        <v>86</v>
      </c>
      <c r="D802" s="108">
        <v>81.459999999999994</v>
      </c>
      <c r="E802" s="288" t="s">
        <v>79</v>
      </c>
      <c r="F802" s="110">
        <v>6.8</v>
      </c>
      <c r="G802" s="36">
        <f t="shared" si="118"/>
        <v>42.839999999999996</v>
      </c>
      <c r="H802" s="37">
        <v>24</v>
      </c>
      <c r="I802" s="41">
        <f t="shared" si="119"/>
        <v>1028.1599999999999</v>
      </c>
      <c r="J802" s="36">
        <v>1400</v>
      </c>
    </row>
    <row r="803" spans="1:10" x14ac:dyDescent="0.25">
      <c r="A803" s="31" t="s">
        <v>228</v>
      </c>
      <c r="B803" s="50" t="s">
        <v>70</v>
      </c>
      <c r="C803" s="261" t="s">
        <v>75</v>
      </c>
      <c r="D803" s="108" t="s">
        <v>38</v>
      </c>
      <c r="E803" s="288" t="s">
        <v>79</v>
      </c>
      <c r="F803" s="36">
        <v>4</v>
      </c>
      <c r="G803" s="36">
        <f t="shared" si="118"/>
        <v>25.2</v>
      </c>
      <c r="H803" s="37">
        <v>24</v>
      </c>
      <c r="I803" s="36">
        <f t="shared" si="119"/>
        <v>604.79999999999995</v>
      </c>
      <c r="J803" s="36">
        <v>500</v>
      </c>
    </row>
    <row r="804" spans="1:10" x14ac:dyDescent="0.25">
      <c r="A804" s="31" t="s">
        <v>228</v>
      </c>
      <c r="B804" s="75" t="s">
        <v>71</v>
      </c>
      <c r="C804" s="272" t="s">
        <v>156</v>
      </c>
      <c r="D804" s="108">
        <v>94.48</v>
      </c>
      <c r="E804" s="294" t="s">
        <v>79</v>
      </c>
      <c r="F804" s="74">
        <v>4.8</v>
      </c>
      <c r="G804" s="36">
        <f t="shared" si="118"/>
        <v>30.24</v>
      </c>
      <c r="H804" s="37">
        <v>24</v>
      </c>
      <c r="I804" s="44">
        <f t="shared" si="119"/>
        <v>725.76</v>
      </c>
      <c r="J804" s="36">
        <v>1600</v>
      </c>
    </row>
    <row r="805" spans="1:10" x14ac:dyDescent="0.25">
      <c r="A805" s="31" t="s">
        <v>228</v>
      </c>
      <c r="B805" s="37" t="s">
        <v>65</v>
      </c>
      <c r="C805" s="261" t="s">
        <v>158</v>
      </c>
      <c r="D805" s="46">
        <v>37.619999999999997</v>
      </c>
      <c r="E805" s="288" t="s">
        <v>79</v>
      </c>
      <c r="F805" s="74">
        <v>6.8</v>
      </c>
      <c r="G805" s="36">
        <f t="shared" si="118"/>
        <v>42.839999999999996</v>
      </c>
      <c r="H805" s="35">
        <v>24</v>
      </c>
      <c r="I805" s="44">
        <f t="shared" si="119"/>
        <v>1028.1599999999999</v>
      </c>
      <c r="J805" s="36">
        <v>1000</v>
      </c>
    </row>
    <row r="806" spans="1:10" ht="15.75" thickBot="1" x14ac:dyDescent="0.3">
      <c r="A806" s="31" t="s">
        <v>228</v>
      </c>
      <c r="B806" s="43" t="s">
        <v>66</v>
      </c>
      <c r="C806" s="263" t="s">
        <v>152</v>
      </c>
      <c r="D806" s="34">
        <v>98.9</v>
      </c>
      <c r="E806" s="294" t="s">
        <v>79</v>
      </c>
      <c r="F806" s="73">
        <v>7.6</v>
      </c>
      <c r="G806" s="74">
        <f t="shared" si="118"/>
        <v>47.879999999999995</v>
      </c>
      <c r="H806" s="91">
        <v>24</v>
      </c>
      <c r="I806" s="96">
        <f t="shared" si="119"/>
        <v>1149.1199999999999</v>
      </c>
      <c r="J806" s="74">
        <v>1300</v>
      </c>
    </row>
    <row r="807" spans="1:10" ht="19.5" thickBot="1" x14ac:dyDescent="0.35">
      <c r="A807" s="206"/>
      <c r="B807" s="174"/>
      <c r="C807" s="207"/>
      <c r="D807" s="217"/>
      <c r="E807" s="310"/>
      <c r="F807" s="208"/>
      <c r="G807" s="208"/>
      <c r="H807" s="174" t="s">
        <v>171</v>
      </c>
      <c r="I807" s="101">
        <f>SUM(I801:I806)</f>
        <v>5335.848</v>
      </c>
      <c r="J807" s="104">
        <f>SUM(J801:J806)</f>
        <v>6700</v>
      </c>
    </row>
    <row r="808" spans="1:10" x14ac:dyDescent="0.25">
      <c r="A808" s="31" t="s">
        <v>229</v>
      </c>
      <c r="B808" s="37" t="s">
        <v>68</v>
      </c>
      <c r="C808" s="261" t="s">
        <v>114</v>
      </c>
      <c r="D808" s="108">
        <v>50.74</v>
      </c>
      <c r="E808" s="288" t="s">
        <v>79</v>
      </c>
      <c r="F808" s="109">
        <v>5.6</v>
      </c>
      <c r="G808" s="36">
        <f t="shared" ref="G808:G813" si="120">F808*6.3</f>
        <v>35.279999999999994</v>
      </c>
      <c r="H808" s="37">
        <v>24</v>
      </c>
      <c r="I808" s="36">
        <f t="shared" ref="I808:I813" si="121">G808*H808</f>
        <v>846.7199999999998</v>
      </c>
      <c r="J808" s="36">
        <v>900</v>
      </c>
    </row>
    <row r="809" spans="1:10" x14ac:dyDescent="0.25">
      <c r="A809" s="31" t="s">
        <v>229</v>
      </c>
      <c r="B809" s="37" t="s">
        <v>69</v>
      </c>
      <c r="C809" s="261" t="s">
        <v>86</v>
      </c>
      <c r="D809" s="108">
        <v>87.58</v>
      </c>
      <c r="E809" s="288" t="s">
        <v>79</v>
      </c>
      <c r="F809" s="110">
        <v>8.1</v>
      </c>
      <c r="G809" s="36">
        <f t="shared" si="120"/>
        <v>51.029999999999994</v>
      </c>
      <c r="H809" s="37">
        <v>24</v>
      </c>
      <c r="I809" s="41">
        <f t="shared" si="121"/>
        <v>1224.7199999999998</v>
      </c>
      <c r="J809" s="36">
        <v>1400</v>
      </c>
    </row>
    <row r="810" spans="1:10" x14ac:dyDescent="0.25">
      <c r="A810" s="31" t="s">
        <v>229</v>
      </c>
      <c r="B810" s="50" t="s">
        <v>70</v>
      </c>
      <c r="C810" s="261" t="s">
        <v>75</v>
      </c>
      <c r="D810" s="108" t="s">
        <v>38</v>
      </c>
      <c r="E810" s="288" t="s">
        <v>79</v>
      </c>
      <c r="F810" s="36">
        <v>4.0999999999999996</v>
      </c>
      <c r="G810" s="36">
        <f t="shared" si="120"/>
        <v>25.83</v>
      </c>
      <c r="H810" s="37">
        <v>24</v>
      </c>
      <c r="I810" s="36">
        <f t="shared" si="121"/>
        <v>619.91999999999996</v>
      </c>
      <c r="J810" s="36">
        <v>500</v>
      </c>
    </row>
    <row r="811" spans="1:10" x14ac:dyDescent="0.25">
      <c r="A811" s="31" t="s">
        <v>229</v>
      </c>
      <c r="B811" s="75" t="s">
        <v>71</v>
      </c>
      <c r="C811" s="272" t="s">
        <v>156</v>
      </c>
      <c r="D811" s="108">
        <v>93.63</v>
      </c>
      <c r="E811" s="294" t="s">
        <v>79</v>
      </c>
      <c r="F811" s="74">
        <v>4.83</v>
      </c>
      <c r="G811" s="36">
        <f t="shared" si="120"/>
        <v>30.428999999999998</v>
      </c>
      <c r="H811" s="37">
        <v>24</v>
      </c>
      <c r="I811" s="44">
        <f t="shared" si="121"/>
        <v>730.29599999999994</v>
      </c>
      <c r="J811" s="36">
        <v>1600</v>
      </c>
    </row>
    <row r="812" spans="1:10" x14ac:dyDescent="0.25">
      <c r="A812" s="31" t="s">
        <v>229</v>
      </c>
      <c r="B812" s="37" t="s">
        <v>65</v>
      </c>
      <c r="C812" s="261" t="s">
        <v>158</v>
      </c>
      <c r="D812" s="46">
        <v>37.380000000000003</v>
      </c>
      <c r="E812" s="288" t="s">
        <v>79</v>
      </c>
      <c r="F812" s="74">
        <v>6.7</v>
      </c>
      <c r="G812" s="36">
        <f t="shared" si="120"/>
        <v>42.21</v>
      </c>
      <c r="H812" s="35">
        <v>24</v>
      </c>
      <c r="I812" s="44">
        <f t="shared" si="121"/>
        <v>1013.04</v>
      </c>
      <c r="J812" s="36">
        <v>1000</v>
      </c>
    </row>
    <row r="813" spans="1:10" ht="15.75" thickBot="1" x14ac:dyDescent="0.3">
      <c r="A813" s="31" t="s">
        <v>229</v>
      </c>
      <c r="B813" s="43" t="s">
        <v>66</v>
      </c>
      <c r="C813" s="263" t="s">
        <v>152</v>
      </c>
      <c r="D813" s="34">
        <v>97.99</v>
      </c>
      <c r="E813" s="294" t="s">
        <v>79</v>
      </c>
      <c r="F813" s="73">
        <v>7.4</v>
      </c>
      <c r="G813" s="74">
        <f t="shared" si="120"/>
        <v>46.62</v>
      </c>
      <c r="H813" s="91">
        <v>24</v>
      </c>
      <c r="I813" s="96">
        <f t="shared" si="121"/>
        <v>1118.8799999999999</v>
      </c>
      <c r="J813" s="74">
        <v>1300</v>
      </c>
    </row>
    <row r="814" spans="1:10" ht="19.5" thickBot="1" x14ac:dyDescent="0.35">
      <c r="A814" s="206"/>
      <c r="B814" s="174"/>
      <c r="C814" s="207"/>
      <c r="D814" s="217"/>
      <c r="E814" s="310"/>
      <c r="F814" s="208"/>
      <c r="G814" s="208"/>
      <c r="H814" s="174" t="s">
        <v>171</v>
      </c>
      <c r="I814" s="101">
        <f>SUM(I808:I813)</f>
        <v>5553.576</v>
      </c>
      <c r="J814" s="104">
        <f>SUM(J808:J813)</f>
        <v>6700</v>
      </c>
    </row>
    <row r="815" spans="1:10" x14ac:dyDescent="0.25">
      <c r="A815" s="31" t="s">
        <v>230</v>
      </c>
      <c r="B815" s="37" t="s">
        <v>68</v>
      </c>
      <c r="C815" s="261" t="s">
        <v>114</v>
      </c>
      <c r="D815" s="108">
        <v>50.31</v>
      </c>
      <c r="E815" s="288" t="s">
        <v>79</v>
      </c>
      <c r="F815" s="109">
        <v>5.5</v>
      </c>
      <c r="G815" s="36">
        <f t="shared" ref="G815:G820" si="122">F815*6.3</f>
        <v>34.65</v>
      </c>
      <c r="H815" s="37">
        <v>24</v>
      </c>
      <c r="I815" s="36">
        <f t="shared" ref="I815:I820" si="123">G815*H815</f>
        <v>831.59999999999991</v>
      </c>
      <c r="J815" s="36">
        <v>900</v>
      </c>
    </row>
    <row r="816" spans="1:10" x14ac:dyDescent="0.25">
      <c r="A816" s="31" t="s">
        <v>230</v>
      </c>
      <c r="B816" s="37" t="s">
        <v>69</v>
      </c>
      <c r="C816" s="261" t="s">
        <v>86</v>
      </c>
      <c r="D816" s="108">
        <v>87.89</v>
      </c>
      <c r="E816" s="288" t="s">
        <v>79</v>
      </c>
      <c r="F816" s="110">
        <v>7.78</v>
      </c>
      <c r="G816" s="36">
        <f t="shared" si="122"/>
        <v>49.014000000000003</v>
      </c>
      <c r="H816" s="37">
        <v>24</v>
      </c>
      <c r="I816" s="41">
        <f t="shared" si="123"/>
        <v>1176.336</v>
      </c>
      <c r="J816" s="36">
        <v>1400</v>
      </c>
    </row>
    <row r="817" spans="1:10" x14ac:dyDescent="0.25">
      <c r="A817" s="31" t="s">
        <v>230</v>
      </c>
      <c r="B817" s="50" t="s">
        <v>70</v>
      </c>
      <c r="C817" s="261" t="s">
        <v>75</v>
      </c>
      <c r="D817" s="108" t="s">
        <v>38</v>
      </c>
      <c r="E817" s="288" t="s">
        <v>79</v>
      </c>
      <c r="F817" s="36">
        <v>4.0999999999999996</v>
      </c>
      <c r="G817" s="36">
        <f t="shared" si="122"/>
        <v>25.83</v>
      </c>
      <c r="H817" s="37">
        <v>24</v>
      </c>
      <c r="I817" s="36">
        <f t="shared" si="123"/>
        <v>619.91999999999996</v>
      </c>
      <c r="J817" s="36">
        <v>500</v>
      </c>
    </row>
    <row r="818" spans="1:10" x14ac:dyDescent="0.25">
      <c r="A818" s="31" t="s">
        <v>230</v>
      </c>
      <c r="B818" s="75" t="s">
        <v>71</v>
      </c>
      <c r="C818" s="272" t="s">
        <v>156</v>
      </c>
      <c r="D818" s="108">
        <v>92.38</v>
      </c>
      <c r="E818" s="294" t="s">
        <v>79</v>
      </c>
      <c r="F818" s="74">
        <v>4.83</v>
      </c>
      <c r="G818" s="36">
        <f t="shared" si="122"/>
        <v>30.428999999999998</v>
      </c>
      <c r="H818" s="37">
        <v>24</v>
      </c>
      <c r="I818" s="44">
        <f t="shared" si="123"/>
        <v>730.29599999999994</v>
      </c>
      <c r="J818" s="36">
        <v>1600</v>
      </c>
    </row>
    <row r="819" spans="1:10" x14ac:dyDescent="0.25">
      <c r="A819" s="31" t="s">
        <v>230</v>
      </c>
      <c r="B819" s="37" t="s">
        <v>65</v>
      </c>
      <c r="C819" s="261" t="s">
        <v>158</v>
      </c>
      <c r="D819" s="46">
        <v>36.89</v>
      </c>
      <c r="E819" s="288" t="s">
        <v>79</v>
      </c>
      <c r="F819" s="74">
        <v>6.8</v>
      </c>
      <c r="G819" s="36">
        <f t="shared" si="122"/>
        <v>42.839999999999996</v>
      </c>
      <c r="H819" s="35">
        <v>24</v>
      </c>
      <c r="I819" s="44">
        <f t="shared" si="123"/>
        <v>1028.1599999999999</v>
      </c>
      <c r="J819" s="36">
        <v>1000</v>
      </c>
    </row>
    <row r="820" spans="1:10" ht="15.75" thickBot="1" x14ac:dyDescent="0.3">
      <c r="A820" s="31" t="s">
        <v>230</v>
      </c>
      <c r="B820" s="43" t="s">
        <v>66</v>
      </c>
      <c r="C820" s="263" t="s">
        <v>152</v>
      </c>
      <c r="D820" s="34">
        <v>96.35</v>
      </c>
      <c r="E820" s="294" t="s">
        <v>79</v>
      </c>
      <c r="F820" s="73">
        <v>7.34</v>
      </c>
      <c r="G820" s="74">
        <f t="shared" si="122"/>
        <v>46.241999999999997</v>
      </c>
      <c r="H820" s="91">
        <v>24</v>
      </c>
      <c r="I820" s="96">
        <f t="shared" si="123"/>
        <v>1109.808</v>
      </c>
      <c r="J820" s="74">
        <v>1300</v>
      </c>
    </row>
    <row r="821" spans="1:10" ht="19.5" thickBot="1" x14ac:dyDescent="0.35">
      <c r="A821" s="220"/>
      <c r="B821" s="174"/>
      <c r="C821" s="282"/>
      <c r="D821" s="217"/>
      <c r="E821" s="310"/>
      <c r="F821" s="208"/>
      <c r="G821" s="208"/>
      <c r="H821" s="174" t="s">
        <v>171</v>
      </c>
      <c r="I821" s="101">
        <f>SUM(I815:I820)</f>
        <v>5496.12</v>
      </c>
      <c r="J821" s="104">
        <f>SUM(J815:J820)</f>
        <v>6700</v>
      </c>
    </row>
    <row r="822" spans="1:10" x14ac:dyDescent="0.25">
      <c r="A822" s="31" t="s">
        <v>231</v>
      </c>
      <c r="B822" s="37" t="s">
        <v>68</v>
      </c>
      <c r="C822" s="261" t="s">
        <v>114</v>
      </c>
      <c r="D822" s="108">
        <v>49.7</v>
      </c>
      <c r="E822" s="288" t="s">
        <v>79</v>
      </c>
      <c r="F822" s="109">
        <v>5.45</v>
      </c>
      <c r="G822" s="36">
        <f t="shared" ref="G822:G827" si="124">F822*6.3</f>
        <v>34.335000000000001</v>
      </c>
      <c r="H822" s="37">
        <v>24</v>
      </c>
      <c r="I822" s="36">
        <f t="shared" ref="I822:I827" si="125">G822*H822</f>
        <v>824.04</v>
      </c>
      <c r="J822" s="36">
        <v>900</v>
      </c>
    </row>
    <row r="823" spans="1:10" x14ac:dyDescent="0.25">
      <c r="A823" s="31" t="s">
        <v>231</v>
      </c>
      <c r="B823" s="37" t="s">
        <v>69</v>
      </c>
      <c r="C823" s="261" t="s">
        <v>86</v>
      </c>
      <c r="D823" s="108">
        <v>87.94</v>
      </c>
      <c r="E823" s="288" t="s">
        <v>79</v>
      </c>
      <c r="F823" s="110">
        <v>7.8</v>
      </c>
      <c r="G823" s="36">
        <f t="shared" si="124"/>
        <v>49.14</v>
      </c>
      <c r="H823" s="37">
        <v>24</v>
      </c>
      <c r="I823" s="41">
        <f t="shared" si="125"/>
        <v>1179.3600000000001</v>
      </c>
      <c r="J823" s="36">
        <v>1400</v>
      </c>
    </row>
    <row r="824" spans="1:10" x14ac:dyDescent="0.25">
      <c r="A824" s="31" t="s">
        <v>231</v>
      </c>
      <c r="B824" s="50" t="s">
        <v>70</v>
      </c>
      <c r="C824" s="261" t="s">
        <v>75</v>
      </c>
      <c r="D824" s="108" t="s">
        <v>38</v>
      </c>
      <c r="E824" s="288" t="s">
        <v>79</v>
      </c>
      <c r="F824" s="36">
        <v>4</v>
      </c>
      <c r="G824" s="36">
        <f t="shared" si="124"/>
        <v>25.2</v>
      </c>
      <c r="H824" s="37">
        <v>24</v>
      </c>
      <c r="I824" s="36">
        <f t="shared" si="125"/>
        <v>604.79999999999995</v>
      </c>
      <c r="J824" s="36">
        <v>500</v>
      </c>
    </row>
    <row r="825" spans="1:10" x14ac:dyDescent="0.25">
      <c r="A825" s="31" t="s">
        <v>231</v>
      </c>
      <c r="B825" s="75" t="s">
        <v>71</v>
      </c>
      <c r="C825" s="272" t="s">
        <v>156</v>
      </c>
      <c r="D825" s="108">
        <v>92.01</v>
      </c>
      <c r="E825" s="294" t="s">
        <v>79</v>
      </c>
      <c r="F825" s="74">
        <v>4.8499999999999996</v>
      </c>
      <c r="G825" s="36">
        <f t="shared" si="124"/>
        <v>30.554999999999996</v>
      </c>
      <c r="H825" s="37">
        <v>24</v>
      </c>
      <c r="I825" s="44">
        <f t="shared" si="125"/>
        <v>733.31999999999994</v>
      </c>
      <c r="J825" s="36">
        <v>1600</v>
      </c>
    </row>
    <row r="826" spans="1:10" x14ac:dyDescent="0.25">
      <c r="A826" s="31" t="s">
        <v>231</v>
      </c>
      <c r="B826" s="37" t="s">
        <v>65</v>
      </c>
      <c r="C826" s="261" t="s">
        <v>158</v>
      </c>
      <c r="D826" s="46">
        <v>37.26</v>
      </c>
      <c r="E826" s="288" t="s">
        <v>79</v>
      </c>
      <c r="F826" s="74">
        <v>6.7</v>
      </c>
      <c r="G826" s="36">
        <f t="shared" si="124"/>
        <v>42.21</v>
      </c>
      <c r="H826" s="35">
        <v>24</v>
      </c>
      <c r="I826" s="44">
        <f t="shared" si="125"/>
        <v>1013.04</v>
      </c>
      <c r="J826" s="36">
        <v>1000</v>
      </c>
    </row>
    <row r="827" spans="1:10" ht="15.75" thickBot="1" x14ac:dyDescent="0.3">
      <c r="A827" s="31" t="s">
        <v>231</v>
      </c>
      <c r="B827" s="43" t="s">
        <v>66</v>
      </c>
      <c r="C827" s="263" t="s">
        <v>152</v>
      </c>
      <c r="D827" s="34">
        <v>96.21</v>
      </c>
      <c r="E827" s="294" t="s">
        <v>79</v>
      </c>
      <c r="F827" s="73">
        <v>7.2</v>
      </c>
      <c r="G827" s="74">
        <f t="shared" si="124"/>
        <v>45.36</v>
      </c>
      <c r="H827" s="91">
        <v>24</v>
      </c>
      <c r="I827" s="96">
        <f t="shared" si="125"/>
        <v>1088.6399999999999</v>
      </c>
      <c r="J827" s="74">
        <v>1300</v>
      </c>
    </row>
    <row r="828" spans="1:10" ht="19.5" thickBot="1" x14ac:dyDescent="0.35">
      <c r="A828" s="220"/>
      <c r="B828" s="174"/>
      <c r="C828" s="283"/>
      <c r="D828" s="99"/>
      <c r="E828" s="315"/>
      <c r="F828" s="174"/>
      <c r="G828" s="174"/>
      <c r="H828" s="234" t="s">
        <v>171</v>
      </c>
      <c r="I828" s="101">
        <f>SUM(I822:I827)</f>
        <v>5443.1999999999989</v>
      </c>
      <c r="J828" s="104">
        <f>SUM(J822:J827)</f>
        <v>6700</v>
      </c>
    </row>
    <row r="829" spans="1:10" x14ac:dyDescent="0.25">
      <c r="A829" s="31" t="s">
        <v>232</v>
      </c>
      <c r="B829" s="37" t="s">
        <v>68</v>
      </c>
      <c r="C829" s="261" t="s">
        <v>114</v>
      </c>
      <c r="D829" s="108">
        <v>49.02</v>
      </c>
      <c r="E829" s="288" t="s">
        <v>79</v>
      </c>
      <c r="F829" s="109">
        <v>5.4</v>
      </c>
      <c r="G829" s="36">
        <f t="shared" ref="G829:G834" si="126">F829*6.3</f>
        <v>34.020000000000003</v>
      </c>
      <c r="H829" s="37">
        <v>24</v>
      </c>
      <c r="I829" s="36">
        <f t="shared" ref="I829:I834" si="127">G829*H829</f>
        <v>816.48</v>
      </c>
      <c r="J829" s="36">
        <v>900</v>
      </c>
    </row>
    <row r="830" spans="1:10" x14ac:dyDescent="0.25">
      <c r="A830" s="31" t="s">
        <v>232</v>
      </c>
      <c r="B830" s="37" t="s">
        <v>69</v>
      </c>
      <c r="C830" s="261" t="s">
        <v>86</v>
      </c>
      <c r="D830" s="108">
        <v>89.05</v>
      </c>
      <c r="E830" s="288" t="s">
        <v>79</v>
      </c>
      <c r="F830" s="110">
        <v>8</v>
      </c>
      <c r="G830" s="36">
        <f t="shared" si="126"/>
        <v>50.4</v>
      </c>
      <c r="H830" s="37">
        <v>24</v>
      </c>
      <c r="I830" s="41">
        <f t="shared" si="127"/>
        <v>1209.5999999999999</v>
      </c>
      <c r="J830" s="36">
        <v>1400</v>
      </c>
    </row>
    <row r="831" spans="1:10" x14ac:dyDescent="0.25">
      <c r="A831" s="31" t="s">
        <v>232</v>
      </c>
      <c r="B831" s="50" t="s">
        <v>70</v>
      </c>
      <c r="C831" s="261" t="s">
        <v>75</v>
      </c>
      <c r="D831" s="108" t="s">
        <v>38</v>
      </c>
      <c r="E831" s="288" t="s">
        <v>79</v>
      </c>
      <c r="F831" s="36">
        <v>4</v>
      </c>
      <c r="G831" s="36">
        <f t="shared" si="126"/>
        <v>25.2</v>
      </c>
      <c r="H831" s="37">
        <v>24</v>
      </c>
      <c r="I831" s="36">
        <f t="shared" si="127"/>
        <v>604.79999999999995</v>
      </c>
      <c r="J831" s="36">
        <v>500</v>
      </c>
    </row>
    <row r="832" spans="1:10" x14ac:dyDescent="0.25">
      <c r="A832" s="31" t="s">
        <v>232</v>
      </c>
      <c r="B832" s="75" t="s">
        <v>71</v>
      </c>
      <c r="C832" s="272" t="s">
        <v>156</v>
      </c>
      <c r="D832" s="108">
        <v>93.54</v>
      </c>
      <c r="E832" s="294" t="s">
        <v>79</v>
      </c>
      <c r="F832" s="74">
        <v>4.8499999999999996</v>
      </c>
      <c r="G832" s="36">
        <f t="shared" si="126"/>
        <v>30.554999999999996</v>
      </c>
      <c r="H832" s="37">
        <v>24</v>
      </c>
      <c r="I832" s="44">
        <f t="shared" si="127"/>
        <v>733.31999999999994</v>
      </c>
      <c r="J832" s="36">
        <v>1600</v>
      </c>
    </row>
    <row r="833" spans="1:10" x14ac:dyDescent="0.25">
      <c r="A833" s="31" t="s">
        <v>232</v>
      </c>
      <c r="B833" s="37" t="s">
        <v>65</v>
      </c>
      <c r="C833" s="261" t="s">
        <v>158</v>
      </c>
      <c r="D833" s="46">
        <v>37.200000000000003</v>
      </c>
      <c r="E833" s="288" t="s">
        <v>79</v>
      </c>
      <c r="F833" s="74">
        <v>6.79</v>
      </c>
      <c r="G833" s="36">
        <f t="shared" si="126"/>
        <v>42.777000000000001</v>
      </c>
      <c r="H833" s="35">
        <v>24</v>
      </c>
      <c r="I833" s="44">
        <f t="shared" si="127"/>
        <v>1026.6480000000001</v>
      </c>
      <c r="J833" s="36">
        <v>1000</v>
      </c>
    </row>
    <row r="834" spans="1:10" ht="15.75" thickBot="1" x14ac:dyDescent="0.3">
      <c r="A834" s="31" t="s">
        <v>232</v>
      </c>
      <c r="B834" s="43" t="s">
        <v>66</v>
      </c>
      <c r="C834" s="263" t="s">
        <v>152</v>
      </c>
      <c r="D834" s="34">
        <v>97.9</v>
      </c>
      <c r="E834" s="294" t="s">
        <v>79</v>
      </c>
      <c r="F834" s="73">
        <v>7.3</v>
      </c>
      <c r="G834" s="74">
        <f t="shared" si="126"/>
        <v>45.989999999999995</v>
      </c>
      <c r="H834" s="91">
        <v>24</v>
      </c>
      <c r="I834" s="96">
        <f t="shared" si="127"/>
        <v>1103.7599999999998</v>
      </c>
      <c r="J834" s="74">
        <v>1300</v>
      </c>
    </row>
    <row r="835" spans="1:10" ht="19.5" thickBot="1" x14ac:dyDescent="0.35">
      <c r="A835" s="206"/>
      <c r="B835" s="174"/>
      <c r="C835" s="207"/>
      <c r="D835" s="217"/>
      <c r="E835" s="310"/>
      <c r="F835" s="208"/>
      <c r="G835" s="208"/>
      <c r="H835" s="174" t="s">
        <v>171</v>
      </c>
      <c r="I835" s="101">
        <f>SUM(I829:I834)</f>
        <v>5494.6080000000002</v>
      </c>
      <c r="J835" s="104">
        <f>SUM(J829:J834)</f>
        <v>6700</v>
      </c>
    </row>
    <row r="836" spans="1:10" x14ac:dyDescent="0.25">
      <c r="A836" s="31" t="s">
        <v>233</v>
      </c>
      <c r="B836" s="37" t="s">
        <v>68</v>
      </c>
      <c r="C836" s="261" t="s">
        <v>114</v>
      </c>
      <c r="D836" s="108">
        <v>47.7</v>
      </c>
      <c r="E836" s="288" t="s">
        <v>79</v>
      </c>
      <c r="F836" s="109">
        <v>5.3</v>
      </c>
      <c r="G836" s="36">
        <f t="shared" ref="G836:G841" si="128">F836*6.3</f>
        <v>33.39</v>
      </c>
      <c r="H836" s="37">
        <v>24</v>
      </c>
      <c r="I836" s="36">
        <f t="shared" ref="I836:I841" si="129">G836*H836</f>
        <v>801.36</v>
      </c>
      <c r="J836" s="36">
        <v>900</v>
      </c>
    </row>
    <row r="837" spans="1:10" x14ac:dyDescent="0.25">
      <c r="A837" s="31" t="s">
        <v>233</v>
      </c>
      <c r="B837" s="37" t="s">
        <v>69</v>
      </c>
      <c r="C837" s="261" t="s">
        <v>86</v>
      </c>
      <c r="D837" s="108">
        <v>88.62</v>
      </c>
      <c r="E837" s="288" t="s">
        <v>79</v>
      </c>
      <c r="F837" s="110">
        <v>8.1</v>
      </c>
      <c r="G837" s="36">
        <f t="shared" si="128"/>
        <v>51.029999999999994</v>
      </c>
      <c r="H837" s="37">
        <v>24</v>
      </c>
      <c r="I837" s="41">
        <f t="shared" si="129"/>
        <v>1224.7199999999998</v>
      </c>
      <c r="J837" s="36">
        <v>1400</v>
      </c>
    </row>
    <row r="838" spans="1:10" x14ac:dyDescent="0.25">
      <c r="A838" s="31" t="s">
        <v>233</v>
      </c>
      <c r="B838" s="50" t="s">
        <v>70</v>
      </c>
      <c r="C838" s="261" t="s">
        <v>75</v>
      </c>
      <c r="D838" s="108" t="s">
        <v>38</v>
      </c>
      <c r="E838" s="288" t="s">
        <v>79</v>
      </c>
      <c r="F838" s="36">
        <v>4</v>
      </c>
      <c r="G838" s="36">
        <f t="shared" si="128"/>
        <v>25.2</v>
      </c>
      <c r="H838" s="37">
        <v>24</v>
      </c>
      <c r="I838" s="36">
        <f t="shared" si="129"/>
        <v>604.79999999999995</v>
      </c>
      <c r="J838" s="36">
        <v>500</v>
      </c>
    </row>
    <row r="839" spans="1:10" x14ac:dyDescent="0.25">
      <c r="A839" s="31" t="s">
        <v>233</v>
      </c>
      <c r="B839" s="75" t="s">
        <v>71</v>
      </c>
      <c r="C839" s="272" t="s">
        <v>156</v>
      </c>
      <c r="D839" s="108">
        <v>92.4</v>
      </c>
      <c r="E839" s="294" t="s">
        <v>79</v>
      </c>
      <c r="F839" s="74">
        <v>4.8499999999999996</v>
      </c>
      <c r="G839" s="36">
        <f t="shared" si="128"/>
        <v>30.554999999999996</v>
      </c>
      <c r="H839" s="37">
        <v>24</v>
      </c>
      <c r="I839" s="44">
        <f t="shared" si="129"/>
        <v>733.31999999999994</v>
      </c>
      <c r="J839" s="36">
        <v>1600</v>
      </c>
    </row>
    <row r="840" spans="1:10" x14ac:dyDescent="0.25">
      <c r="A840" s="31" t="s">
        <v>233</v>
      </c>
      <c r="B840" s="37" t="s">
        <v>65</v>
      </c>
      <c r="C840" s="261" t="s">
        <v>158</v>
      </c>
      <c r="D840" s="46">
        <v>37.26</v>
      </c>
      <c r="E840" s="288" t="s">
        <v>79</v>
      </c>
      <c r="F840" s="74">
        <v>6.8</v>
      </c>
      <c r="G840" s="36">
        <f t="shared" si="128"/>
        <v>42.839999999999996</v>
      </c>
      <c r="H840" s="35">
        <v>24</v>
      </c>
      <c r="I840" s="44">
        <f t="shared" si="129"/>
        <v>1028.1599999999999</v>
      </c>
      <c r="J840" s="36">
        <v>1000</v>
      </c>
    </row>
    <row r="841" spans="1:10" ht="15.75" thickBot="1" x14ac:dyDescent="0.3">
      <c r="A841" s="31" t="s">
        <v>233</v>
      </c>
      <c r="B841" s="43" t="s">
        <v>66</v>
      </c>
      <c r="C841" s="263" t="s">
        <v>152</v>
      </c>
      <c r="D841" s="34">
        <v>97</v>
      </c>
      <c r="E841" s="294" t="s">
        <v>79</v>
      </c>
      <c r="F841" s="73">
        <v>7.2</v>
      </c>
      <c r="G841" s="74">
        <f t="shared" si="128"/>
        <v>45.36</v>
      </c>
      <c r="H841" s="91">
        <v>24</v>
      </c>
      <c r="I841" s="96">
        <f t="shared" si="129"/>
        <v>1088.6399999999999</v>
      </c>
      <c r="J841" s="74">
        <v>1300</v>
      </c>
    </row>
    <row r="842" spans="1:10" ht="19.5" thickBot="1" x14ac:dyDescent="0.35">
      <c r="A842" s="206"/>
      <c r="B842" s="174"/>
      <c r="C842" s="207"/>
      <c r="D842" s="217"/>
      <c r="E842" s="310"/>
      <c r="F842" s="208"/>
      <c r="G842" s="208"/>
      <c r="H842" s="174" t="s">
        <v>171</v>
      </c>
      <c r="I842" s="101">
        <f>SUM(I836:I841)</f>
        <v>5481</v>
      </c>
      <c r="J842" s="104">
        <f>SUM(J836:J841)</f>
        <v>6700</v>
      </c>
    </row>
    <row r="843" spans="1:10" x14ac:dyDescent="0.25">
      <c r="A843" s="31" t="s">
        <v>234</v>
      </c>
      <c r="B843" s="37" t="s">
        <v>68</v>
      </c>
      <c r="C843" s="261" t="s">
        <v>114</v>
      </c>
      <c r="D843" s="108">
        <v>45.3</v>
      </c>
      <c r="E843" s="288" t="s">
        <v>79</v>
      </c>
      <c r="F843" s="109">
        <v>5.3</v>
      </c>
      <c r="G843" s="36">
        <f t="shared" ref="G843:G848" si="130">F843*6.3</f>
        <v>33.39</v>
      </c>
      <c r="H843" s="37">
        <v>24</v>
      </c>
      <c r="I843" s="36">
        <f t="shared" ref="I843:I848" si="131">G843*H843</f>
        <v>801.36</v>
      </c>
      <c r="J843" s="36">
        <v>900</v>
      </c>
    </row>
    <row r="844" spans="1:10" x14ac:dyDescent="0.25">
      <c r="A844" s="31" t="s">
        <v>234</v>
      </c>
      <c r="B844" s="37" t="s">
        <v>69</v>
      </c>
      <c r="C844" s="261" t="s">
        <v>86</v>
      </c>
      <c r="D844" s="108">
        <v>85.48</v>
      </c>
      <c r="E844" s="288" t="s">
        <v>79</v>
      </c>
      <c r="F844" s="110">
        <v>8.1</v>
      </c>
      <c r="G844" s="36">
        <f t="shared" si="130"/>
        <v>51.029999999999994</v>
      </c>
      <c r="H844" s="37">
        <v>24</v>
      </c>
      <c r="I844" s="41">
        <f t="shared" si="131"/>
        <v>1224.7199999999998</v>
      </c>
      <c r="J844" s="36">
        <v>1400</v>
      </c>
    </row>
    <row r="845" spans="1:10" x14ac:dyDescent="0.25">
      <c r="A845" s="31" t="s">
        <v>234</v>
      </c>
      <c r="B845" s="50" t="s">
        <v>70</v>
      </c>
      <c r="C845" s="261" t="s">
        <v>75</v>
      </c>
      <c r="D845" s="108" t="s">
        <v>38</v>
      </c>
      <c r="E845" s="288" t="s">
        <v>79</v>
      </c>
      <c r="F845" s="36">
        <v>3.4</v>
      </c>
      <c r="G845" s="36">
        <f t="shared" si="130"/>
        <v>21.419999999999998</v>
      </c>
      <c r="H845" s="37">
        <v>24</v>
      </c>
      <c r="I845" s="36">
        <f t="shared" si="131"/>
        <v>514.07999999999993</v>
      </c>
      <c r="J845" s="36">
        <v>500</v>
      </c>
    </row>
    <row r="846" spans="1:10" x14ac:dyDescent="0.25">
      <c r="A846" s="31" t="s">
        <v>234</v>
      </c>
      <c r="B846" s="75" t="s">
        <v>71</v>
      </c>
      <c r="C846" s="272" t="s">
        <v>156</v>
      </c>
      <c r="D846" s="108">
        <v>88.85</v>
      </c>
      <c r="E846" s="294" t="s">
        <v>79</v>
      </c>
      <c r="F846" s="74">
        <v>4.8499999999999996</v>
      </c>
      <c r="G846" s="36">
        <f t="shared" si="130"/>
        <v>30.554999999999996</v>
      </c>
      <c r="H846" s="37">
        <v>24</v>
      </c>
      <c r="I846" s="44">
        <f t="shared" si="131"/>
        <v>733.31999999999994</v>
      </c>
      <c r="J846" s="36">
        <v>1600</v>
      </c>
    </row>
    <row r="847" spans="1:10" x14ac:dyDescent="0.25">
      <c r="A847" s="31" t="s">
        <v>234</v>
      </c>
      <c r="B847" s="37" t="s">
        <v>65</v>
      </c>
      <c r="C847" s="261" t="s">
        <v>158</v>
      </c>
      <c r="D847" s="46">
        <v>35.36</v>
      </c>
      <c r="E847" s="288" t="s">
        <v>79</v>
      </c>
      <c r="F847" s="74">
        <v>6.7</v>
      </c>
      <c r="G847" s="36">
        <f t="shared" si="130"/>
        <v>42.21</v>
      </c>
      <c r="H847" s="35">
        <v>24</v>
      </c>
      <c r="I847" s="44">
        <f t="shared" si="131"/>
        <v>1013.04</v>
      </c>
      <c r="J847" s="36">
        <v>1000</v>
      </c>
    </row>
    <row r="848" spans="1:10" ht="15.75" thickBot="1" x14ac:dyDescent="0.3">
      <c r="A848" s="31" t="s">
        <v>234</v>
      </c>
      <c r="B848" s="43" t="s">
        <v>66</v>
      </c>
      <c r="C848" s="263" t="s">
        <v>152</v>
      </c>
      <c r="D848" s="34">
        <v>92.98</v>
      </c>
      <c r="E848" s="294" t="s">
        <v>79</v>
      </c>
      <c r="F848" s="73">
        <v>6.9</v>
      </c>
      <c r="G848" s="74">
        <f t="shared" si="130"/>
        <v>43.47</v>
      </c>
      <c r="H848" s="91">
        <v>24</v>
      </c>
      <c r="I848" s="96">
        <f t="shared" si="131"/>
        <v>1043.28</v>
      </c>
      <c r="J848" s="74">
        <v>1300</v>
      </c>
    </row>
    <row r="849" spans="1:10" ht="19.5" thickBot="1" x14ac:dyDescent="0.35">
      <c r="A849" s="206"/>
      <c r="B849" s="174"/>
      <c r="C849" s="207"/>
      <c r="D849" s="217"/>
      <c r="E849" s="310"/>
      <c r="F849" s="208"/>
      <c r="G849" s="208"/>
      <c r="H849" s="174" t="s">
        <v>171</v>
      </c>
      <c r="I849" s="101">
        <f>SUM(I843:I848)</f>
        <v>5329.7999999999993</v>
      </c>
      <c r="J849" s="104">
        <f>SUM(J843:J848)</f>
        <v>6700</v>
      </c>
    </row>
    <row r="850" spans="1:10" x14ac:dyDescent="0.25">
      <c r="A850" s="31" t="s">
        <v>235</v>
      </c>
      <c r="B850" s="37" t="s">
        <v>68</v>
      </c>
      <c r="C850" s="261" t="s">
        <v>114</v>
      </c>
      <c r="D850" s="108">
        <v>44.51</v>
      </c>
      <c r="E850" s="288" t="s">
        <v>79</v>
      </c>
      <c r="F850" s="109">
        <v>5.4</v>
      </c>
      <c r="G850" s="36">
        <f t="shared" ref="G850:G855" si="132">F850*6.3</f>
        <v>34.020000000000003</v>
      </c>
      <c r="H850" s="37">
        <v>24</v>
      </c>
      <c r="I850" s="36">
        <f t="shared" ref="I850:I855" si="133">G850*H850</f>
        <v>816.48</v>
      </c>
      <c r="J850" s="36">
        <v>900</v>
      </c>
    </row>
    <row r="851" spans="1:10" x14ac:dyDescent="0.25">
      <c r="A851" s="31" t="s">
        <v>235</v>
      </c>
      <c r="B851" s="37" t="s">
        <v>69</v>
      </c>
      <c r="C851" s="261" t="s">
        <v>86</v>
      </c>
      <c r="D851" s="108">
        <v>88.62</v>
      </c>
      <c r="E851" s="288" t="s">
        <v>79</v>
      </c>
      <c r="F851" s="110">
        <v>8.6999999999999993</v>
      </c>
      <c r="G851" s="36">
        <f t="shared" si="132"/>
        <v>54.809999999999995</v>
      </c>
      <c r="H851" s="37">
        <v>24</v>
      </c>
      <c r="I851" s="41">
        <f t="shared" si="133"/>
        <v>1315.4399999999998</v>
      </c>
      <c r="J851" s="36">
        <v>1400</v>
      </c>
    </row>
    <row r="852" spans="1:10" x14ac:dyDescent="0.25">
      <c r="A852" s="31" t="s">
        <v>235</v>
      </c>
      <c r="B852" s="50" t="s">
        <v>70</v>
      </c>
      <c r="C852" s="261" t="s">
        <v>75</v>
      </c>
      <c r="D852" s="108" t="s">
        <v>38</v>
      </c>
      <c r="E852" s="288" t="s">
        <v>79</v>
      </c>
      <c r="F852" s="36">
        <v>3.6</v>
      </c>
      <c r="G852" s="36">
        <f t="shared" si="132"/>
        <v>22.68</v>
      </c>
      <c r="H852" s="37">
        <v>24</v>
      </c>
      <c r="I852" s="36">
        <f t="shared" si="133"/>
        <v>544.31999999999994</v>
      </c>
      <c r="J852" s="36">
        <v>500</v>
      </c>
    </row>
    <row r="853" spans="1:10" x14ac:dyDescent="0.25">
      <c r="A853" s="31" t="s">
        <v>235</v>
      </c>
      <c r="B853" s="75" t="s">
        <v>71</v>
      </c>
      <c r="C853" s="272" t="s">
        <v>156</v>
      </c>
      <c r="D853" s="108">
        <v>93.34</v>
      </c>
      <c r="E853" s="294" t="s">
        <v>79</v>
      </c>
      <c r="F853" s="74">
        <v>4.9000000000000004</v>
      </c>
      <c r="G853" s="36">
        <f t="shared" si="132"/>
        <v>30.87</v>
      </c>
      <c r="H853" s="37">
        <v>24</v>
      </c>
      <c r="I853" s="44">
        <f t="shared" si="133"/>
        <v>740.88</v>
      </c>
      <c r="J853" s="36">
        <v>1600</v>
      </c>
    </row>
    <row r="854" spans="1:10" x14ac:dyDescent="0.25">
      <c r="A854" s="31" t="s">
        <v>235</v>
      </c>
      <c r="B854" s="37" t="s">
        <v>65</v>
      </c>
      <c r="C854" s="261" t="s">
        <v>158</v>
      </c>
      <c r="D854" s="46">
        <v>37.32</v>
      </c>
      <c r="E854" s="288" t="s">
        <v>79</v>
      </c>
      <c r="F854" s="74">
        <v>6.7</v>
      </c>
      <c r="G854" s="36">
        <f t="shared" si="132"/>
        <v>42.21</v>
      </c>
      <c r="H854" s="35">
        <v>24</v>
      </c>
      <c r="I854" s="44">
        <f t="shared" si="133"/>
        <v>1013.04</v>
      </c>
      <c r="J854" s="36">
        <v>1000</v>
      </c>
    </row>
    <row r="855" spans="1:10" ht="15.75" thickBot="1" x14ac:dyDescent="0.3">
      <c r="A855" s="31" t="s">
        <v>235</v>
      </c>
      <c r="B855" s="43" t="s">
        <v>66</v>
      </c>
      <c r="C855" s="263" t="s">
        <v>152</v>
      </c>
      <c r="D855" s="34">
        <v>97.4</v>
      </c>
      <c r="E855" s="294" t="s">
        <v>79</v>
      </c>
      <c r="F855" s="73">
        <v>7.1</v>
      </c>
      <c r="G855" s="74">
        <f t="shared" si="132"/>
        <v>44.73</v>
      </c>
      <c r="H855" s="91">
        <v>24</v>
      </c>
      <c r="I855" s="96">
        <f t="shared" si="133"/>
        <v>1073.52</v>
      </c>
      <c r="J855" s="74">
        <v>1300</v>
      </c>
    </row>
    <row r="856" spans="1:10" ht="19.5" thickBot="1" x14ac:dyDescent="0.35">
      <c r="A856" s="206"/>
      <c r="B856" s="174"/>
      <c r="C856" s="207"/>
      <c r="D856" s="217"/>
      <c r="E856" s="310"/>
      <c r="F856" s="208"/>
      <c r="G856" s="208"/>
      <c r="H856" s="174" t="s">
        <v>171</v>
      </c>
      <c r="I856" s="101">
        <f>SUM(I850:I855)</f>
        <v>5503.68</v>
      </c>
      <c r="J856" s="104">
        <f>SUM(J850:J855)</f>
        <v>6700</v>
      </c>
    </row>
    <row r="857" spans="1:10" x14ac:dyDescent="0.25">
      <c r="A857" s="31" t="s">
        <v>236</v>
      </c>
      <c r="B857" s="37" t="s">
        <v>68</v>
      </c>
      <c r="C857" s="261" t="s">
        <v>114</v>
      </c>
      <c r="D857" s="108">
        <v>42.54</v>
      </c>
      <c r="E857" s="288" t="s">
        <v>79</v>
      </c>
      <c r="F857" s="109">
        <v>5.5</v>
      </c>
      <c r="G857" s="36">
        <f t="shared" ref="G857:G862" si="134">F857*6.3</f>
        <v>34.65</v>
      </c>
      <c r="H857" s="37">
        <v>24</v>
      </c>
      <c r="I857" s="36">
        <f t="shared" ref="I857:I862" si="135">G857*H857</f>
        <v>831.59999999999991</v>
      </c>
      <c r="J857" s="36">
        <v>900</v>
      </c>
    </row>
    <row r="858" spans="1:10" x14ac:dyDescent="0.25">
      <c r="A858" s="31" t="s">
        <v>236</v>
      </c>
      <c r="B858" s="37" t="s">
        <v>69</v>
      </c>
      <c r="C858" s="261" t="s">
        <v>86</v>
      </c>
      <c r="D858" s="108">
        <v>89.11</v>
      </c>
      <c r="E858" s="288" t="s">
        <v>79</v>
      </c>
      <c r="F858" s="110">
        <v>8.98</v>
      </c>
      <c r="G858" s="36">
        <f t="shared" si="134"/>
        <v>56.573999999999998</v>
      </c>
      <c r="H858" s="37">
        <v>24</v>
      </c>
      <c r="I858" s="41">
        <f t="shared" si="135"/>
        <v>1357.7759999999998</v>
      </c>
      <c r="J858" s="36">
        <v>1400</v>
      </c>
    </row>
    <row r="859" spans="1:10" x14ac:dyDescent="0.25">
      <c r="A859" s="31" t="s">
        <v>236</v>
      </c>
      <c r="B859" s="50" t="s">
        <v>70</v>
      </c>
      <c r="C859" s="261" t="s">
        <v>75</v>
      </c>
      <c r="D859" s="108" t="s">
        <v>38</v>
      </c>
      <c r="E859" s="288" t="s">
        <v>79</v>
      </c>
      <c r="F859" s="36">
        <v>3.8</v>
      </c>
      <c r="G859" s="36">
        <f t="shared" si="134"/>
        <v>23.939999999999998</v>
      </c>
      <c r="H859" s="37">
        <v>24</v>
      </c>
      <c r="I859" s="36">
        <f t="shared" si="135"/>
        <v>574.55999999999995</v>
      </c>
      <c r="J859" s="36">
        <v>500</v>
      </c>
    </row>
    <row r="860" spans="1:10" x14ac:dyDescent="0.25">
      <c r="A860" s="31" t="s">
        <v>236</v>
      </c>
      <c r="B860" s="75" t="s">
        <v>71</v>
      </c>
      <c r="C860" s="272" t="s">
        <v>156</v>
      </c>
      <c r="D860" s="108">
        <v>93.84</v>
      </c>
      <c r="E860" s="294" t="s">
        <v>79</v>
      </c>
      <c r="F860" s="74">
        <v>4.9000000000000004</v>
      </c>
      <c r="G860" s="36">
        <f t="shared" si="134"/>
        <v>30.87</v>
      </c>
      <c r="H860" s="37">
        <v>24</v>
      </c>
      <c r="I860" s="44">
        <f t="shared" si="135"/>
        <v>740.88</v>
      </c>
      <c r="J860" s="36">
        <v>1600</v>
      </c>
    </row>
    <row r="861" spans="1:10" x14ac:dyDescent="0.25">
      <c r="A861" s="31" t="s">
        <v>236</v>
      </c>
      <c r="B861" s="37" t="s">
        <v>65</v>
      </c>
      <c r="C861" s="261" t="s">
        <v>158</v>
      </c>
      <c r="D861" s="46">
        <v>37.700000000000003</v>
      </c>
      <c r="E861" s="288" t="s">
        <v>79</v>
      </c>
      <c r="F861" s="74">
        <v>6.81</v>
      </c>
      <c r="G861" s="36">
        <f t="shared" si="134"/>
        <v>42.902999999999999</v>
      </c>
      <c r="H861" s="35">
        <v>24</v>
      </c>
      <c r="I861" s="44">
        <f t="shared" si="135"/>
        <v>1029.672</v>
      </c>
      <c r="J861" s="36">
        <v>1000</v>
      </c>
    </row>
    <row r="862" spans="1:10" ht="15.75" thickBot="1" x14ac:dyDescent="0.3">
      <c r="A862" s="31" t="s">
        <v>236</v>
      </c>
      <c r="B862" s="43" t="s">
        <v>66</v>
      </c>
      <c r="C862" s="263" t="s">
        <v>152</v>
      </c>
      <c r="D862" s="34">
        <v>98.35</v>
      </c>
      <c r="E862" s="294" t="s">
        <v>79</v>
      </c>
      <c r="F862" s="73">
        <v>6.9</v>
      </c>
      <c r="G862" s="74">
        <f t="shared" si="134"/>
        <v>43.47</v>
      </c>
      <c r="H862" s="91">
        <v>24</v>
      </c>
      <c r="I862" s="96">
        <f t="shared" si="135"/>
        <v>1043.28</v>
      </c>
      <c r="J862" s="74">
        <v>1300</v>
      </c>
    </row>
    <row r="863" spans="1:10" ht="19.5" thickBot="1" x14ac:dyDescent="0.35">
      <c r="A863" s="206"/>
      <c r="B863" s="174"/>
      <c r="C863" s="207"/>
      <c r="D863" s="217"/>
      <c r="E863" s="310"/>
      <c r="F863" s="208"/>
      <c r="G863" s="208"/>
      <c r="H863" s="174" t="s">
        <v>171</v>
      </c>
      <c r="I863" s="101">
        <f>SUM(I857:I862)</f>
        <v>5577.7679999999991</v>
      </c>
      <c r="J863" s="104">
        <f>SUM(J857:J862)</f>
        <v>6700</v>
      </c>
    </row>
    <row r="864" spans="1:10" x14ac:dyDescent="0.25">
      <c r="A864" s="31" t="s">
        <v>237</v>
      </c>
      <c r="B864" s="37" t="s">
        <v>68</v>
      </c>
      <c r="C864" s="261" t="s">
        <v>114</v>
      </c>
      <c r="D864" s="108">
        <v>40.35</v>
      </c>
      <c r="E864" s="288" t="s">
        <v>79</v>
      </c>
      <c r="F864" s="109">
        <v>5.2</v>
      </c>
      <c r="G864" s="36">
        <f t="shared" ref="G864:G869" si="136">F864*6.3</f>
        <v>32.76</v>
      </c>
      <c r="H864" s="37">
        <v>24</v>
      </c>
      <c r="I864" s="36">
        <f t="shared" ref="I864:I869" si="137">G864*H864</f>
        <v>786.24</v>
      </c>
      <c r="J864" s="36">
        <v>900</v>
      </c>
    </row>
    <row r="865" spans="1:10" x14ac:dyDescent="0.25">
      <c r="A865" s="31" t="s">
        <v>237</v>
      </c>
      <c r="B865" s="37" t="s">
        <v>69</v>
      </c>
      <c r="C865" s="261" t="s">
        <v>86</v>
      </c>
      <c r="D865" s="108">
        <v>88.74</v>
      </c>
      <c r="E865" s="288" t="s">
        <v>79</v>
      </c>
      <c r="F865" s="110">
        <v>8.9</v>
      </c>
      <c r="G865" s="36">
        <f t="shared" si="136"/>
        <v>56.07</v>
      </c>
      <c r="H865" s="37">
        <v>24</v>
      </c>
      <c r="I865" s="41">
        <f t="shared" si="137"/>
        <v>1345.68</v>
      </c>
      <c r="J865" s="36">
        <v>1400</v>
      </c>
    </row>
    <row r="866" spans="1:10" x14ac:dyDescent="0.25">
      <c r="A866" s="31" t="s">
        <v>237</v>
      </c>
      <c r="B866" s="50" t="s">
        <v>70</v>
      </c>
      <c r="C866" s="261" t="s">
        <v>75</v>
      </c>
      <c r="D866" s="108" t="s">
        <v>38</v>
      </c>
      <c r="E866" s="288" t="s">
        <v>79</v>
      </c>
      <c r="F866" s="36">
        <v>3.45</v>
      </c>
      <c r="G866" s="36">
        <f t="shared" si="136"/>
        <v>21.734999999999999</v>
      </c>
      <c r="H866" s="37">
        <v>24</v>
      </c>
      <c r="I866" s="36">
        <f t="shared" si="137"/>
        <v>521.64</v>
      </c>
      <c r="J866" s="36">
        <v>500</v>
      </c>
    </row>
    <row r="867" spans="1:10" x14ac:dyDescent="0.25">
      <c r="A867" s="31" t="s">
        <v>237</v>
      </c>
      <c r="B867" s="75" t="s">
        <v>71</v>
      </c>
      <c r="C867" s="272" t="s">
        <v>156</v>
      </c>
      <c r="D867" s="108">
        <v>92.8</v>
      </c>
      <c r="E867" s="294" t="s">
        <v>79</v>
      </c>
      <c r="F867" s="74">
        <v>4.9000000000000004</v>
      </c>
      <c r="G867" s="36">
        <f t="shared" si="136"/>
        <v>30.87</v>
      </c>
      <c r="H867" s="37">
        <v>24</v>
      </c>
      <c r="I867" s="44">
        <f t="shared" si="137"/>
        <v>740.88</v>
      </c>
      <c r="J867" s="36">
        <v>1600</v>
      </c>
    </row>
    <row r="868" spans="1:10" x14ac:dyDescent="0.25">
      <c r="A868" s="31" t="s">
        <v>237</v>
      </c>
      <c r="B868" s="37" t="s">
        <v>65</v>
      </c>
      <c r="C868" s="261" t="s">
        <v>158</v>
      </c>
      <c r="D868" s="46">
        <v>38.909999999999997</v>
      </c>
      <c r="E868" s="288" t="s">
        <v>79</v>
      </c>
      <c r="F868" s="74">
        <v>6.81</v>
      </c>
      <c r="G868" s="36">
        <f t="shared" si="136"/>
        <v>42.902999999999999</v>
      </c>
      <c r="H868" s="35">
        <v>24</v>
      </c>
      <c r="I868" s="44">
        <f t="shared" si="137"/>
        <v>1029.672</v>
      </c>
      <c r="J868" s="36">
        <v>1000</v>
      </c>
    </row>
    <row r="869" spans="1:10" ht="15.75" thickBot="1" x14ac:dyDescent="0.3">
      <c r="A869" s="31" t="s">
        <v>237</v>
      </c>
      <c r="B869" s="43" t="s">
        <v>66</v>
      </c>
      <c r="C869" s="263" t="s">
        <v>152</v>
      </c>
      <c r="D869" s="34">
        <v>97.81</v>
      </c>
      <c r="E869" s="294" t="s">
        <v>79</v>
      </c>
      <c r="F869" s="73">
        <v>7.2</v>
      </c>
      <c r="G869" s="74">
        <f t="shared" si="136"/>
        <v>45.36</v>
      </c>
      <c r="H869" s="91">
        <v>24</v>
      </c>
      <c r="I869" s="96">
        <f t="shared" si="137"/>
        <v>1088.6399999999999</v>
      </c>
      <c r="J869" s="74">
        <v>1300</v>
      </c>
    </row>
    <row r="870" spans="1:10" ht="19.5" thickBot="1" x14ac:dyDescent="0.35">
      <c r="A870" s="206"/>
      <c r="B870" s="174"/>
      <c r="C870" s="207"/>
      <c r="D870" s="217"/>
      <c r="E870" s="310"/>
      <c r="F870" s="208"/>
      <c r="G870" s="208"/>
      <c r="H870" s="174" t="s">
        <v>171</v>
      </c>
      <c r="I870" s="101">
        <f>SUM(I864:I869)</f>
        <v>5512.7520000000004</v>
      </c>
      <c r="J870" s="104">
        <f>SUM(J864:J869)</f>
        <v>6700</v>
      </c>
    </row>
    <row r="871" spans="1:10" x14ac:dyDescent="0.25">
      <c r="A871" s="31" t="s">
        <v>238</v>
      </c>
      <c r="B871" s="37" t="s">
        <v>68</v>
      </c>
      <c r="C871" s="261" t="s">
        <v>114</v>
      </c>
      <c r="D871" s="108">
        <v>38.01</v>
      </c>
      <c r="E871" s="288" t="s">
        <v>79</v>
      </c>
      <c r="F871" s="109">
        <v>5.0999999999999996</v>
      </c>
      <c r="G871" s="36">
        <f t="shared" ref="G871:G876" si="138">F871*6.3</f>
        <v>32.129999999999995</v>
      </c>
      <c r="H871" s="37">
        <v>24</v>
      </c>
      <c r="I871" s="36">
        <f t="shared" ref="I871:I876" si="139">G871*H871</f>
        <v>771.11999999999989</v>
      </c>
      <c r="J871" s="36">
        <v>900</v>
      </c>
    </row>
    <row r="872" spans="1:10" x14ac:dyDescent="0.25">
      <c r="A872" s="31" t="s">
        <v>238</v>
      </c>
      <c r="B872" s="37" t="s">
        <v>69</v>
      </c>
      <c r="C872" s="261" t="s">
        <v>86</v>
      </c>
      <c r="D872" s="108">
        <v>88.12</v>
      </c>
      <c r="E872" s="288" t="s">
        <v>79</v>
      </c>
      <c r="F872" s="110">
        <v>9</v>
      </c>
      <c r="G872" s="36">
        <f t="shared" si="138"/>
        <v>56.699999999999996</v>
      </c>
      <c r="H872" s="37">
        <v>24</v>
      </c>
      <c r="I872" s="41">
        <f t="shared" si="139"/>
        <v>1360.8</v>
      </c>
      <c r="J872" s="36">
        <v>1400</v>
      </c>
    </row>
    <row r="873" spans="1:10" x14ac:dyDescent="0.25">
      <c r="A873" s="31" t="s">
        <v>238</v>
      </c>
      <c r="B873" s="50" t="s">
        <v>70</v>
      </c>
      <c r="C873" s="261" t="s">
        <v>75</v>
      </c>
      <c r="D873" s="108" t="s">
        <v>38</v>
      </c>
      <c r="E873" s="288" t="s">
        <v>79</v>
      </c>
      <c r="F873" s="36">
        <v>3.45</v>
      </c>
      <c r="G873" s="36">
        <f t="shared" si="138"/>
        <v>21.734999999999999</v>
      </c>
      <c r="H873" s="37">
        <v>24</v>
      </c>
      <c r="I873" s="36">
        <f t="shared" si="139"/>
        <v>521.64</v>
      </c>
      <c r="J873" s="36">
        <v>500</v>
      </c>
    </row>
    <row r="874" spans="1:10" x14ac:dyDescent="0.25">
      <c r="A874" s="31" t="s">
        <v>238</v>
      </c>
      <c r="B874" s="75" t="s">
        <v>71</v>
      </c>
      <c r="C874" s="272" t="s">
        <v>156</v>
      </c>
      <c r="D874" s="108">
        <v>92.57</v>
      </c>
      <c r="E874" s="294" t="s">
        <v>79</v>
      </c>
      <c r="F874" s="74">
        <v>4.8</v>
      </c>
      <c r="G874" s="36">
        <f t="shared" si="138"/>
        <v>30.24</v>
      </c>
      <c r="H874" s="37">
        <v>24</v>
      </c>
      <c r="I874" s="44">
        <f t="shared" si="139"/>
        <v>725.76</v>
      </c>
      <c r="J874" s="36">
        <v>1600</v>
      </c>
    </row>
    <row r="875" spans="1:10" x14ac:dyDescent="0.25">
      <c r="A875" s="31" t="s">
        <v>238</v>
      </c>
      <c r="B875" s="37" t="s">
        <v>65</v>
      </c>
      <c r="C875" s="261" t="s">
        <v>158</v>
      </c>
      <c r="D875" s="46">
        <v>37.99</v>
      </c>
      <c r="E875" s="288" t="s">
        <v>79</v>
      </c>
      <c r="F875" s="74">
        <v>6.95</v>
      </c>
      <c r="G875" s="36">
        <f t="shared" si="138"/>
        <v>43.784999999999997</v>
      </c>
      <c r="H875" s="35">
        <v>24</v>
      </c>
      <c r="I875" s="44">
        <f t="shared" si="139"/>
        <v>1050.8399999999999</v>
      </c>
      <c r="J875" s="36">
        <v>1000</v>
      </c>
    </row>
    <row r="876" spans="1:10" ht="15.75" thickBot="1" x14ac:dyDescent="0.3">
      <c r="A876" s="31" t="s">
        <v>238</v>
      </c>
      <c r="B876" s="43" t="s">
        <v>66</v>
      </c>
      <c r="C876" s="263" t="s">
        <v>152</v>
      </c>
      <c r="D876" s="34">
        <v>97.08</v>
      </c>
      <c r="E876" s="294" t="s">
        <v>79</v>
      </c>
      <c r="F876" s="73">
        <v>7.1</v>
      </c>
      <c r="G876" s="74">
        <f t="shared" si="138"/>
        <v>44.73</v>
      </c>
      <c r="H876" s="91">
        <v>24</v>
      </c>
      <c r="I876" s="96">
        <f t="shared" si="139"/>
        <v>1073.52</v>
      </c>
      <c r="J876" s="74">
        <v>1300</v>
      </c>
    </row>
    <row r="877" spans="1:10" ht="19.5" thickBot="1" x14ac:dyDescent="0.35">
      <c r="A877" s="220"/>
      <c r="B877" s="174"/>
      <c r="C877" s="282"/>
      <c r="D877" s="217"/>
      <c r="E877" s="310"/>
      <c r="F877" s="208"/>
      <c r="G877" s="208"/>
      <c r="H877" s="174" t="s">
        <v>171</v>
      </c>
      <c r="I877" s="101">
        <f>SUM(I871:I876)</f>
        <v>5503.68</v>
      </c>
      <c r="J877" s="104">
        <f>SUM(J871:J876)</f>
        <v>6700</v>
      </c>
    </row>
    <row r="878" spans="1:10" x14ac:dyDescent="0.25">
      <c r="A878" s="31" t="s">
        <v>239</v>
      </c>
      <c r="B878" s="37" t="s">
        <v>68</v>
      </c>
      <c r="C878" s="261" t="s">
        <v>114</v>
      </c>
      <c r="D878" s="108">
        <v>32.08</v>
      </c>
      <c r="E878" s="288" t="s">
        <v>79</v>
      </c>
      <c r="F878" s="109">
        <v>4.5</v>
      </c>
      <c r="G878" s="36">
        <f t="shared" ref="G878:G883" si="140">F878*6.3</f>
        <v>28.349999999999998</v>
      </c>
      <c r="H878" s="37">
        <v>24</v>
      </c>
      <c r="I878" s="36">
        <f t="shared" ref="I878:I883" si="141">G878*H878</f>
        <v>680.4</v>
      </c>
      <c r="J878" s="36">
        <v>900</v>
      </c>
    </row>
    <row r="879" spans="1:10" x14ac:dyDescent="0.25">
      <c r="A879" s="31" t="s">
        <v>239</v>
      </c>
      <c r="B879" s="37" t="s">
        <v>69</v>
      </c>
      <c r="C879" s="261" t="s">
        <v>86</v>
      </c>
      <c r="D879" s="108">
        <v>81.58</v>
      </c>
      <c r="E879" s="288" t="s">
        <v>79</v>
      </c>
      <c r="F879" s="110">
        <v>9</v>
      </c>
      <c r="G879" s="36">
        <f t="shared" si="140"/>
        <v>56.699999999999996</v>
      </c>
      <c r="H879" s="37">
        <v>24</v>
      </c>
      <c r="I879" s="41">
        <f t="shared" si="141"/>
        <v>1360.8</v>
      </c>
      <c r="J879" s="36">
        <v>1400</v>
      </c>
    </row>
    <row r="880" spans="1:10" x14ac:dyDescent="0.25">
      <c r="A880" s="31" t="s">
        <v>239</v>
      </c>
      <c r="B880" s="50" t="s">
        <v>70</v>
      </c>
      <c r="C880" s="261" t="s">
        <v>75</v>
      </c>
      <c r="D880" s="108" t="s">
        <v>38</v>
      </c>
      <c r="E880" s="288" t="s">
        <v>79</v>
      </c>
      <c r="F880" s="36">
        <v>3.2</v>
      </c>
      <c r="G880" s="36">
        <f t="shared" si="140"/>
        <v>20.16</v>
      </c>
      <c r="H880" s="37">
        <v>24</v>
      </c>
      <c r="I880" s="36">
        <f t="shared" si="141"/>
        <v>483.84000000000003</v>
      </c>
      <c r="J880" s="36">
        <v>500</v>
      </c>
    </row>
    <row r="881" spans="1:14" x14ac:dyDescent="0.25">
      <c r="A881" s="31" t="s">
        <v>239</v>
      </c>
      <c r="B881" s="75" t="s">
        <v>71</v>
      </c>
      <c r="C881" s="272" t="s">
        <v>156</v>
      </c>
      <c r="D881" s="108">
        <v>85.69</v>
      </c>
      <c r="E881" s="294" t="s">
        <v>79</v>
      </c>
      <c r="F881" s="74">
        <v>4.8</v>
      </c>
      <c r="G881" s="36">
        <f t="shared" si="140"/>
        <v>30.24</v>
      </c>
      <c r="H881" s="37">
        <v>24</v>
      </c>
      <c r="I881" s="44">
        <f t="shared" si="141"/>
        <v>725.76</v>
      </c>
      <c r="J881" s="36">
        <v>1600</v>
      </c>
    </row>
    <row r="882" spans="1:14" x14ac:dyDescent="0.25">
      <c r="A882" s="31" t="s">
        <v>239</v>
      </c>
      <c r="B882" s="37" t="s">
        <v>65</v>
      </c>
      <c r="C882" s="261" t="s">
        <v>158</v>
      </c>
      <c r="D882" s="46">
        <v>34.130000000000003</v>
      </c>
      <c r="E882" s="288" t="s">
        <v>79</v>
      </c>
      <c r="F882" s="74">
        <v>6.8</v>
      </c>
      <c r="G882" s="36">
        <f t="shared" si="140"/>
        <v>42.839999999999996</v>
      </c>
      <c r="H882" s="35">
        <v>24</v>
      </c>
      <c r="I882" s="44">
        <f t="shared" si="141"/>
        <v>1028.1599999999999</v>
      </c>
      <c r="J882" s="36">
        <v>1000</v>
      </c>
    </row>
    <row r="883" spans="1:14" ht="15.75" thickBot="1" x14ac:dyDescent="0.3">
      <c r="A883" s="31" t="s">
        <v>239</v>
      </c>
      <c r="B883" s="43" t="s">
        <v>66</v>
      </c>
      <c r="C883" s="263" t="s">
        <v>152</v>
      </c>
      <c r="D883" s="34">
        <v>90.59</v>
      </c>
      <c r="E883" s="294" t="s">
        <v>79</v>
      </c>
      <c r="F883" s="73">
        <v>6.9</v>
      </c>
      <c r="G883" s="74">
        <f t="shared" si="140"/>
        <v>43.47</v>
      </c>
      <c r="H883" s="91">
        <v>24</v>
      </c>
      <c r="I883" s="96">
        <f t="shared" si="141"/>
        <v>1043.28</v>
      </c>
      <c r="J883" s="74">
        <v>1300</v>
      </c>
    </row>
    <row r="884" spans="1:14" ht="19.5" thickBot="1" x14ac:dyDescent="0.35">
      <c r="A884" s="206"/>
      <c r="B884" s="174"/>
      <c r="C884" s="207"/>
      <c r="D884" s="217"/>
      <c r="E884" s="310"/>
      <c r="F884" s="208"/>
      <c r="G884" s="208"/>
      <c r="H884" s="174" t="s">
        <v>171</v>
      </c>
      <c r="I884" s="101">
        <f>SUM(I878:I883)</f>
        <v>5322.24</v>
      </c>
      <c r="J884" s="104">
        <f>SUM(J878:J883)</f>
        <v>6700</v>
      </c>
      <c r="K884" s="209"/>
      <c r="L884" s="235"/>
      <c r="M884" s="235"/>
      <c r="N884" s="235"/>
    </row>
    <row r="885" spans="1:14" x14ac:dyDescent="0.25">
      <c r="A885" s="31" t="s">
        <v>241</v>
      </c>
      <c r="B885" s="37" t="s">
        <v>68</v>
      </c>
      <c r="C885" s="261" t="s">
        <v>114</v>
      </c>
      <c r="D885" s="108">
        <v>33.200000000000003</v>
      </c>
      <c r="E885" s="288" t="s">
        <v>79</v>
      </c>
      <c r="F885" s="109">
        <v>5.3</v>
      </c>
      <c r="G885" s="36">
        <f t="shared" ref="G885:G890" si="142">F885*6.3</f>
        <v>33.39</v>
      </c>
      <c r="H885" s="37">
        <v>24</v>
      </c>
      <c r="I885" s="36">
        <f t="shared" ref="I885:I890" si="143">G885*H885</f>
        <v>801.36</v>
      </c>
      <c r="J885" s="36">
        <v>900</v>
      </c>
    </row>
    <row r="886" spans="1:14" x14ac:dyDescent="0.25">
      <c r="A886" s="31" t="s">
        <v>241</v>
      </c>
      <c r="B886" s="37" t="s">
        <v>69</v>
      </c>
      <c r="C886" s="261" t="s">
        <v>86</v>
      </c>
      <c r="D886" s="108">
        <v>83.5</v>
      </c>
      <c r="E886" s="288" t="s">
        <v>79</v>
      </c>
      <c r="F886" s="110">
        <v>8.8000000000000007</v>
      </c>
      <c r="G886" s="36">
        <f t="shared" si="142"/>
        <v>55.440000000000005</v>
      </c>
      <c r="H886" s="37">
        <v>24</v>
      </c>
      <c r="I886" s="41">
        <f t="shared" si="143"/>
        <v>1330.5600000000002</v>
      </c>
      <c r="J886" s="36">
        <v>1400</v>
      </c>
    </row>
    <row r="887" spans="1:14" x14ac:dyDescent="0.25">
      <c r="A887" s="31" t="s">
        <v>241</v>
      </c>
      <c r="B887" s="50" t="s">
        <v>70</v>
      </c>
      <c r="C887" s="261" t="s">
        <v>75</v>
      </c>
      <c r="D887" s="108" t="s">
        <v>38</v>
      </c>
      <c r="E887" s="288" t="s">
        <v>79</v>
      </c>
      <c r="F887" s="36">
        <v>3.5</v>
      </c>
      <c r="G887" s="36">
        <f t="shared" si="142"/>
        <v>22.05</v>
      </c>
      <c r="H887" s="37">
        <v>24</v>
      </c>
      <c r="I887" s="36">
        <f t="shared" si="143"/>
        <v>529.20000000000005</v>
      </c>
      <c r="J887" s="36">
        <v>500</v>
      </c>
    </row>
    <row r="888" spans="1:14" x14ac:dyDescent="0.25">
      <c r="A888" s="31" t="s">
        <v>241</v>
      </c>
      <c r="B888" s="75" t="s">
        <v>71</v>
      </c>
      <c r="C888" s="272" t="s">
        <v>156</v>
      </c>
      <c r="D888" s="108">
        <v>57.09</v>
      </c>
      <c r="E888" s="294" t="s">
        <v>79</v>
      </c>
      <c r="F888" s="74">
        <v>11</v>
      </c>
      <c r="G888" s="36">
        <f t="shared" si="142"/>
        <v>69.3</v>
      </c>
      <c r="H888" s="37">
        <v>15</v>
      </c>
      <c r="I888" s="44">
        <f t="shared" si="143"/>
        <v>1039.5</v>
      </c>
      <c r="J888" s="36">
        <v>1600</v>
      </c>
    </row>
    <row r="889" spans="1:14" x14ac:dyDescent="0.25">
      <c r="A889" s="31" t="s">
        <v>241</v>
      </c>
      <c r="B889" s="37" t="s">
        <v>65</v>
      </c>
      <c r="C889" s="261" t="s">
        <v>158</v>
      </c>
      <c r="D889" s="46">
        <v>35.4</v>
      </c>
      <c r="E889" s="288" t="s">
        <v>79</v>
      </c>
      <c r="F889" s="74">
        <v>6.7</v>
      </c>
      <c r="G889" s="36">
        <f t="shared" si="142"/>
        <v>42.21</v>
      </c>
      <c r="H889" s="35">
        <v>24</v>
      </c>
      <c r="I889" s="44">
        <f t="shared" si="143"/>
        <v>1013.04</v>
      </c>
      <c r="J889" s="36">
        <v>1000</v>
      </c>
    </row>
    <row r="890" spans="1:14" ht="15.75" thickBot="1" x14ac:dyDescent="0.3">
      <c r="A890" s="31" t="s">
        <v>241</v>
      </c>
      <c r="B890" s="43" t="s">
        <v>66</v>
      </c>
      <c r="C890" s="263" t="s">
        <v>152</v>
      </c>
      <c r="D890" s="34">
        <v>91.8</v>
      </c>
      <c r="E890" s="294" t="s">
        <v>79</v>
      </c>
      <c r="F890" s="73">
        <v>7</v>
      </c>
      <c r="G890" s="74">
        <f t="shared" si="142"/>
        <v>44.1</v>
      </c>
      <c r="H890" s="91">
        <v>24</v>
      </c>
      <c r="I890" s="96">
        <f t="shared" si="143"/>
        <v>1058.4000000000001</v>
      </c>
      <c r="J890" s="74">
        <v>1300</v>
      </c>
    </row>
    <row r="891" spans="1:14" ht="36" customHeight="1" thickBot="1" x14ac:dyDescent="0.35">
      <c r="A891" s="206"/>
      <c r="B891" s="174"/>
      <c r="C891" s="207"/>
      <c r="D891" s="217"/>
      <c r="E891" s="310"/>
      <c r="F891" s="208"/>
      <c r="G891" s="208"/>
      <c r="H891" s="239" t="s">
        <v>171</v>
      </c>
      <c r="I891" s="238">
        <f>SUM(I885:I890)</f>
        <v>5772.0599999999995</v>
      </c>
      <c r="J891" s="237">
        <f>SUM(J885:J890)</f>
        <v>6700</v>
      </c>
      <c r="K891" s="236" t="s">
        <v>240</v>
      </c>
    </row>
    <row r="892" spans="1:14" x14ac:dyDescent="0.25">
      <c r="A892" s="31" t="s">
        <v>242</v>
      </c>
      <c r="B892" s="37" t="s">
        <v>68</v>
      </c>
      <c r="C892" s="261" t="s">
        <v>114</v>
      </c>
      <c r="D892" s="108">
        <v>48.11</v>
      </c>
      <c r="E892" s="288" t="s">
        <v>79</v>
      </c>
      <c r="F892" s="109">
        <v>6.8</v>
      </c>
      <c r="G892" s="36">
        <f t="shared" ref="G892:G897" si="144">F892*6.3</f>
        <v>42.839999999999996</v>
      </c>
      <c r="H892" s="37">
        <v>24</v>
      </c>
      <c r="I892" s="36">
        <f t="shared" ref="I892:I897" si="145">G892*H892</f>
        <v>1028.1599999999999</v>
      </c>
      <c r="J892" s="36">
        <v>900</v>
      </c>
    </row>
    <row r="893" spans="1:14" x14ac:dyDescent="0.25">
      <c r="A893" s="31" t="s">
        <v>242</v>
      </c>
      <c r="B893" s="37" t="s">
        <v>69</v>
      </c>
      <c r="C893" s="261" t="s">
        <v>86</v>
      </c>
      <c r="D893" s="108">
        <v>85</v>
      </c>
      <c r="E893" s="288" t="s">
        <v>79</v>
      </c>
      <c r="F893" s="110">
        <v>8.8000000000000007</v>
      </c>
      <c r="G893" s="36">
        <f t="shared" si="144"/>
        <v>55.440000000000005</v>
      </c>
      <c r="H893" s="37">
        <v>24</v>
      </c>
      <c r="I893" s="41">
        <f t="shared" si="145"/>
        <v>1330.5600000000002</v>
      </c>
      <c r="J893" s="36">
        <v>1400</v>
      </c>
    </row>
    <row r="894" spans="1:14" x14ac:dyDescent="0.25">
      <c r="A894" s="31" t="s">
        <v>242</v>
      </c>
      <c r="B894" s="50" t="s">
        <v>70</v>
      </c>
      <c r="C894" s="261" t="s">
        <v>75</v>
      </c>
      <c r="D894" s="108" t="s">
        <v>38</v>
      </c>
      <c r="E894" s="288" t="s">
        <v>79</v>
      </c>
      <c r="F894" s="36">
        <v>3.5</v>
      </c>
      <c r="G894" s="36">
        <f t="shared" si="144"/>
        <v>22.05</v>
      </c>
      <c r="H894" s="37">
        <v>24</v>
      </c>
      <c r="I894" s="36">
        <f t="shared" si="145"/>
        <v>529.20000000000005</v>
      </c>
      <c r="J894" s="36">
        <v>500</v>
      </c>
    </row>
    <row r="895" spans="1:14" x14ac:dyDescent="0.25">
      <c r="A895" s="31" t="s">
        <v>242</v>
      </c>
      <c r="B895" s="75" t="s">
        <v>71</v>
      </c>
      <c r="C895" s="272" t="s">
        <v>156</v>
      </c>
      <c r="D895" s="108">
        <v>61.3</v>
      </c>
      <c r="E895" s="294" t="s">
        <v>79</v>
      </c>
      <c r="F895" s="74">
        <v>11.1</v>
      </c>
      <c r="G895" s="36">
        <f t="shared" si="144"/>
        <v>69.929999999999993</v>
      </c>
      <c r="H895" s="37">
        <v>24</v>
      </c>
      <c r="I895" s="44">
        <f t="shared" si="145"/>
        <v>1678.3199999999997</v>
      </c>
      <c r="J895" s="36">
        <v>1600</v>
      </c>
    </row>
    <row r="896" spans="1:14" x14ac:dyDescent="0.25">
      <c r="A896" s="31" t="s">
        <v>242</v>
      </c>
      <c r="B896" s="37" t="s">
        <v>65</v>
      </c>
      <c r="C896" s="261" t="s">
        <v>158</v>
      </c>
      <c r="D896" s="46">
        <v>35.4</v>
      </c>
      <c r="E896" s="288" t="s">
        <v>79</v>
      </c>
      <c r="F896" s="74">
        <v>7.04</v>
      </c>
      <c r="G896" s="36">
        <f t="shared" si="144"/>
        <v>44.351999999999997</v>
      </c>
      <c r="H896" s="35">
        <v>24</v>
      </c>
      <c r="I896" s="44">
        <f t="shared" si="145"/>
        <v>1064.4479999999999</v>
      </c>
      <c r="J896" s="36">
        <v>1000</v>
      </c>
    </row>
    <row r="897" spans="1:10" ht="15.75" thickBot="1" x14ac:dyDescent="0.3">
      <c r="A897" s="31" t="s">
        <v>242</v>
      </c>
      <c r="B897" s="43" t="s">
        <v>66</v>
      </c>
      <c r="C897" s="263" t="s">
        <v>152</v>
      </c>
      <c r="D897" s="34">
        <v>92.92</v>
      </c>
      <c r="E897" s="294" t="s">
        <v>79</v>
      </c>
      <c r="F897" s="73">
        <v>6.7</v>
      </c>
      <c r="G897" s="74">
        <f t="shared" si="144"/>
        <v>42.21</v>
      </c>
      <c r="H897" s="91">
        <v>24</v>
      </c>
      <c r="I897" s="96">
        <f t="shared" si="145"/>
        <v>1013.04</v>
      </c>
      <c r="J897" s="74">
        <v>1300</v>
      </c>
    </row>
    <row r="898" spans="1:10" ht="19.5" thickBot="1" x14ac:dyDescent="0.35">
      <c r="A898" s="240"/>
      <c r="B898" s="241"/>
      <c r="C898" s="242"/>
      <c r="D898" s="319"/>
      <c r="E898" s="316"/>
      <c r="F898" s="243"/>
      <c r="G898" s="243"/>
      <c r="H898" s="241" t="s">
        <v>171</v>
      </c>
      <c r="I898" s="244">
        <f>SUM(I892:I897)</f>
        <v>6643.7280000000001</v>
      </c>
      <c r="J898" s="245">
        <f>SUM(J892:J897)</f>
        <v>6700</v>
      </c>
    </row>
    <row r="899" spans="1:10" x14ac:dyDescent="0.25">
      <c r="A899" s="31" t="s">
        <v>243</v>
      </c>
      <c r="B899" s="37" t="s">
        <v>68</v>
      </c>
      <c r="C899" s="261" t="s">
        <v>114</v>
      </c>
      <c r="D899" s="108">
        <v>48.11</v>
      </c>
      <c r="E899" s="288" t="s">
        <v>79</v>
      </c>
      <c r="F899" s="109">
        <v>7.13</v>
      </c>
      <c r="G899" s="36">
        <f t="shared" ref="G899:G904" si="146">F899*6.3</f>
        <v>44.918999999999997</v>
      </c>
      <c r="H899" s="37">
        <v>24</v>
      </c>
      <c r="I899" s="36">
        <f t="shared" ref="I899:I904" si="147">G899*H899</f>
        <v>1078.056</v>
      </c>
      <c r="J899" s="36">
        <v>900</v>
      </c>
    </row>
    <row r="900" spans="1:10" x14ac:dyDescent="0.25">
      <c r="A900" s="31" t="s">
        <v>243</v>
      </c>
      <c r="B900" s="37" t="s">
        <v>69</v>
      </c>
      <c r="C900" s="261" t="s">
        <v>86</v>
      </c>
      <c r="D900" s="108">
        <v>85</v>
      </c>
      <c r="E900" s="288" t="s">
        <v>79</v>
      </c>
      <c r="F900" s="110">
        <v>8.69</v>
      </c>
      <c r="G900" s="36">
        <f t="shared" si="146"/>
        <v>54.746999999999993</v>
      </c>
      <c r="H900" s="37">
        <v>24</v>
      </c>
      <c r="I900" s="41">
        <f t="shared" si="147"/>
        <v>1313.9279999999999</v>
      </c>
      <c r="J900" s="36">
        <v>1400</v>
      </c>
    </row>
    <row r="901" spans="1:10" x14ac:dyDescent="0.25">
      <c r="A901" s="31" t="s">
        <v>243</v>
      </c>
      <c r="B901" s="50" t="s">
        <v>70</v>
      </c>
      <c r="C901" s="261" t="s">
        <v>75</v>
      </c>
      <c r="D901" s="108" t="s">
        <v>38</v>
      </c>
      <c r="E901" s="288" t="s">
        <v>79</v>
      </c>
      <c r="F901" s="36">
        <v>3.02</v>
      </c>
      <c r="G901" s="36">
        <f t="shared" si="146"/>
        <v>19.026</v>
      </c>
      <c r="H901" s="37">
        <v>24</v>
      </c>
      <c r="I901" s="36">
        <f t="shared" si="147"/>
        <v>456.62400000000002</v>
      </c>
      <c r="J901" s="36">
        <v>500</v>
      </c>
    </row>
    <row r="902" spans="1:10" x14ac:dyDescent="0.25">
      <c r="A902" s="31" t="s">
        <v>243</v>
      </c>
      <c r="B902" s="75" t="s">
        <v>71</v>
      </c>
      <c r="C902" s="272" t="s">
        <v>156</v>
      </c>
      <c r="D902" s="108">
        <v>63.32</v>
      </c>
      <c r="E902" s="294" t="s">
        <v>79</v>
      </c>
      <c r="F902" s="74">
        <v>10.42</v>
      </c>
      <c r="G902" s="36">
        <f t="shared" si="146"/>
        <v>65.646000000000001</v>
      </c>
      <c r="H902" s="37">
        <v>24</v>
      </c>
      <c r="I902" s="44">
        <f t="shared" si="147"/>
        <v>1575.5039999999999</v>
      </c>
      <c r="J902" s="36">
        <v>1600</v>
      </c>
    </row>
    <row r="903" spans="1:10" x14ac:dyDescent="0.25">
      <c r="A903" s="31" t="s">
        <v>243</v>
      </c>
      <c r="B903" s="37" t="s">
        <v>65</v>
      </c>
      <c r="C903" s="261" t="s">
        <v>158</v>
      </c>
      <c r="D903" s="46">
        <v>35.049999999999997</v>
      </c>
      <c r="E903" s="288" t="s">
        <v>79</v>
      </c>
      <c r="F903" s="74">
        <v>7</v>
      </c>
      <c r="G903" s="36">
        <f t="shared" si="146"/>
        <v>44.1</v>
      </c>
      <c r="H903" s="35">
        <v>24</v>
      </c>
      <c r="I903" s="44">
        <f t="shared" si="147"/>
        <v>1058.4000000000001</v>
      </c>
      <c r="J903" s="36">
        <v>1000</v>
      </c>
    </row>
    <row r="904" spans="1:10" ht="15.75" thickBot="1" x14ac:dyDescent="0.3">
      <c r="A904" s="31" t="s">
        <v>243</v>
      </c>
      <c r="B904" s="43" t="s">
        <v>66</v>
      </c>
      <c r="C904" s="263" t="s">
        <v>152</v>
      </c>
      <c r="D904" s="34">
        <v>93.1</v>
      </c>
      <c r="E904" s="294" t="s">
        <v>79</v>
      </c>
      <c r="F904" s="73">
        <v>6.83</v>
      </c>
      <c r="G904" s="74">
        <f t="shared" si="146"/>
        <v>43.028999999999996</v>
      </c>
      <c r="H904" s="91">
        <v>24</v>
      </c>
      <c r="I904" s="96">
        <f t="shared" si="147"/>
        <v>1032.6959999999999</v>
      </c>
      <c r="J904" s="74">
        <v>1300</v>
      </c>
    </row>
    <row r="905" spans="1:10" ht="18.75" x14ac:dyDescent="0.3">
      <c r="A905" s="246"/>
      <c r="B905" s="247"/>
      <c r="C905" s="284"/>
      <c r="D905" s="217"/>
      <c r="E905" s="317"/>
      <c r="F905" s="248"/>
      <c r="G905" s="248"/>
      <c r="H905" s="178" t="s">
        <v>171</v>
      </c>
      <c r="I905" s="179">
        <f>SUM(I899:I904)</f>
        <v>6515.2080000000005</v>
      </c>
      <c r="J905" s="180">
        <f>SUM(J899:J904)</f>
        <v>6700</v>
      </c>
    </row>
    <row r="906" spans="1:10" x14ac:dyDescent="0.25">
      <c r="A906" s="46" t="s">
        <v>244</v>
      </c>
      <c r="B906" s="37" t="s">
        <v>68</v>
      </c>
      <c r="C906" s="261" t="s">
        <v>114</v>
      </c>
      <c r="D906" s="108">
        <v>48.66</v>
      </c>
      <c r="E906" s="288" t="s">
        <v>79</v>
      </c>
      <c r="F906" s="109">
        <v>6.76</v>
      </c>
      <c r="G906" s="36">
        <f t="shared" ref="G906:G911" si="148">F906*6.3</f>
        <v>42.588000000000001</v>
      </c>
      <c r="H906" s="37">
        <v>24</v>
      </c>
      <c r="I906" s="36">
        <f t="shared" ref="I906:I911" si="149">G906*H906</f>
        <v>1022.1120000000001</v>
      </c>
      <c r="J906" s="36">
        <v>900</v>
      </c>
    </row>
    <row r="907" spans="1:10" x14ac:dyDescent="0.25">
      <c r="A907" s="46" t="s">
        <v>244</v>
      </c>
      <c r="B907" s="37" t="s">
        <v>69</v>
      </c>
      <c r="C907" s="261" t="s">
        <v>86</v>
      </c>
      <c r="D907" s="108">
        <v>85</v>
      </c>
      <c r="E907" s="288" t="s">
        <v>79</v>
      </c>
      <c r="F907" s="36">
        <v>8.49</v>
      </c>
      <c r="G907" s="36">
        <f t="shared" si="148"/>
        <v>53.487000000000002</v>
      </c>
      <c r="H907" s="37">
        <v>24</v>
      </c>
      <c r="I907" s="36">
        <f t="shared" si="149"/>
        <v>1283.6880000000001</v>
      </c>
      <c r="J907" s="36">
        <v>1400</v>
      </c>
    </row>
    <row r="908" spans="1:10" x14ac:dyDescent="0.25">
      <c r="A908" s="46" t="s">
        <v>244</v>
      </c>
      <c r="B908" s="34" t="s">
        <v>70</v>
      </c>
      <c r="C908" s="261" t="s">
        <v>75</v>
      </c>
      <c r="D908" s="108" t="s">
        <v>38</v>
      </c>
      <c r="E908" s="288" t="s">
        <v>79</v>
      </c>
      <c r="F908" s="36">
        <v>3.12</v>
      </c>
      <c r="G908" s="36">
        <f t="shared" si="148"/>
        <v>19.655999999999999</v>
      </c>
      <c r="H908" s="37">
        <v>24</v>
      </c>
      <c r="I908" s="36">
        <f t="shared" si="149"/>
        <v>471.74399999999997</v>
      </c>
      <c r="J908" s="36">
        <v>500</v>
      </c>
    </row>
    <row r="909" spans="1:10" x14ac:dyDescent="0.25">
      <c r="A909" s="46" t="s">
        <v>244</v>
      </c>
      <c r="B909" s="34" t="s">
        <v>71</v>
      </c>
      <c r="C909" s="273" t="s">
        <v>156</v>
      </c>
      <c r="D909" s="108">
        <v>66.569999999999993</v>
      </c>
      <c r="E909" s="288" t="s">
        <v>79</v>
      </c>
      <c r="F909" s="36">
        <v>10.34</v>
      </c>
      <c r="G909" s="36">
        <f t="shared" si="148"/>
        <v>65.141999999999996</v>
      </c>
      <c r="H909" s="37">
        <v>24</v>
      </c>
      <c r="I909" s="139">
        <f t="shared" si="149"/>
        <v>1563.4079999999999</v>
      </c>
      <c r="J909" s="36">
        <v>1600</v>
      </c>
    </row>
    <row r="910" spans="1:10" x14ac:dyDescent="0.25">
      <c r="A910" s="46" t="s">
        <v>244</v>
      </c>
      <c r="B910" s="37" t="s">
        <v>65</v>
      </c>
      <c r="C910" s="261" t="s">
        <v>158</v>
      </c>
      <c r="D910" s="46">
        <v>36.76</v>
      </c>
      <c r="E910" s="288" t="s">
        <v>79</v>
      </c>
      <c r="F910" s="36">
        <v>6.93</v>
      </c>
      <c r="G910" s="36">
        <f t="shared" si="148"/>
        <v>43.658999999999999</v>
      </c>
      <c r="H910" s="35">
        <v>24</v>
      </c>
      <c r="I910" s="139">
        <f t="shared" si="149"/>
        <v>1047.816</v>
      </c>
      <c r="J910" s="36">
        <v>1000</v>
      </c>
    </row>
    <row r="911" spans="1:10" ht="15.75" thickBot="1" x14ac:dyDescent="0.3">
      <c r="A911" s="52" t="s">
        <v>244</v>
      </c>
      <c r="B911" s="43" t="s">
        <v>66</v>
      </c>
      <c r="C911" s="263" t="s">
        <v>152</v>
      </c>
      <c r="D911" s="34">
        <v>96.53</v>
      </c>
      <c r="E911" s="294" t="s">
        <v>79</v>
      </c>
      <c r="F911" s="43">
        <v>6.74</v>
      </c>
      <c r="G911" s="74">
        <f t="shared" si="148"/>
        <v>42.462000000000003</v>
      </c>
      <c r="H911" s="91">
        <v>24</v>
      </c>
      <c r="I911" s="249">
        <f t="shared" si="149"/>
        <v>1019.0880000000001</v>
      </c>
      <c r="J911" s="74">
        <v>1300</v>
      </c>
    </row>
    <row r="912" spans="1:10" ht="19.5" thickBot="1" x14ac:dyDescent="0.35">
      <c r="A912" s="220"/>
      <c r="B912" s="221"/>
      <c r="C912" s="282"/>
      <c r="D912" s="217"/>
      <c r="E912" s="310"/>
      <c r="F912" s="208"/>
      <c r="G912" s="208"/>
      <c r="H912" s="174" t="s">
        <v>171</v>
      </c>
      <c r="I912" s="101">
        <f>SUM(I906:I911)</f>
        <v>6407.8559999999998</v>
      </c>
      <c r="J912" s="104">
        <f>SUM(J906:J911)</f>
        <v>6700</v>
      </c>
    </row>
    <row r="913" spans="1:10" x14ac:dyDescent="0.25">
      <c r="A913" s="31" t="s">
        <v>245</v>
      </c>
      <c r="B913" s="37" t="s">
        <v>68</v>
      </c>
      <c r="C913" s="106" t="s">
        <v>114</v>
      </c>
      <c r="D913" s="46">
        <v>48.66</v>
      </c>
      <c r="E913" s="290" t="s">
        <v>79</v>
      </c>
      <c r="F913" s="46">
        <v>6.76</v>
      </c>
      <c r="G913" s="46">
        <v>42.59</v>
      </c>
      <c r="H913" s="46">
        <v>24</v>
      </c>
      <c r="I913" s="46">
        <v>1022.11</v>
      </c>
      <c r="J913" s="36">
        <v>900</v>
      </c>
    </row>
    <row r="914" spans="1:10" x14ac:dyDescent="0.25">
      <c r="A914" s="31" t="s">
        <v>245</v>
      </c>
      <c r="B914" s="37" t="s">
        <v>69</v>
      </c>
      <c r="C914" s="106" t="s">
        <v>86</v>
      </c>
      <c r="D914" s="46">
        <v>85</v>
      </c>
      <c r="E914" s="290" t="s">
        <v>79</v>
      </c>
      <c r="F914" s="46">
        <v>8.49</v>
      </c>
      <c r="G914" s="46">
        <v>53.49</v>
      </c>
      <c r="H914" s="46">
        <v>24</v>
      </c>
      <c r="I914" s="46">
        <v>1283.69</v>
      </c>
      <c r="J914" s="36">
        <v>1400</v>
      </c>
    </row>
    <row r="915" spans="1:10" x14ac:dyDescent="0.25">
      <c r="A915" s="31" t="s">
        <v>245</v>
      </c>
      <c r="B915" s="34" t="s">
        <v>70</v>
      </c>
      <c r="C915" s="106" t="s">
        <v>75</v>
      </c>
      <c r="D915" s="46" t="s">
        <v>38</v>
      </c>
      <c r="E915" s="290" t="s">
        <v>79</v>
      </c>
      <c r="F915" s="46">
        <v>3.12</v>
      </c>
      <c r="G915" s="46">
        <v>19.66</v>
      </c>
      <c r="H915" s="46">
        <v>24</v>
      </c>
      <c r="I915" s="46">
        <v>471.74</v>
      </c>
      <c r="J915" s="36">
        <v>500</v>
      </c>
    </row>
    <row r="916" spans="1:10" x14ac:dyDescent="0.25">
      <c r="A916" s="31" t="s">
        <v>245</v>
      </c>
      <c r="B916" s="34" t="s">
        <v>71</v>
      </c>
      <c r="C916" s="106" t="s">
        <v>156</v>
      </c>
      <c r="D916" s="46">
        <v>66.569999999999993</v>
      </c>
      <c r="E916" s="290" t="s">
        <v>79</v>
      </c>
      <c r="F916" s="46">
        <v>10.34</v>
      </c>
      <c r="G916" s="46">
        <v>65.14</v>
      </c>
      <c r="H916" s="46">
        <v>24</v>
      </c>
      <c r="I916" s="46">
        <v>1563.41</v>
      </c>
      <c r="J916" s="36">
        <v>1600</v>
      </c>
    </row>
    <row r="917" spans="1:10" x14ac:dyDescent="0.25">
      <c r="A917" s="31" t="s">
        <v>245</v>
      </c>
      <c r="B917" s="37" t="s">
        <v>65</v>
      </c>
      <c r="C917" s="106" t="s">
        <v>158</v>
      </c>
      <c r="D917" s="46">
        <v>36.76</v>
      </c>
      <c r="E917" s="290" t="s">
        <v>79</v>
      </c>
      <c r="F917" s="46">
        <v>6.93</v>
      </c>
      <c r="G917" s="46">
        <v>43.66</v>
      </c>
      <c r="H917" s="46">
        <v>24</v>
      </c>
      <c r="I917" s="46">
        <v>1047.82</v>
      </c>
      <c r="J917" s="36">
        <v>1000</v>
      </c>
    </row>
    <row r="918" spans="1:10" ht="15.75" thickBot="1" x14ac:dyDescent="0.3">
      <c r="A918" s="31" t="s">
        <v>245</v>
      </c>
      <c r="B918" s="43" t="s">
        <v>66</v>
      </c>
      <c r="C918" s="263" t="s">
        <v>152</v>
      </c>
      <c r="D918" s="46">
        <v>96.53</v>
      </c>
      <c r="E918" s="65" t="s">
        <v>79</v>
      </c>
      <c r="F918" s="52">
        <v>6.74</v>
      </c>
      <c r="G918" s="52">
        <v>42.46</v>
      </c>
      <c r="H918" s="52">
        <v>24</v>
      </c>
      <c r="I918" s="52">
        <v>1019.09</v>
      </c>
      <c r="J918" s="74">
        <v>1300</v>
      </c>
    </row>
    <row r="919" spans="1:10" ht="19.5" thickBot="1" x14ac:dyDescent="0.3">
      <c r="A919" s="206"/>
      <c r="B919" s="221"/>
      <c r="C919" s="279"/>
      <c r="D919" s="233"/>
      <c r="E919" s="103"/>
      <c r="F919" s="221"/>
      <c r="G919" s="221"/>
      <c r="H919" s="250" t="s">
        <v>171</v>
      </c>
      <c r="I919" s="221">
        <v>6407.86</v>
      </c>
      <c r="J919" s="104">
        <f>SUM(J913:J918)</f>
        <v>6700</v>
      </c>
    </row>
    <row r="920" spans="1:10" x14ac:dyDescent="0.25">
      <c r="A920" s="31" t="s">
        <v>246</v>
      </c>
      <c r="B920" s="37" t="s">
        <v>68</v>
      </c>
      <c r="C920" s="261" t="s">
        <v>114</v>
      </c>
      <c r="D920" s="108">
        <v>47.81</v>
      </c>
      <c r="E920" s="288" t="s">
        <v>79</v>
      </c>
      <c r="F920" s="109">
        <v>6.68</v>
      </c>
      <c r="G920" s="36">
        <f t="shared" ref="G920:G925" si="150">F920*6.3</f>
        <v>42.083999999999996</v>
      </c>
      <c r="H920" s="37">
        <v>24</v>
      </c>
      <c r="I920" s="36">
        <f t="shared" ref="I920:I925" si="151">G920*H920</f>
        <v>1010.0159999999998</v>
      </c>
      <c r="J920" s="36">
        <v>900</v>
      </c>
    </row>
    <row r="921" spans="1:10" x14ac:dyDescent="0.25">
      <c r="A921" s="31" t="s">
        <v>246</v>
      </c>
      <c r="B921" s="37" t="s">
        <v>69</v>
      </c>
      <c r="C921" s="261" t="s">
        <v>86</v>
      </c>
      <c r="D921" s="108">
        <v>85.86</v>
      </c>
      <c r="E921" s="288" t="s">
        <v>79</v>
      </c>
      <c r="F921" s="110">
        <v>9.2100000000000009</v>
      </c>
      <c r="G921" s="36">
        <f t="shared" si="150"/>
        <v>58.023000000000003</v>
      </c>
      <c r="H921" s="37">
        <v>24</v>
      </c>
      <c r="I921" s="41">
        <f t="shared" si="151"/>
        <v>1392.5520000000001</v>
      </c>
      <c r="J921" s="36">
        <v>1400</v>
      </c>
    </row>
    <row r="922" spans="1:10" x14ac:dyDescent="0.25">
      <c r="A922" s="31" t="s">
        <v>246</v>
      </c>
      <c r="B922" s="50" t="s">
        <v>70</v>
      </c>
      <c r="C922" s="261" t="s">
        <v>75</v>
      </c>
      <c r="D922" s="108" t="s">
        <v>38</v>
      </c>
      <c r="E922" s="288" t="s">
        <v>79</v>
      </c>
      <c r="F922" s="36">
        <v>4.9000000000000004</v>
      </c>
      <c r="G922" s="36">
        <f t="shared" si="150"/>
        <v>30.87</v>
      </c>
      <c r="H922" s="37">
        <v>24</v>
      </c>
      <c r="I922" s="36">
        <f t="shared" si="151"/>
        <v>740.88</v>
      </c>
      <c r="J922" s="36">
        <v>500</v>
      </c>
    </row>
    <row r="923" spans="1:10" x14ac:dyDescent="0.25">
      <c r="A923" s="31" t="s">
        <v>246</v>
      </c>
      <c r="B923" s="75" t="s">
        <v>71</v>
      </c>
      <c r="C923" s="272" t="s">
        <v>156</v>
      </c>
      <c r="D923" s="108">
        <v>67.34</v>
      </c>
      <c r="E923" s="294" t="s">
        <v>79</v>
      </c>
      <c r="F923" s="74">
        <v>10.25</v>
      </c>
      <c r="G923" s="36">
        <f t="shared" si="150"/>
        <v>64.575000000000003</v>
      </c>
      <c r="H923" s="37">
        <v>24</v>
      </c>
      <c r="I923" s="44">
        <f t="shared" si="151"/>
        <v>1549.8000000000002</v>
      </c>
      <c r="J923" s="36">
        <v>1600</v>
      </c>
    </row>
    <row r="924" spans="1:10" x14ac:dyDescent="0.25">
      <c r="A924" s="31" t="s">
        <v>246</v>
      </c>
      <c r="B924" s="37" t="s">
        <v>65</v>
      </c>
      <c r="C924" s="261" t="s">
        <v>158</v>
      </c>
      <c r="D924" s="46">
        <v>36.65</v>
      </c>
      <c r="E924" s="288" t="s">
        <v>79</v>
      </c>
      <c r="F924" s="74">
        <v>7.09</v>
      </c>
      <c r="G924" s="36">
        <f t="shared" si="150"/>
        <v>44.666999999999994</v>
      </c>
      <c r="H924" s="35">
        <v>24</v>
      </c>
      <c r="I924" s="44">
        <f t="shared" si="151"/>
        <v>1072.0079999999998</v>
      </c>
      <c r="J924" s="36">
        <v>1000</v>
      </c>
    </row>
    <row r="925" spans="1:10" ht="15.75" thickBot="1" x14ac:dyDescent="0.3">
      <c r="A925" s="31" t="s">
        <v>246</v>
      </c>
      <c r="B925" s="43" t="s">
        <v>66</v>
      </c>
      <c r="C925" s="263" t="s">
        <v>152</v>
      </c>
      <c r="D925" s="34">
        <v>96.03</v>
      </c>
      <c r="E925" s="294" t="s">
        <v>79</v>
      </c>
      <c r="F925" s="73">
        <v>7.01</v>
      </c>
      <c r="G925" s="74">
        <f t="shared" si="150"/>
        <v>44.162999999999997</v>
      </c>
      <c r="H925" s="91">
        <v>24</v>
      </c>
      <c r="I925" s="96">
        <f t="shared" si="151"/>
        <v>1059.9119999999998</v>
      </c>
      <c r="J925" s="74">
        <v>1300</v>
      </c>
    </row>
    <row r="926" spans="1:10" ht="18.75" x14ac:dyDescent="0.3">
      <c r="A926" s="251"/>
      <c r="B926" s="178"/>
      <c r="C926" s="252"/>
      <c r="D926" s="217"/>
      <c r="E926" s="317"/>
      <c r="F926" s="248"/>
      <c r="G926" s="248"/>
      <c r="H926" s="178" t="s">
        <v>171</v>
      </c>
      <c r="I926" s="179">
        <f>SUM(I920:I925)</f>
        <v>6825.1679999999997</v>
      </c>
      <c r="J926" s="180">
        <f>SUM(J920:J925)</f>
        <v>6700</v>
      </c>
    </row>
    <row r="927" spans="1:10" x14ac:dyDescent="0.25">
      <c r="A927" s="46" t="s">
        <v>247</v>
      </c>
      <c r="B927" s="37" t="s">
        <v>68</v>
      </c>
      <c r="C927" s="261" t="s">
        <v>114</v>
      </c>
      <c r="D927" s="108">
        <v>42.79</v>
      </c>
      <c r="E927" s="288" t="s">
        <v>79</v>
      </c>
      <c r="F927" s="109">
        <v>5.71</v>
      </c>
      <c r="G927" s="36">
        <f t="shared" ref="G927:G932" si="152">F927*6.3</f>
        <v>35.972999999999999</v>
      </c>
      <c r="H927" s="37">
        <v>24</v>
      </c>
      <c r="I927" s="36">
        <f t="shared" ref="I927:I932" si="153">G927*H927</f>
        <v>863.35199999999998</v>
      </c>
      <c r="J927" s="36">
        <v>900</v>
      </c>
    </row>
    <row r="928" spans="1:10" x14ac:dyDescent="0.25">
      <c r="A928" s="46" t="s">
        <v>247</v>
      </c>
      <c r="B928" s="37" t="s">
        <v>69</v>
      </c>
      <c r="C928" s="261" t="s">
        <v>86</v>
      </c>
      <c r="D928" s="108">
        <v>84.33</v>
      </c>
      <c r="E928" s="288" t="s">
        <v>79</v>
      </c>
      <c r="F928" s="36">
        <v>8.7899999999999991</v>
      </c>
      <c r="G928" s="36">
        <f t="shared" si="152"/>
        <v>55.376999999999995</v>
      </c>
      <c r="H928" s="37">
        <v>24</v>
      </c>
      <c r="I928" s="36">
        <f t="shared" si="153"/>
        <v>1329.0479999999998</v>
      </c>
      <c r="J928" s="36">
        <v>1400</v>
      </c>
    </row>
    <row r="929" spans="1:10" x14ac:dyDescent="0.25">
      <c r="A929" s="46" t="s">
        <v>247</v>
      </c>
      <c r="B929" s="34" t="s">
        <v>70</v>
      </c>
      <c r="C929" s="261" t="s">
        <v>75</v>
      </c>
      <c r="D929" s="108" t="s">
        <v>38</v>
      </c>
      <c r="E929" s="288" t="s">
        <v>79</v>
      </c>
      <c r="F929" s="36">
        <v>4.76</v>
      </c>
      <c r="G929" s="36">
        <f t="shared" si="152"/>
        <v>29.988</v>
      </c>
      <c r="H929" s="37">
        <v>24</v>
      </c>
      <c r="I929" s="36">
        <f t="shared" si="153"/>
        <v>719.71199999999999</v>
      </c>
      <c r="J929" s="36">
        <v>500</v>
      </c>
    </row>
    <row r="930" spans="1:10" x14ac:dyDescent="0.25">
      <c r="A930" s="46" t="s">
        <v>247</v>
      </c>
      <c r="B930" s="34" t="s">
        <v>71</v>
      </c>
      <c r="C930" s="273" t="s">
        <v>156</v>
      </c>
      <c r="D930" s="108">
        <v>67.91</v>
      </c>
      <c r="E930" s="288" t="s">
        <v>79</v>
      </c>
      <c r="F930" s="36">
        <v>10.54</v>
      </c>
      <c r="G930" s="36">
        <f t="shared" si="152"/>
        <v>66.401999999999987</v>
      </c>
      <c r="H930" s="37">
        <v>24</v>
      </c>
      <c r="I930" s="139">
        <f t="shared" si="153"/>
        <v>1593.6479999999997</v>
      </c>
      <c r="J930" s="36">
        <v>1600</v>
      </c>
    </row>
    <row r="931" spans="1:10" x14ac:dyDescent="0.25">
      <c r="A931" s="46" t="s">
        <v>247</v>
      </c>
      <c r="B931" s="37" t="s">
        <v>65</v>
      </c>
      <c r="C931" s="261" t="s">
        <v>158</v>
      </c>
      <c r="D931" s="46">
        <v>36.53</v>
      </c>
      <c r="E931" s="288" t="s">
        <v>79</v>
      </c>
      <c r="F931" s="36">
        <v>7.07</v>
      </c>
      <c r="G931" s="36">
        <f t="shared" si="152"/>
        <v>44.541000000000004</v>
      </c>
      <c r="H931" s="35">
        <v>24</v>
      </c>
      <c r="I931" s="139">
        <f t="shared" si="153"/>
        <v>1068.9840000000002</v>
      </c>
      <c r="J931" s="36">
        <v>1000</v>
      </c>
    </row>
    <row r="932" spans="1:10" ht="15.75" thickBot="1" x14ac:dyDescent="0.3">
      <c r="A932" s="52" t="s">
        <v>247</v>
      </c>
      <c r="B932" s="43" t="s">
        <v>66</v>
      </c>
      <c r="C932" s="263" t="s">
        <v>152</v>
      </c>
      <c r="D932" s="34">
        <v>95.67</v>
      </c>
      <c r="E932" s="294" t="s">
        <v>79</v>
      </c>
      <c r="F932" s="43">
        <v>6.94</v>
      </c>
      <c r="G932" s="74">
        <f t="shared" si="152"/>
        <v>43.722000000000001</v>
      </c>
      <c r="H932" s="91">
        <v>24</v>
      </c>
      <c r="I932" s="249">
        <f t="shared" si="153"/>
        <v>1049.328</v>
      </c>
      <c r="J932" s="74">
        <v>1300</v>
      </c>
    </row>
    <row r="933" spans="1:10" ht="19.5" thickBot="1" x14ac:dyDescent="0.35">
      <c r="A933" s="220"/>
      <c r="B933" s="221"/>
      <c r="C933" s="282"/>
      <c r="D933" s="217"/>
      <c r="E933" s="310"/>
      <c r="F933" s="208"/>
      <c r="G933" s="208"/>
      <c r="H933" s="174" t="s">
        <v>171</v>
      </c>
      <c r="I933" s="101">
        <f>SUM(I927:I932)</f>
        <v>6624.0720000000001</v>
      </c>
      <c r="J933" s="104">
        <f>SUM(J927:J932)</f>
        <v>6700</v>
      </c>
    </row>
    <row r="934" spans="1:10" x14ac:dyDescent="0.25">
      <c r="A934" s="31" t="s">
        <v>248</v>
      </c>
      <c r="B934" s="37" t="s">
        <v>68</v>
      </c>
      <c r="C934" s="261" t="s">
        <v>114</v>
      </c>
      <c r="D934" s="108">
        <v>40.28</v>
      </c>
      <c r="E934" s="288" t="s">
        <v>79</v>
      </c>
      <c r="F934" s="109">
        <v>5.57</v>
      </c>
      <c r="G934" s="36">
        <f t="shared" ref="G934:G939" si="154">F934*6.3</f>
        <v>35.091000000000001</v>
      </c>
      <c r="H934" s="37">
        <v>24</v>
      </c>
      <c r="I934" s="36">
        <f t="shared" ref="I934:I939" si="155">G934*H934</f>
        <v>842.18399999999997</v>
      </c>
      <c r="J934" s="36">
        <v>900</v>
      </c>
    </row>
    <row r="935" spans="1:10" x14ac:dyDescent="0.25">
      <c r="A935" s="31" t="s">
        <v>248</v>
      </c>
      <c r="B935" s="37" t="s">
        <v>69</v>
      </c>
      <c r="C935" s="261" t="s">
        <v>86</v>
      </c>
      <c r="D935" s="108">
        <v>82.81</v>
      </c>
      <c r="E935" s="288" t="s">
        <v>79</v>
      </c>
      <c r="F935" s="110">
        <v>8.6199999999999992</v>
      </c>
      <c r="G935" s="36">
        <f t="shared" si="154"/>
        <v>54.30599999999999</v>
      </c>
      <c r="H935" s="37">
        <v>24</v>
      </c>
      <c r="I935" s="41">
        <f t="shared" si="155"/>
        <v>1303.3439999999998</v>
      </c>
      <c r="J935" s="36">
        <v>1400</v>
      </c>
    </row>
    <row r="936" spans="1:10" x14ac:dyDescent="0.25">
      <c r="A936" s="31" t="s">
        <v>248</v>
      </c>
      <c r="B936" s="34" t="s">
        <v>70</v>
      </c>
      <c r="C936" s="261" t="s">
        <v>75</v>
      </c>
      <c r="D936" s="108" t="s">
        <v>38</v>
      </c>
      <c r="E936" s="288" t="s">
        <v>79</v>
      </c>
      <c r="F936" s="36">
        <v>4.18</v>
      </c>
      <c r="G936" s="36">
        <f t="shared" si="154"/>
        <v>26.333999999999996</v>
      </c>
      <c r="H936" s="37">
        <v>24</v>
      </c>
      <c r="I936" s="36">
        <f t="shared" si="155"/>
        <v>632.01599999999985</v>
      </c>
      <c r="J936" s="36">
        <v>500</v>
      </c>
    </row>
    <row r="937" spans="1:10" x14ac:dyDescent="0.25">
      <c r="A937" s="31" t="s">
        <v>248</v>
      </c>
      <c r="B937" s="34" t="s">
        <v>71</v>
      </c>
      <c r="C937" s="272" t="s">
        <v>156</v>
      </c>
      <c r="D937" s="108">
        <v>67.34</v>
      </c>
      <c r="E937" s="294" t="s">
        <v>79</v>
      </c>
      <c r="F937" s="74">
        <v>10.3</v>
      </c>
      <c r="G937" s="36">
        <f t="shared" si="154"/>
        <v>64.89</v>
      </c>
      <c r="H937" s="37">
        <v>24</v>
      </c>
      <c r="I937" s="44">
        <f t="shared" si="155"/>
        <v>1557.3600000000001</v>
      </c>
      <c r="J937" s="36">
        <v>1600</v>
      </c>
    </row>
    <row r="938" spans="1:10" x14ac:dyDescent="0.25">
      <c r="A938" s="31" t="s">
        <v>248</v>
      </c>
      <c r="B938" s="37" t="s">
        <v>65</v>
      </c>
      <c r="C938" s="261" t="s">
        <v>158</v>
      </c>
      <c r="D938" s="46">
        <v>35.67</v>
      </c>
      <c r="E938" s="288" t="s">
        <v>79</v>
      </c>
      <c r="F938" s="74">
        <v>7.02</v>
      </c>
      <c r="G938" s="36">
        <f t="shared" si="154"/>
        <v>44.225999999999999</v>
      </c>
      <c r="H938" s="35">
        <v>24</v>
      </c>
      <c r="I938" s="44">
        <f t="shared" si="155"/>
        <v>1061.424</v>
      </c>
      <c r="J938" s="36">
        <v>1000</v>
      </c>
    </row>
    <row r="939" spans="1:10" x14ac:dyDescent="0.25">
      <c r="A939" s="31" t="s">
        <v>248</v>
      </c>
      <c r="B939" s="43" t="s">
        <v>66</v>
      </c>
      <c r="C939" s="263" t="s">
        <v>152</v>
      </c>
      <c r="D939" s="34">
        <v>93.16</v>
      </c>
      <c r="E939" s="294" t="s">
        <v>79</v>
      </c>
      <c r="F939" s="73">
        <v>6.91</v>
      </c>
      <c r="G939" s="74">
        <f t="shared" si="154"/>
        <v>43.533000000000001</v>
      </c>
      <c r="H939" s="91">
        <v>24</v>
      </c>
      <c r="I939" s="96">
        <f t="shared" si="155"/>
        <v>1044.7919999999999</v>
      </c>
      <c r="J939" s="74">
        <v>1300</v>
      </c>
    </row>
    <row r="940" spans="1:10" ht="18.75" x14ac:dyDescent="0.3">
      <c r="A940" s="233"/>
      <c r="B940" s="233"/>
      <c r="C940" s="285"/>
      <c r="D940" s="217"/>
      <c r="E940" s="311"/>
      <c r="F940" s="217"/>
      <c r="G940" s="217"/>
      <c r="H940" s="99" t="s">
        <v>171</v>
      </c>
      <c r="I940" s="33">
        <f>SUM(I934:I939)</f>
        <v>6441.1200000000008</v>
      </c>
      <c r="J940" s="33">
        <f>SUM(J934:J939)</f>
        <v>6700</v>
      </c>
    </row>
    <row r="941" spans="1:10" x14ac:dyDescent="0.25">
      <c r="A941" s="31" t="s">
        <v>249</v>
      </c>
      <c r="B941" s="37" t="s">
        <v>68</v>
      </c>
      <c r="C941" s="31" t="s">
        <v>114</v>
      </c>
      <c r="D941" s="46">
        <v>37.28</v>
      </c>
      <c r="E941" s="31" t="s">
        <v>79</v>
      </c>
      <c r="F941" s="31">
        <v>5.08</v>
      </c>
      <c r="G941" s="31">
        <v>32</v>
      </c>
      <c r="H941" s="31">
        <v>24</v>
      </c>
      <c r="I941" s="31">
        <v>768.1</v>
      </c>
      <c r="J941" s="31">
        <v>900</v>
      </c>
    </row>
    <row r="942" spans="1:10" x14ac:dyDescent="0.25">
      <c r="A942" s="31" t="s">
        <v>249</v>
      </c>
      <c r="B942" s="37" t="s">
        <v>69</v>
      </c>
      <c r="C942" s="31" t="s">
        <v>86</v>
      </c>
      <c r="D942" s="46">
        <v>80.36</v>
      </c>
      <c r="E942" s="31" t="s">
        <v>79</v>
      </c>
      <c r="F942" s="31">
        <v>8.2899999999999991</v>
      </c>
      <c r="G942" s="31">
        <v>52.23</v>
      </c>
      <c r="H942" s="31">
        <v>24</v>
      </c>
      <c r="I942" s="31">
        <v>1253.45</v>
      </c>
      <c r="J942" s="31">
        <v>1400</v>
      </c>
    </row>
    <row r="943" spans="1:10" x14ac:dyDescent="0.25">
      <c r="A943" s="31" t="s">
        <v>249</v>
      </c>
      <c r="B943" s="34" t="s">
        <v>70</v>
      </c>
      <c r="C943" s="31" t="s">
        <v>75</v>
      </c>
      <c r="D943" s="46" t="s">
        <v>38</v>
      </c>
      <c r="E943" s="31" t="s">
        <v>79</v>
      </c>
      <c r="F943" s="31">
        <v>3.28</v>
      </c>
      <c r="G943" s="31">
        <v>20.66</v>
      </c>
      <c r="H943" s="31">
        <v>24</v>
      </c>
      <c r="I943" s="31">
        <v>495.94</v>
      </c>
      <c r="J943" s="31">
        <v>500</v>
      </c>
    </row>
    <row r="944" spans="1:10" x14ac:dyDescent="0.25">
      <c r="A944" s="31" t="s">
        <v>249</v>
      </c>
      <c r="B944" s="34" t="s">
        <v>71</v>
      </c>
      <c r="C944" s="31" t="s">
        <v>156</v>
      </c>
      <c r="D944" s="46">
        <v>66.459999999999994</v>
      </c>
      <c r="E944" s="31" t="s">
        <v>79</v>
      </c>
      <c r="F944" s="31">
        <v>9.9</v>
      </c>
      <c r="G944" s="31">
        <v>62.37</v>
      </c>
      <c r="H944" s="31">
        <v>24</v>
      </c>
      <c r="I944" s="31">
        <v>1496.88</v>
      </c>
      <c r="J944" s="31">
        <v>1600</v>
      </c>
    </row>
    <row r="945" spans="1:10" x14ac:dyDescent="0.25">
      <c r="A945" s="31" t="s">
        <v>249</v>
      </c>
      <c r="B945" s="37" t="s">
        <v>65</v>
      </c>
      <c r="C945" s="31" t="s">
        <v>158</v>
      </c>
      <c r="D945" s="46">
        <v>35.049999999999997</v>
      </c>
      <c r="E945" s="31" t="s">
        <v>79</v>
      </c>
      <c r="F945" s="31">
        <v>6.85</v>
      </c>
      <c r="G945" s="31">
        <v>43.16</v>
      </c>
      <c r="H945" s="31">
        <v>24</v>
      </c>
      <c r="I945" s="31">
        <v>1035.72</v>
      </c>
      <c r="J945" s="31">
        <v>1000</v>
      </c>
    </row>
    <row r="946" spans="1:10" ht="15.75" thickBot="1" x14ac:dyDescent="0.3">
      <c r="A946" s="31" t="s">
        <v>249</v>
      </c>
      <c r="B946" s="43" t="s">
        <v>66</v>
      </c>
      <c r="C946" s="31" t="s">
        <v>152</v>
      </c>
      <c r="D946" s="46">
        <v>91.52</v>
      </c>
      <c r="E946" s="31" t="s">
        <v>79</v>
      </c>
      <c r="F946" s="31">
        <v>6.57</v>
      </c>
      <c r="G946" s="31">
        <v>41.39</v>
      </c>
      <c r="H946" s="31">
        <v>24</v>
      </c>
      <c r="I946" s="31">
        <v>993.38</v>
      </c>
      <c r="J946" s="31">
        <v>1300</v>
      </c>
    </row>
    <row r="947" spans="1:10" ht="19.5" thickBot="1" x14ac:dyDescent="0.35">
      <c r="A947" s="253"/>
      <c r="B947" s="254"/>
      <c r="C947" s="286"/>
      <c r="D947" s="228"/>
      <c r="E947" s="318"/>
      <c r="F947" s="254"/>
      <c r="G947" s="254"/>
      <c r="H947" s="255" t="s">
        <v>171</v>
      </c>
      <c r="I947" s="256">
        <v>6043.46</v>
      </c>
      <c r="J947" s="257">
        <v>6700</v>
      </c>
    </row>
    <row r="948" spans="1:10" x14ac:dyDescent="0.25">
      <c r="A948" s="49" t="s">
        <v>250</v>
      </c>
      <c r="B948" s="49" t="s">
        <v>68</v>
      </c>
      <c r="C948" s="270" t="s">
        <v>114</v>
      </c>
      <c r="D948" s="46">
        <v>37.53</v>
      </c>
      <c r="E948" s="299" t="s">
        <v>79</v>
      </c>
      <c r="F948" s="49">
        <v>5.53</v>
      </c>
      <c r="G948" s="49">
        <v>34.840000000000003</v>
      </c>
      <c r="H948" s="49">
        <v>24</v>
      </c>
      <c r="I948" s="49">
        <v>836.14</v>
      </c>
      <c r="J948" s="49">
        <v>900</v>
      </c>
    </row>
    <row r="949" spans="1:10" x14ac:dyDescent="0.25">
      <c r="A949" s="46" t="s">
        <v>250</v>
      </c>
      <c r="B949" s="46" t="s">
        <v>69</v>
      </c>
      <c r="C949" s="106" t="s">
        <v>86</v>
      </c>
      <c r="D949" s="46">
        <v>80.599999999999994</v>
      </c>
      <c r="E949" s="290" t="s">
        <v>79</v>
      </c>
      <c r="F949" s="46">
        <v>8.68</v>
      </c>
      <c r="G949" s="46">
        <v>54.68</v>
      </c>
      <c r="H949" s="46">
        <v>24</v>
      </c>
      <c r="I949" s="46">
        <v>1312.42</v>
      </c>
      <c r="J949" s="46">
        <v>1400</v>
      </c>
    </row>
    <row r="950" spans="1:10" x14ac:dyDescent="0.25">
      <c r="A950" s="46" t="s">
        <v>250</v>
      </c>
      <c r="B950" s="46" t="s">
        <v>70</v>
      </c>
      <c r="C950" s="106" t="s">
        <v>75</v>
      </c>
      <c r="D950" s="46" t="s">
        <v>38</v>
      </c>
      <c r="E950" s="290" t="s">
        <v>79</v>
      </c>
      <c r="F950" s="46">
        <v>3.54</v>
      </c>
      <c r="G950" s="46">
        <v>22.3</v>
      </c>
      <c r="H950" s="46">
        <v>24</v>
      </c>
      <c r="I950" s="46">
        <v>535.25</v>
      </c>
      <c r="J950" s="46">
        <v>500</v>
      </c>
    </row>
    <row r="951" spans="1:10" x14ac:dyDescent="0.25">
      <c r="A951" s="46" t="s">
        <v>250</v>
      </c>
      <c r="B951" s="46" t="s">
        <v>71</v>
      </c>
      <c r="C951" s="106" t="s">
        <v>156</v>
      </c>
      <c r="D951" s="46">
        <v>67.150000000000006</v>
      </c>
      <c r="E951" s="290" t="s">
        <v>79</v>
      </c>
      <c r="F951" s="46">
        <v>10.029999999999999</v>
      </c>
      <c r="G951" s="46">
        <v>63.19</v>
      </c>
      <c r="H951" s="46">
        <v>24</v>
      </c>
      <c r="I951" s="46">
        <v>1516.54</v>
      </c>
      <c r="J951" s="46">
        <v>1600</v>
      </c>
    </row>
    <row r="952" spans="1:10" x14ac:dyDescent="0.25">
      <c r="A952" s="46" t="s">
        <v>250</v>
      </c>
      <c r="B952" s="46" t="s">
        <v>65</v>
      </c>
      <c r="C952" s="106" t="s">
        <v>158</v>
      </c>
      <c r="D952" s="46">
        <v>35.36</v>
      </c>
      <c r="E952" s="290" t="s">
        <v>79</v>
      </c>
      <c r="F952" s="46">
        <v>6.92</v>
      </c>
      <c r="G952" s="46">
        <v>43.6</v>
      </c>
      <c r="H952" s="46">
        <v>24</v>
      </c>
      <c r="I952" s="46">
        <v>1046.3</v>
      </c>
      <c r="J952" s="46">
        <v>1000</v>
      </c>
    </row>
    <row r="953" spans="1:10" ht="15.75" thickBot="1" x14ac:dyDescent="0.3">
      <c r="A953" s="52" t="s">
        <v>250</v>
      </c>
      <c r="B953" s="52" t="s">
        <v>66</v>
      </c>
      <c r="C953" s="263" t="s">
        <v>152</v>
      </c>
      <c r="D953" s="46">
        <v>91.75</v>
      </c>
      <c r="E953" s="65" t="s">
        <v>79</v>
      </c>
      <c r="F953" s="52">
        <v>6.6</v>
      </c>
      <c r="G953" s="52">
        <v>41.58</v>
      </c>
      <c r="H953" s="52">
        <v>24</v>
      </c>
      <c r="I953" s="52">
        <v>997.92</v>
      </c>
      <c r="J953" s="52">
        <v>1300</v>
      </c>
    </row>
    <row r="954" spans="1:10" ht="19.5" thickBot="1" x14ac:dyDescent="0.35">
      <c r="A954" s="220"/>
      <c r="B954" s="221"/>
      <c r="C954" s="279"/>
      <c r="D954" s="233"/>
      <c r="E954" s="103"/>
      <c r="F954" s="221"/>
      <c r="G954" s="221"/>
      <c r="H954" s="259" t="s">
        <v>171</v>
      </c>
      <c r="I954" s="221">
        <v>6244.56</v>
      </c>
      <c r="J954" s="258">
        <v>6700</v>
      </c>
    </row>
    <row r="955" spans="1:10" x14ac:dyDescent="0.25">
      <c r="A955" s="31" t="s">
        <v>251</v>
      </c>
      <c r="B955" s="31" t="s">
        <v>68</v>
      </c>
      <c r="C955" s="261" t="s">
        <v>114</v>
      </c>
      <c r="D955" s="108">
        <v>37.08</v>
      </c>
      <c r="E955" s="288" t="s">
        <v>79</v>
      </c>
      <c r="F955" s="109">
        <v>5.61</v>
      </c>
      <c r="G955" s="36">
        <f t="shared" ref="G955:G960" si="156">F955*6.3</f>
        <v>35.343000000000004</v>
      </c>
      <c r="H955" s="37">
        <v>24</v>
      </c>
      <c r="I955" s="36">
        <f t="shared" ref="I955:I960" si="157">G955*H955</f>
        <v>848.23200000000008</v>
      </c>
      <c r="J955" s="36">
        <v>900</v>
      </c>
    </row>
    <row r="956" spans="1:10" x14ac:dyDescent="0.25">
      <c r="A956" s="31" t="s">
        <v>251</v>
      </c>
      <c r="B956" s="31" t="s">
        <v>69</v>
      </c>
      <c r="C956" s="261" t="s">
        <v>86</v>
      </c>
      <c r="D956" s="108">
        <v>80.05</v>
      </c>
      <c r="E956" s="288" t="s">
        <v>79</v>
      </c>
      <c r="F956" s="110">
        <v>8.75</v>
      </c>
      <c r="G956" s="36">
        <f t="shared" si="156"/>
        <v>55.125</v>
      </c>
      <c r="H956" s="37">
        <v>24</v>
      </c>
      <c r="I956" s="41">
        <f t="shared" si="157"/>
        <v>1323</v>
      </c>
      <c r="J956" s="36">
        <v>1400</v>
      </c>
    </row>
    <row r="957" spans="1:10" x14ac:dyDescent="0.25">
      <c r="A957" s="31" t="s">
        <v>251</v>
      </c>
      <c r="B957" s="31" t="s">
        <v>70</v>
      </c>
      <c r="C957" s="261" t="s">
        <v>75</v>
      </c>
      <c r="D957" s="108" t="s">
        <v>38</v>
      </c>
      <c r="E957" s="288" t="s">
        <v>79</v>
      </c>
      <c r="F957" s="36">
        <v>3.92</v>
      </c>
      <c r="G957" s="36">
        <f t="shared" si="156"/>
        <v>24.695999999999998</v>
      </c>
      <c r="H957" s="37">
        <v>24</v>
      </c>
      <c r="I957" s="36">
        <f t="shared" si="157"/>
        <v>592.70399999999995</v>
      </c>
      <c r="J957" s="36">
        <v>500</v>
      </c>
    </row>
    <row r="958" spans="1:10" x14ac:dyDescent="0.25">
      <c r="A958" s="31" t="s">
        <v>251</v>
      </c>
      <c r="B958" s="31" t="s">
        <v>71</v>
      </c>
      <c r="C958" s="272" t="s">
        <v>156</v>
      </c>
      <c r="D958" s="108">
        <v>67.52</v>
      </c>
      <c r="E958" s="294" t="s">
        <v>79</v>
      </c>
      <c r="F958" s="74">
        <v>10.01</v>
      </c>
      <c r="G958" s="36">
        <f t="shared" si="156"/>
        <v>63.062999999999995</v>
      </c>
      <c r="H958" s="37">
        <v>24</v>
      </c>
      <c r="I958" s="44">
        <f t="shared" si="157"/>
        <v>1513.5119999999999</v>
      </c>
      <c r="J958" s="36">
        <v>1600</v>
      </c>
    </row>
    <row r="959" spans="1:10" x14ac:dyDescent="0.25">
      <c r="A959" s="31" t="s">
        <v>251</v>
      </c>
      <c r="B959" s="31" t="s">
        <v>65</v>
      </c>
      <c r="C959" s="261" t="s">
        <v>158</v>
      </c>
      <c r="D959" s="46">
        <v>36.03</v>
      </c>
      <c r="E959" s="288" t="s">
        <v>79</v>
      </c>
      <c r="F959" s="74">
        <v>6.92</v>
      </c>
      <c r="G959" s="36">
        <f t="shared" si="156"/>
        <v>43.595999999999997</v>
      </c>
      <c r="H959" s="35">
        <v>24</v>
      </c>
      <c r="I959" s="44">
        <f t="shared" si="157"/>
        <v>1046.3039999999999</v>
      </c>
      <c r="J959" s="36">
        <v>1000</v>
      </c>
    </row>
    <row r="960" spans="1:10" ht="15.75" thickBot="1" x14ac:dyDescent="0.3">
      <c r="A960" s="31" t="s">
        <v>251</v>
      </c>
      <c r="B960" s="31" t="s">
        <v>66</v>
      </c>
      <c r="C960" s="263" t="s">
        <v>152</v>
      </c>
      <c r="D960" s="34">
        <v>92.3</v>
      </c>
      <c r="E960" s="294" t="s">
        <v>79</v>
      </c>
      <c r="F960" s="73">
        <v>6.55</v>
      </c>
      <c r="G960" s="74">
        <f t="shared" si="156"/>
        <v>41.265000000000001</v>
      </c>
      <c r="H960" s="91">
        <v>24</v>
      </c>
      <c r="I960" s="96">
        <f t="shared" si="157"/>
        <v>990.36</v>
      </c>
      <c r="J960" s="74">
        <v>1300</v>
      </c>
    </row>
    <row r="961" spans="1:10" ht="19.5" thickBot="1" x14ac:dyDescent="0.35">
      <c r="A961" s="220"/>
      <c r="B961" s="221"/>
      <c r="C961" s="282"/>
      <c r="D961" s="217"/>
      <c r="E961" s="310"/>
      <c r="F961" s="208"/>
      <c r="G961" s="208"/>
      <c r="H961" s="174" t="s">
        <v>171</v>
      </c>
      <c r="I961" s="101">
        <f>SUM(I955:I960)</f>
        <v>6314.1119999999992</v>
      </c>
      <c r="J961" s="104">
        <f>SUM(J955:J960)</f>
        <v>6700</v>
      </c>
    </row>
    <row r="962" spans="1:10" x14ac:dyDescent="0.25">
      <c r="A962" s="31" t="s">
        <v>252</v>
      </c>
      <c r="B962" s="31" t="s">
        <v>68</v>
      </c>
      <c r="C962" s="261" t="s">
        <v>114</v>
      </c>
      <c r="D962" s="108">
        <v>37.08</v>
      </c>
      <c r="E962" s="288" t="s">
        <v>79</v>
      </c>
      <c r="F962" s="109">
        <v>5.39</v>
      </c>
      <c r="G962" s="36">
        <v>33.956999999999994</v>
      </c>
      <c r="H962" s="37">
        <v>24</v>
      </c>
      <c r="I962" s="36">
        <v>814.96799999999985</v>
      </c>
      <c r="J962" s="36">
        <v>900</v>
      </c>
    </row>
    <row r="963" spans="1:10" x14ac:dyDescent="0.25">
      <c r="A963" s="31" t="s">
        <v>252</v>
      </c>
      <c r="B963" s="31" t="s">
        <v>69</v>
      </c>
      <c r="C963" s="261" t="s">
        <v>86</v>
      </c>
      <c r="D963" s="108">
        <v>80.05</v>
      </c>
      <c r="E963" s="288" t="s">
        <v>79</v>
      </c>
      <c r="F963" s="110">
        <v>8.8000000000000007</v>
      </c>
      <c r="G963" s="36">
        <v>55.440000000000005</v>
      </c>
      <c r="H963" s="37">
        <v>24</v>
      </c>
      <c r="I963" s="41">
        <v>1330.5600000000002</v>
      </c>
      <c r="J963" s="36">
        <v>1400</v>
      </c>
    </row>
    <row r="964" spans="1:10" x14ac:dyDescent="0.25">
      <c r="A964" s="31" t="s">
        <v>252</v>
      </c>
      <c r="B964" s="31" t="s">
        <v>70</v>
      </c>
      <c r="C964" s="261" t="s">
        <v>75</v>
      </c>
      <c r="D964" s="108" t="s">
        <v>38</v>
      </c>
      <c r="E964" s="288" t="s">
        <v>79</v>
      </c>
      <c r="F964" s="36">
        <v>4.3600000000000003</v>
      </c>
      <c r="G964" s="36">
        <v>27.468</v>
      </c>
      <c r="H964" s="37">
        <v>24</v>
      </c>
      <c r="I964" s="36">
        <v>659.23199999999997</v>
      </c>
      <c r="J964" s="36">
        <v>500</v>
      </c>
    </row>
    <row r="965" spans="1:10" x14ac:dyDescent="0.25">
      <c r="A965" s="31" t="s">
        <v>252</v>
      </c>
      <c r="B965" s="31" t="s">
        <v>71</v>
      </c>
      <c r="C965" s="272" t="s">
        <v>156</v>
      </c>
      <c r="D965" s="108">
        <v>68.290000000000006</v>
      </c>
      <c r="E965" s="294" t="s">
        <v>79</v>
      </c>
      <c r="F965" s="74">
        <v>10.01</v>
      </c>
      <c r="G965" s="36">
        <v>63.062999999999995</v>
      </c>
      <c r="H965" s="37">
        <v>24</v>
      </c>
      <c r="I965" s="44">
        <v>1513.5119999999999</v>
      </c>
      <c r="J965" s="36">
        <v>1600</v>
      </c>
    </row>
    <row r="966" spans="1:10" x14ac:dyDescent="0.25">
      <c r="A966" s="31" t="s">
        <v>252</v>
      </c>
      <c r="B966" s="31" t="s">
        <v>65</v>
      </c>
      <c r="C966" s="261" t="s">
        <v>158</v>
      </c>
      <c r="D966" s="46">
        <v>36.03</v>
      </c>
      <c r="E966" s="288" t="s">
        <v>79</v>
      </c>
      <c r="F966" s="74">
        <v>6.93</v>
      </c>
      <c r="G966" s="36">
        <v>43.658999999999999</v>
      </c>
      <c r="H966" s="35">
        <v>24</v>
      </c>
      <c r="I966" s="44">
        <v>1047.816</v>
      </c>
      <c r="J966" s="36">
        <v>1000</v>
      </c>
    </row>
    <row r="967" spans="1:10" ht="15.75" thickBot="1" x14ac:dyDescent="0.3">
      <c r="A967" s="31" t="s">
        <v>252</v>
      </c>
      <c r="B967" s="31" t="s">
        <v>66</v>
      </c>
      <c r="C967" s="263" t="s">
        <v>152</v>
      </c>
      <c r="D967" s="34">
        <v>92.3</v>
      </c>
      <c r="E967" s="294" t="s">
        <v>79</v>
      </c>
      <c r="F967" s="73">
        <v>6.54</v>
      </c>
      <c r="G967" s="74">
        <v>41.201999999999998</v>
      </c>
      <c r="H967" s="91">
        <v>24</v>
      </c>
      <c r="I967" s="96">
        <v>988.84799999999996</v>
      </c>
      <c r="J967" s="74">
        <v>1300</v>
      </c>
    </row>
    <row r="968" spans="1:10" ht="19.5" thickBot="1" x14ac:dyDescent="0.35">
      <c r="A968" s="220"/>
      <c r="B968" s="221"/>
      <c r="C968" s="282"/>
      <c r="D968" s="217"/>
      <c r="E968" s="310"/>
      <c r="F968" s="208"/>
      <c r="G968" s="208"/>
      <c r="H968" s="174" t="s">
        <v>171</v>
      </c>
      <c r="I968" s="101">
        <v>6354.9359999999997</v>
      </c>
      <c r="J968" s="104">
        <v>6700</v>
      </c>
    </row>
    <row r="969" spans="1:10" x14ac:dyDescent="0.25">
      <c r="A969" s="31" t="s">
        <v>253</v>
      </c>
      <c r="B969" s="31" t="s">
        <v>68</v>
      </c>
      <c r="C969" s="261" t="s">
        <v>114</v>
      </c>
      <c r="D969" s="108">
        <v>28.9</v>
      </c>
      <c r="E969" s="288" t="s">
        <v>79</v>
      </c>
      <c r="F969" s="109">
        <v>3.66</v>
      </c>
      <c r="G969" s="36">
        <f t="shared" ref="G969:G974" si="158">F969*6.3</f>
        <v>23.058</v>
      </c>
      <c r="H969" s="37">
        <v>20.75</v>
      </c>
      <c r="I969" s="36">
        <f t="shared" ref="I969:I974" si="159">G969*H969</f>
        <v>478.45350000000002</v>
      </c>
      <c r="J969" s="36">
        <v>900</v>
      </c>
    </row>
    <row r="970" spans="1:10" x14ac:dyDescent="0.25">
      <c r="A970" s="31" t="s">
        <v>253</v>
      </c>
      <c r="B970" s="31" t="s">
        <v>69</v>
      </c>
      <c r="C970" s="261" t="s">
        <v>86</v>
      </c>
      <c r="D970" s="108">
        <v>77.36</v>
      </c>
      <c r="E970" s="288" t="s">
        <v>79</v>
      </c>
      <c r="F970" s="110">
        <v>7.64</v>
      </c>
      <c r="G970" s="36">
        <f t="shared" si="158"/>
        <v>48.131999999999998</v>
      </c>
      <c r="H970" s="37">
        <v>20.75</v>
      </c>
      <c r="I970" s="41">
        <f t="shared" si="159"/>
        <v>998.73899999999992</v>
      </c>
      <c r="J970" s="36">
        <v>1400</v>
      </c>
    </row>
    <row r="971" spans="1:10" x14ac:dyDescent="0.25">
      <c r="A971" s="31" t="s">
        <v>253</v>
      </c>
      <c r="B971" s="31" t="s">
        <v>70</v>
      </c>
      <c r="C971" s="261" t="s">
        <v>75</v>
      </c>
      <c r="D971" s="108" t="s">
        <v>38</v>
      </c>
      <c r="E971" s="288" t="s">
        <v>79</v>
      </c>
      <c r="F971" s="36">
        <v>3.9</v>
      </c>
      <c r="G971" s="36">
        <f t="shared" si="158"/>
        <v>24.57</v>
      </c>
      <c r="H971" s="37">
        <v>20.75</v>
      </c>
      <c r="I971" s="36">
        <f t="shared" si="159"/>
        <v>509.82749999999999</v>
      </c>
      <c r="J971" s="36">
        <v>500</v>
      </c>
    </row>
    <row r="972" spans="1:10" x14ac:dyDescent="0.25">
      <c r="A972" s="31" t="s">
        <v>253</v>
      </c>
      <c r="B972" s="31" t="s">
        <v>71</v>
      </c>
      <c r="C972" s="272" t="s">
        <v>156</v>
      </c>
      <c r="D972" s="108">
        <v>66.38</v>
      </c>
      <c r="E972" s="294" t="s">
        <v>79</v>
      </c>
      <c r="F972" s="74">
        <v>9.0500000000000007</v>
      </c>
      <c r="G972" s="36">
        <f t="shared" si="158"/>
        <v>57.015000000000001</v>
      </c>
      <c r="H972" s="37">
        <v>20.75</v>
      </c>
      <c r="I972" s="44">
        <f t="shared" si="159"/>
        <v>1183.06125</v>
      </c>
      <c r="J972" s="36">
        <v>1600</v>
      </c>
    </row>
    <row r="973" spans="1:10" x14ac:dyDescent="0.25">
      <c r="A973" s="31" t="s">
        <v>253</v>
      </c>
      <c r="B973" s="31" t="s">
        <v>65</v>
      </c>
      <c r="C973" s="261" t="s">
        <v>158</v>
      </c>
      <c r="D973" s="46">
        <v>37.122999999999998</v>
      </c>
      <c r="E973" s="288" t="s">
        <v>79</v>
      </c>
      <c r="F973" s="74">
        <v>6.04</v>
      </c>
      <c r="G973" s="36">
        <f t="shared" si="158"/>
        <v>38.052</v>
      </c>
      <c r="H973" s="35">
        <v>20.75</v>
      </c>
      <c r="I973" s="44">
        <f t="shared" si="159"/>
        <v>789.57899999999995</v>
      </c>
      <c r="J973" s="36">
        <v>1000</v>
      </c>
    </row>
    <row r="974" spans="1:10" ht="15.75" thickBot="1" x14ac:dyDescent="0.3">
      <c r="A974" s="31" t="s">
        <v>253</v>
      </c>
      <c r="B974" s="31" t="s">
        <v>66</v>
      </c>
      <c r="C974" s="263" t="s">
        <v>152</v>
      </c>
      <c r="D974" s="34">
        <v>93.22</v>
      </c>
      <c r="E974" s="294" t="s">
        <v>79</v>
      </c>
      <c r="F974" s="73">
        <v>6.32</v>
      </c>
      <c r="G974" s="74">
        <f t="shared" si="158"/>
        <v>39.816000000000003</v>
      </c>
      <c r="H974" s="91">
        <v>20.75</v>
      </c>
      <c r="I974" s="96">
        <f t="shared" si="159"/>
        <v>826.18200000000002</v>
      </c>
      <c r="J974" s="74">
        <v>1300</v>
      </c>
    </row>
    <row r="975" spans="1:10" ht="19.5" thickBot="1" x14ac:dyDescent="0.35">
      <c r="A975" s="220"/>
      <c r="B975" s="221"/>
      <c r="C975" s="282"/>
      <c r="D975" s="217"/>
      <c r="E975" s="310"/>
      <c r="F975" s="208"/>
      <c r="G975" s="208"/>
      <c r="H975" s="174" t="s">
        <v>171</v>
      </c>
      <c r="I975" s="101">
        <f>SUM(I969:I974)</f>
        <v>4785.8422499999997</v>
      </c>
      <c r="J975" s="104">
        <f>SUM(J969:J974)</f>
        <v>6700</v>
      </c>
    </row>
    <row r="976" spans="1:10" x14ac:dyDescent="0.25">
      <c r="A976" s="31" t="s">
        <v>254</v>
      </c>
      <c r="B976" s="31" t="s">
        <v>68</v>
      </c>
      <c r="C976" s="261" t="s">
        <v>114</v>
      </c>
      <c r="D976" s="108">
        <v>31.1</v>
      </c>
      <c r="E976" s="288" t="s">
        <v>79</v>
      </c>
      <c r="F976" s="109">
        <v>4.37</v>
      </c>
      <c r="G976" s="36">
        <f t="shared" ref="G976:G981" si="160">F976*6.3</f>
        <v>27.530999999999999</v>
      </c>
      <c r="H976" s="37">
        <v>24</v>
      </c>
      <c r="I976" s="36">
        <f t="shared" ref="I976:I981" si="161">G976*H976</f>
        <v>660.74399999999991</v>
      </c>
      <c r="J976" s="36">
        <v>900</v>
      </c>
    </row>
    <row r="977" spans="1:10" x14ac:dyDescent="0.25">
      <c r="A977" s="31" t="s">
        <v>254</v>
      </c>
      <c r="B977" s="31" t="s">
        <v>69</v>
      </c>
      <c r="C977" s="261" t="s">
        <v>86</v>
      </c>
      <c r="D977" s="108">
        <v>73.38</v>
      </c>
      <c r="E977" s="288" t="s">
        <v>79</v>
      </c>
      <c r="F977" s="110">
        <v>7.67</v>
      </c>
      <c r="G977" s="36">
        <f t="shared" si="160"/>
        <v>48.320999999999998</v>
      </c>
      <c r="H977" s="37">
        <v>24</v>
      </c>
      <c r="I977" s="41">
        <f t="shared" si="161"/>
        <v>1159.704</v>
      </c>
      <c r="J977" s="36">
        <v>1400</v>
      </c>
    </row>
    <row r="978" spans="1:10" x14ac:dyDescent="0.25">
      <c r="A978" s="31" t="s">
        <v>254</v>
      </c>
      <c r="B978" s="31" t="s">
        <v>70</v>
      </c>
      <c r="C978" s="261" t="s">
        <v>75</v>
      </c>
      <c r="D978" s="108" t="s">
        <v>38</v>
      </c>
      <c r="E978" s="288" t="s">
        <v>79</v>
      </c>
      <c r="F978" s="36">
        <v>3.15</v>
      </c>
      <c r="G978" s="36">
        <f t="shared" si="160"/>
        <v>19.844999999999999</v>
      </c>
      <c r="H978" s="37">
        <v>24</v>
      </c>
      <c r="I978" s="36">
        <f t="shared" si="161"/>
        <v>476.28</v>
      </c>
      <c r="J978" s="36">
        <v>500</v>
      </c>
    </row>
    <row r="979" spans="1:10" x14ac:dyDescent="0.25">
      <c r="A979" s="31" t="s">
        <v>254</v>
      </c>
      <c r="B979" s="31" t="s">
        <v>71</v>
      </c>
      <c r="C979" s="272" t="s">
        <v>156</v>
      </c>
      <c r="D979" s="108">
        <v>68.959999999999994</v>
      </c>
      <c r="E979" s="294" t="s">
        <v>79</v>
      </c>
      <c r="F979" s="74">
        <v>9.99</v>
      </c>
      <c r="G979" s="36">
        <f t="shared" si="160"/>
        <v>62.936999999999998</v>
      </c>
      <c r="H979" s="37">
        <v>24</v>
      </c>
      <c r="I979" s="44">
        <f t="shared" si="161"/>
        <v>1510.4879999999998</v>
      </c>
      <c r="J979" s="36">
        <v>1600</v>
      </c>
    </row>
    <row r="980" spans="1:10" x14ac:dyDescent="0.25">
      <c r="A980" s="31" t="s">
        <v>254</v>
      </c>
      <c r="B980" s="31" t="s">
        <v>65</v>
      </c>
      <c r="C980" s="261" t="s">
        <v>158</v>
      </c>
      <c r="D980" s="46">
        <v>37.619999999999997</v>
      </c>
      <c r="E980" s="288" t="s">
        <v>79</v>
      </c>
      <c r="F980" s="74">
        <v>6.7</v>
      </c>
      <c r="G980" s="36">
        <f t="shared" si="160"/>
        <v>42.21</v>
      </c>
      <c r="H980" s="35">
        <v>24</v>
      </c>
      <c r="I980" s="44">
        <f t="shared" si="161"/>
        <v>1013.04</v>
      </c>
      <c r="J980" s="36">
        <v>1000</v>
      </c>
    </row>
    <row r="981" spans="1:10" ht="15.75" thickBot="1" x14ac:dyDescent="0.3">
      <c r="A981" s="31" t="s">
        <v>254</v>
      </c>
      <c r="B981" s="31" t="s">
        <v>66</v>
      </c>
      <c r="C981" s="263" t="s">
        <v>152</v>
      </c>
      <c r="D981" s="34">
        <v>96.53</v>
      </c>
      <c r="E981" s="294" t="s">
        <v>79</v>
      </c>
      <c r="F981" s="73">
        <v>6.84</v>
      </c>
      <c r="G981" s="74">
        <f t="shared" si="160"/>
        <v>43.091999999999999</v>
      </c>
      <c r="H981" s="91">
        <v>24</v>
      </c>
      <c r="I981" s="96">
        <f t="shared" si="161"/>
        <v>1034.2080000000001</v>
      </c>
      <c r="J981" s="74">
        <v>1300</v>
      </c>
    </row>
    <row r="982" spans="1:10" ht="19.5" thickBot="1" x14ac:dyDescent="0.35">
      <c r="A982" s="220"/>
      <c r="B982" s="221"/>
      <c r="C982" s="282"/>
      <c r="D982" s="217"/>
      <c r="E982" s="310"/>
      <c r="F982" s="208"/>
      <c r="G982" s="208"/>
      <c r="H982" s="174" t="s">
        <v>171</v>
      </c>
      <c r="I982" s="101">
        <f>SUM(I976:I981)</f>
        <v>5854.4639999999999</v>
      </c>
      <c r="J982" s="104">
        <f>SUM(J976:J981)</f>
        <v>6700</v>
      </c>
    </row>
    <row r="983" spans="1:10" x14ac:dyDescent="0.25">
      <c r="A983" s="31" t="s">
        <v>255</v>
      </c>
      <c r="B983" s="31" t="s">
        <v>68</v>
      </c>
      <c r="C983" s="261" t="s">
        <v>114</v>
      </c>
      <c r="D983" s="108">
        <v>29.75</v>
      </c>
      <c r="E983" s="288" t="s">
        <v>79</v>
      </c>
      <c r="F983" s="109">
        <v>4.67</v>
      </c>
      <c r="G983" s="36">
        <f t="shared" ref="G983:G988" si="162">F983*6.3</f>
        <v>29.420999999999999</v>
      </c>
      <c r="H983" s="37">
        <v>24</v>
      </c>
      <c r="I983" s="36">
        <f t="shared" ref="I983:I988" si="163">G983*H983</f>
        <v>706.10400000000004</v>
      </c>
      <c r="J983" s="36">
        <v>900</v>
      </c>
    </row>
    <row r="984" spans="1:10" x14ac:dyDescent="0.25">
      <c r="A984" s="31" t="s">
        <v>255</v>
      </c>
      <c r="B984" s="31" t="s">
        <v>69</v>
      </c>
      <c r="C984" s="261" t="s">
        <v>86</v>
      </c>
      <c r="D984" s="108">
        <v>71.3</v>
      </c>
      <c r="E984" s="288" t="s">
        <v>79</v>
      </c>
      <c r="F984" s="110">
        <v>7.38</v>
      </c>
      <c r="G984" s="36">
        <f t="shared" si="162"/>
        <v>46.494</v>
      </c>
      <c r="H984" s="37">
        <v>24</v>
      </c>
      <c r="I984" s="41">
        <f t="shared" si="163"/>
        <v>1115.856</v>
      </c>
      <c r="J984" s="36">
        <v>1400</v>
      </c>
    </row>
    <row r="985" spans="1:10" x14ac:dyDescent="0.25">
      <c r="A985" s="31" t="s">
        <v>255</v>
      </c>
      <c r="B985" s="31" t="s">
        <v>70</v>
      </c>
      <c r="C985" s="261" t="s">
        <v>75</v>
      </c>
      <c r="D985" s="108" t="s">
        <v>38</v>
      </c>
      <c r="E985" s="288" t="s">
        <v>79</v>
      </c>
      <c r="F985" s="36">
        <v>3.49</v>
      </c>
      <c r="G985" s="36">
        <f t="shared" si="162"/>
        <v>21.987000000000002</v>
      </c>
      <c r="H985" s="37">
        <v>24</v>
      </c>
      <c r="I985" s="36">
        <f t="shared" si="163"/>
        <v>527.6880000000001</v>
      </c>
      <c r="J985" s="36">
        <v>500</v>
      </c>
    </row>
    <row r="986" spans="1:10" x14ac:dyDescent="0.25">
      <c r="A986" s="31" t="s">
        <v>255</v>
      </c>
      <c r="B986" s="31" t="s">
        <v>71</v>
      </c>
      <c r="C986" s="272" t="s">
        <v>156</v>
      </c>
      <c r="D986" s="108">
        <v>70.099999999999994</v>
      </c>
      <c r="E986" s="294" t="s">
        <v>79</v>
      </c>
      <c r="F986" s="74">
        <v>10.27</v>
      </c>
      <c r="G986" s="36">
        <f t="shared" si="162"/>
        <v>64.700999999999993</v>
      </c>
      <c r="H986" s="37">
        <v>24</v>
      </c>
      <c r="I986" s="44">
        <f t="shared" si="163"/>
        <v>1552.8239999999998</v>
      </c>
      <c r="J986" s="36">
        <v>1600</v>
      </c>
    </row>
    <row r="987" spans="1:10" x14ac:dyDescent="0.25">
      <c r="A987" s="31" t="s">
        <v>255</v>
      </c>
      <c r="B987" s="31" t="s">
        <v>65</v>
      </c>
      <c r="C987" s="261" t="s">
        <v>158</v>
      </c>
      <c r="D987" s="46">
        <v>37.49</v>
      </c>
      <c r="E987" s="288" t="s">
        <v>79</v>
      </c>
      <c r="F987" s="74">
        <v>7.21</v>
      </c>
      <c r="G987" s="36">
        <f t="shared" si="162"/>
        <v>45.423000000000002</v>
      </c>
      <c r="H987" s="35">
        <v>24</v>
      </c>
      <c r="I987" s="44">
        <f t="shared" si="163"/>
        <v>1090.152</v>
      </c>
      <c r="J987" s="36">
        <v>1000</v>
      </c>
    </row>
    <row r="988" spans="1:10" ht="15.75" thickBot="1" x14ac:dyDescent="0.3">
      <c r="A988" s="31" t="s">
        <v>255</v>
      </c>
      <c r="B988" s="31" t="s">
        <v>66</v>
      </c>
      <c r="C988" s="263" t="s">
        <v>152</v>
      </c>
      <c r="D988" s="34">
        <v>96.03</v>
      </c>
      <c r="E988" s="294" t="s">
        <v>79</v>
      </c>
      <c r="F988" s="73">
        <v>7.34</v>
      </c>
      <c r="G988" s="74">
        <f t="shared" si="162"/>
        <v>46.241999999999997</v>
      </c>
      <c r="H988" s="91">
        <v>24</v>
      </c>
      <c r="I988" s="96">
        <f t="shared" si="163"/>
        <v>1109.808</v>
      </c>
      <c r="J988" s="74">
        <v>1300</v>
      </c>
    </row>
    <row r="989" spans="1:10" ht="19.5" thickBot="1" x14ac:dyDescent="0.35">
      <c r="A989" s="220"/>
      <c r="B989" s="221"/>
      <c r="C989" s="282"/>
      <c r="D989" s="217"/>
      <c r="E989" s="310"/>
      <c r="F989" s="208"/>
      <c r="G989" s="208"/>
      <c r="H989" s="174" t="s">
        <v>171</v>
      </c>
      <c r="I989" s="101">
        <f>SUM(I983:I988)</f>
        <v>6102.4319999999998</v>
      </c>
      <c r="J989" s="104">
        <f>SUM(J983:J988)</f>
        <v>6700</v>
      </c>
    </row>
    <row r="990" spans="1:10" x14ac:dyDescent="0.25">
      <c r="A990" s="31" t="s">
        <v>256</v>
      </c>
      <c r="B990" s="37" t="s">
        <v>68</v>
      </c>
      <c r="C990" s="261" t="s">
        <v>114</v>
      </c>
      <c r="D990" s="108">
        <v>25.11</v>
      </c>
      <c r="E990" s="288" t="s">
        <v>79</v>
      </c>
      <c r="F990" s="109">
        <v>3.17</v>
      </c>
      <c r="G990" s="36">
        <f t="shared" ref="G990:G995" si="164">F990*6.3</f>
        <v>19.971</v>
      </c>
      <c r="H990" s="37">
        <v>18.75</v>
      </c>
      <c r="I990" s="36">
        <f t="shared" ref="I990:I995" si="165">G990*H990</f>
        <v>374.45625000000001</v>
      </c>
      <c r="J990" s="36">
        <v>900</v>
      </c>
    </row>
    <row r="991" spans="1:10" x14ac:dyDescent="0.25">
      <c r="A991" s="31" t="s">
        <v>256</v>
      </c>
      <c r="B991" s="37" t="s">
        <v>69</v>
      </c>
      <c r="C991" s="261" t="s">
        <v>86</v>
      </c>
      <c r="D991" s="108">
        <v>65.8</v>
      </c>
      <c r="E991" s="288" t="s">
        <v>79</v>
      </c>
      <c r="F991" s="110">
        <v>5.73</v>
      </c>
      <c r="G991" s="36">
        <f t="shared" si="164"/>
        <v>36.099000000000004</v>
      </c>
      <c r="H991" s="37">
        <v>18.75</v>
      </c>
      <c r="I991" s="41">
        <f t="shared" si="165"/>
        <v>676.85625000000005</v>
      </c>
      <c r="J991" s="36">
        <v>1400</v>
      </c>
    </row>
    <row r="992" spans="1:10" x14ac:dyDescent="0.25">
      <c r="A992" s="31" t="s">
        <v>256</v>
      </c>
      <c r="B992" s="50" t="s">
        <v>70</v>
      </c>
      <c r="C992" s="261" t="s">
        <v>75</v>
      </c>
      <c r="D992" s="108" t="s">
        <v>38</v>
      </c>
      <c r="E992" s="288" t="s">
        <v>79</v>
      </c>
      <c r="F992" s="36">
        <v>2.36</v>
      </c>
      <c r="G992" s="36">
        <f t="shared" si="164"/>
        <v>14.867999999999999</v>
      </c>
      <c r="H992" s="37">
        <v>18.75</v>
      </c>
      <c r="I992" s="36">
        <f t="shared" si="165"/>
        <v>278.77499999999998</v>
      </c>
      <c r="J992" s="36">
        <v>500</v>
      </c>
    </row>
    <row r="993" spans="1:10" x14ac:dyDescent="0.25">
      <c r="A993" s="31" t="s">
        <v>256</v>
      </c>
      <c r="B993" s="75" t="s">
        <v>71</v>
      </c>
      <c r="C993" s="272" t="s">
        <v>156</v>
      </c>
      <c r="D993" s="108">
        <v>43.63</v>
      </c>
      <c r="E993" s="294" t="s">
        <v>79</v>
      </c>
      <c r="F993" s="74">
        <v>8.9600000000000009</v>
      </c>
      <c r="G993" s="36">
        <f t="shared" si="164"/>
        <v>56.448</v>
      </c>
      <c r="H993" s="37">
        <v>18.75</v>
      </c>
      <c r="I993" s="44">
        <f t="shared" si="165"/>
        <v>1058.4000000000001</v>
      </c>
      <c r="J993" s="36">
        <v>1600</v>
      </c>
    </row>
    <row r="994" spans="1:10" x14ac:dyDescent="0.25">
      <c r="A994" s="31" t="s">
        <v>256</v>
      </c>
      <c r="B994" s="37" t="s">
        <v>65</v>
      </c>
      <c r="C994" s="261" t="s">
        <v>158</v>
      </c>
      <c r="D994" s="46">
        <v>25.02</v>
      </c>
      <c r="E994" s="288" t="s">
        <v>79</v>
      </c>
      <c r="F994" s="74">
        <v>6.61</v>
      </c>
      <c r="G994" s="36">
        <f t="shared" si="164"/>
        <v>41.643000000000001</v>
      </c>
      <c r="H994" s="35">
        <v>18.75</v>
      </c>
      <c r="I994" s="44">
        <f t="shared" si="165"/>
        <v>780.80624999999998</v>
      </c>
      <c r="J994" s="36">
        <v>1000</v>
      </c>
    </row>
    <row r="995" spans="1:10" ht="15.75" thickBot="1" x14ac:dyDescent="0.3">
      <c r="A995" s="31" t="s">
        <v>256</v>
      </c>
      <c r="B995" s="43" t="s">
        <v>66</v>
      </c>
      <c r="C995" s="263" t="s">
        <v>152</v>
      </c>
      <c r="D995" s="34">
        <v>70.290000000000006</v>
      </c>
      <c r="E995" s="294" t="s">
        <v>79</v>
      </c>
      <c r="F995" s="73">
        <v>6.29</v>
      </c>
      <c r="G995" s="74">
        <f t="shared" si="164"/>
        <v>39.627000000000002</v>
      </c>
      <c r="H995" s="91">
        <v>18.75</v>
      </c>
      <c r="I995" s="96">
        <f t="shared" si="165"/>
        <v>743.00625000000002</v>
      </c>
      <c r="J995" s="74">
        <v>1300</v>
      </c>
    </row>
    <row r="996" spans="1:10" ht="19.5" thickBot="1" x14ac:dyDescent="0.35">
      <c r="A996" s="220"/>
      <c r="B996" s="174"/>
      <c r="C996" s="282"/>
      <c r="D996" s="217"/>
      <c r="E996" s="310"/>
      <c r="F996" s="208"/>
      <c r="G996" s="208"/>
      <c r="H996" s="174" t="s">
        <v>171</v>
      </c>
      <c r="I996" s="101">
        <f>SUM(I990:I995)</f>
        <v>3912.3</v>
      </c>
      <c r="J996" s="104">
        <f>SUM(J990:J995)</f>
        <v>6700</v>
      </c>
    </row>
    <row r="997" spans="1:10" x14ac:dyDescent="0.25">
      <c r="A997" s="31" t="s">
        <v>257</v>
      </c>
      <c r="B997" s="37" t="s">
        <v>68</v>
      </c>
      <c r="C997" s="261" t="s">
        <v>114</v>
      </c>
      <c r="D997" s="108">
        <v>25.8</v>
      </c>
      <c r="E997" s="288" t="s">
        <v>79</v>
      </c>
      <c r="F997" s="109">
        <v>4.8</v>
      </c>
      <c r="G997" s="36">
        <f t="shared" ref="G997:G1002" si="166">F997*6.3</f>
        <v>30.24</v>
      </c>
      <c r="H997" s="37">
        <v>24</v>
      </c>
      <c r="I997" s="36">
        <f t="shared" ref="I997:I1002" si="167">G997*H997</f>
        <v>725.76</v>
      </c>
      <c r="J997" s="36">
        <v>900</v>
      </c>
    </row>
    <row r="998" spans="1:10" x14ac:dyDescent="0.25">
      <c r="A998" s="31" t="s">
        <v>257</v>
      </c>
      <c r="B998" s="37" t="s">
        <v>69</v>
      </c>
      <c r="C998" s="261" t="s">
        <v>86</v>
      </c>
      <c r="D998" s="108">
        <v>75.400000000000006</v>
      </c>
      <c r="E998" s="288" t="s">
        <v>79</v>
      </c>
      <c r="F998" s="110">
        <v>8.1999999999999993</v>
      </c>
      <c r="G998" s="36">
        <f t="shared" si="166"/>
        <v>51.66</v>
      </c>
      <c r="H998" s="37">
        <v>24</v>
      </c>
      <c r="I998" s="41">
        <f t="shared" si="167"/>
        <v>1239.8399999999999</v>
      </c>
      <c r="J998" s="36">
        <v>1400</v>
      </c>
    </row>
    <row r="999" spans="1:10" x14ac:dyDescent="0.25">
      <c r="A999" s="31" t="s">
        <v>257</v>
      </c>
      <c r="B999" s="50" t="s">
        <v>70</v>
      </c>
      <c r="C999" s="261" t="s">
        <v>75</v>
      </c>
      <c r="D999" s="108" t="s">
        <v>38</v>
      </c>
      <c r="E999" s="288" t="s">
        <v>79</v>
      </c>
      <c r="F999" s="36">
        <v>3.4</v>
      </c>
      <c r="G999" s="36">
        <f t="shared" si="166"/>
        <v>21.419999999999998</v>
      </c>
      <c r="H999" s="37">
        <v>24</v>
      </c>
      <c r="I999" s="36">
        <f t="shared" si="167"/>
        <v>514.07999999999993</v>
      </c>
      <c r="J999" s="36">
        <v>500</v>
      </c>
    </row>
    <row r="1000" spans="1:10" x14ac:dyDescent="0.25">
      <c r="A1000" s="31" t="s">
        <v>257</v>
      </c>
      <c r="B1000" s="75" t="s">
        <v>71</v>
      </c>
      <c r="C1000" s="272" t="s">
        <v>156</v>
      </c>
      <c r="D1000" s="108">
        <v>68.290000000000006</v>
      </c>
      <c r="E1000" s="294" t="s">
        <v>79</v>
      </c>
      <c r="F1000" s="74">
        <v>9.8699999999999992</v>
      </c>
      <c r="G1000" s="36">
        <f t="shared" si="166"/>
        <v>62.18099999999999</v>
      </c>
      <c r="H1000" s="37">
        <v>24</v>
      </c>
      <c r="I1000" s="44">
        <f t="shared" si="167"/>
        <v>1492.3439999999998</v>
      </c>
      <c r="J1000" s="36">
        <v>1600</v>
      </c>
    </row>
    <row r="1001" spans="1:10" x14ac:dyDescent="0.25">
      <c r="A1001" s="31" t="s">
        <v>257</v>
      </c>
      <c r="B1001" s="37" t="s">
        <v>65</v>
      </c>
      <c r="C1001" s="261" t="s">
        <v>158</v>
      </c>
      <c r="D1001" s="46">
        <v>39.4</v>
      </c>
      <c r="E1001" s="288" t="s">
        <v>79</v>
      </c>
      <c r="F1001" s="74">
        <v>7.63</v>
      </c>
      <c r="G1001" s="36">
        <f t="shared" si="166"/>
        <v>48.068999999999996</v>
      </c>
      <c r="H1001" s="35">
        <v>24</v>
      </c>
      <c r="I1001" s="44">
        <f t="shared" si="167"/>
        <v>1153.6559999999999</v>
      </c>
      <c r="J1001" s="36">
        <v>1000</v>
      </c>
    </row>
    <row r="1002" spans="1:10" ht="15.75" thickBot="1" x14ac:dyDescent="0.3">
      <c r="A1002" s="31" t="s">
        <v>257</v>
      </c>
      <c r="B1002" s="43" t="s">
        <v>66</v>
      </c>
      <c r="C1002" s="263" t="s">
        <v>152</v>
      </c>
      <c r="D1002" s="34">
        <v>93.28</v>
      </c>
      <c r="E1002" s="294" t="s">
        <v>79</v>
      </c>
      <c r="F1002" s="73">
        <v>7.17</v>
      </c>
      <c r="G1002" s="74">
        <f t="shared" si="166"/>
        <v>45.170999999999999</v>
      </c>
      <c r="H1002" s="91">
        <v>24</v>
      </c>
      <c r="I1002" s="96">
        <f t="shared" si="167"/>
        <v>1084.104</v>
      </c>
      <c r="J1002" s="74">
        <v>1300</v>
      </c>
    </row>
    <row r="1003" spans="1:10" ht="19.5" thickBot="1" x14ac:dyDescent="0.35">
      <c r="A1003" s="206"/>
      <c r="B1003" s="100"/>
      <c r="C1003" s="207"/>
      <c r="D1003" s="217"/>
      <c r="E1003" s="310"/>
      <c r="F1003" s="208"/>
      <c r="G1003" s="208"/>
      <c r="H1003" s="174" t="s">
        <v>171</v>
      </c>
      <c r="I1003" s="101">
        <f>SUM(I997:I1002)</f>
        <v>6209.7839999999997</v>
      </c>
      <c r="J1003" s="104">
        <f>SUM(J997:J1002)</f>
        <v>6700</v>
      </c>
    </row>
    <row r="1004" spans="1:10" x14ac:dyDescent="0.25">
      <c r="A1004" s="31" t="s">
        <v>258</v>
      </c>
      <c r="B1004" s="37" t="s">
        <v>68</v>
      </c>
      <c r="C1004" s="261" t="s">
        <v>114</v>
      </c>
      <c r="D1004" s="108">
        <v>27.19</v>
      </c>
      <c r="E1004" s="288" t="s">
        <v>79</v>
      </c>
      <c r="F1004" s="109">
        <v>4.88</v>
      </c>
      <c r="G1004" s="36">
        <f t="shared" ref="G1004:G1009" si="168">F1004*6.3</f>
        <v>30.744</v>
      </c>
      <c r="H1004" s="37">
        <v>24</v>
      </c>
      <c r="I1004" s="36">
        <f t="shared" ref="I1004:I1009" si="169">G1004*H1004</f>
        <v>737.85599999999999</v>
      </c>
      <c r="J1004" s="36">
        <v>900</v>
      </c>
    </row>
    <row r="1005" spans="1:10" x14ac:dyDescent="0.25">
      <c r="A1005" s="31" t="s">
        <v>258</v>
      </c>
      <c r="B1005" s="37" t="s">
        <v>69</v>
      </c>
      <c r="C1005" s="261" t="s">
        <v>86</v>
      </c>
      <c r="D1005" s="108">
        <v>78.77</v>
      </c>
      <c r="E1005" s="288" t="s">
        <v>79</v>
      </c>
      <c r="F1005" s="110">
        <v>10.15</v>
      </c>
      <c r="G1005" s="36">
        <f t="shared" si="168"/>
        <v>63.945</v>
      </c>
      <c r="H1005" s="37">
        <v>24</v>
      </c>
      <c r="I1005" s="41">
        <f t="shared" si="169"/>
        <v>1534.68</v>
      </c>
      <c r="J1005" s="36">
        <v>1400</v>
      </c>
    </row>
    <row r="1006" spans="1:10" x14ac:dyDescent="0.25">
      <c r="A1006" s="31" t="s">
        <v>258</v>
      </c>
      <c r="B1006" s="50" t="s">
        <v>70</v>
      </c>
      <c r="C1006" s="261" t="s">
        <v>75</v>
      </c>
      <c r="D1006" s="108" t="s">
        <v>38</v>
      </c>
      <c r="E1006" s="288" t="s">
        <v>79</v>
      </c>
      <c r="F1006" s="36">
        <v>3.4</v>
      </c>
      <c r="G1006" s="36">
        <f t="shared" si="168"/>
        <v>21.419999999999998</v>
      </c>
      <c r="H1006" s="37">
        <v>24</v>
      </c>
      <c r="I1006" s="36">
        <f t="shared" si="169"/>
        <v>514.07999999999993</v>
      </c>
      <c r="J1006" s="36">
        <v>500</v>
      </c>
    </row>
    <row r="1007" spans="1:10" x14ac:dyDescent="0.25">
      <c r="A1007" s="31" t="s">
        <v>258</v>
      </c>
      <c r="B1007" s="75" t="s">
        <v>71</v>
      </c>
      <c r="C1007" s="272" t="s">
        <v>156</v>
      </c>
      <c r="D1007" s="108">
        <v>68.569999999999993</v>
      </c>
      <c r="E1007" s="294" t="s">
        <v>79</v>
      </c>
      <c r="F1007" s="74">
        <v>9.9</v>
      </c>
      <c r="G1007" s="36">
        <f t="shared" si="168"/>
        <v>62.37</v>
      </c>
      <c r="H1007" s="37">
        <v>24</v>
      </c>
      <c r="I1007" s="44">
        <f t="shared" si="169"/>
        <v>1496.8799999999999</v>
      </c>
      <c r="J1007" s="36">
        <v>1600</v>
      </c>
    </row>
    <row r="1008" spans="1:10" x14ac:dyDescent="0.25">
      <c r="A1008" s="31" t="s">
        <v>258</v>
      </c>
      <c r="B1008" s="37" t="s">
        <v>65</v>
      </c>
      <c r="C1008" s="261" t="s">
        <v>158</v>
      </c>
      <c r="D1008" s="46">
        <v>38.659999999999997</v>
      </c>
      <c r="E1008" s="288" t="s">
        <v>79</v>
      </c>
      <c r="F1008" s="74">
        <v>7.2</v>
      </c>
      <c r="G1008" s="36">
        <f t="shared" si="168"/>
        <v>45.36</v>
      </c>
      <c r="H1008" s="35">
        <v>24</v>
      </c>
      <c r="I1008" s="44">
        <f t="shared" si="169"/>
        <v>1088.6399999999999</v>
      </c>
      <c r="J1008" s="36">
        <v>1000</v>
      </c>
    </row>
    <row r="1009" spans="1:10" ht="15.75" thickBot="1" x14ac:dyDescent="0.3">
      <c r="A1009" s="31" t="s">
        <v>258</v>
      </c>
      <c r="B1009" s="43" t="s">
        <v>66</v>
      </c>
      <c r="C1009" s="263" t="s">
        <v>152</v>
      </c>
      <c r="D1009" s="34">
        <v>93.4</v>
      </c>
      <c r="E1009" s="294" t="s">
        <v>79</v>
      </c>
      <c r="F1009" s="73">
        <v>6.3</v>
      </c>
      <c r="G1009" s="74">
        <f t="shared" si="168"/>
        <v>39.69</v>
      </c>
      <c r="H1009" s="91">
        <v>24</v>
      </c>
      <c r="I1009" s="96">
        <f t="shared" si="169"/>
        <v>952.56</v>
      </c>
      <c r="J1009" s="74">
        <v>1300</v>
      </c>
    </row>
    <row r="1010" spans="1:10" ht="19.5" thickBot="1" x14ac:dyDescent="0.35">
      <c r="A1010" s="206"/>
      <c r="B1010" s="174"/>
      <c r="C1010" s="207"/>
      <c r="D1010" s="217"/>
      <c r="E1010" s="310"/>
      <c r="F1010" s="208"/>
      <c r="G1010" s="208"/>
      <c r="H1010" s="174" t="s">
        <v>171</v>
      </c>
      <c r="I1010" s="101">
        <f>SUM(I1004:I1009)</f>
        <v>6324.6959999999999</v>
      </c>
      <c r="J1010" s="104">
        <f>SUM(J1004:J1009)</f>
        <v>6700</v>
      </c>
    </row>
    <row r="1011" spans="1:10" x14ac:dyDescent="0.25">
      <c r="A1011" s="31" t="s">
        <v>259</v>
      </c>
      <c r="B1011" s="37" t="s">
        <v>68</v>
      </c>
      <c r="C1011" s="261" t="s">
        <v>114</v>
      </c>
      <c r="D1011" s="108">
        <v>27.67</v>
      </c>
      <c r="E1011" s="288" t="s">
        <v>79</v>
      </c>
      <c r="F1011" s="109">
        <v>4.99</v>
      </c>
      <c r="G1011" s="36">
        <f t="shared" ref="G1011:G1016" si="170">F1011*6.3</f>
        <v>31.437000000000001</v>
      </c>
      <c r="H1011" s="37">
        <v>24</v>
      </c>
      <c r="I1011" s="36">
        <f t="shared" ref="I1011:I1016" si="171">G1011*H1011</f>
        <v>754.48800000000006</v>
      </c>
      <c r="J1011" s="36">
        <v>900</v>
      </c>
    </row>
    <row r="1012" spans="1:10" x14ac:dyDescent="0.25">
      <c r="A1012" s="31" t="s">
        <v>259</v>
      </c>
      <c r="B1012" s="37" t="s">
        <v>69</v>
      </c>
      <c r="C1012" s="261" t="s">
        <v>86</v>
      </c>
      <c r="D1012" s="108">
        <v>78.709999999999994</v>
      </c>
      <c r="E1012" s="288" t="s">
        <v>79</v>
      </c>
      <c r="F1012" s="110">
        <v>9.85</v>
      </c>
      <c r="G1012" s="36">
        <f t="shared" si="170"/>
        <v>62.054999999999993</v>
      </c>
      <c r="H1012" s="37">
        <v>24</v>
      </c>
      <c r="I1012" s="41">
        <f t="shared" si="171"/>
        <v>1489.3199999999997</v>
      </c>
      <c r="J1012" s="36">
        <v>1400</v>
      </c>
    </row>
    <row r="1013" spans="1:10" x14ac:dyDescent="0.25">
      <c r="A1013" s="31" t="s">
        <v>259</v>
      </c>
      <c r="B1013" s="50" t="s">
        <v>70</v>
      </c>
      <c r="C1013" s="261" t="s">
        <v>75</v>
      </c>
      <c r="D1013" s="108" t="s">
        <v>38</v>
      </c>
      <c r="E1013" s="288" t="s">
        <v>79</v>
      </c>
      <c r="F1013" s="36">
        <v>3.4</v>
      </c>
      <c r="G1013" s="36">
        <f t="shared" si="170"/>
        <v>21.419999999999998</v>
      </c>
      <c r="H1013" s="37">
        <v>24</v>
      </c>
      <c r="I1013" s="36">
        <f t="shared" si="171"/>
        <v>514.07999999999993</v>
      </c>
      <c r="J1013" s="36">
        <v>500</v>
      </c>
    </row>
    <row r="1014" spans="1:10" x14ac:dyDescent="0.25">
      <c r="A1014" s="31" t="s">
        <v>259</v>
      </c>
      <c r="B1014" s="75" t="s">
        <v>71</v>
      </c>
      <c r="C1014" s="272" t="s">
        <v>156</v>
      </c>
      <c r="D1014" s="108">
        <v>68.849999999999994</v>
      </c>
      <c r="E1014" s="294" t="s">
        <v>79</v>
      </c>
      <c r="F1014" s="74">
        <v>9.8000000000000007</v>
      </c>
      <c r="G1014" s="36">
        <f t="shared" si="170"/>
        <v>61.74</v>
      </c>
      <c r="H1014" s="37">
        <v>24</v>
      </c>
      <c r="I1014" s="44">
        <f t="shared" si="171"/>
        <v>1481.76</v>
      </c>
      <c r="J1014" s="36">
        <v>1600</v>
      </c>
    </row>
    <row r="1015" spans="1:10" x14ac:dyDescent="0.25">
      <c r="A1015" s="31" t="s">
        <v>259</v>
      </c>
      <c r="B1015" s="37" t="s">
        <v>65</v>
      </c>
      <c r="C1015" s="261" t="s">
        <v>158</v>
      </c>
      <c r="D1015" s="46">
        <v>38.17</v>
      </c>
      <c r="E1015" s="288" t="s">
        <v>79</v>
      </c>
      <c r="F1015" s="74">
        <v>7.2</v>
      </c>
      <c r="G1015" s="36">
        <f t="shared" si="170"/>
        <v>45.36</v>
      </c>
      <c r="H1015" s="35">
        <v>24</v>
      </c>
      <c r="I1015" s="44">
        <f t="shared" si="171"/>
        <v>1088.6399999999999</v>
      </c>
      <c r="J1015" s="36">
        <v>1000</v>
      </c>
    </row>
    <row r="1016" spans="1:10" ht="15.75" thickBot="1" x14ac:dyDescent="0.3">
      <c r="A1016" s="31" t="s">
        <v>259</v>
      </c>
      <c r="B1016" s="43" t="s">
        <v>66</v>
      </c>
      <c r="C1016" s="263" t="s">
        <v>152</v>
      </c>
      <c r="D1016" s="34">
        <v>93.83</v>
      </c>
      <c r="E1016" s="294" t="s">
        <v>79</v>
      </c>
      <c r="F1016" s="73">
        <v>6.3</v>
      </c>
      <c r="G1016" s="74">
        <f t="shared" si="170"/>
        <v>39.69</v>
      </c>
      <c r="H1016" s="91">
        <v>24</v>
      </c>
      <c r="I1016" s="96">
        <f t="shared" si="171"/>
        <v>952.56</v>
      </c>
      <c r="J1016" s="74">
        <v>1300</v>
      </c>
    </row>
    <row r="1017" spans="1:10" ht="19.5" thickBot="1" x14ac:dyDescent="0.35">
      <c r="A1017" s="206"/>
      <c r="B1017" s="174"/>
      <c r="C1017" s="207"/>
      <c r="D1017" s="217"/>
      <c r="E1017" s="310"/>
      <c r="F1017" s="208"/>
      <c r="G1017" s="208"/>
      <c r="H1017" s="174" t="s">
        <v>171</v>
      </c>
      <c r="I1017" s="101">
        <f>SUM(I1011:I1016)</f>
        <v>6280.848</v>
      </c>
      <c r="J1017" s="104">
        <f>SUM(J1011:J1016)</f>
        <v>6700</v>
      </c>
    </row>
    <row r="1018" spans="1:10" x14ac:dyDescent="0.25">
      <c r="A1018" s="31" t="s">
        <v>262</v>
      </c>
      <c r="B1018" s="37" t="s">
        <v>68</v>
      </c>
      <c r="C1018" s="261" t="s">
        <v>114</v>
      </c>
      <c r="D1018" s="108">
        <v>27.67</v>
      </c>
      <c r="E1018" s="288" t="s">
        <v>79</v>
      </c>
      <c r="F1018" s="109">
        <v>5.0999999999999996</v>
      </c>
      <c r="G1018" s="36">
        <f t="shared" ref="G1018:G1023" si="172">F1018*6.3</f>
        <v>32.129999999999995</v>
      </c>
      <c r="H1018" s="37">
        <v>24</v>
      </c>
      <c r="I1018" s="36">
        <f t="shared" ref="I1018:I1023" si="173">G1018*H1018</f>
        <v>771.11999999999989</v>
      </c>
      <c r="J1018" s="36">
        <v>900</v>
      </c>
    </row>
    <row r="1019" spans="1:10" x14ac:dyDescent="0.25">
      <c r="A1019" s="31" t="s">
        <v>262</v>
      </c>
      <c r="B1019" s="37" t="s">
        <v>69</v>
      </c>
      <c r="C1019" s="261" t="s">
        <v>86</v>
      </c>
      <c r="D1019" s="108">
        <v>79.13</v>
      </c>
      <c r="E1019" s="288" t="s">
        <v>79</v>
      </c>
      <c r="F1019" s="110">
        <v>9.82</v>
      </c>
      <c r="G1019" s="36">
        <f t="shared" si="172"/>
        <v>61.866</v>
      </c>
      <c r="H1019" s="37">
        <v>24</v>
      </c>
      <c r="I1019" s="41">
        <f t="shared" si="173"/>
        <v>1484.7840000000001</v>
      </c>
      <c r="J1019" s="36">
        <v>1400</v>
      </c>
    </row>
    <row r="1020" spans="1:10" x14ac:dyDescent="0.25">
      <c r="A1020" s="31" t="s">
        <v>262</v>
      </c>
      <c r="B1020" s="50" t="s">
        <v>70</v>
      </c>
      <c r="C1020" s="261" t="s">
        <v>75</v>
      </c>
      <c r="D1020" s="108" t="s">
        <v>38</v>
      </c>
      <c r="E1020" s="288" t="s">
        <v>79</v>
      </c>
      <c r="F1020" s="36">
        <v>3.4</v>
      </c>
      <c r="G1020" s="36">
        <f t="shared" si="172"/>
        <v>21.419999999999998</v>
      </c>
      <c r="H1020" s="37">
        <v>24</v>
      </c>
      <c r="I1020" s="36">
        <f t="shared" si="173"/>
        <v>514.07999999999993</v>
      </c>
      <c r="J1020" s="36">
        <v>500</v>
      </c>
    </row>
    <row r="1021" spans="1:10" x14ac:dyDescent="0.25">
      <c r="A1021" s="31" t="s">
        <v>262</v>
      </c>
      <c r="B1021" s="75" t="s">
        <v>71</v>
      </c>
      <c r="C1021" s="272" t="s">
        <v>156</v>
      </c>
      <c r="D1021" s="108">
        <v>69.91</v>
      </c>
      <c r="E1021" s="294" t="s">
        <v>79</v>
      </c>
      <c r="F1021" s="74">
        <v>10.1</v>
      </c>
      <c r="G1021" s="36">
        <f t="shared" si="172"/>
        <v>63.629999999999995</v>
      </c>
      <c r="H1021" s="37">
        <v>24</v>
      </c>
      <c r="I1021" s="44">
        <f t="shared" si="173"/>
        <v>1527.12</v>
      </c>
      <c r="J1021" s="36">
        <v>1600</v>
      </c>
    </row>
    <row r="1022" spans="1:10" x14ac:dyDescent="0.25">
      <c r="A1022" s="31" t="s">
        <v>262</v>
      </c>
      <c r="B1022" s="37" t="s">
        <v>65</v>
      </c>
      <c r="C1022" s="261" t="s">
        <v>158</v>
      </c>
      <c r="D1022" s="46">
        <v>38.479999999999997</v>
      </c>
      <c r="E1022" s="288" t="s">
        <v>79</v>
      </c>
      <c r="F1022" s="74">
        <v>7.2</v>
      </c>
      <c r="G1022" s="36">
        <f t="shared" si="172"/>
        <v>45.36</v>
      </c>
      <c r="H1022" s="35">
        <v>24</v>
      </c>
      <c r="I1022" s="44">
        <f t="shared" si="173"/>
        <v>1088.6399999999999</v>
      </c>
      <c r="J1022" s="36">
        <v>1000</v>
      </c>
    </row>
    <row r="1023" spans="1:10" ht="15.75" thickBot="1" x14ac:dyDescent="0.3">
      <c r="A1023" s="31" t="s">
        <v>262</v>
      </c>
      <c r="B1023" s="43" t="s">
        <v>66</v>
      </c>
      <c r="C1023" s="263" t="s">
        <v>152</v>
      </c>
      <c r="D1023" s="34">
        <v>94.68</v>
      </c>
      <c r="E1023" s="294" t="s">
        <v>79</v>
      </c>
      <c r="F1023" s="73">
        <v>6.4</v>
      </c>
      <c r="G1023" s="74">
        <f t="shared" si="172"/>
        <v>40.32</v>
      </c>
      <c r="H1023" s="91">
        <v>24</v>
      </c>
      <c r="I1023" s="96">
        <f t="shared" si="173"/>
        <v>967.68000000000006</v>
      </c>
      <c r="J1023" s="74">
        <v>1300</v>
      </c>
    </row>
    <row r="1024" spans="1:10" ht="19.5" thickBot="1" x14ac:dyDescent="0.35">
      <c r="A1024" s="206"/>
      <c r="B1024" s="174"/>
      <c r="C1024" s="207"/>
      <c r="D1024" s="217"/>
      <c r="E1024" s="310"/>
      <c r="F1024" s="208"/>
      <c r="G1024" s="208"/>
      <c r="H1024" s="174" t="s">
        <v>171</v>
      </c>
      <c r="I1024" s="101">
        <f>SUM(I1018:I1023)</f>
        <v>6353.4239999999991</v>
      </c>
      <c r="J1024" s="104">
        <f>SUM(J1018:J1023)</f>
        <v>6700</v>
      </c>
    </row>
    <row r="1025" spans="1:10" x14ac:dyDescent="0.25">
      <c r="A1025" s="31" t="s">
        <v>263</v>
      </c>
      <c r="B1025" s="37" t="s">
        <v>68</v>
      </c>
      <c r="C1025" s="261" t="s">
        <v>114</v>
      </c>
      <c r="D1025" s="108">
        <v>26.56</v>
      </c>
      <c r="E1025" s="288" t="s">
        <v>79</v>
      </c>
      <c r="F1025" s="109">
        <v>5.0999999999999996</v>
      </c>
      <c r="G1025" s="36">
        <f t="shared" ref="G1025:G1030" si="174">F1025*6.3</f>
        <v>32.129999999999995</v>
      </c>
      <c r="H1025" s="37">
        <v>24</v>
      </c>
      <c r="I1025" s="36">
        <f t="shared" ref="I1025:I1030" si="175">G1025*H1025</f>
        <v>771.11999999999989</v>
      </c>
      <c r="J1025" s="36">
        <v>900</v>
      </c>
    </row>
    <row r="1026" spans="1:10" x14ac:dyDescent="0.25">
      <c r="A1026" s="31" t="s">
        <v>263</v>
      </c>
      <c r="B1026" s="37" t="s">
        <v>69</v>
      </c>
      <c r="C1026" s="261" t="s">
        <v>86</v>
      </c>
      <c r="D1026" s="108">
        <v>78.59</v>
      </c>
      <c r="E1026" s="288" t="s">
        <v>79</v>
      </c>
      <c r="F1026" s="110">
        <v>9.82</v>
      </c>
      <c r="G1026" s="36">
        <f t="shared" si="174"/>
        <v>61.866</v>
      </c>
      <c r="H1026" s="37">
        <v>24</v>
      </c>
      <c r="I1026" s="41">
        <f t="shared" si="175"/>
        <v>1484.7840000000001</v>
      </c>
      <c r="J1026" s="36">
        <v>1400</v>
      </c>
    </row>
    <row r="1027" spans="1:10" x14ac:dyDescent="0.25">
      <c r="A1027" s="31" t="s">
        <v>263</v>
      </c>
      <c r="B1027" s="50" t="s">
        <v>70</v>
      </c>
      <c r="C1027" s="261" t="s">
        <v>75</v>
      </c>
      <c r="D1027" s="108" t="s">
        <v>38</v>
      </c>
      <c r="E1027" s="288" t="s">
        <v>79</v>
      </c>
      <c r="F1027" s="36">
        <v>3.4</v>
      </c>
      <c r="G1027" s="36">
        <f t="shared" si="174"/>
        <v>21.419999999999998</v>
      </c>
      <c r="H1027" s="37">
        <v>24</v>
      </c>
      <c r="I1027" s="36">
        <f t="shared" si="175"/>
        <v>514.07999999999993</v>
      </c>
      <c r="J1027" s="36">
        <v>500</v>
      </c>
    </row>
    <row r="1028" spans="1:10" x14ac:dyDescent="0.25">
      <c r="A1028" s="31" t="s">
        <v>263</v>
      </c>
      <c r="B1028" s="75" t="s">
        <v>71</v>
      </c>
      <c r="C1028" s="272" t="s">
        <v>156</v>
      </c>
      <c r="D1028" s="108">
        <v>70.31</v>
      </c>
      <c r="E1028" s="294" t="s">
        <v>79</v>
      </c>
      <c r="F1028" s="74">
        <v>9.8000000000000007</v>
      </c>
      <c r="G1028" s="36">
        <f t="shared" si="174"/>
        <v>61.74</v>
      </c>
      <c r="H1028" s="37">
        <v>24</v>
      </c>
      <c r="I1028" s="44">
        <f t="shared" si="175"/>
        <v>1481.76</v>
      </c>
      <c r="J1028" s="36">
        <v>1600</v>
      </c>
    </row>
    <row r="1029" spans="1:10" x14ac:dyDescent="0.25">
      <c r="A1029" s="31" t="s">
        <v>263</v>
      </c>
      <c r="B1029" s="37" t="s">
        <v>65</v>
      </c>
      <c r="C1029" s="261" t="s">
        <v>158</v>
      </c>
      <c r="D1029" s="46">
        <v>38.479999999999997</v>
      </c>
      <c r="E1029" s="288" t="s">
        <v>79</v>
      </c>
      <c r="F1029" s="74">
        <v>7.05</v>
      </c>
      <c r="G1029" s="36">
        <f t="shared" si="174"/>
        <v>44.414999999999999</v>
      </c>
      <c r="H1029" s="35">
        <v>24</v>
      </c>
      <c r="I1029" s="44">
        <f t="shared" si="175"/>
        <v>1065.96</v>
      </c>
      <c r="J1029" s="36">
        <v>1000</v>
      </c>
    </row>
    <row r="1030" spans="1:10" ht="15.75" thickBot="1" x14ac:dyDescent="0.3">
      <c r="A1030" s="31" t="s">
        <v>263</v>
      </c>
      <c r="B1030" s="43" t="s">
        <v>66</v>
      </c>
      <c r="C1030" s="263" t="s">
        <v>152</v>
      </c>
      <c r="D1030" s="42">
        <v>95.11</v>
      </c>
      <c r="E1030" s="294" t="s">
        <v>79</v>
      </c>
      <c r="F1030" s="73">
        <v>6.6</v>
      </c>
      <c r="G1030" s="74">
        <f t="shared" si="174"/>
        <v>41.58</v>
      </c>
      <c r="H1030" s="91">
        <v>24</v>
      </c>
      <c r="I1030" s="96">
        <f t="shared" si="175"/>
        <v>997.92</v>
      </c>
      <c r="J1030" s="74">
        <v>1300</v>
      </c>
    </row>
    <row r="1031" spans="1:10" ht="19.5" thickBot="1" x14ac:dyDescent="0.35">
      <c r="A1031" s="206"/>
      <c r="B1031" s="174"/>
      <c r="C1031" s="207"/>
      <c r="D1031" s="208"/>
      <c r="E1031" s="310"/>
      <c r="F1031" s="208"/>
      <c r="G1031" s="208"/>
      <c r="H1031" s="174" t="s">
        <v>171</v>
      </c>
      <c r="I1031" s="101">
        <f>SUM(I1025:I1030)</f>
        <v>6315.6239999999998</v>
      </c>
      <c r="J1031" s="104">
        <f>SUM(J1025:J1030)</f>
        <v>6700</v>
      </c>
    </row>
    <row r="1032" spans="1:10" x14ac:dyDescent="0.25">
      <c r="A1032" s="31" t="s">
        <v>264</v>
      </c>
      <c r="B1032" s="151" t="s">
        <v>68</v>
      </c>
      <c r="C1032" s="264" t="s">
        <v>114</v>
      </c>
      <c r="D1032" s="152">
        <v>26.46</v>
      </c>
      <c r="E1032" s="291" t="s">
        <v>79</v>
      </c>
      <c r="F1032" s="153">
        <v>5.38</v>
      </c>
      <c r="G1032" s="51">
        <f t="shared" ref="G1032:G1037" si="176">F1032*6.3</f>
        <v>33.893999999999998</v>
      </c>
      <c r="H1032" s="151">
        <v>24</v>
      </c>
      <c r="I1032" s="51">
        <f t="shared" ref="I1032:I1037" si="177">G1032*H1032</f>
        <v>813.4559999999999</v>
      </c>
      <c r="J1032" s="51">
        <v>900</v>
      </c>
    </row>
    <row r="1033" spans="1:10" x14ac:dyDescent="0.25">
      <c r="A1033" s="31" t="s">
        <v>264</v>
      </c>
      <c r="B1033" s="37" t="s">
        <v>69</v>
      </c>
      <c r="C1033" s="261" t="s">
        <v>86</v>
      </c>
      <c r="D1033" s="108">
        <v>77.61</v>
      </c>
      <c r="E1033" s="288" t="s">
        <v>79</v>
      </c>
      <c r="F1033" s="110">
        <v>9.6999999999999993</v>
      </c>
      <c r="G1033" s="36">
        <f t="shared" si="176"/>
        <v>61.109999999999992</v>
      </c>
      <c r="H1033" s="37">
        <v>24</v>
      </c>
      <c r="I1033" s="41">
        <f t="shared" si="177"/>
        <v>1466.6399999999999</v>
      </c>
      <c r="J1033" s="36">
        <v>1400</v>
      </c>
    </row>
    <row r="1034" spans="1:10" x14ac:dyDescent="0.25">
      <c r="A1034" s="31" t="s">
        <v>264</v>
      </c>
      <c r="B1034" s="50" t="s">
        <v>70</v>
      </c>
      <c r="C1034" s="261" t="s">
        <v>75</v>
      </c>
      <c r="D1034" s="108" t="s">
        <v>38</v>
      </c>
      <c r="E1034" s="288" t="s">
        <v>79</v>
      </c>
      <c r="F1034" s="36">
        <v>3.4</v>
      </c>
      <c r="G1034" s="36">
        <f t="shared" si="176"/>
        <v>21.419999999999998</v>
      </c>
      <c r="H1034" s="37">
        <v>24</v>
      </c>
      <c r="I1034" s="36">
        <f t="shared" si="177"/>
        <v>514.07999999999993</v>
      </c>
      <c r="J1034" s="36">
        <v>500</v>
      </c>
    </row>
    <row r="1035" spans="1:10" x14ac:dyDescent="0.25">
      <c r="A1035" s="31" t="s">
        <v>264</v>
      </c>
      <c r="B1035" s="75" t="s">
        <v>71</v>
      </c>
      <c r="C1035" s="272" t="s">
        <v>156</v>
      </c>
      <c r="D1035" s="108">
        <v>70.680000000000007</v>
      </c>
      <c r="E1035" s="294" t="s">
        <v>79</v>
      </c>
      <c r="F1035" s="74">
        <v>10</v>
      </c>
      <c r="G1035" s="36">
        <f t="shared" si="176"/>
        <v>63</v>
      </c>
      <c r="H1035" s="37">
        <v>24</v>
      </c>
      <c r="I1035" s="44">
        <f t="shared" si="177"/>
        <v>1512</v>
      </c>
      <c r="J1035" s="36">
        <v>1600</v>
      </c>
    </row>
    <row r="1036" spans="1:10" x14ac:dyDescent="0.25">
      <c r="A1036" s="31" t="s">
        <v>264</v>
      </c>
      <c r="B1036" s="37" t="s">
        <v>65</v>
      </c>
      <c r="C1036" s="261" t="s">
        <v>158</v>
      </c>
      <c r="D1036" s="46">
        <v>38.380000000000003</v>
      </c>
      <c r="E1036" s="288" t="s">
        <v>79</v>
      </c>
      <c r="F1036" s="74">
        <v>7</v>
      </c>
      <c r="G1036" s="36">
        <f t="shared" si="176"/>
        <v>44.1</v>
      </c>
      <c r="H1036" s="35">
        <v>24</v>
      </c>
      <c r="I1036" s="44">
        <f t="shared" si="177"/>
        <v>1058.4000000000001</v>
      </c>
      <c r="J1036" s="36">
        <v>1000</v>
      </c>
    </row>
    <row r="1037" spans="1:10" ht="15.75" thickBot="1" x14ac:dyDescent="0.3">
      <c r="A1037" s="31" t="s">
        <v>264</v>
      </c>
      <c r="B1037" s="43" t="s">
        <v>66</v>
      </c>
      <c r="C1037" s="263" t="s">
        <v>152</v>
      </c>
      <c r="D1037" s="42">
        <v>95.13</v>
      </c>
      <c r="E1037" s="294" t="s">
        <v>79</v>
      </c>
      <c r="F1037" s="73">
        <v>6.5</v>
      </c>
      <c r="G1037" s="74">
        <f t="shared" si="176"/>
        <v>40.949999999999996</v>
      </c>
      <c r="H1037" s="91">
        <v>24</v>
      </c>
      <c r="I1037" s="96">
        <f t="shared" si="177"/>
        <v>982.8</v>
      </c>
      <c r="J1037" s="74">
        <v>1300</v>
      </c>
    </row>
    <row r="1038" spans="1:10" ht="19.5" thickBot="1" x14ac:dyDescent="0.35">
      <c r="A1038" s="206"/>
      <c r="B1038" s="174"/>
      <c r="C1038" s="207"/>
      <c r="D1038" s="208"/>
      <c r="E1038" s="310"/>
      <c r="F1038" s="208"/>
      <c r="G1038" s="208"/>
      <c r="H1038" s="174" t="s">
        <v>171</v>
      </c>
      <c r="I1038" s="101">
        <f>SUM(I1032:I1037)</f>
        <v>6347.3759999999993</v>
      </c>
      <c r="J1038" s="104">
        <f>SUM(J1032:J1037)</f>
        <v>6700</v>
      </c>
    </row>
    <row r="1039" spans="1:10" x14ac:dyDescent="0.25">
      <c r="A1039" s="31" t="s">
        <v>265</v>
      </c>
      <c r="B1039" s="37" t="s">
        <v>68</v>
      </c>
      <c r="C1039" s="34" t="s">
        <v>114</v>
      </c>
      <c r="D1039" s="108">
        <v>25.29</v>
      </c>
      <c r="E1039" s="34" t="s">
        <v>79</v>
      </c>
      <c r="F1039" s="109">
        <v>5.3</v>
      </c>
      <c r="G1039" s="36">
        <f t="shared" ref="G1039:G1044" si="178">F1039*6.3</f>
        <v>33.39</v>
      </c>
      <c r="H1039" s="37">
        <v>24</v>
      </c>
      <c r="I1039" s="36">
        <f t="shared" ref="I1039:I1044" si="179">G1039*H1039</f>
        <v>801.36</v>
      </c>
      <c r="J1039" s="36">
        <v>900</v>
      </c>
    </row>
    <row r="1040" spans="1:10" x14ac:dyDescent="0.25">
      <c r="A1040" s="31" t="s">
        <v>265</v>
      </c>
      <c r="B1040" s="37" t="s">
        <v>69</v>
      </c>
      <c r="C1040" s="34" t="s">
        <v>86</v>
      </c>
      <c r="D1040" s="108">
        <v>75.819999999999993</v>
      </c>
      <c r="E1040" s="34" t="s">
        <v>79</v>
      </c>
      <c r="F1040" s="110">
        <v>9.4</v>
      </c>
      <c r="G1040" s="36">
        <f t="shared" si="178"/>
        <v>59.22</v>
      </c>
      <c r="H1040" s="37">
        <v>24</v>
      </c>
      <c r="I1040" s="41">
        <f t="shared" si="179"/>
        <v>1421.28</v>
      </c>
      <c r="J1040" s="36">
        <v>1400</v>
      </c>
    </row>
    <row r="1041" spans="1:10" x14ac:dyDescent="0.25">
      <c r="A1041" s="31" t="s">
        <v>265</v>
      </c>
      <c r="B1041" s="50" t="s">
        <v>70</v>
      </c>
      <c r="C1041" s="34" t="s">
        <v>75</v>
      </c>
      <c r="D1041" s="108" t="s">
        <v>38</v>
      </c>
      <c r="E1041" s="34" t="s">
        <v>79</v>
      </c>
      <c r="F1041" s="36">
        <v>3.35</v>
      </c>
      <c r="G1041" s="36">
        <f t="shared" si="178"/>
        <v>21.105</v>
      </c>
      <c r="H1041" s="37">
        <v>24</v>
      </c>
      <c r="I1041" s="36">
        <f t="shared" si="179"/>
        <v>506.52</v>
      </c>
      <c r="J1041" s="36">
        <v>500</v>
      </c>
    </row>
    <row r="1042" spans="1:10" x14ac:dyDescent="0.25">
      <c r="A1042" s="31" t="s">
        <v>265</v>
      </c>
      <c r="B1042" s="75" t="s">
        <v>71</v>
      </c>
      <c r="C1042" s="111" t="s">
        <v>156</v>
      </c>
      <c r="D1042" s="111">
        <v>70.680000000000007</v>
      </c>
      <c r="E1042" s="42" t="s">
        <v>79</v>
      </c>
      <c r="F1042" s="74">
        <v>10.1</v>
      </c>
      <c r="G1042" s="36">
        <f t="shared" si="178"/>
        <v>63.629999999999995</v>
      </c>
      <c r="H1042" s="37">
        <v>24</v>
      </c>
      <c r="I1042" s="44">
        <f t="shared" si="179"/>
        <v>1527.12</v>
      </c>
      <c r="J1042" s="36">
        <v>1600</v>
      </c>
    </row>
    <row r="1043" spans="1:10" x14ac:dyDescent="0.25">
      <c r="A1043" s="31" t="s">
        <v>265</v>
      </c>
      <c r="B1043" s="37" t="s">
        <v>65</v>
      </c>
      <c r="C1043" s="34" t="s">
        <v>158</v>
      </c>
      <c r="D1043" s="46">
        <v>37.99</v>
      </c>
      <c r="E1043" s="34" t="s">
        <v>79</v>
      </c>
      <c r="F1043" s="74">
        <v>6.85</v>
      </c>
      <c r="G1043" s="36">
        <f t="shared" si="178"/>
        <v>43.154999999999994</v>
      </c>
      <c r="H1043" s="35">
        <v>24</v>
      </c>
      <c r="I1043" s="44">
        <f t="shared" si="179"/>
        <v>1035.7199999999998</v>
      </c>
      <c r="J1043" s="36">
        <v>1000</v>
      </c>
    </row>
    <row r="1044" spans="1:10" ht="15.75" thickBot="1" x14ac:dyDescent="0.3">
      <c r="A1044" s="31" t="s">
        <v>265</v>
      </c>
      <c r="B1044" s="43" t="s">
        <v>66</v>
      </c>
      <c r="C1044" s="52" t="s">
        <v>152</v>
      </c>
      <c r="D1044" s="72">
        <v>94.92</v>
      </c>
      <c r="E1044" s="42" t="s">
        <v>79</v>
      </c>
      <c r="F1044" s="73">
        <v>7.2</v>
      </c>
      <c r="G1044" s="74">
        <f t="shared" si="178"/>
        <v>45.36</v>
      </c>
      <c r="H1044" s="91">
        <v>23</v>
      </c>
      <c r="I1044" s="96">
        <f t="shared" si="179"/>
        <v>1043.28</v>
      </c>
      <c r="J1044" s="74">
        <v>1300</v>
      </c>
    </row>
    <row r="1045" spans="1:10" ht="19.5" thickBot="1" x14ac:dyDescent="0.35">
      <c r="A1045" s="206"/>
      <c r="B1045" s="174"/>
      <c r="C1045" s="207"/>
      <c r="D1045" s="208"/>
      <c r="E1045" s="208"/>
      <c r="F1045" s="208"/>
      <c r="G1045" s="208"/>
      <c r="H1045" s="174" t="s">
        <v>171</v>
      </c>
      <c r="I1045" s="101">
        <f>SUM(I1039:I1044)</f>
        <v>6335.28</v>
      </c>
      <c r="J1045" s="104">
        <f>SUM(J1039:J1044)</f>
        <v>6700</v>
      </c>
    </row>
    <row r="1046" spans="1:10" x14ac:dyDescent="0.25">
      <c r="A1046" s="31" t="s">
        <v>266</v>
      </c>
      <c r="B1046" s="37" t="s">
        <v>68</v>
      </c>
      <c r="C1046" s="34" t="s">
        <v>114</v>
      </c>
      <c r="D1046" s="108">
        <v>24.07</v>
      </c>
      <c r="E1046" s="34" t="s">
        <v>79</v>
      </c>
      <c r="F1046" s="109">
        <v>5.35</v>
      </c>
      <c r="G1046" s="36">
        <f t="shared" ref="G1046:G1051" si="180">F1046*6.3</f>
        <v>33.704999999999998</v>
      </c>
      <c r="H1046" s="37">
        <v>24</v>
      </c>
      <c r="I1046" s="36">
        <f t="shared" ref="I1046:I1051" si="181">G1046*H1046</f>
        <v>808.92</v>
      </c>
      <c r="J1046" s="36">
        <v>900</v>
      </c>
    </row>
    <row r="1047" spans="1:10" x14ac:dyDescent="0.25">
      <c r="A1047" s="31" t="s">
        <v>266</v>
      </c>
      <c r="B1047" s="37" t="s">
        <v>69</v>
      </c>
      <c r="C1047" s="34" t="s">
        <v>86</v>
      </c>
      <c r="D1047" s="108">
        <v>74.23</v>
      </c>
      <c r="E1047" s="34" t="s">
        <v>79</v>
      </c>
      <c r="F1047" s="110">
        <v>9.5</v>
      </c>
      <c r="G1047" s="36">
        <f t="shared" si="180"/>
        <v>59.85</v>
      </c>
      <c r="H1047" s="37">
        <v>24</v>
      </c>
      <c r="I1047" s="41">
        <f t="shared" si="181"/>
        <v>1436.4</v>
      </c>
      <c r="J1047" s="36">
        <v>1400</v>
      </c>
    </row>
    <row r="1048" spans="1:10" x14ac:dyDescent="0.25">
      <c r="A1048" s="31" t="s">
        <v>266</v>
      </c>
      <c r="B1048" s="50" t="s">
        <v>70</v>
      </c>
      <c r="C1048" s="34" t="s">
        <v>75</v>
      </c>
      <c r="D1048" s="108" t="s">
        <v>38</v>
      </c>
      <c r="E1048" s="34" t="s">
        <v>79</v>
      </c>
      <c r="F1048" s="36">
        <v>3.35</v>
      </c>
      <c r="G1048" s="36">
        <f t="shared" si="180"/>
        <v>21.105</v>
      </c>
      <c r="H1048" s="37">
        <v>24</v>
      </c>
      <c r="I1048" s="36">
        <f t="shared" si="181"/>
        <v>506.52</v>
      </c>
      <c r="J1048" s="36">
        <v>500</v>
      </c>
    </row>
    <row r="1049" spans="1:10" x14ac:dyDescent="0.25">
      <c r="A1049" s="31" t="s">
        <v>266</v>
      </c>
      <c r="B1049" s="75" t="s">
        <v>71</v>
      </c>
      <c r="C1049" s="111" t="s">
        <v>156</v>
      </c>
      <c r="D1049" s="111">
        <v>71.150000000000006</v>
      </c>
      <c r="E1049" s="42" t="s">
        <v>79</v>
      </c>
      <c r="F1049" s="74">
        <v>10</v>
      </c>
      <c r="G1049" s="36">
        <f t="shared" si="180"/>
        <v>63</v>
      </c>
      <c r="H1049" s="37">
        <v>24</v>
      </c>
      <c r="I1049" s="44">
        <f t="shared" si="181"/>
        <v>1512</v>
      </c>
      <c r="J1049" s="36">
        <v>1600</v>
      </c>
    </row>
    <row r="1050" spans="1:10" x14ac:dyDescent="0.25">
      <c r="A1050" s="31" t="s">
        <v>266</v>
      </c>
      <c r="B1050" s="37" t="s">
        <v>65</v>
      </c>
      <c r="C1050" s="34" t="s">
        <v>158</v>
      </c>
      <c r="D1050" s="46">
        <v>15.5</v>
      </c>
      <c r="E1050" s="34" t="s">
        <v>79</v>
      </c>
      <c r="F1050" s="74">
        <v>6.6</v>
      </c>
      <c r="G1050" s="36">
        <f t="shared" si="180"/>
        <v>41.58</v>
      </c>
      <c r="H1050" s="35">
        <v>24</v>
      </c>
      <c r="I1050" s="44">
        <f t="shared" si="181"/>
        <v>997.92</v>
      </c>
      <c r="J1050" s="36">
        <v>1000</v>
      </c>
    </row>
    <row r="1051" spans="1:10" ht="15.75" thickBot="1" x14ac:dyDescent="0.3">
      <c r="A1051" s="31" t="s">
        <v>266</v>
      </c>
      <c r="B1051" s="43" t="s">
        <v>66</v>
      </c>
      <c r="C1051" s="52" t="s">
        <v>152</v>
      </c>
      <c r="D1051" s="72">
        <v>95.67</v>
      </c>
      <c r="E1051" s="42" t="s">
        <v>79</v>
      </c>
      <c r="F1051" s="73">
        <v>7.2</v>
      </c>
      <c r="G1051" s="74">
        <f t="shared" si="180"/>
        <v>45.36</v>
      </c>
      <c r="H1051" s="91">
        <v>24</v>
      </c>
      <c r="I1051" s="96">
        <f t="shared" si="181"/>
        <v>1088.6399999999999</v>
      </c>
      <c r="J1051" s="74">
        <v>1300</v>
      </c>
    </row>
    <row r="1052" spans="1:10" ht="19.5" thickBot="1" x14ac:dyDescent="0.35">
      <c r="A1052" s="206"/>
      <c r="B1052" s="174"/>
      <c r="C1052" s="207"/>
      <c r="D1052" s="208"/>
      <c r="E1052" s="208"/>
      <c r="F1052" s="208"/>
      <c r="G1052" s="208"/>
      <c r="H1052" s="174" t="s">
        <v>171</v>
      </c>
      <c r="I1052" s="101">
        <f>SUM(I1046:I1051)</f>
        <v>6350.4</v>
      </c>
      <c r="J1052" s="104">
        <f>SUM(J1046:J1051)</f>
        <v>6700</v>
      </c>
    </row>
    <row r="1053" spans="1:10" x14ac:dyDescent="0.25">
      <c r="A1053" s="31" t="s">
        <v>267</v>
      </c>
      <c r="B1053" s="37" t="s">
        <v>68</v>
      </c>
      <c r="C1053" s="34" t="s">
        <v>114</v>
      </c>
      <c r="D1053" s="108">
        <v>23.45</v>
      </c>
      <c r="E1053" s="34" t="s">
        <v>79</v>
      </c>
      <c r="F1053" s="109">
        <v>5.2</v>
      </c>
      <c r="G1053" s="36">
        <f t="shared" ref="G1053:G1058" si="182">F1053*6.3</f>
        <v>32.76</v>
      </c>
      <c r="H1053" s="37">
        <v>24</v>
      </c>
      <c r="I1053" s="36">
        <f t="shared" ref="I1053:I1058" si="183">G1053*H1053</f>
        <v>786.24</v>
      </c>
      <c r="J1053" s="36">
        <v>900</v>
      </c>
    </row>
    <row r="1054" spans="1:10" x14ac:dyDescent="0.25">
      <c r="A1054" s="31" t="s">
        <v>267</v>
      </c>
      <c r="B1054" s="37" t="s">
        <v>69</v>
      </c>
      <c r="C1054" s="34" t="s">
        <v>86</v>
      </c>
      <c r="D1054" s="108">
        <v>71.959999999999994</v>
      </c>
      <c r="E1054" s="34" t="s">
        <v>79</v>
      </c>
      <c r="F1054" s="110">
        <v>9.18</v>
      </c>
      <c r="G1054" s="36">
        <f t="shared" si="182"/>
        <v>57.833999999999996</v>
      </c>
      <c r="H1054" s="37">
        <v>24</v>
      </c>
      <c r="I1054" s="41">
        <f t="shared" si="183"/>
        <v>1388.0159999999998</v>
      </c>
      <c r="J1054" s="36">
        <v>1400</v>
      </c>
    </row>
    <row r="1055" spans="1:10" x14ac:dyDescent="0.25">
      <c r="A1055" s="31" t="s">
        <v>267</v>
      </c>
      <c r="B1055" s="50" t="s">
        <v>70</v>
      </c>
      <c r="C1055" s="34" t="s">
        <v>75</v>
      </c>
      <c r="D1055" s="108" t="s">
        <v>38</v>
      </c>
      <c r="E1055" s="34" t="s">
        <v>79</v>
      </c>
      <c r="F1055" s="36">
        <v>3.4</v>
      </c>
      <c r="G1055" s="36">
        <f t="shared" si="182"/>
        <v>21.419999999999998</v>
      </c>
      <c r="H1055" s="37">
        <v>24</v>
      </c>
      <c r="I1055" s="36">
        <f t="shared" si="183"/>
        <v>514.07999999999993</v>
      </c>
      <c r="J1055" s="36">
        <v>500</v>
      </c>
    </row>
    <row r="1056" spans="1:10" x14ac:dyDescent="0.25">
      <c r="A1056" s="31" t="s">
        <v>267</v>
      </c>
      <c r="B1056" s="75" t="s">
        <v>71</v>
      </c>
      <c r="C1056" s="111" t="s">
        <v>156</v>
      </c>
      <c r="D1056" s="111">
        <v>71.239999999999995</v>
      </c>
      <c r="E1056" s="42" t="s">
        <v>79</v>
      </c>
      <c r="F1056" s="74">
        <v>10.1</v>
      </c>
      <c r="G1056" s="36">
        <f t="shared" si="182"/>
        <v>63.629999999999995</v>
      </c>
      <c r="H1056" s="37">
        <v>24</v>
      </c>
      <c r="I1056" s="44">
        <f t="shared" si="183"/>
        <v>1527.12</v>
      </c>
      <c r="J1056" s="36">
        <v>1600</v>
      </c>
    </row>
    <row r="1057" spans="1:10" x14ac:dyDescent="0.25">
      <c r="A1057" s="31" t="s">
        <v>267</v>
      </c>
      <c r="B1057" s="37" t="s">
        <v>65</v>
      </c>
      <c r="C1057" s="34" t="s">
        <v>158</v>
      </c>
      <c r="D1057" s="46">
        <v>15.23</v>
      </c>
      <c r="E1057" s="34" t="s">
        <v>79</v>
      </c>
      <c r="F1057" s="74">
        <v>6.9</v>
      </c>
      <c r="G1057" s="36">
        <f t="shared" si="182"/>
        <v>43.47</v>
      </c>
      <c r="H1057" s="35">
        <v>24</v>
      </c>
      <c r="I1057" s="44">
        <f t="shared" si="183"/>
        <v>1043.28</v>
      </c>
      <c r="J1057" s="36">
        <v>1000</v>
      </c>
    </row>
    <row r="1058" spans="1:10" ht="15.75" thickBot="1" x14ac:dyDescent="0.3">
      <c r="A1058" s="31" t="s">
        <v>267</v>
      </c>
      <c r="B1058" s="43" t="s">
        <v>66</v>
      </c>
      <c r="C1058" s="52" t="s">
        <v>152</v>
      </c>
      <c r="D1058" s="72">
        <v>95.95</v>
      </c>
      <c r="E1058" s="42" t="s">
        <v>79</v>
      </c>
      <c r="F1058" s="73">
        <v>6.6</v>
      </c>
      <c r="G1058" s="74">
        <f t="shared" si="182"/>
        <v>41.58</v>
      </c>
      <c r="H1058" s="91">
        <v>24</v>
      </c>
      <c r="I1058" s="96">
        <f t="shared" si="183"/>
        <v>997.92</v>
      </c>
      <c r="J1058" s="74">
        <v>1300</v>
      </c>
    </row>
    <row r="1059" spans="1:10" ht="19.5" thickBot="1" x14ac:dyDescent="0.35">
      <c r="A1059" s="206"/>
      <c r="B1059" s="174"/>
      <c r="C1059" s="207"/>
      <c r="D1059" s="208"/>
      <c r="E1059" s="208"/>
      <c r="F1059" s="208"/>
      <c r="G1059" s="208"/>
      <c r="H1059" s="174" t="s">
        <v>171</v>
      </c>
      <c r="I1059" s="101">
        <f>SUM(I1053:I1058)</f>
        <v>6256.6559999999999</v>
      </c>
      <c r="J1059" s="104">
        <f>SUM(J1053:J1058)</f>
        <v>6700</v>
      </c>
    </row>
    <row r="1060" spans="1:10" x14ac:dyDescent="0.25">
      <c r="A1060" s="31" t="s">
        <v>268</v>
      </c>
      <c r="B1060" s="37" t="s">
        <v>68</v>
      </c>
      <c r="C1060" s="34" t="s">
        <v>114</v>
      </c>
      <c r="D1060" s="108">
        <v>25.22</v>
      </c>
      <c r="E1060" s="34" t="s">
        <v>79</v>
      </c>
      <c r="F1060" s="109">
        <v>6.1</v>
      </c>
      <c r="G1060" s="36">
        <f t="shared" ref="G1060:G1065" si="184">F1060*6.3</f>
        <v>38.43</v>
      </c>
      <c r="H1060" s="37">
        <v>24</v>
      </c>
      <c r="I1060" s="36">
        <f t="shared" ref="I1060:I1065" si="185">G1060*H1060</f>
        <v>922.31999999999994</v>
      </c>
      <c r="J1060" s="36">
        <v>900</v>
      </c>
    </row>
    <row r="1061" spans="1:10" x14ac:dyDescent="0.25">
      <c r="A1061" s="31" t="s">
        <v>268</v>
      </c>
      <c r="B1061" s="37" t="s">
        <v>69</v>
      </c>
      <c r="C1061" s="34" t="s">
        <v>86</v>
      </c>
      <c r="D1061" s="108">
        <v>69.34</v>
      </c>
      <c r="E1061" s="34" t="s">
        <v>79</v>
      </c>
      <c r="F1061" s="110">
        <v>9.1999999999999993</v>
      </c>
      <c r="G1061" s="36">
        <f t="shared" si="184"/>
        <v>57.959999999999994</v>
      </c>
      <c r="H1061" s="37">
        <v>24</v>
      </c>
      <c r="I1061" s="41">
        <f t="shared" si="185"/>
        <v>1391.04</v>
      </c>
      <c r="J1061" s="36">
        <v>1400</v>
      </c>
    </row>
    <row r="1062" spans="1:10" x14ac:dyDescent="0.25">
      <c r="A1062" s="31" t="s">
        <v>268</v>
      </c>
      <c r="B1062" s="50" t="s">
        <v>70</v>
      </c>
      <c r="C1062" s="34" t="s">
        <v>75</v>
      </c>
      <c r="D1062" s="108" t="s">
        <v>38</v>
      </c>
      <c r="E1062" s="34" t="s">
        <v>79</v>
      </c>
      <c r="F1062" s="36">
        <v>3.5</v>
      </c>
      <c r="G1062" s="36">
        <f t="shared" si="184"/>
        <v>22.05</v>
      </c>
      <c r="H1062" s="37">
        <v>24</v>
      </c>
      <c r="I1062" s="36">
        <f t="shared" si="185"/>
        <v>529.20000000000005</v>
      </c>
      <c r="J1062" s="36">
        <v>500</v>
      </c>
    </row>
    <row r="1063" spans="1:10" x14ac:dyDescent="0.25">
      <c r="A1063" s="31" t="s">
        <v>268</v>
      </c>
      <c r="B1063" s="75" t="s">
        <v>71</v>
      </c>
      <c r="C1063" s="111" t="s">
        <v>156</v>
      </c>
      <c r="D1063" s="111">
        <v>71.36</v>
      </c>
      <c r="E1063" s="42" t="s">
        <v>79</v>
      </c>
      <c r="F1063" s="74">
        <v>10.1</v>
      </c>
      <c r="G1063" s="36">
        <f t="shared" si="184"/>
        <v>63.629999999999995</v>
      </c>
      <c r="H1063" s="37">
        <v>24</v>
      </c>
      <c r="I1063" s="44">
        <f t="shared" si="185"/>
        <v>1527.12</v>
      </c>
      <c r="J1063" s="36">
        <v>1600</v>
      </c>
    </row>
    <row r="1064" spans="1:10" x14ac:dyDescent="0.25">
      <c r="A1064" s="31" t="s">
        <v>268</v>
      </c>
      <c r="B1064" s="37" t="s">
        <v>65</v>
      </c>
      <c r="C1064" s="34" t="s">
        <v>158</v>
      </c>
      <c r="D1064" s="46">
        <v>15.11</v>
      </c>
      <c r="E1064" s="34" t="s">
        <v>79</v>
      </c>
      <c r="F1064" s="74">
        <v>6.5</v>
      </c>
      <c r="G1064" s="36">
        <f t="shared" si="184"/>
        <v>40.949999999999996</v>
      </c>
      <c r="H1064" s="35">
        <v>24</v>
      </c>
      <c r="I1064" s="44">
        <f t="shared" si="185"/>
        <v>982.8</v>
      </c>
      <c r="J1064" s="36">
        <v>1000</v>
      </c>
    </row>
    <row r="1065" spans="1:10" ht="15.75" thickBot="1" x14ac:dyDescent="0.3">
      <c r="A1065" s="31" t="s">
        <v>268</v>
      </c>
      <c r="B1065" s="43" t="s">
        <v>66</v>
      </c>
      <c r="C1065" s="52" t="s">
        <v>152</v>
      </c>
      <c r="D1065" s="72">
        <v>95.79</v>
      </c>
      <c r="E1065" s="42" t="s">
        <v>79</v>
      </c>
      <c r="F1065" s="73">
        <v>6.8</v>
      </c>
      <c r="G1065" s="74">
        <f t="shared" si="184"/>
        <v>42.839999999999996</v>
      </c>
      <c r="H1065" s="91">
        <v>24</v>
      </c>
      <c r="I1065" s="96">
        <f t="shared" si="185"/>
        <v>1028.1599999999999</v>
      </c>
      <c r="J1065" s="74">
        <v>1300</v>
      </c>
    </row>
    <row r="1066" spans="1:10" ht="19.5" thickBot="1" x14ac:dyDescent="0.35">
      <c r="A1066" s="206"/>
      <c r="B1066" s="174"/>
      <c r="C1066" s="207"/>
      <c r="D1066" s="208"/>
      <c r="E1066" s="208"/>
      <c r="F1066" s="208"/>
      <c r="G1066" s="208"/>
      <c r="H1066" s="174" t="s">
        <v>171</v>
      </c>
      <c r="I1066" s="101">
        <f>SUM(I1060:I1065)</f>
        <v>6380.6399999999994</v>
      </c>
      <c r="J1066" s="104">
        <f>SUM(J1060:J1065)</f>
        <v>6700</v>
      </c>
    </row>
    <row r="1067" spans="1:10" x14ac:dyDescent="0.25">
      <c r="A1067" s="31" t="s">
        <v>269</v>
      </c>
      <c r="B1067" s="37" t="s">
        <v>68</v>
      </c>
      <c r="C1067" s="34" t="s">
        <v>114</v>
      </c>
      <c r="D1067" s="108">
        <v>27.61</v>
      </c>
      <c r="E1067" s="34" t="s">
        <v>79</v>
      </c>
      <c r="F1067" s="109">
        <v>5.4</v>
      </c>
      <c r="G1067" s="36">
        <f t="shared" ref="G1067:G1072" si="186">F1067*6.3</f>
        <v>34.020000000000003</v>
      </c>
      <c r="H1067" s="37">
        <v>24</v>
      </c>
      <c r="I1067" s="36">
        <f t="shared" ref="I1067:I1072" si="187">G1067*H1067</f>
        <v>816.48</v>
      </c>
      <c r="J1067" s="36">
        <v>900</v>
      </c>
    </row>
    <row r="1068" spans="1:10" x14ac:dyDescent="0.25">
      <c r="A1068" s="31" t="s">
        <v>269</v>
      </c>
      <c r="B1068" s="37" t="s">
        <v>69</v>
      </c>
      <c r="C1068" s="34" t="s">
        <v>86</v>
      </c>
      <c r="D1068" s="108">
        <v>65.25</v>
      </c>
      <c r="E1068" s="34" t="s">
        <v>79</v>
      </c>
      <c r="F1068" s="110">
        <v>8.3000000000000007</v>
      </c>
      <c r="G1068" s="36">
        <f t="shared" si="186"/>
        <v>52.290000000000006</v>
      </c>
      <c r="H1068" s="37">
        <v>24</v>
      </c>
      <c r="I1068" s="41">
        <f t="shared" si="187"/>
        <v>1254.96</v>
      </c>
      <c r="J1068" s="36">
        <v>1400</v>
      </c>
    </row>
    <row r="1069" spans="1:10" x14ac:dyDescent="0.25">
      <c r="A1069" s="31" t="s">
        <v>269</v>
      </c>
      <c r="B1069" s="50" t="s">
        <v>70</v>
      </c>
      <c r="C1069" s="34" t="s">
        <v>75</v>
      </c>
      <c r="D1069" s="108" t="s">
        <v>38</v>
      </c>
      <c r="E1069" s="34" t="s">
        <v>79</v>
      </c>
      <c r="F1069" s="36">
        <v>3.5</v>
      </c>
      <c r="G1069" s="36">
        <f t="shared" si="186"/>
        <v>22.05</v>
      </c>
      <c r="H1069" s="37">
        <v>24</v>
      </c>
      <c r="I1069" s="36">
        <f t="shared" si="187"/>
        <v>529.20000000000005</v>
      </c>
      <c r="J1069" s="36">
        <v>500</v>
      </c>
    </row>
    <row r="1070" spans="1:10" x14ac:dyDescent="0.25">
      <c r="A1070" s="31" t="s">
        <v>269</v>
      </c>
      <c r="B1070" s="75" t="s">
        <v>71</v>
      </c>
      <c r="C1070" s="111" t="s">
        <v>156</v>
      </c>
      <c r="D1070" s="111">
        <v>71.36</v>
      </c>
      <c r="E1070" s="42" t="s">
        <v>79</v>
      </c>
      <c r="F1070" s="74">
        <v>10.199999999999999</v>
      </c>
      <c r="G1070" s="36">
        <f t="shared" si="186"/>
        <v>64.259999999999991</v>
      </c>
      <c r="H1070" s="37">
        <v>24</v>
      </c>
      <c r="I1070" s="44">
        <f t="shared" si="187"/>
        <v>1542.2399999999998</v>
      </c>
      <c r="J1070" s="36">
        <v>1600</v>
      </c>
    </row>
    <row r="1071" spans="1:10" x14ac:dyDescent="0.25">
      <c r="A1071" s="31" t="s">
        <v>269</v>
      </c>
      <c r="B1071" s="37" t="s">
        <v>65</v>
      </c>
      <c r="C1071" s="34" t="s">
        <v>158</v>
      </c>
      <c r="D1071" s="46">
        <v>15.11</v>
      </c>
      <c r="E1071" s="34" t="s">
        <v>79</v>
      </c>
      <c r="F1071" s="74">
        <v>6.8</v>
      </c>
      <c r="G1071" s="36">
        <f t="shared" si="186"/>
        <v>42.839999999999996</v>
      </c>
      <c r="H1071" s="35">
        <v>24</v>
      </c>
      <c r="I1071" s="44">
        <f t="shared" si="187"/>
        <v>1028.1599999999999</v>
      </c>
      <c r="J1071" s="36">
        <v>1000</v>
      </c>
    </row>
    <row r="1072" spans="1:10" ht="15.75" thickBot="1" x14ac:dyDescent="0.3">
      <c r="A1072" s="31" t="s">
        <v>269</v>
      </c>
      <c r="B1072" s="43" t="s">
        <v>66</v>
      </c>
      <c r="C1072" s="52" t="s">
        <v>152</v>
      </c>
      <c r="D1072" s="72">
        <v>95.54</v>
      </c>
      <c r="E1072" s="42" t="s">
        <v>79</v>
      </c>
      <c r="F1072" s="73">
        <v>6.6</v>
      </c>
      <c r="G1072" s="74">
        <f t="shared" si="186"/>
        <v>41.58</v>
      </c>
      <c r="H1072" s="91">
        <v>24</v>
      </c>
      <c r="I1072" s="96">
        <f t="shared" si="187"/>
        <v>997.92</v>
      </c>
      <c r="J1072" s="74">
        <v>1300</v>
      </c>
    </row>
    <row r="1073" spans="1:10" ht="19.5" thickBot="1" x14ac:dyDescent="0.35">
      <c r="A1073" s="206"/>
      <c r="B1073" s="174"/>
      <c r="C1073" s="207"/>
      <c r="D1073" s="208"/>
      <c r="E1073" s="208"/>
      <c r="F1073" s="208"/>
      <c r="G1073" s="208"/>
      <c r="H1073" s="174" t="s">
        <v>171</v>
      </c>
      <c r="I1073" s="101">
        <f>SUM(I1067:I1072)</f>
        <v>6168.96</v>
      </c>
      <c r="J1073" s="104">
        <f>SUM(J1067:J1072)</f>
        <v>6700</v>
      </c>
    </row>
    <row r="1074" spans="1:10" x14ac:dyDescent="0.25">
      <c r="A1074" s="31" t="s">
        <v>270</v>
      </c>
      <c r="B1074" s="37" t="s">
        <v>68</v>
      </c>
      <c r="C1074" s="34" t="s">
        <v>114</v>
      </c>
      <c r="D1074" s="108">
        <v>31.53</v>
      </c>
      <c r="E1074" s="34" t="s">
        <v>79</v>
      </c>
      <c r="F1074" s="109">
        <v>5.7</v>
      </c>
      <c r="G1074" s="36">
        <f t="shared" ref="G1074:G1079" si="188">F1074*6.3</f>
        <v>35.909999999999997</v>
      </c>
      <c r="H1074" s="37">
        <v>24</v>
      </c>
      <c r="I1074" s="36">
        <f t="shared" ref="I1074:I1079" si="189">G1074*H1074</f>
        <v>861.83999999999992</v>
      </c>
      <c r="J1074" s="36">
        <v>900</v>
      </c>
    </row>
    <row r="1075" spans="1:10" x14ac:dyDescent="0.25">
      <c r="A1075" s="31" t="s">
        <v>270</v>
      </c>
      <c r="B1075" s="37" t="s">
        <v>69</v>
      </c>
      <c r="C1075" s="34" t="s">
        <v>86</v>
      </c>
      <c r="D1075" s="108">
        <v>70.260000000000005</v>
      </c>
      <c r="E1075" s="34" t="s">
        <v>79</v>
      </c>
      <c r="F1075" s="110">
        <v>9.6</v>
      </c>
      <c r="G1075" s="36">
        <f t="shared" si="188"/>
        <v>60.48</v>
      </c>
      <c r="H1075" s="37">
        <v>24</v>
      </c>
      <c r="I1075" s="41">
        <f t="shared" si="189"/>
        <v>1451.52</v>
      </c>
      <c r="J1075" s="36">
        <v>1400</v>
      </c>
    </row>
    <row r="1076" spans="1:10" x14ac:dyDescent="0.25">
      <c r="A1076" s="31" t="s">
        <v>270</v>
      </c>
      <c r="B1076" s="50" t="s">
        <v>70</v>
      </c>
      <c r="C1076" s="34" t="s">
        <v>75</v>
      </c>
      <c r="D1076" s="108" t="s">
        <v>38</v>
      </c>
      <c r="E1076" s="34" t="s">
        <v>79</v>
      </c>
      <c r="F1076" s="36">
        <v>3.4</v>
      </c>
      <c r="G1076" s="36">
        <f t="shared" si="188"/>
        <v>21.419999999999998</v>
      </c>
      <c r="H1076" s="37">
        <v>24</v>
      </c>
      <c r="I1076" s="36">
        <f t="shared" si="189"/>
        <v>514.07999999999993</v>
      </c>
      <c r="J1076" s="36">
        <v>500</v>
      </c>
    </row>
    <row r="1077" spans="1:10" x14ac:dyDescent="0.25">
      <c r="A1077" s="31" t="s">
        <v>270</v>
      </c>
      <c r="B1077" s="75" t="s">
        <v>71</v>
      </c>
      <c r="C1077" s="111" t="s">
        <v>156</v>
      </c>
      <c r="D1077" s="111">
        <v>71.84</v>
      </c>
      <c r="E1077" s="42" t="s">
        <v>79</v>
      </c>
      <c r="F1077" s="74">
        <v>10.1</v>
      </c>
      <c r="G1077" s="36">
        <f t="shared" si="188"/>
        <v>63.629999999999995</v>
      </c>
      <c r="H1077" s="37">
        <v>24</v>
      </c>
      <c r="I1077" s="44">
        <f t="shared" si="189"/>
        <v>1527.12</v>
      </c>
      <c r="J1077" s="36">
        <v>1600</v>
      </c>
    </row>
    <row r="1078" spans="1:10" x14ac:dyDescent="0.25">
      <c r="A1078" s="31" t="s">
        <v>270</v>
      </c>
      <c r="B1078" s="37" t="s">
        <v>65</v>
      </c>
      <c r="C1078" s="34" t="s">
        <v>158</v>
      </c>
      <c r="D1078" s="46">
        <v>15.16</v>
      </c>
      <c r="E1078" s="34" t="s">
        <v>79</v>
      </c>
      <c r="F1078" s="74">
        <v>6.6</v>
      </c>
      <c r="G1078" s="36">
        <f t="shared" si="188"/>
        <v>41.58</v>
      </c>
      <c r="H1078" s="35">
        <v>24</v>
      </c>
      <c r="I1078" s="44">
        <f t="shared" si="189"/>
        <v>997.92</v>
      </c>
      <c r="J1078" s="36">
        <v>1000</v>
      </c>
    </row>
    <row r="1079" spans="1:10" ht="15.75" thickBot="1" x14ac:dyDescent="0.3">
      <c r="A1079" s="31" t="s">
        <v>270</v>
      </c>
      <c r="B1079" s="43" t="s">
        <v>66</v>
      </c>
      <c r="C1079" s="52" t="s">
        <v>152</v>
      </c>
      <c r="D1079" s="72">
        <v>96.94</v>
      </c>
      <c r="E1079" s="42" t="s">
        <v>79</v>
      </c>
      <c r="F1079" s="73">
        <v>6.8</v>
      </c>
      <c r="G1079" s="74">
        <f t="shared" si="188"/>
        <v>42.839999999999996</v>
      </c>
      <c r="H1079" s="91">
        <v>24</v>
      </c>
      <c r="I1079" s="96">
        <f t="shared" si="189"/>
        <v>1028.1599999999999</v>
      </c>
      <c r="J1079" s="74">
        <v>1300</v>
      </c>
    </row>
    <row r="1080" spans="1:10" ht="19.5" thickBot="1" x14ac:dyDescent="0.35">
      <c r="A1080" s="206"/>
      <c r="B1080" s="174"/>
      <c r="C1080" s="207"/>
      <c r="D1080" s="208"/>
      <c r="E1080" s="208"/>
      <c r="F1080" s="208"/>
      <c r="G1080" s="208"/>
      <c r="H1080" s="174" t="s">
        <v>171</v>
      </c>
      <c r="I1080" s="101">
        <f>SUM(I1074:I1079)</f>
        <v>6380.6399999999994</v>
      </c>
      <c r="J1080" s="104">
        <f>SUM(J1074:J1079)</f>
        <v>6700</v>
      </c>
    </row>
    <row r="1081" spans="1:10" x14ac:dyDescent="0.25">
      <c r="A1081" s="31" t="s">
        <v>271</v>
      </c>
      <c r="B1081" s="37" t="s">
        <v>68</v>
      </c>
      <c r="C1081" s="34" t="s">
        <v>114</v>
      </c>
      <c r="D1081" s="108">
        <v>32.64</v>
      </c>
      <c r="E1081" s="34" t="s">
        <v>79</v>
      </c>
      <c r="F1081" s="109">
        <v>5.8</v>
      </c>
      <c r="G1081" s="36">
        <f t="shared" ref="G1081:G1086" si="190">F1081*6.3</f>
        <v>36.54</v>
      </c>
      <c r="H1081" s="37">
        <v>24</v>
      </c>
      <c r="I1081" s="36">
        <f t="shared" ref="I1081:I1086" si="191">G1081*H1081</f>
        <v>876.96</v>
      </c>
      <c r="J1081" s="36">
        <v>900</v>
      </c>
    </row>
    <row r="1082" spans="1:10" x14ac:dyDescent="0.25">
      <c r="A1082" s="31" t="s">
        <v>271</v>
      </c>
      <c r="B1082" s="37" t="s">
        <v>69</v>
      </c>
      <c r="C1082" s="34" t="s">
        <v>86</v>
      </c>
      <c r="D1082" s="108">
        <v>69.900000000000006</v>
      </c>
      <c r="E1082" s="34" t="s">
        <v>79</v>
      </c>
      <c r="F1082" s="110">
        <v>9.8000000000000007</v>
      </c>
      <c r="G1082" s="36">
        <f t="shared" si="190"/>
        <v>61.74</v>
      </c>
      <c r="H1082" s="37">
        <v>24</v>
      </c>
      <c r="I1082" s="41">
        <f t="shared" si="191"/>
        <v>1481.76</v>
      </c>
      <c r="J1082" s="36">
        <v>1400</v>
      </c>
    </row>
    <row r="1083" spans="1:10" x14ac:dyDescent="0.25">
      <c r="A1083" s="31" t="s">
        <v>271</v>
      </c>
      <c r="B1083" s="50" t="s">
        <v>70</v>
      </c>
      <c r="C1083" s="34" t="s">
        <v>75</v>
      </c>
      <c r="D1083" s="108" t="s">
        <v>38</v>
      </c>
      <c r="E1083" s="34" t="s">
        <v>79</v>
      </c>
      <c r="F1083" s="36">
        <v>3.3</v>
      </c>
      <c r="G1083" s="36">
        <f t="shared" si="190"/>
        <v>20.79</v>
      </c>
      <c r="H1083" s="37">
        <v>24</v>
      </c>
      <c r="I1083" s="36">
        <f t="shared" si="191"/>
        <v>498.96</v>
      </c>
      <c r="J1083" s="36">
        <v>500</v>
      </c>
    </row>
    <row r="1084" spans="1:10" x14ac:dyDescent="0.25">
      <c r="A1084" s="31" t="s">
        <v>271</v>
      </c>
      <c r="B1084" s="75" t="s">
        <v>71</v>
      </c>
      <c r="C1084" s="111" t="s">
        <v>156</v>
      </c>
      <c r="D1084" s="111">
        <v>72.209999999999994</v>
      </c>
      <c r="E1084" s="42" t="s">
        <v>79</v>
      </c>
      <c r="F1084" s="74">
        <v>9.8000000000000007</v>
      </c>
      <c r="G1084" s="36">
        <f t="shared" si="190"/>
        <v>61.74</v>
      </c>
      <c r="H1084" s="37">
        <v>24</v>
      </c>
      <c r="I1084" s="44">
        <f t="shared" si="191"/>
        <v>1481.76</v>
      </c>
      <c r="J1084" s="36">
        <v>1600</v>
      </c>
    </row>
    <row r="1085" spans="1:10" x14ac:dyDescent="0.25">
      <c r="A1085" s="31" t="s">
        <v>271</v>
      </c>
      <c r="B1085" s="37" t="s">
        <v>65</v>
      </c>
      <c r="C1085" s="34" t="s">
        <v>158</v>
      </c>
      <c r="D1085" s="46">
        <v>15.16</v>
      </c>
      <c r="E1085" s="34" t="s">
        <v>79</v>
      </c>
      <c r="F1085" s="74">
        <v>6.6</v>
      </c>
      <c r="G1085" s="36">
        <f t="shared" si="190"/>
        <v>41.58</v>
      </c>
      <c r="H1085" s="35">
        <v>24</v>
      </c>
      <c r="I1085" s="44">
        <f t="shared" si="191"/>
        <v>997.92</v>
      </c>
      <c r="J1085" s="36">
        <v>1000</v>
      </c>
    </row>
    <row r="1086" spans="1:10" ht="15.75" thickBot="1" x14ac:dyDescent="0.3">
      <c r="A1086" s="31" t="s">
        <v>271</v>
      </c>
      <c r="B1086" s="43" t="s">
        <v>66</v>
      </c>
      <c r="C1086" s="52" t="s">
        <v>152</v>
      </c>
      <c r="D1086" s="72">
        <v>96.17</v>
      </c>
      <c r="E1086" s="42" t="s">
        <v>79</v>
      </c>
      <c r="F1086" s="73">
        <v>6.9</v>
      </c>
      <c r="G1086" s="74">
        <f t="shared" si="190"/>
        <v>43.47</v>
      </c>
      <c r="H1086" s="91">
        <v>24</v>
      </c>
      <c r="I1086" s="96">
        <f t="shared" si="191"/>
        <v>1043.28</v>
      </c>
      <c r="J1086" s="74">
        <v>1300</v>
      </c>
    </row>
    <row r="1087" spans="1:10" ht="19.5" thickBot="1" x14ac:dyDescent="0.35">
      <c r="A1087" s="206"/>
      <c r="B1087" s="174"/>
      <c r="C1087" s="207"/>
      <c r="D1087" s="208"/>
      <c r="E1087" s="208"/>
      <c r="F1087" s="208"/>
      <c r="G1087" s="208"/>
      <c r="H1087" s="174" t="s">
        <v>171</v>
      </c>
      <c r="I1087" s="101">
        <f>SUM(I1081:I1086)</f>
        <v>6380.64</v>
      </c>
      <c r="J1087" s="104">
        <f>SUM(J1081:J1086)</f>
        <v>6700</v>
      </c>
    </row>
    <row r="1088" spans="1:10" x14ac:dyDescent="0.25">
      <c r="A1088" s="31" t="s">
        <v>272</v>
      </c>
      <c r="B1088" s="37" t="s">
        <v>68</v>
      </c>
      <c r="C1088" s="34" t="s">
        <v>114</v>
      </c>
      <c r="D1088" s="108">
        <v>32.36</v>
      </c>
      <c r="E1088" s="34" t="s">
        <v>79</v>
      </c>
      <c r="F1088" s="109">
        <v>5.4</v>
      </c>
      <c r="G1088" s="36">
        <f t="shared" ref="G1088:G1093" si="192">F1088*6.3</f>
        <v>34.020000000000003</v>
      </c>
      <c r="H1088" s="37">
        <v>24</v>
      </c>
      <c r="I1088" s="36">
        <f t="shared" ref="I1088:I1093" si="193">G1088*H1088</f>
        <v>816.48</v>
      </c>
      <c r="J1088" s="36">
        <v>900</v>
      </c>
    </row>
    <row r="1089" spans="1:10" x14ac:dyDescent="0.25">
      <c r="A1089" s="31" t="s">
        <v>272</v>
      </c>
      <c r="B1089" s="37" t="s">
        <v>69</v>
      </c>
      <c r="C1089" s="34" t="s">
        <v>86</v>
      </c>
      <c r="D1089" s="108">
        <v>70.2</v>
      </c>
      <c r="E1089" s="34" t="s">
        <v>79</v>
      </c>
      <c r="F1089" s="110">
        <v>9.4</v>
      </c>
      <c r="G1089" s="36">
        <f t="shared" si="192"/>
        <v>59.22</v>
      </c>
      <c r="H1089" s="37">
        <v>24</v>
      </c>
      <c r="I1089" s="41">
        <f t="shared" si="193"/>
        <v>1421.28</v>
      </c>
      <c r="J1089" s="36">
        <v>1400</v>
      </c>
    </row>
    <row r="1090" spans="1:10" x14ac:dyDescent="0.25">
      <c r="A1090" s="31" t="s">
        <v>272</v>
      </c>
      <c r="B1090" s="50" t="s">
        <v>70</v>
      </c>
      <c r="C1090" s="34" t="s">
        <v>75</v>
      </c>
      <c r="D1090" s="108" t="s">
        <v>38</v>
      </c>
      <c r="E1090" s="34" t="s">
        <v>79</v>
      </c>
      <c r="F1090" s="36">
        <v>3.3</v>
      </c>
      <c r="G1090" s="36">
        <f t="shared" si="192"/>
        <v>20.79</v>
      </c>
      <c r="H1090" s="37">
        <v>24</v>
      </c>
      <c r="I1090" s="36">
        <f t="shared" si="193"/>
        <v>498.96</v>
      </c>
      <c r="J1090" s="36">
        <v>500</v>
      </c>
    </row>
    <row r="1091" spans="1:10" x14ac:dyDescent="0.25">
      <c r="A1091" s="31" t="s">
        <v>272</v>
      </c>
      <c r="B1091" s="75" t="s">
        <v>71</v>
      </c>
      <c r="C1091" s="111" t="s">
        <v>156</v>
      </c>
      <c r="D1091" s="111">
        <v>72.209999999999994</v>
      </c>
      <c r="E1091" s="42" t="s">
        <v>79</v>
      </c>
      <c r="F1091" s="74">
        <v>10.199999999999999</v>
      </c>
      <c r="G1091" s="36">
        <f t="shared" si="192"/>
        <v>64.259999999999991</v>
      </c>
      <c r="H1091" s="37">
        <v>24</v>
      </c>
      <c r="I1091" s="44">
        <f t="shared" si="193"/>
        <v>1542.2399999999998</v>
      </c>
      <c r="J1091" s="36">
        <v>1600</v>
      </c>
    </row>
    <row r="1092" spans="1:10" x14ac:dyDescent="0.25">
      <c r="A1092" s="31" t="s">
        <v>272</v>
      </c>
      <c r="B1092" s="37" t="s">
        <v>65</v>
      </c>
      <c r="C1092" s="34" t="s">
        <v>158</v>
      </c>
      <c r="D1092" s="46">
        <v>15.42</v>
      </c>
      <c r="E1092" s="34" t="s">
        <v>79</v>
      </c>
      <c r="F1092" s="74">
        <v>7</v>
      </c>
      <c r="G1092" s="36">
        <f t="shared" si="192"/>
        <v>44.1</v>
      </c>
      <c r="H1092" s="35">
        <v>24</v>
      </c>
      <c r="I1092" s="44">
        <f t="shared" si="193"/>
        <v>1058.4000000000001</v>
      </c>
      <c r="J1092" s="36">
        <v>1000</v>
      </c>
    </row>
    <row r="1093" spans="1:10" ht="15.75" thickBot="1" x14ac:dyDescent="0.3">
      <c r="A1093" s="31" t="s">
        <v>272</v>
      </c>
      <c r="B1093" s="43" t="s">
        <v>66</v>
      </c>
      <c r="C1093" s="52" t="s">
        <v>152</v>
      </c>
      <c r="D1093" s="72">
        <v>97</v>
      </c>
      <c r="E1093" s="42" t="s">
        <v>79</v>
      </c>
      <c r="F1093" s="73">
        <v>6.8</v>
      </c>
      <c r="G1093" s="74">
        <f t="shared" si="192"/>
        <v>42.839999999999996</v>
      </c>
      <c r="H1093" s="91">
        <v>24</v>
      </c>
      <c r="I1093" s="96">
        <f t="shared" si="193"/>
        <v>1028.1599999999999</v>
      </c>
      <c r="J1093" s="74">
        <v>1300</v>
      </c>
    </row>
    <row r="1094" spans="1:10" ht="19.5" thickBot="1" x14ac:dyDescent="0.35">
      <c r="A1094" s="206"/>
      <c r="B1094" s="174"/>
      <c r="C1094" s="207"/>
      <c r="D1094" s="208"/>
      <c r="E1094" s="208"/>
      <c r="F1094" s="208"/>
      <c r="G1094" s="208"/>
      <c r="H1094" s="174" t="s">
        <v>171</v>
      </c>
      <c r="I1094" s="101">
        <f>SUM(I1088:I1093)</f>
        <v>6365.52</v>
      </c>
      <c r="J1094" s="104">
        <f>SUM(J1088:J1093)</f>
        <v>6700</v>
      </c>
    </row>
    <row r="1095" spans="1:10" x14ac:dyDescent="0.25">
      <c r="A1095" s="31" t="s">
        <v>273</v>
      </c>
      <c r="B1095" s="37" t="s">
        <v>68</v>
      </c>
      <c r="C1095" s="34" t="s">
        <v>114</v>
      </c>
      <c r="D1095" s="108">
        <v>31.1</v>
      </c>
      <c r="E1095" s="34" t="s">
        <v>79</v>
      </c>
      <c r="F1095" s="109">
        <v>5.2</v>
      </c>
      <c r="G1095" s="36">
        <f t="shared" ref="G1095:G1100" si="194">F1095*6.3</f>
        <v>32.76</v>
      </c>
      <c r="H1095" s="37">
        <v>24</v>
      </c>
      <c r="I1095" s="36">
        <f t="shared" ref="I1095:I1100" si="195">G1095*H1095</f>
        <v>786.24</v>
      </c>
      <c r="J1095" s="36">
        <v>900</v>
      </c>
    </row>
    <row r="1096" spans="1:10" x14ac:dyDescent="0.25">
      <c r="A1096" s="31" t="s">
        <v>273</v>
      </c>
      <c r="B1096" s="37" t="s">
        <v>69</v>
      </c>
      <c r="C1096" s="34" t="s">
        <v>86</v>
      </c>
      <c r="D1096" s="108">
        <v>66.819999999999993</v>
      </c>
      <c r="E1096" s="34" t="s">
        <v>79</v>
      </c>
      <c r="F1096" s="110">
        <v>9.42</v>
      </c>
      <c r="G1096" s="36">
        <f t="shared" si="194"/>
        <v>59.345999999999997</v>
      </c>
      <c r="H1096" s="37">
        <v>24</v>
      </c>
      <c r="I1096" s="41">
        <f t="shared" si="195"/>
        <v>1424.3039999999999</v>
      </c>
      <c r="J1096" s="36">
        <v>1400</v>
      </c>
    </row>
    <row r="1097" spans="1:10" x14ac:dyDescent="0.25">
      <c r="A1097" s="31" t="s">
        <v>273</v>
      </c>
      <c r="B1097" s="50" t="s">
        <v>70</v>
      </c>
      <c r="C1097" s="34" t="s">
        <v>75</v>
      </c>
      <c r="D1097" s="108" t="s">
        <v>38</v>
      </c>
      <c r="E1097" s="34" t="s">
        <v>79</v>
      </c>
      <c r="F1097" s="36">
        <v>3.4</v>
      </c>
      <c r="G1097" s="36">
        <f t="shared" si="194"/>
        <v>21.419999999999998</v>
      </c>
      <c r="H1097" s="37">
        <v>24</v>
      </c>
      <c r="I1097" s="36">
        <f t="shared" si="195"/>
        <v>514.07999999999993</v>
      </c>
      <c r="J1097" s="36">
        <v>500</v>
      </c>
    </row>
    <row r="1098" spans="1:10" x14ac:dyDescent="0.25">
      <c r="A1098" s="31" t="s">
        <v>273</v>
      </c>
      <c r="B1098" s="75" t="s">
        <v>71</v>
      </c>
      <c r="C1098" s="111" t="s">
        <v>156</v>
      </c>
      <c r="D1098" s="111">
        <v>72.59</v>
      </c>
      <c r="E1098" s="42" t="s">
        <v>79</v>
      </c>
      <c r="F1098" s="74">
        <v>10.3</v>
      </c>
      <c r="G1098" s="36">
        <f t="shared" si="194"/>
        <v>64.89</v>
      </c>
      <c r="H1098" s="37">
        <v>24</v>
      </c>
      <c r="I1098" s="44">
        <f t="shared" si="195"/>
        <v>1557.3600000000001</v>
      </c>
      <c r="J1098" s="36">
        <v>1600</v>
      </c>
    </row>
    <row r="1099" spans="1:10" x14ac:dyDescent="0.25">
      <c r="A1099" s="31" t="s">
        <v>273</v>
      </c>
      <c r="B1099" s="37" t="s">
        <v>65</v>
      </c>
      <c r="C1099" s="34" t="s">
        <v>158</v>
      </c>
      <c r="D1099" s="46">
        <v>15.47</v>
      </c>
      <c r="E1099" s="34" t="s">
        <v>79</v>
      </c>
      <c r="F1099" s="74">
        <v>7</v>
      </c>
      <c r="G1099" s="36">
        <f t="shared" si="194"/>
        <v>44.1</v>
      </c>
      <c r="H1099" s="35">
        <v>24</v>
      </c>
      <c r="I1099" s="44">
        <f t="shared" si="195"/>
        <v>1058.4000000000001</v>
      </c>
      <c r="J1099" s="36">
        <v>1000</v>
      </c>
    </row>
    <row r="1100" spans="1:10" ht="15.75" thickBot="1" x14ac:dyDescent="0.3">
      <c r="A1100" s="31" t="s">
        <v>273</v>
      </c>
      <c r="B1100" s="43" t="s">
        <v>66</v>
      </c>
      <c r="C1100" s="52" t="s">
        <v>152</v>
      </c>
      <c r="D1100" s="72">
        <v>97.44</v>
      </c>
      <c r="E1100" s="42" t="s">
        <v>79</v>
      </c>
      <c r="F1100" s="73">
        <v>6.7</v>
      </c>
      <c r="G1100" s="74">
        <f t="shared" si="194"/>
        <v>42.21</v>
      </c>
      <c r="H1100" s="91">
        <v>24</v>
      </c>
      <c r="I1100" s="96">
        <f t="shared" si="195"/>
        <v>1013.04</v>
      </c>
      <c r="J1100" s="74">
        <v>1300</v>
      </c>
    </row>
    <row r="1101" spans="1:10" ht="19.5" thickBot="1" x14ac:dyDescent="0.35">
      <c r="A1101" s="206"/>
      <c r="B1101" s="174"/>
      <c r="C1101" s="207"/>
      <c r="D1101" s="208"/>
      <c r="E1101" s="208"/>
      <c r="F1101" s="208"/>
      <c r="G1101" s="208"/>
      <c r="H1101" s="174" t="s">
        <v>171</v>
      </c>
      <c r="I1101" s="101">
        <f>SUM(I1095:I1100)</f>
        <v>6353.424</v>
      </c>
      <c r="J1101" s="104">
        <f>SUM(J1095:J1100)</f>
        <v>6700</v>
      </c>
    </row>
    <row r="1102" spans="1:10" x14ac:dyDescent="0.25">
      <c r="A1102" s="31" t="s">
        <v>274</v>
      </c>
      <c r="B1102" s="37" t="s">
        <v>68</v>
      </c>
      <c r="C1102" s="34" t="s">
        <v>114</v>
      </c>
      <c r="D1102" s="108">
        <v>30.36</v>
      </c>
      <c r="E1102" s="34" t="s">
        <v>79</v>
      </c>
      <c r="F1102" s="109">
        <v>5.0999999999999996</v>
      </c>
      <c r="G1102" s="36">
        <f t="shared" ref="G1102:G1107" si="196">F1102*6.3</f>
        <v>32.129999999999995</v>
      </c>
      <c r="H1102" s="37">
        <v>23.5</v>
      </c>
      <c r="I1102" s="36">
        <f t="shared" ref="I1102:I1107" si="197">G1102*H1102</f>
        <v>755.05499999999984</v>
      </c>
      <c r="J1102" s="36">
        <v>900</v>
      </c>
    </row>
    <row r="1103" spans="1:10" x14ac:dyDescent="0.25">
      <c r="A1103" s="31" t="s">
        <v>274</v>
      </c>
      <c r="B1103" s="37" t="s">
        <v>69</v>
      </c>
      <c r="C1103" s="34" t="s">
        <v>86</v>
      </c>
      <c r="D1103" s="108">
        <v>65.05</v>
      </c>
      <c r="E1103" s="34" t="s">
        <v>79</v>
      </c>
      <c r="F1103" s="110">
        <v>9.51</v>
      </c>
      <c r="G1103" s="36">
        <f t="shared" si="196"/>
        <v>59.912999999999997</v>
      </c>
      <c r="H1103" s="37">
        <v>23.5</v>
      </c>
      <c r="I1103" s="41">
        <f t="shared" si="197"/>
        <v>1407.9555</v>
      </c>
      <c r="J1103" s="36">
        <v>1400</v>
      </c>
    </row>
    <row r="1104" spans="1:10" x14ac:dyDescent="0.25">
      <c r="A1104" s="31" t="s">
        <v>274</v>
      </c>
      <c r="B1104" s="50" t="s">
        <v>70</v>
      </c>
      <c r="C1104" s="34" t="s">
        <v>75</v>
      </c>
      <c r="D1104" s="108" t="s">
        <v>38</v>
      </c>
      <c r="E1104" s="34" t="s">
        <v>79</v>
      </c>
      <c r="F1104" s="36">
        <v>3.6</v>
      </c>
      <c r="G1104" s="36">
        <f t="shared" si="196"/>
        <v>22.68</v>
      </c>
      <c r="H1104" s="37">
        <v>23.5</v>
      </c>
      <c r="I1104" s="36">
        <f t="shared" si="197"/>
        <v>532.98</v>
      </c>
      <c r="J1104" s="36">
        <v>500</v>
      </c>
    </row>
    <row r="1105" spans="1:10" x14ac:dyDescent="0.25">
      <c r="A1105" s="31" t="s">
        <v>274</v>
      </c>
      <c r="B1105" s="75" t="s">
        <v>71</v>
      </c>
      <c r="C1105" s="111" t="s">
        <v>156</v>
      </c>
      <c r="D1105" s="111">
        <v>72.42</v>
      </c>
      <c r="E1105" s="42" t="s">
        <v>79</v>
      </c>
      <c r="F1105" s="74">
        <v>9.9700000000000006</v>
      </c>
      <c r="G1105" s="36">
        <f t="shared" si="196"/>
        <v>62.811</v>
      </c>
      <c r="H1105" s="37">
        <v>23.5</v>
      </c>
      <c r="I1105" s="44">
        <f t="shared" si="197"/>
        <v>1476.0585000000001</v>
      </c>
      <c r="J1105" s="36">
        <v>1600</v>
      </c>
    </row>
    <row r="1106" spans="1:10" x14ac:dyDescent="0.25">
      <c r="A1106" s="31" t="s">
        <v>274</v>
      </c>
      <c r="B1106" s="37" t="s">
        <v>65</v>
      </c>
      <c r="C1106" s="34" t="s">
        <v>158</v>
      </c>
      <c r="D1106" s="46">
        <v>15.42</v>
      </c>
      <c r="E1106" s="34" t="s">
        <v>79</v>
      </c>
      <c r="F1106" s="74">
        <v>6.97</v>
      </c>
      <c r="G1106" s="36">
        <f t="shared" si="196"/>
        <v>43.910999999999994</v>
      </c>
      <c r="H1106" s="35">
        <v>23.5</v>
      </c>
      <c r="I1106" s="44">
        <f t="shared" si="197"/>
        <v>1031.9084999999998</v>
      </c>
      <c r="J1106" s="36">
        <v>1000</v>
      </c>
    </row>
    <row r="1107" spans="1:10" ht="15.75" thickBot="1" x14ac:dyDescent="0.3">
      <c r="A1107" s="31" t="s">
        <v>274</v>
      </c>
      <c r="B1107" s="43" t="s">
        <v>66</v>
      </c>
      <c r="C1107" s="52" t="s">
        <v>152</v>
      </c>
      <c r="D1107" s="72">
        <v>96.09</v>
      </c>
      <c r="E1107" s="42" t="s">
        <v>79</v>
      </c>
      <c r="F1107" s="73">
        <v>6.79</v>
      </c>
      <c r="G1107" s="74">
        <f t="shared" si="196"/>
        <v>42.777000000000001</v>
      </c>
      <c r="H1107" s="91">
        <v>23.5</v>
      </c>
      <c r="I1107" s="96">
        <f t="shared" si="197"/>
        <v>1005.2595</v>
      </c>
      <c r="J1107" s="74">
        <v>1300</v>
      </c>
    </row>
    <row r="1108" spans="1:10" ht="19.5" thickBot="1" x14ac:dyDescent="0.35">
      <c r="A1108" s="220"/>
      <c r="B1108" s="221"/>
      <c r="C1108" s="324"/>
      <c r="D1108" s="208"/>
      <c r="E1108" s="208"/>
      <c r="F1108" s="208"/>
      <c r="G1108" s="208"/>
      <c r="H1108" s="174" t="s">
        <v>171</v>
      </c>
      <c r="I1108" s="101">
        <f>SUM(I1102:I1107)</f>
        <v>6209.2169999999996</v>
      </c>
      <c r="J1108" s="104">
        <f>SUM(J1102:J1107)</f>
        <v>6700</v>
      </c>
    </row>
    <row r="1109" spans="1:10" x14ac:dyDescent="0.25">
      <c r="A1109" s="31" t="s">
        <v>275</v>
      </c>
      <c r="B1109" s="37" t="s">
        <v>68</v>
      </c>
      <c r="C1109" s="34" t="s">
        <v>114</v>
      </c>
      <c r="D1109" s="108">
        <v>31.53</v>
      </c>
      <c r="E1109" s="34" t="s">
        <v>79</v>
      </c>
      <c r="F1109" s="109">
        <v>5.17</v>
      </c>
      <c r="G1109" s="36">
        <f t="shared" ref="G1109:G1114" si="198">F1109*6.3</f>
        <v>32.570999999999998</v>
      </c>
      <c r="H1109" s="37">
        <v>24</v>
      </c>
      <c r="I1109" s="36">
        <f t="shared" ref="I1109:I1114" si="199">G1109*H1109</f>
        <v>781.70399999999995</v>
      </c>
      <c r="J1109" s="36">
        <v>900</v>
      </c>
    </row>
    <row r="1110" spans="1:10" x14ac:dyDescent="0.25">
      <c r="A1110" s="31" t="s">
        <v>275</v>
      </c>
      <c r="B1110" s="37" t="s">
        <v>69</v>
      </c>
      <c r="C1110" s="34" t="s">
        <v>86</v>
      </c>
      <c r="D1110" s="108">
        <v>63.34</v>
      </c>
      <c r="E1110" s="34" t="s">
        <v>79</v>
      </c>
      <c r="F1110" s="110">
        <v>9.56</v>
      </c>
      <c r="G1110" s="36">
        <f t="shared" si="198"/>
        <v>60.228000000000002</v>
      </c>
      <c r="H1110" s="37">
        <v>24</v>
      </c>
      <c r="I1110" s="41">
        <f t="shared" si="199"/>
        <v>1445.472</v>
      </c>
      <c r="J1110" s="36">
        <v>1400</v>
      </c>
    </row>
    <row r="1111" spans="1:10" x14ac:dyDescent="0.25">
      <c r="A1111" s="31" t="s">
        <v>275</v>
      </c>
      <c r="B1111" s="50" t="s">
        <v>70</v>
      </c>
      <c r="C1111" s="34" t="s">
        <v>75</v>
      </c>
      <c r="D1111" s="108" t="s">
        <v>38</v>
      </c>
      <c r="E1111" s="34" t="s">
        <v>79</v>
      </c>
      <c r="F1111" s="36">
        <v>3.55</v>
      </c>
      <c r="G1111" s="36">
        <f t="shared" si="198"/>
        <v>22.364999999999998</v>
      </c>
      <c r="H1111" s="37">
        <v>24</v>
      </c>
      <c r="I1111" s="36">
        <f t="shared" si="199"/>
        <v>536.76</v>
      </c>
      <c r="J1111" s="36">
        <v>500</v>
      </c>
    </row>
    <row r="1112" spans="1:10" x14ac:dyDescent="0.25">
      <c r="A1112" s="31" t="s">
        <v>275</v>
      </c>
      <c r="B1112" s="75" t="s">
        <v>71</v>
      </c>
      <c r="C1112" s="111" t="s">
        <v>156</v>
      </c>
      <c r="D1112" s="111">
        <v>73.17</v>
      </c>
      <c r="E1112" s="42" t="s">
        <v>79</v>
      </c>
      <c r="F1112" s="74">
        <v>10.029999999999999</v>
      </c>
      <c r="G1112" s="36">
        <f t="shared" si="198"/>
        <v>63.188999999999993</v>
      </c>
      <c r="H1112" s="37">
        <v>24</v>
      </c>
      <c r="I1112" s="44">
        <f t="shared" si="199"/>
        <v>1516.5359999999998</v>
      </c>
      <c r="J1112" s="36">
        <v>1600</v>
      </c>
    </row>
    <row r="1113" spans="1:10" x14ac:dyDescent="0.25">
      <c r="A1113" s="31" t="s">
        <v>275</v>
      </c>
      <c r="B1113" s="37" t="s">
        <v>65</v>
      </c>
      <c r="C1113" s="34" t="s">
        <v>158</v>
      </c>
      <c r="D1113" s="46">
        <v>15.59</v>
      </c>
      <c r="E1113" s="34" t="s">
        <v>79</v>
      </c>
      <c r="F1113" s="74">
        <v>6.96</v>
      </c>
      <c r="G1113" s="36">
        <f t="shared" si="198"/>
        <v>43.847999999999999</v>
      </c>
      <c r="H1113" s="35">
        <v>24</v>
      </c>
      <c r="I1113" s="44">
        <f t="shared" si="199"/>
        <v>1052.3519999999999</v>
      </c>
      <c r="J1113" s="36">
        <v>1000</v>
      </c>
    </row>
    <row r="1114" spans="1:10" ht="15.75" thickBot="1" x14ac:dyDescent="0.3">
      <c r="A1114" s="31" t="s">
        <v>275</v>
      </c>
      <c r="B1114" s="43" t="s">
        <v>66</v>
      </c>
      <c r="C1114" s="52" t="s">
        <v>152</v>
      </c>
      <c r="D1114" s="72">
        <v>97.44</v>
      </c>
      <c r="E1114" s="42" t="s">
        <v>79</v>
      </c>
      <c r="F1114" s="73">
        <v>6.74</v>
      </c>
      <c r="G1114" s="74">
        <f t="shared" si="198"/>
        <v>42.462000000000003</v>
      </c>
      <c r="H1114" s="91">
        <v>24</v>
      </c>
      <c r="I1114" s="96">
        <f t="shared" si="199"/>
        <v>1019.0880000000001</v>
      </c>
      <c r="J1114" s="74">
        <v>1300</v>
      </c>
    </row>
    <row r="1115" spans="1:10" ht="19.5" thickBot="1" x14ac:dyDescent="0.35">
      <c r="A1115" s="220"/>
      <c r="B1115" s="221"/>
      <c r="C1115" s="324"/>
      <c r="D1115" s="208"/>
      <c r="E1115" s="208"/>
      <c r="F1115" s="208"/>
      <c r="G1115" s="208"/>
      <c r="H1115" s="174" t="s">
        <v>171</v>
      </c>
      <c r="I1115" s="101">
        <f>SUM(I1109:I1114)</f>
        <v>6351.9119999999994</v>
      </c>
      <c r="J1115" s="104">
        <f>SUM(J1109:J1114)</f>
        <v>6700</v>
      </c>
    </row>
    <row r="1116" spans="1:10" x14ac:dyDescent="0.25">
      <c r="A1116" s="31" t="s">
        <v>276</v>
      </c>
      <c r="B1116" s="37" t="s">
        <v>68</v>
      </c>
      <c r="C1116" s="34" t="s">
        <v>114</v>
      </c>
      <c r="D1116" s="108">
        <v>31.03</v>
      </c>
      <c r="E1116" s="34" t="s">
        <v>79</v>
      </c>
      <c r="F1116" s="109">
        <v>5.26</v>
      </c>
      <c r="G1116" s="36">
        <f t="shared" ref="G1116:G1121" si="200">F1116*6.3</f>
        <v>33.137999999999998</v>
      </c>
      <c r="H1116" s="37">
        <v>24</v>
      </c>
      <c r="I1116" s="36">
        <f t="shared" ref="I1116:I1121" si="201">G1116*H1116</f>
        <v>795.3119999999999</v>
      </c>
      <c r="J1116" s="36">
        <v>900</v>
      </c>
    </row>
    <row r="1117" spans="1:10" x14ac:dyDescent="0.25">
      <c r="A1117" s="31" t="s">
        <v>276</v>
      </c>
      <c r="B1117" s="37" t="s">
        <v>69</v>
      </c>
      <c r="C1117" s="34" t="s">
        <v>86</v>
      </c>
      <c r="D1117" s="108">
        <v>58.5</v>
      </c>
      <c r="E1117" s="34" t="s">
        <v>79</v>
      </c>
      <c r="F1117" s="110">
        <v>8.7200000000000006</v>
      </c>
      <c r="G1117" s="36">
        <f t="shared" si="200"/>
        <v>54.936</v>
      </c>
      <c r="H1117" s="37">
        <v>24</v>
      </c>
      <c r="I1117" s="41">
        <f t="shared" si="201"/>
        <v>1318.4639999999999</v>
      </c>
      <c r="J1117" s="36">
        <v>1400</v>
      </c>
    </row>
    <row r="1118" spans="1:10" x14ac:dyDescent="0.25">
      <c r="A1118" s="31" t="s">
        <v>276</v>
      </c>
      <c r="B1118" s="50" t="s">
        <v>70</v>
      </c>
      <c r="C1118" s="34" t="s">
        <v>75</v>
      </c>
      <c r="D1118" s="108" t="s">
        <v>38</v>
      </c>
      <c r="E1118" s="34" t="s">
        <v>79</v>
      </c>
      <c r="F1118" s="36">
        <v>3.51</v>
      </c>
      <c r="G1118" s="36">
        <f t="shared" si="200"/>
        <v>22.113</v>
      </c>
      <c r="H1118" s="37">
        <v>24</v>
      </c>
      <c r="I1118" s="36">
        <f t="shared" si="201"/>
        <v>530.71199999999999</v>
      </c>
      <c r="J1118" s="36">
        <v>500</v>
      </c>
    </row>
    <row r="1119" spans="1:10" x14ac:dyDescent="0.25">
      <c r="A1119" s="31" t="s">
        <v>276</v>
      </c>
      <c r="B1119" s="75" t="s">
        <v>71</v>
      </c>
      <c r="C1119" s="111" t="s">
        <v>156</v>
      </c>
      <c r="D1119" s="111">
        <v>73.260000000000005</v>
      </c>
      <c r="E1119" s="42" t="s">
        <v>79</v>
      </c>
      <c r="F1119" s="74">
        <v>10.029999999999999</v>
      </c>
      <c r="G1119" s="36">
        <f t="shared" si="200"/>
        <v>63.188999999999993</v>
      </c>
      <c r="H1119" s="37">
        <v>24</v>
      </c>
      <c r="I1119" s="44">
        <f t="shared" si="201"/>
        <v>1516.5359999999998</v>
      </c>
      <c r="J1119" s="36">
        <v>1600</v>
      </c>
    </row>
    <row r="1120" spans="1:10" x14ac:dyDescent="0.25">
      <c r="A1120" s="31" t="s">
        <v>276</v>
      </c>
      <c r="B1120" s="37" t="s">
        <v>65</v>
      </c>
      <c r="C1120" s="34" t="s">
        <v>158</v>
      </c>
      <c r="D1120" s="46">
        <v>15.84</v>
      </c>
      <c r="E1120" s="34" t="s">
        <v>79</v>
      </c>
      <c r="F1120" s="74">
        <v>6.98</v>
      </c>
      <c r="G1120" s="36">
        <f t="shared" si="200"/>
        <v>43.974000000000004</v>
      </c>
      <c r="H1120" s="35">
        <v>24</v>
      </c>
      <c r="I1120" s="44">
        <f t="shared" si="201"/>
        <v>1055.3760000000002</v>
      </c>
      <c r="J1120" s="36">
        <v>1000</v>
      </c>
    </row>
    <row r="1121" spans="1:10" ht="15.75" thickBot="1" x14ac:dyDescent="0.3">
      <c r="A1121" s="31" t="s">
        <v>276</v>
      </c>
      <c r="B1121" s="43" t="s">
        <v>66</v>
      </c>
      <c r="C1121" s="52" t="s">
        <v>152</v>
      </c>
      <c r="D1121" s="72">
        <v>97.56</v>
      </c>
      <c r="E1121" s="42" t="s">
        <v>79</v>
      </c>
      <c r="F1121" s="73">
        <v>6.7</v>
      </c>
      <c r="G1121" s="74">
        <f t="shared" si="200"/>
        <v>42.21</v>
      </c>
      <c r="H1121" s="91">
        <v>24</v>
      </c>
      <c r="I1121" s="96">
        <f t="shared" si="201"/>
        <v>1013.04</v>
      </c>
      <c r="J1121" s="74">
        <v>1300</v>
      </c>
    </row>
    <row r="1122" spans="1:10" ht="19.5" thickBot="1" x14ac:dyDescent="0.35">
      <c r="A1122" s="220"/>
      <c r="B1122" s="221"/>
      <c r="C1122" s="324"/>
      <c r="D1122" s="208"/>
      <c r="E1122" s="208"/>
      <c r="F1122" s="208"/>
      <c r="G1122" s="208"/>
      <c r="H1122" s="174" t="s">
        <v>171</v>
      </c>
      <c r="I1122" s="101">
        <f>SUM(I1116:I1121)</f>
        <v>6229.44</v>
      </c>
      <c r="J1122" s="104">
        <f>SUM(J1116:J1121)</f>
        <v>6700</v>
      </c>
    </row>
    <row r="1123" spans="1:10" x14ac:dyDescent="0.25">
      <c r="A1123" s="31" t="s">
        <v>278</v>
      </c>
      <c r="B1123" s="37" t="s">
        <v>68</v>
      </c>
      <c r="C1123" s="34" t="s">
        <v>114</v>
      </c>
      <c r="D1123" s="108">
        <v>31.03</v>
      </c>
      <c r="E1123" s="34" t="s">
        <v>79</v>
      </c>
      <c r="F1123" s="109">
        <v>5.26</v>
      </c>
      <c r="G1123" s="36">
        <f t="shared" ref="G1123:G1128" si="202">F1123*6.3</f>
        <v>33.137999999999998</v>
      </c>
      <c r="H1123" s="37">
        <v>24</v>
      </c>
      <c r="I1123" s="36">
        <f t="shared" ref="I1123:I1128" si="203">G1123*H1123</f>
        <v>795.3119999999999</v>
      </c>
      <c r="J1123" s="36">
        <v>900</v>
      </c>
    </row>
    <row r="1124" spans="1:10" x14ac:dyDescent="0.25">
      <c r="A1124" s="31" t="s">
        <v>278</v>
      </c>
      <c r="B1124" s="37" t="s">
        <v>69</v>
      </c>
      <c r="C1124" s="34" t="s">
        <v>86</v>
      </c>
      <c r="D1124" s="108">
        <v>58.5</v>
      </c>
      <c r="E1124" s="34" t="s">
        <v>79</v>
      </c>
      <c r="F1124" s="110">
        <v>8.7200000000000006</v>
      </c>
      <c r="G1124" s="36">
        <f t="shared" si="202"/>
        <v>54.936</v>
      </c>
      <c r="H1124" s="37">
        <v>24</v>
      </c>
      <c r="I1124" s="41">
        <f t="shared" si="203"/>
        <v>1318.4639999999999</v>
      </c>
      <c r="J1124" s="36">
        <v>1400</v>
      </c>
    </row>
    <row r="1125" spans="1:10" x14ac:dyDescent="0.25">
      <c r="A1125" s="31" t="s">
        <v>278</v>
      </c>
      <c r="B1125" s="50" t="s">
        <v>70</v>
      </c>
      <c r="C1125" s="34" t="s">
        <v>75</v>
      </c>
      <c r="D1125" s="108" t="s">
        <v>38</v>
      </c>
      <c r="E1125" s="34" t="s">
        <v>79</v>
      </c>
      <c r="F1125" s="36">
        <v>3.51</v>
      </c>
      <c r="G1125" s="36">
        <f t="shared" si="202"/>
        <v>22.113</v>
      </c>
      <c r="H1125" s="37">
        <v>24</v>
      </c>
      <c r="I1125" s="36">
        <f t="shared" si="203"/>
        <v>530.71199999999999</v>
      </c>
      <c r="J1125" s="36">
        <v>500</v>
      </c>
    </row>
    <row r="1126" spans="1:10" x14ac:dyDescent="0.25">
      <c r="A1126" s="31" t="s">
        <v>278</v>
      </c>
      <c r="B1126" s="75" t="s">
        <v>71</v>
      </c>
      <c r="C1126" s="111" t="s">
        <v>156</v>
      </c>
      <c r="D1126" s="111">
        <v>73.260000000000005</v>
      </c>
      <c r="E1126" s="42" t="s">
        <v>79</v>
      </c>
      <c r="F1126" s="74">
        <v>10.029999999999999</v>
      </c>
      <c r="G1126" s="36">
        <f t="shared" si="202"/>
        <v>63.188999999999993</v>
      </c>
      <c r="H1126" s="37">
        <v>24</v>
      </c>
      <c r="I1126" s="44">
        <f t="shared" si="203"/>
        <v>1516.5359999999998</v>
      </c>
      <c r="J1126" s="36">
        <v>1600</v>
      </c>
    </row>
    <row r="1127" spans="1:10" x14ac:dyDescent="0.25">
      <c r="A1127" s="31" t="s">
        <v>278</v>
      </c>
      <c r="B1127" s="37" t="s">
        <v>65</v>
      </c>
      <c r="C1127" s="34" t="s">
        <v>158</v>
      </c>
      <c r="D1127" s="46">
        <v>15.84</v>
      </c>
      <c r="E1127" s="34" t="s">
        <v>79</v>
      </c>
      <c r="F1127" s="74">
        <v>6.98</v>
      </c>
      <c r="G1127" s="36">
        <f t="shared" si="202"/>
        <v>43.974000000000004</v>
      </c>
      <c r="H1127" s="35">
        <v>24</v>
      </c>
      <c r="I1127" s="44">
        <f t="shared" si="203"/>
        <v>1055.3760000000002</v>
      </c>
      <c r="J1127" s="36">
        <v>1000</v>
      </c>
    </row>
    <row r="1128" spans="1:10" ht="15.75" thickBot="1" x14ac:dyDescent="0.3">
      <c r="A1128" s="31" t="s">
        <v>278</v>
      </c>
      <c r="B1128" s="43" t="s">
        <v>66</v>
      </c>
      <c r="C1128" s="52" t="s">
        <v>152</v>
      </c>
      <c r="D1128" s="72">
        <v>97.56</v>
      </c>
      <c r="E1128" s="42" t="s">
        <v>79</v>
      </c>
      <c r="F1128" s="73">
        <v>6.7</v>
      </c>
      <c r="G1128" s="74">
        <f t="shared" si="202"/>
        <v>42.21</v>
      </c>
      <c r="H1128" s="91">
        <v>24</v>
      </c>
      <c r="I1128" s="96">
        <f t="shared" si="203"/>
        <v>1013.04</v>
      </c>
      <c r="J1128" s="74">
        <v>1300</v>
      </c>
    </row>
    <row r="1129" spans="1:10" ht="19.5" thickBot="1" x14ac:dyDescent="0.35">
      <c r="A1129" s="220"/>
      <c r="B1129" s="221"/>
      <c r="C1129" s="324"/>
      <c r="D1129" s="208"/>
      <c r="E1129" s="208"/>
      <c r="F1129" s="208"/>
      <c r="G1129" s="208"/>
      <c r="H1129" s="174" t="s">
        <v>171</v>
      </c>
      <c r="I1129" s="101">
        <f>SUM(I1123:I1128)</f>
        <v>6229.44</v>
      </c>
      <c r="J1129" s="104">
        <f>SUM(J1123:J1128)</f>
        <v>6700</v>
      </c>
    </row>
    <row r="1130" spans="1:10" x14ac:dyDescent="0.25">
      <c r="A1130" s="31" t="s">
        <v>277</v>
      </c>
      <c r="B1130" s="151" t="s">
        <v>68</v>
      </c>
      <c r="C1130" s="50" t="s">
        <v>114</v>
      </c>
      <c r="D1130" s="152">
        <v>32.880000000000003</v>
      </c>
      <c r="E1130" s="50" t="s">
        <v>79</v>
      </c>
      <c r="F1130" s="153">
        <v>5.7</v>
      </c>
      <c r="G1130" s="51">
        <f t="shared" ref="G1130:G1135" si="204">F1130*6.3</f>
        <v>35.909999999999997</v>
      </c>
      <c r="H1130" s="151">
        <v>24</v>
      </c>
      <c r="I1130" s="51">
        <f t="shared" ref="I1130:I1135" si="205">G1130*H1130</f>
        <v>861.83999999999992</v>
      </c>
      <c r="J1130" s="51">
        <v>900</v>
      </c>
    </row>
    <row r="1131" spans="1:10" x14ac:dyDescent="0.25">
      <c r="A1131" s="31" t="s">
        <v>277</v>
      </c>
      <c r="B1131" s="37" t="s">
        <v>69</v>
      </c>
      <c r="C1131" s="34" t="s">
        <v>86</v>
      </c>
      <c r="D1131" s="108">
        <v>55.99</v>
      </c>
      <c r="E1131" s="34" t="s">
        <v>79</v>
      </c>
      <c r="F1131" s="110">
        <v>8.26</v>
      </c>
      <c r="G1131" s="36">
        <f t="shared" si="204"/>
        <v>52.037999999999997</v>
      </c>
      <c r="H1131" s="37">
        <v>24</v>
      </c>
      <c r="I1131" s="41">
        <f t="shared" si="205"/>
        <v>1248.9119999999998</v>
      </c>
      <c r="J1131" s="36">
        <v>1400</v>
      </c>
    </row>
    <row r="1132" spans="1:10" x14ac:dyDescent="0.25">
      <c r="A1132" s="31" t="s">
        <v>277</v>
      </c>
      <c r="B1132" s="50" t="s">
        <v>70</v>
      </c>
      <c r="C1132" s="34" t="s">
        <v>75</v>
      </c>
      <c r="D1132" s="108" t="s">
        <v>38</v>
      </c>
      <c r="E1132" s="34" t="s">
        <v>79</v>
      </c>
      <c r="F1132" s="36">
        <v>3.51</v>
      </c>
      <c r="G1132" s="36">
        <f t="shared" si="204"/>
        <v>22.113</v>
      </c>
      <c r="H1132" s="37">
        <v>24</v>
      </c>
      <c r="I1132" s="36">
        <f t="shared" si="205"/>
        <v>530.71199999999999</v>
      </c>
      <c r="J1132" s="36">
        <v>500</v>
      </c>
    </row>
    <row r="1133" spans="1:10" x14ac:dyDescent="0.25">
      <c r="A1133" s="31" t="s">
        <v>277</v>
      </c>
      <c r="B1133" s="75" t="s">
        <v>71</v>
      </c>
      <c r="C1133" s="111" t="s">
        <v>156</v>
      </c>
      <c r="D1133" s="111">
        <v>73.47</v>
      </c>
      <c r="E1133" s="42" t="s">
        <v>79</v>
      </c>
      <c r="F1133" s="74">
        <v>9.99</v>
      </c>
      <c r="G1133" s="36">
        <f t="shared" si="204"/>
        <v>62.936999999999998</v>
      </c>
      <c r="H1133" s="37">
        <v>24</v>
      </c>
      <c r="I1133" s="44">
        <f t="shared" si="205"/>
        <v>1510.4879999999998</v>
      </c>
      <c r="J1133" s="36">
        <v>1600</v>
      </c>
    </row>
    <row r="1134" spans="1:10" x14ac:dyDescent="0.25">
      <c r="A1134" s="31" t="s">
        <v>277</v>
      </c>
      <c r="B1134" s="37" t="s">
        <v>65</v>
      </c>
      <c r="C1134" s="34" t="s">
        <v>158</v>
      </c>
      <c r="D1134" s="46">
        <v>15.79</v>
      </c>
      <c r="E1134" s="34" t="s">
        <v>79</v>
      </c>
      <c r="F1134" s="74">
        <v>6.98</v>
      </c>
      <c r="G1134" s="36">
        <f t="shared" si="204"/>
        <v>43.974000000000004</v>
      </c>
      <c r="H1134" s="35">
        <v>24</v>
      </c>
      <c r="I1134" s="44">
        <f t="shared" si="205"/>
        <v>1055.3760000000002</v>
      </c>
      <c r="J1134" s="36">
        <v>1000</v>
      </c>
    </row>
    <row r="1135" spans="1:10" ht="15.75" thickBot="1" x14ac:dyDescent="0.3">
      <c r="A1135" s="31" t="s">
        <v>277</v>
      </c>
      <c r="B1135" s="43" t="s">
        <v>66</v>
      </c>
      <c r="C1135" s="52" t="s">
        <v>152</v>
      </c>
      <c r="D1135" s="72">
        <v>97.69</v>
      </c>
      <c r="E1135" s="42" t="s">
        <v>79</v>
      </c>
      <c r="F1135" s="73">
        <v>6.73</v>
      </c>
      <c r="G1135" s="74">
        <f t="shared" si="204"/>
        <v>42.399000000000001</v>
      </c>
      <c r="H1135" s="91">
        <v>24</v>
      </c>
      <c r="I1135" s="96">
        <f t="shared" si="205"/>
        <v>1017.576</v>
      </c>
      <c r="J1135" s="74">
        <v>1300</v>
      </c>
    </row>
    <row r="1136" spans="1:10" ht="19.5" thickBot="1" x14ac:dyDescent="0.35">
      <c r="A1136" s="220"/>
      <c r="B1136" s="221"/>
      <c r="C1136" s="324"/>
      <c r="D1136" s="208"/>
      <c r="E1136" s="208"/>
      <c r="F1136" s="208"/>
      <c r="G1136" s="208"/>
      <c r="H1136" s="174" t="s">
        <v>171</v>
      </c>
      <c r="I1136" s="101">
        <f>SUM(I1130:I1135)</f>
        <v>6224.9039999999995</v>
      </c>
      <c r="J1136" s="104">
        <f>SUM(J1130:J1135)</f>
        <v>6700</v>
      </c>
    </row>
    <row r="1137" spans="1:10" x14ac:dyDescent="0.25">
      <c r="A1137" s="31" t="s">
        <v>279</v>
      </c>
      <c r="B1137" s="151" t="s">
        <v>68</v>
      </c>
      <c r="C1137" s="34" t="s">
        <v>114</v>
      </c>
      <c r="D1137" s="108">
        <v>31.03</v>
      </c>
      <c r="E1137" s="34" t="s">
        <v>79</v>
      </c>
      <c r="F1137" s="109">
        <v>5.3</v>
      </c>
      <c r="G1137" s="36">
        <f t="shared" ref="G1137:G1142" si="206">F1137*6.3</f>
        <v>33.39</v>
      </c>
      <c r="H1137" s="37">
        <v>24</v>
      </c>
      <c r="I1137" s="36">
        <f t="shared" ref="I1137:I1142" si="207">G1137*H1137</f>
        <v>801.36</v>
      </c>
      <c r="J1137" s="36">
        <v>900</v>
      </c>
    </row>
    <row r="1138" spans="1:10" x14ac:dyDescent="0.25">
      <c r="A1138" s="31" t="s">
        <v>279</v>
      </c>
      <c r="B1138" s="37" t="s">
        <v>69</v>
      </c>
      <c r="C1138" s="34" t="s">
        <v>86</v>
      </c>
      <c r="D1138" s="108">
        <v>56.12</v>
      </c>
      <c r="E1138" s="34" t="s">
        <v>79</v>
      </c>
      <c r="F1138" s="110">
        <v>8.6999999999999993</v>
      </c>
      <c r="G1138" s="36">
        <f t="shared" si="206"/>
        <v>54.809999999999995</v>
      </c>
      <c r="H1138" s="37">
        <v>24</v>
      </c>
      <c r="I1138" s="41">
        <f t="shared" si="207"/>
        <v>1315.4399999999998</v>
      </c>
      <c r="J1138" s="36">
        <v>1400</v>
      </c>
    </row>
    <row r="1139" spans="1:10" x14ac:dyDescent="0.25">
      <c r="A1139" s="31" t="s">
        <v>279</v>
      </c>
      <c r="B1139" s="50" t="s">
        <v>70</v>
      </c>
      <c r="C1139" s="34" t="s">
        <v>75</v>
      </c>
      <c r="D1139" s="108" t="s">
        <v>38</v>
      </c>
      <c r="E1139" s="34" t="s">
        <v>79</v>
      </c>
      <c r="F1139" s="36">
        <v>3.51</v>
      </c>
      <c r="G1139" s="36">
        <f t="shared" si="206"/>
        <v>22.113</v>
      </c>
      <c r="H1139" s="37">
        <v>24</v>
      </c>
      <c r="I1139" s="36">
        <f t="shared" si="207"/>
        <v>530.71199999999999</v>
      </c>
      <c r="J1139" s="36">
        <v>500</v>
      </c>
    </row>
    <row r="1140" spans="1:10" x14ac:dyDescent="0.25">
      <c r="A1140" s="31" t="s">
        <v>279</v>
      </c>
      <c r="B1140" s="75" t="s">
        <v>71</v>
      </c>
      <c r="C1140" s="111" t="s">
        <v>156</v>
      </c>
      <c r="D1140" s="111">
        <v>73.650000000000006</v>
      </c>
      <c r="E1140" s="42" t="s">
        <v>79</v>
      </c>
      <c r="F1140" s="74">
        <v>10.029999999999999</v>
      </c>
      <c r="G1140" s="36">
        <f t="shared" si="206"/>
        <v>63.188999999999993</v>
      </c>
      <c r="H1140" s="37">
        <v>24</v>
      </c>
      <c r="I1140" s="44">
        <f t="shared" si="207"/>
        <v>1516.5359999999998</v>
      </c>
      <c r="J1140" s="36">
        <v>1600</v>
      </c>
    </row>
    <row r="1141" spans="1:10" x14ac:dyDescent="0.25">
      <c r="A1141" s="31" t="s">
        <v>279</v>
      </c>
      <c r="B1141" s="37" t="s">
        <v>65</v>
      </c>
      <c r="C1141" s="34" t="s">
        <v>158</v>
      </c>
      <c r="D1141" s="46">
        <v>15.96</v>
      </c>
      <c r="E1141" s="34" t="s">
        <v>79</v>
      </c>
      <c r="F1141" s="74">
        <v>6.98</v>
      </c>
      <c r="G1141" s="36">
        <f t="shared" si="206"/>
        <v>43.974000000000004</v>
      </c>
      <c r="H1141" s="35">
        <v>24</v>
      </c>
      <c r="I1141" s="44">
        <f t="shared" si="207"/>
        <v>1055.3760000000002</v>
      </c>
      <c r="J1141" s="36">
        <v>1000</v>
      </c>
    </row>
    <row r="1142" spans="1:10" ht="15.75" thickBot="1" x14ac:dyDescent="0.3">
      <c r="A1142" s="31" t="s">
        <v>279</v>
      </c>
      <c r="B1142" s="43" t="s">
        <v>66</v>
      </c>
      <c r="C1142" s="52" t="s">
        <v>152</v>
      </c>
      <c r="D1142" s="72">
        <v>97.86</v>
      </c>
      <c r="E1142" s="42" t="s">
        <v>79</v>
      </c>
      <c r="F1142" s="73">
        <v>6.77</v>
      </c>
      <c r="G1142" s="74">
        <f t="shared" si="206"/>
        <v>42.650999999999996</v>
      </c>
      <c r="H1142" s="91">
        <v>24</v>
      </c>
      <c r="I1142" s="96">
        <f t="shared" si="207"/>
        <v>1023.6239999999999</v>
      </c>
      <c r="J1142" s="74">
        <v>1300</v>
      </c>
    </row>
    <row r="1143" spans="1:10" ht="19.5" thickBot="1" x14ac:dyDescent="0.35">
      <c r="A1143" s="220"/>
      <c r="B1143" s="221"/>
      <c r="C1143" s="324"/>
      <c r="D1143" s="208"/>
      <c r="E1143" s="208"/>
      <c r="F1143" s="208"/>
      <c r="G1143" s="208"/>
      <c r="H1143" s="174" t="s">
        <v>171</v>
      </c>
      <c r="I1143" s="101">
        <f>SUM(I1137:I1142)</f>
        <v>6243.0479999999998</v>
      </c>
      <c r="J1143" s="104">
        <f>SUM(J1137:J1142)</f>
        <v>6700</v>
      </c>
    </row>
    <row r="1144" spans="1:10" x14ac:dyDescent="0.25">
      <c r="A1144" s="31" t="s">
        <v>280</v>
      </c>
      <c r="B1144" s="151" t="s">
        <v>68</v>
      </c>
      <c r="C1144" s="34" t="s">
        <v>114</v>
      </c>
      <c r="D1144" s="108">
        <v>29.94</v>
      </c>
      <c r="E1144" s="34" t="s">
        <v>79</v>
      </c>
      <c r="F1144" s="109">
        <v>5.09</v>
      </c>
      <c r="G1144" s="36">
        <f t="shared" ref="G1144:G1149" si="208">F1144*6.3</f>
        <v>32.067</v>
      </c>
      <c r="H1144" s="37">
        <v>24</v>
      </c>
      <c r="I1144" s="36">
        <f t="shared" ref="I1144:I1149" si="209">G1144*H1144</f>
        <v>769.60799999999995</v>
      </c>
      <c r="J1144" s="36">
        <v>900</v>
      </c>
    </row>
    <row r="1145" spans="1:10" x14ac:dyDescent="0.25">
      <c r="A1145" s="31" t="s">
        <v>280</v>
      </c>
      <c r="B1145" s="37" t="s">
        <v>69</v>
      </c>
      <c r="C1145" s="34" t="s">
        <v>86</v>
      </c>
      <c r="D1145" s="108">
        <v>56.54</v>
      </c>
      <c r="E1145" s="34" t="s">
        <v>79</v>
      </c>
      <c r="F1145" s="110">
        <v>9.5399999999999991</v>
      </c>
      <c r="G1145" s="36">
        <f t="shared" si="208"/>
        <v>60.10199999999999</v>
      </c>
      <c r="H1145" s="37">
        <v>24</v>
      </c>
      <c r="I1145" s="41">
        <f t="shared" si="209"/>
        <v>1442.4479999999999</v>
      </c>
      <c r="J1145" s="36">
        <v>1400</v>
      </c>
    </row>
    <row r="1146" spans="1:10" x14ac:dyDescent="0.25">
      <c r="A1146" s="31" t="s">
        <v>280</v>
      </c>
      <c r="B1146" s="50" t="s">
        <v>70</v>
      </c>
      <c r="C1146" s="34" t="s">
        <v>75</v>
      </c>
      <c r="D1146" s="108" t="s">
        <v>38</v>
      </c>
      <c r="E1146" s="34" t="s">
        <v>79</v>
      </c>
      <c r="F1146" s="36">
        <v>3.52</v>
      </c>
      <c r="G1146" s="36">
        <f t="shared" si="208"/>
        <v>22.175999999999998</v>
      </c>
      <c r="H1146" s="37">
        <v>24</v>
      </c>
      <c r="I1146" s="36">
        <f t="shared" si="209"/>
        <v>532.22399999999993</v>
      </c>
      <c r="J1146" s="36">
        <v>500</v>
      </c>
    </row>
    <row r="1147" spans="1:10" x14ac:dyDescent="0.25">
      <c r="A1147" s="31" t="s">
        <v>280</v>
      </c>
      <c r="B1147" s="75" t="s">
        <v>71</v>
      </c>
      <c r="C1147" s="111" t="s">
        <v>156</v>
      </c>
      <c r="D1147" s="111">
        <v>73.75</v>
      </c>
      <c r="E1147" s="42" t="s">
        <v>79</v>
      </c>
      <c r="F1147" s="74">
        <v>10.039999999999999</v>
      </c>
      <c r="G1147" s="36">
        <f t="shared" si="208"/>
        <v>63.251999999999995</v>
      </c>
      <c r="H1147" s="37">
        <v>24</v>
      </c>
      <c r="I1147" s="44">
        <f t="shared" si="209"/>
        <v>1518.0479999999998</v>
      </c>
      <c r="J1147" s="36">
        <v>1600</v>
      </c>
    </row>
    <row r="1148" spans="1:10" x14ac:dyDescent="0.25">
      <c r="A1148" s="31" t="s">
        <v>280</v>
      </c>
      <c r="B1148" s="37" t="s">
        <v>65</v>
      </c>
      <c r="C1148" s="34" t="s">
        <v>158</v>
      </c>
      <c r="D1148" s="46">
        <v>15.59</v>
      </c>
      <c r="E1148" s="34" t="s">
        <v>79</v>
      </c>
      <c r="F1148" s="74">
        <v>6.99</v>
      </c>
      <c r="G1148" s="36">
        <f t="shared" si="208"/>
        <v>44.036999999999999</v>
      </c>
      <c r="H1148" s="35">
        <v>24</v>
      </c>
      <c r="I1148" s="44">
        <f t="shared" si="209"/>
        <v>1056.8879999999999</v>
      </c>
      <c r="J1148" s="36">
        <v>1000</v>
      </c>
    </row>
    <row r="1149" spans="1:10" ht="15.75" thickBot="1" x14ac:dyDescent="0.3">
      <c r="A1149" s="31" t="s">
        <v>280</v>
      </c>
      <c r="B1149" s="43" t="s">
        <v>66</v>
      </c>
      <c r="C1149" s="52" t="s">
        <v>152</v>
      </c>
      <c r="D1149" s="72">
        <v>98.04</v>
      </c>
      <c r="E1149" s="42" t="s">
        <v>79</v>
      </c>
      <c r="F1149" s="73">
        <v>6.79</v>
      </c>
      <c r="G1149" s="74">
        <f t="shared" si="208"/>
        <v>42.777000000000001</v>
      </c>
      <c r="H1149" s="91">
        <v>24</v>
      </c>
      <c r="I1149" s="96">
        <f t="shared" si="209"/>
        <v>1026.6480000000001</v>
      </c>
      <c r="J1149" s="74">
        <v>1300</v>
      </c>
    </row>
    <row r="1150" spans="1:10" ht="19.5" thickBot="1" x14ac:dyDescent="0.35">
      <c r="A1150" s="220"/>
      <c r="B1150" s="221"/>
      <c r="C1150" s="324"/>
      <c r="D1150" s="208"/>
      <c r="E1150" s="208"/>
      <c r="F1150" s="208"/>
      <c r="G1150" s="208"/>
      <c r="H1150" s="174" t="s">
        <v>171</v>
      </c>
      <c r="I1150" s="101">
        <f>SUM(I1144:I1149)</f>
        <v>6345.8639999999996</v>
      </c>
      <c r="J1150" s="104">
        <f>SUM(J1144:J1149)</f>
        <v>6700</v>
      </c>
    </row>
    <row r="1151" spans="1:10" x14ac:dyDescent="0.25">
      <c r="A1151" s="31" t="s">
        <v>281</v>
      </c>
      <c r="B1151" s="151" t="s">
        <v>68</v>
      </c>
      <c r="C1151" s="34" t="s">
        <v>114</v>
      </c>
      <c r="D1151" s="108">
        <v>31.1</v>
      </c>
      <c r="E1151" s="34" t="s">
        <v>79</v>
      </c>
      <c r="F1151" s="109">
        <v>5.42</v>
      </c>
      <c r="G1151" s="36">
        <f t="shared" ref="G1151:G1156" si="210">F1151*6.3</f>
        <v>34.146000000000001</v>
      </c>
      <c r="H1151" s="37">
        <v>24</v>
      </c>
      <c r="I1151" s="36">
        <f t="shared" ref="I1151:I1156" si="211">G1151*H1151</f>
        <v>819.50400000000002</v>
      </c>
      <c r="J1151" s="36">
        <v>900</v>
      </c>
    </row>
    <row r="1152" spans="1:10" x14ac:dyDescent="0.25">
      <c r="A1152" s="31" t="s">
        <v>281</v>
      </c>
      <c r="B1152" s="37" t="s">
        <v>69</v>
      </c>
      <c r="C1152" s="34" t="s">
        <v>86</v>
      </c>
      <c r="D1152" s="108">
        <v>54.58</v>
      </c>
      <c r="E1152" s="34" t="s">
        <v>79</v>
      </c>
      <c r="F1152" s="110">
        <v>8.9600000000000009</v>
      </c>
      <c r="G1152" s="36">
        <f t="shared" si="210"/>
        <v>56.448</v>
      </c>
      <c r="H1152" s="37">
        <v>24</v>
      </c>
      <c r="I1152" s="41">
        <f t="shared" si="211"/>
        <v>1354.752</v>
      </c>
      <c r="J1152" s="36">
        <v>1400</v>
      </c>
    </row>
    <row r="1153" spans="1:10" x14ac:dyDescent="0.25">
      <c r="A1153" s="31" t="s">
        <v>281</v>
      </c>
      <c r="B1153" s="50" t="s">
        <v>70</v>
      </c>
      <c r="C1153" s="34" t="s">
        <v>75</v>
      </c>
      <c r="D1153" s="108" t="s">
        <v>38</v>
      </c>
      <c r="E1153" s="34" t="s">
        <v>79</v>
      </c>
      <c r="F1153" s="36">
        <v>3.52</v>
      </c>
      <c r="G1153" s="36">
        <f t="shared" si="210"/>
        <v>22.175999999999998</v>
      </c>
      <c r="H1153" s="37">
        <v>24</v>
      </c>
      <c r="I1153" s="36">
        <f t="shared" si="211"/>
        <v>532.22399999999993</v>
      </c>
      <c r="J1153" s="36">
        <v>500</v>
      </c>
    </row>
    <row r="1154" spans="1:10" x14ac:dyDescent="0.25">
      <c r="A1154" s="31" t="s">
        <v>281</v>
      </c>
      <c r="B1154" s="75" t="s">
        <v>71</v>
      </c>
      <c r="C1154" s="111" t="s">
        <v>156</v>
      </c>
      <c r="D1154" s="111">
        <v>73.930000000000007</v>
      </c>
      <c r="E1154" s="42" t="s">
        <v>79</v>
      </c>
      <c r="F1154" s="74">
        <v>10.039999999999999</v>
      </c>
      <c r="G1154" s="36">
        <f t="shared" si="210"/>
        <v>63.251999999999995</v>
      </c>
      <c r="H1154" s="37">
        <v>24</v>
      </c>
      <c r="I1154" s="44">
        <f t="shared" si="211"/>
        <v>1518.0479999999998</v>
      </c>
      <c r="J1154" s="36">
        <v>1600</v>
      </c>
    </row>
    <row r="1155" spans="1:10" x14ac:dyDescent="0.25">
      <c r="A1155" s="31" t="s">
        <v>281</v>
      </c>
      <c r="B1155" s="37" t="s">
        <v>65</v>
      </c>
      <c r="C1155" s="34" t="s">
        <v>158</v>
      </c>
      <c r="D1155" s="46">
        <v>15.54</v>
      </c>
      <c r="E1155" s="34" t="s">
        <v>79</v>
      </c>
      <c r="F1155" s="74">
        <v>7</v>
      </c>
      <c r="G1155" s="36">
        <f t="shared" si="210"/>
        <v>44.1</v>
      </c>
      <c r="H1155" s="35">
        <v>24</v>
      </c>
      <c r="I1155" s="44">
        <f t="shared" si="211"/>
        <v>1058.4000000000001</v>
      </c>
      <c r="J1155" s="36">
        <v>1000</v>
      </c>
    </row>
    <row r="1156" spans="1:10" ht="15.75" thickBot="1" x14ac:dyDescent="0.3">
      <c r="A1156" s="31" t="s">
        <v>281</v>
      </c>
      <c r="B1156" s="43" t="s">
        <v>66</v>
      </c>
      <c r="C1156" s="52" t="s">
        <v>152</v>
      </c>
      <c r="D1156" s="72">
        <v>98.04</v>
      </c>
      <c r="E1156" s="42" t="s">
        <v>79</v>
      </c>
      <c r="F1156" s="73">
        <v>6.72</v>
      </c>
      <c r="G1156" s="74">
        <f t="shared" si="210"/>
        <v>42.335999999999999</v>
      </c>
      <c r="H1156" s="91">
        <v>24</v>
      </c>
      <c r="I1156" s="96">
        <f t="shared" si="211"/>
        <v>1016.064</v>
      </c>
      <c r="J1156" s="74">
        <v>1300</v>
      </c>
    </row>
    <row r="1157" spans="1:10" ht="19.5" thickBot="1" x14ac:dyDescent="0.35">
      <c r="A1157" s="220"/>
      <c r="B1157" s="221"/>
      <c r="C1157" s="324"/>
      <c r="D1157" s="208"/>
      <c r="E1157" s="208"/>
      <c r="F1157" s="208"/>
      <c r="G1157" s="208"/>
      <c r="H1157" s="174" t="s">
        <v>171</v>
      </c>
      <c r="I1157" s="101">
        <f>SUM(I1151:I1156)</f>
        <v>6298.9920000000002</v>
      </c>
      <c r="J1157" s="104">
        <f>SUM(J1151:J1156)</f>
        <v>6700</v>
      </c>
    </row>
    <row r="1158" spans="1:10" x14ac:dyDescent="0.25">
      <c r="A1158" s="31" t="s">
        <v>282</v>
      </c>
      <c r="B1158" s="151" t="s">
        <v>68</v>
      </c>
      <c r="C1158" s="34" t="s">
        <v>114</v>
      </c>
      <c r="D1158" s="108">
        <v>29.81</v>
      </c>
      <c r="E1158" s="34" t="s">
        <v>79</v>
      </c>
      <c r="F1158" s="109">
        <v>5.22</v>
      </c>
      <c r="G1158" s="36">
        <f t="shared" ref="G1158:G1163" si="212">F1158*6.3</f>
        <v>32.885999999999996</v>
      </c>
      <c r="H1158" s="37">
        <v>24</v>
      </c>
      <c r="I1158" s="36">
        <f t="shared" ref="I1158:I1163" si="213">G1158*H1158</f>
        <v>789.2639999999999</v>
      </c>
      <c r="J1158" s="36">
        <v>900</v>
      </c>
    </row>
    <row r="1159" spans="1:10" x14ac:dyDescent="0.25">
      <c r="A1159" s="31" t="s">
        <v>282</v>
      </c>
      <c r="B1159" s="37" t="s">
        <v>69</v>
      </c>
      <c r="C1159" s="34" t="s">
        <v>86</v>
      </c>
      <c r="D1159" s="108">
        <v>52.62</v>
      </c>
      <c r="E1159" s="34" t="s">
        <v>79</v>
      </c>
      <c r="F1159" s="110">
        <v>8.43</v>
      </c>
      <c r="G1159" s="36">
        <f t="shared" si="212"/>
        <v>53.108999999999995</v>
      </c>
      <c r="H1159" s="37">
        <v>24</v>
      </c>
      <c r="I1159" s="41">
        <f t="shared" si="213"/>
        <v>1274.616</v>
      </c>
      <c r="J1159" s="36">
        <v>1400</v>
      </c>
    </row>
    <row r="1160" spans="1:10" x14ac:dyDescent="0.25">
      <c r="A1160" s="31" t="s">
        <v>282</v>
      </c>
      <c r="B1160" s="50" t="s">
        <v>70</v>
      </c>
      <c r="C1160" s="34" t="s">
        <v>75</v>
      </c>
      <c r="D1160" s="108" t="s">
        <v>38</v>
      </c>
      <c r="E1160" s="34" t="s">
        <v>79</v>
      </c>
      <c r="F1160" s="36">
        <v>3.52</v>
      </c>
      <c r="G1160" s="36">
        <f t="shared" si="212"/>
        <v>22.175999999999998</v>
      </c>
      <c r="H1160" s="37">
        <v>24</v>
      </c>
      <c r="I1160" s="36">
        <f t="shared" si="213"/>
        <v>532.22399999999993</v>
      </c>
      <c r="J1160" s="36">
        <v>500</v>
      </c>
    </row>
    <row r="1161" spans="1:10" x14ac:dyDescent="0.25">
      <c r="A1161" s="31" t="s">
        <v>282</v>
      </c>
      <c r="B1161" s="75" t="s">
        <v>71</v>
      </c>
      <c r="C1161" s="111" t="s">
        <v>156</v>
      </c>
      <c r="D1161" s="111">
        <v>73.930000000000007</v>
      </c>
      <c r="E1161" s="42" t="s">
        <v>79</v>
      </c>
      <c r="F1161" s="74">
        <v>10.039999999999999</v>
      </c>
      <c r="G1161" s="36">
        <f t="shared" si="212"/>
        <v>63.251999999999995</v>
      </c>
      <c r="H1161" s="37">
        <v>24</v>
      </c>
      <c r="I1161" s="44">
        <f t="shared" si="213"/>
        <v>1518.0479999999998</v>
      </c>
      <c r="J1161" s="36">
        <v>1600</v>
      </c>
    </row>
    <row r="1162" spans="1:10" x14ac:dyDescent="0.25">
      <c r="A1162" s="31" t="s">
        <v>282</v>
      </c>
      <c r="B1162" s="37" t="s">
        <v>65</v>
      </c>
      <c r="C1162" s="34" t="s">
        <v>158</v>
      </c>
      <c r="D1162" s="46">
        <v>15.65</v>
      </c>
      <c r="E1162" s="34" t="s">
        <v>79</v>
      </c>
      <c r="F1162" s="74">
        <v>7</v>
      </c>
      <c r="G1162" s="36">
        <f t="shared" si="212"/>
        <v>44.1</v>
      </c>
      <c r="H1162" s="35">
        <v>24</v>
      </c>
      <c r="I1162" s="44">
        <f t="shared" si="213"/>
        <v>1058.4000000000001</v>
      </c>
      <c r="J1162" s="36">
        <v>1000</v>
      </c>
    </row>
    <row r="1163" spans="1:10" ht="15.75" thickBot="1" x14ac:dyDescent="0.3">
      <c r="A1163" s="31" t="s">
        <v>282</v>
      </c>
      <c r="B1163" s="43" t="s">
        <v>66</v>
      </c>
      <c r="C1163" s="52" t="s">
        <v>152</v>
      </c>
      <c r="D1163" s="72">
        <v>98.29</v>
      </c>
      <c r="E1163" s="42" t="s">
        <v>79</v>
      </c>
      <c r="F1163" s="73">
        <v>6.63</v>
      </c>
      <c r="G1163" s="74">
        <f t="shared" si="212"/>
        <v>41.768999999999998</v>
      </c>
      <c r="H1163" s="91">
        <v>24</v>
      </c>
      <c r="I1163" s="96">
        <f t="shared" si="213"/>
        <v>1002.4559999999999</v>
      </c>
      <c r="J1163" s="74">
        <v>1300</v>
      </c>
    </row>
    <row r="1164" spans="1:10" ht="19.5" thickBot="1" x14ac:dyDescent="0.35">
      <c r="A1164" s="220"/>
      <c r="B1164" s="221"/>
      <c r="C1164" s="324"/>
      <c r="D1164" s="208"/>
      <c r="E1164" s="208"/>
      <c r="F1164" s="208"/>
      <c r="G1164" s="208"/>
      <c r="H1164" s="174" t="s">
        <v>171</v>
      </c>
      <c r="I1164" s="101">
        <f>SUM(I1158:I1163)</f>
        <v>6175.0079999999998</v>
      </c>
      <c r="J1164" s="104">
        <f>SUM(J1158:J1163)</f>
        <v>6700</v>
      </c>
    </row>
    <row r="1165" spans="1:10" x14ac:dyDescent="0.25">
      <c r="A1165" s="31" t="s">
        <v>283</v>
      </c>
      <c r="B1165" s="151" t="s">
        <v>68</v>
      </c>
      <c r="C1165" s="34" t="s">
        <v>114</v>
      </c>
      <c r="D1165" s="108">
        <v>29.05</v>
      </c>
      <c r="E1165" s="34" t="s">
        <v>79</v>
      </c>
      <c r="F1165" s="109">
        <v>4.8600000000000003</v>
      </c>
      <c r="G1165" s="36">
        <f t="shared" ref="G1165:G1170" si="214">F1165*6.3</f>
        <v>30.618000000000002</v>
      </c>
      <c r="H1165" s="37">
        <v>24</v>
      </c>
      <c r="I1165" s="36">
        <f t="shared" ref="I1165:I1170" si="215">G1165*H1165</f>
        <v>734.83200000000011</v>
      </c>
      <c r="J1165" s="36">
        <v>900</v>
      </c>
    </row>
    <row r="1166" spans="1:10" x14ac:dyDescent="0.25">
      <c r="A1166" s="31" t="s">
        <v>283</v>
      </c>
      <c r="B1166" s="37" t="s">
        <v>69</v>
      </c>
      <c r="C1166" s="34" t="s">
        <v>86</v>
      </c>
      <c r="D1166" s="108">
        <v>51.54</v>
      </c>
      <c r="E1166" s="34" t="s">
        <v>79</v>
      </c>
      <c r="F1166" s="110">
        <v>8.01</v>
      </c>
      <c r="G1166" s="36">
        <f t="shared" si="214"/>
        <v>50.462999999999994</v>
      </c>
      <c r="H1166" s="37">
        <v>24</v>
      </c>
      <c r="I1166" s="41">
        <f t="shared" si="215"/>
        <v>1211.1119999999999</v>
      </c>
      <c r="J1166" s="36">
        <v>1400</v>
      </c>
    </row>
    <row r="1167" spans="1:10" x14ac:dyDescent="0.25">
      <c r="A1167" s="31" t="s">
        <v>283</v>
      </c>
      <c r="B1167" s="50" t="s">
        <v>70</v>
      </c>
      <c r="C1167" s="34" t="s">
        <v>75</v>
      </c>
      <c r="D1167" s="108" t="s">
        <v>38</v>
      </c>
      <c r="E1167" s="34" t="s">
        <v>79</v>
      </c>
      <c r="F1167" s="36">
        <v>3.52</v>
      </c>
      <c r="G1167" s="36">
        <f t="shared" si="214"/>
        <v>22.175999999999998</v>
      </c>
      <c r="H1167" s="37">
        <v>24</v>
      </c>
      <c r="I1167" s="36">
        <f t="shared" si="215"/>
        <v>532.22399999999993</v>
      </c>
      <c r="J1167" s="36">
        <v>500</v>
      </c>
    </row>
    <row r="1168" spans="1:10" x14ac:dyDescent="0.25">
      <c r="A1168" s="31" t="s">
        <v>283</v>
      </c>
      <c r="B1168" s="75" t="s">
        <v>71</v>
      </c>
      <c r="C1168" s="111" t="s">
        <v>156</v>
      </c>
      <c r="D1168" s="111">
        <v>73.930000000000007</v>
      </c>
      <c r="E1168" s="42" t="s">
        <v>79</v>
      </c>
      <c r="F1168" s="74">
        <v>10.039999999999999</v>
      </c>
      <c r="G1168" s="36">
        <f t="shared" si="214"/>
        <v>63.251999999999995</v>
      </c>
      <c r="H1168" s="37">
        <v>24</v>
      </c>
      <c r="I1168" s="44">
        <f t="shared" si="215"/>
        <v>1518.0479999999998</v>
      </c>
      <c r="J1168" s="36">
        <v>1600</v>
      </c>
    </row>
    <row r="1169" spans="1:10" x14ac:dyDescent="0.25">
      <c r="A1169" s="31" t="s">
        <v>283</v>
      </c>
      <c r="B1169" s="37" t="s">
        <v>65</v>
      </c>
      <c r="C1169" s="34" t="s">
        <v>158</v>
      </c>
      <c r="D1169" s="46">
        <v>15.65</v>
      </c>
      <c r="E1169" s="34" t="s">
        <v>79</v>
      </c>
      <c r="F1169" s="74">
        <v>7.01</v>
      </c>
      <c r="G1169" s="36">
        <f t="shared" si="214"/>
        <v>44.162999999999997</v>
      </c>
      <c r="H1169" s="35">
        <v>24</v>
      </c>
      <c r="I1169" s="44">
        <f t="shared" si="215"/>
        <v>1059.9119999999998</v>
      </c>
      <c r="J1169" s="36">
        <v>1000</v>
      </c>
    </row>
    <row r="1170" spans="1:10" ht="15.75" thickBot="1" x14ac:dyDescent="0.3">
      <c r="A1170" s="31" t="s">
        <v>283</v>
      </c>
      <c r="B1170" s="43" t="s">
        <v>66</v>
      </c>
      <c r="C1170" s="52" t="s">
        <v>152</v>
      </c>
      <c r="D1170" s="72">
        <v>98.29</v>
      </c>
      <c r="E1170" s="42" t="s">
        <v>79</v>
      </c>
      <c r="F1170" s="73">
        <v>7.05</v>
      </c>
      <c r="G1170" s="74">
        <f t="shared" si="214"/>
        <v>44.414999999999999</v>
      </c>
      <c r="H1170" s="91">
        <v>24</v>
      </c>
      <c r="I1170" s="96">
        <f t="shared" si="215"/>
        <v>1065.96</v>
      </c>
      <c r="J1170" s="74">
        <v>1300</v>
      </c>
    </row>
    <row r="1171" spans="1:10" ht="19.5" thickBot="1" x14ac:dyDescent="0.35">
      <c r="A1171" s="220"/>
      <c r="B1171" s="221"/>
      <c r="C1171" s="324"/>
      <c r="D1171" s="208"/>
      <c r="E1171" s="208"/>
      <c r="F1171" s="208"/>
      <c r="G1171" s="208"/>
      <c r="H1171" s="174" t="s">
        <v>171</v>
      </c>
      <c r="I1171" s="101">
        <f>SUM(I1165:I1170)</f>
        <v>6122.0879999999988</v>
      </c>
      <c r="J1171" s="104">
        <f>SUM(J1165:J1170)</f>
        <v>6700</v>
      </c>
    </row>
    <row r="1172" spans="1:10" x14ac:dyDescent="0.25">
      <c r="A1172" s="31" t="s">
        <v>284</v>
      </c>
      <c r="B1172" s="31" t="s">
        <v>68</v>
      </c>
      <c r="C1172" s="31" t="s">
        <v>114</v>
      </c>
      <c r="D1172" s="49">
        <v>30.85</v>
      </c>
      <c r="E1172" s="31" t="s">
        <v>79</v>
      </c>
      <c r="F1172" s="31">
        <v>5.84</v>
      </c>
      <c r="G1172" s="31">
        <v>36.79</v>
      </c>
      <c r="H1172" s="31">
        <v>24</v>
      </c>
      <c r="I1172" s="31">
        <v>883.01</v>
      </c>
      <c r="J1172" s="31">
        <v>900</v>
      </c>
    </row>
    <row r="1173" spans="1:10" x14ac:dyDescent="0.25">
      <c r="A1173" s="31" t="s">
        <v>284</v>
      </c>
      <c r="B1173" s="31" t="s">
        <v>69</v>
      </c>
      <c r="C1173" s="31" t="s">
        <v>86</v>
      </c>
      <c r="D1173" s="46">
        <v>52.08</v>
      </c>
      <c r="E1173" s="31" t="s">
        <v>79</v>
      </c>
      <c r="F1173" s="31">
        <v>9.16</v>
      </c>
      <c r="G1173" s="31">
        <v>57.71</v>
      </c>
      <c r="H1173" s="31">
        <v>24</v>
      </c>
      <c r="I1173" s="31">
        <v>1384.99</v>
      </c>
      <c r="J1173" s="31">
        <v>1400</v>
      </c>
    </row>
    <row r="1174" spans="1:10" x14ac:dyDescent="0.25">
      <c r="A1174" s="31" t="s">
        <v>284</v>
      </c>
      <c r="B1174" s="31" t="s">
        <v>70</v>
      </c>
      <c r="C1174" s="31" t="s">
        <v>75</v>
      </c>
      <c r="D1174" s="46" t="s">
        <v>38</v>
      </c>
      <c r="E1174" s="31" t="s">
        <v>79</v>
      </c>
      <c r="F1174" s="31">
        <v>3.52</v>
      </c>
      <c r="G1174" s="31">
        <v>22.18</v>
      </c>
      <c r="H1174" s="31">
        <v>24</v>
      </c>
      <c r="I1174" s="31">
        <v>532.22</v>
      </c>
      <c r="J1174" s="31">
        <v>500</v>
      </c>
    </row>
    <row r="1175" spans="1:10" x14ac:dyDescent="0.25">
      <c r="A1175" s="31" t="s">
        <v>284</v>
      </c>
      <c r="B1175" s="31" t="s">
        <v>71</v>
      </c>
      <c r="C1175" s="31" t="s">
        <v>156</v>
      </c>
      <c r="D1175" s="46">
        <v>74.209999999999994</v>
      </c>
      <c r="E1175" s="31" t="s">
        <v>79</v>
      </c>
      <c r="F1175" s="31">
        <v>10.039999999999999</v>
      </c>
      <c r="G1175" s="31">
        <v>63.25</v>
      </c>
      <c r="H1175" s="31">
        <v>24</v>
      </c>
      <c r="I1175" s="31">
        <v>1518.05</v>
      </c>
      <c r="J1175" s="31">
        <v>1600</v>
      </c>
    </row>
    <row r="1176" spans="1:10" x14ac:dyDescent="0.25">
      <c r="A1176" s="31" t="s">
        <v>284</v>
      </c>
      <c r="B1176" s="31" t="s">
        <v>65</v>
      </c>
      <c r="C1176" s="31" t="s">
        <v>158</v>
      </c>
      <c r="D1176" s="46">
        <v>16.149999999999999</v>
      </c>
      <c r="E1176" s="31" t="s">
        <v>79</v>
      </c>
      <c r="F1176" s="31">
        <v>7.01</v>
      </c>
      <c r="G1176" s="31">
        <v>44.16</v>
      </c>
      <c r="H1176" s="31">
        <v>24</v>
      </c>
      <c r="I1176" s="31">
        <v>1059.9100000000001</v>
      </c>
      <c r="J1176" s="31">
        <v>1000</v>
      </c>
    </row>
    <row r="1177" spans="1:10" ht="15.75" thickBot="1" x14ac:dyDescent="0.3">
      <c r="A1177" s="31" t="s">
        <v>284</v>
      </c>
      <c r="B1177" s="31" t="s">
        <v>66</v>
      </c>
      <c r="C1177" s="31" t="s">
        <v>152</v>
      </c>
      <c r="D1177" s="52">
        <v>98.23</v>
      </c>
      <c r="E1177" s="31" t="s">
        <v>79</v>
      </c>
      <c r="F1177" s="31">
        <v>6.81</v>
      </c>
      <c r="G1177" s="31">
        <v>42.9</v>
      </c>
      <c r="H1177" s="31">
        <v>24</v>
      </c>
      <c r="I1177" s="31">
        <v>1029.67</v>
      </c>
      <c r="J1177" s="31">
        <v>1300</v>
      </c>
    </row>
    <row r="1178" spans="1:10" ht="15.75" thickBot="1" x14ac:dyDescent="0.3">
      <c r="A1178" s="220"/>
      <c r="B1178" s="221"/>
      <c r="C1178" s="221"/>
      <c r="D1178" s="221"/>
      <c r="E1178" s="221"/>
      <c r="F1178" s="221"/>
      <c r="G1178" s="221"/>
      <c r="H1178" s="221" t="s">
        <v>171</v>
      </c>
      <c r="I1178" s="221">
        <v>6407.86</v>
      </c>
      <c r="J1178" s="258">
        <v>6700</v>
      </c>
    </row>
    <row r="1179" spans="1:10" x14ac:dyDescent="0.25">
      <c r="A1179" s="31" t="s">
        <v>285</v>
      </c>
      <c r="B1179" s="37" t="s">
        <v>68</v>
      </c>
      <c r="C1179" s="34" t="s">
        <v>114</v>
      </c>
      <c r="D1179" s="108">
        <v>29.27</v>
      </c>
      <c r="E1179" s="34" t="s">
        <v>79</v>
      </c>
      <c r="F1179" s="109">
        <v>5.24</v>
      </c>
      <c r="G1179" s="36">
        <f t="shared" ref="G1179:G1184" si="216">F1179*6.3</f>
        <v>33.012</v>
      </c>
      <c r="H1179" s="37">
        <v>24</v>
      </c>
      <c r="I1179" s="36">
        <f t="shared" ref="I1179:I1184" si="217">G1179*H1179</f>
        <v>792.28800000000001</v>
      </c>
      <c r="J1179" s="36">
        <v>900</v>
      </c>
    </row>
    <row r="1180" spans="1:10" x14ac:dyDescent="0.25">
      <c r="A1180" s="31" t="s">
        <v>285</v>
      </c>
      <c r="B1180" s="37" t="s">
        <v>69</v>
      </c>
      <c r="C1180" s="34" t="s">
        <v>86</v>
      </c>
      <c r="D1180" s="108">
        <v>51.03</v>
      </c>
      <c r="E1180" s="34" t="s">
        <v>79</v>
      </c>
      <c r="F1180" s="110">
        <v>8.82</v>
      </c>
      <c r="G1180" s="36">
        <f t="shared" si="216"/>
        <v>55.566000000000003</v>
      </c>
      <c r="H1180" s="37">
        <v>24</v>
      </c>
      <c r="I1180" s="41">
        <f t="shared" si="217"/>
        <v>1333.5840000000001</v>
      </c>
      <c r="J1180" s="36">
        <v>1400</v>
      </c>
    </row>
    <row r="1181" spans="1:10" x14ac:dyDescent="0.25">
      <c r="A1181" s="31" t="s">
        <v>285</v>
      </c>
      <c r="B1181" s="50" t="s">
        <v>70</v>
      </c>
      <c r="C1181" s="34" t="s">
        <v>75</v>
      </c>
      <c r="D1181" s="108" t="s">
        <v>38</v>
      </c>
      <c r="E1181" s="34" t="s">
        <v>79</v>
      </c>
      <c r="F1181" s="36">
        <v>3.52</v>
      </c>
      <c r="G1181" s="36">
        <f t="shared" si="216"/>
        <v>22.175999999999998</v>
      </c>
      <c r="H1181" s="37">
        <v>24</v>
      </c>
      <c r="I1181" s="36">
        <f t="shared" si="217"/>
        <v>532.22399999999993</v>
      </c>
      <c r="J1181" s="36">
        <v>500</v>
      </c>
    </row>
    <row r="1182" spans="1:10" x14ac:dyDescent="0.25">
      <c r="A1182" s="31" t="s">
        <v>285</v>
      </c>
      <c r="B1182" s="75" t="s">
        <v>71</v>
      </c>
      <c r="C1182" s="111" t="s">
        <v>156</v>
      </c>
      <c r="D1182" s="111">
        <v>74.319999999999993</v>
      </c>
      <c r="E1182" s="42" t="s">
        <v>79</v>
      </c>
      <c r="F1182" s="74">
        <v>10.039999999999999</v>
      </c>
      <c r="G1182" s="36">
        <f t="shared" si="216"/>
        <v>63.251999999999995</v>
      </c>
      <c r="H1182" s="37">
        <v>24</v>
      </c>
      <c r="I1182" s="44">
        <f t="shared" si="217"/>
        <v>1518.0479999999998</v>
      </c>
      <c r="J1182" s="36">
        <v>1600</v>
      </c>
    </row>
    <row r="1183" spans="1:10" x14ac:dyDescent="0.25">
      <c r="A1183" s="31" t="s">
        <v>285</v>
      </c>
      <c r="B1183" s="37" t="s">
        <v>65</v>
      </c>
      <c r="C1183" s="34" t="s">
        <v>158</v>
      </c>
      <c r="D1183" s="46">
        <v>16.32</v>
      </c>
      <c r="E1183" s="34" t="s">
        <v>79</v>
      </c>
      <c r="F1183" s="74">
        <v>7.02</v>
      </c>
      <c r="G1183" s="36">
        <f t="shared" si="216"/>
        <v>44.225999999999999</v>
      </c>
      <c r="H1183" s="35">
        <v>24</v>
      </c>
      <c r="I1183" s="44">
        <f t="shared" si="217"/>
        <v>1061.424</v>
      </c>
      <c r="J1183" s="36">
        <v>1000</v>
      </c>
    </row>
    <row r="1184" spans="1:10" ht="15.75" thickBot="1" x14ac:dyDescent="0.3">
      <c r="A1184" s="31" t="s">
        <v>285</v>
      </c>
      <c r="B1184" s="43" t="s">
        <v>66</v>
      </c>
      <c r="C1184" s="52" t="s">
        <v>152</v>
      </c>
      <c r="D1184" s="72">
        <v>89.29</v>
      </c>
      <c r="E1184" s="42" t="s">
        <v>79</v>
      </c>
      <c r="F1184" s="73">
        <v>6.64</v>
      </c>
      <c r="G1184" s="74">
        <f t="shared" si="216"/>
        <v>41.831999999999994</v>
      </c>
      <c r="H1184" s="91">
        <v>24</v>
      </c>
      <c r="I1184" s="96">
        <f t="shared" si="217"/>
        <v>1003.9679999999998</v>
      </c>
      <c r="J1184" s="74">
        <v>1300</v>
      </c>
    </row>
    <row r="1185" spans="1:10" ht="19.5" thickBot="1" x14ac:dyDescent="0.35">
      <c r="A1185" s="220"/>
      <c r="B1185" s="174"/>
      <c r="C1185" s="324"/>
      <c r="D1185" s="208"/>
      <c r="E1185" s="208"/>
      <c r="F1185" s="208"/>
      <c r="G1185" s="208"/>
      <c r="H1185" s="174" t="s">
        <v>171</v>
      </c>
      <c r="I1185" s="101">
        <f>SUM(I1179:I1184)</f>
        <v>6241.5360000000001</v>
      </c>
      <c r="J1185" s="104">
        <f>SUM(J1179:J1184)</f>
        <v>6700</v>
      </c>
    </row>
    <row r="1186" spans="1:10" x14ac:dyDescent="0.25">
      <c r="A1186" s="31" t="s">
        <v>286</v>
      </c>
      <c r="B1186" s="37" t="s">
        <v>68</v>
      </c>
      <c r="C1186" s="34" t="s">
        <v>114</v>
      </c>
      <c r="D1186" s="108">
        <v>30.62</v>
      </c>
      <c r="E1186" s="34" t="s">
        <v>79</v>
      </c>
      <c r="F1186" s="109">
        <v>5.55</v>
      </c>
      <c r="G1186" s="36">
        <f t="shared" ref="G1186:G1191" si="218">F1186*6.3</f>
        <v>34.964999999999996</v>
      </c>
      <c r="H1186" s="37">
        <v>24</v>
      </c>
      <c r="I1186" s="36">
        <f t="shared" ref="I1186:I1191" si="219">G1186*H1186</f>
        <v>839.15999999999985</v>
      </c>
      <c r="J1186" s="36">
        <v>900</v>
      </c>
    </row>
    <row r="1187" spans="1:10" x14ac:dyDescent="0.25">
      <c r="A1187" s="31" t="s">
        <v>286</v>
      </c>
      <c r="B1187" s="37" t="s">
        <v>69</v>
      </c>
      <c r="C1187" s="34" t="s">
        <v>86</v>
      </c>
      <c r="D1187" s="108">
        <v>48.04</v>
      </c>
      <c r="E1187" s="34" t="s">
        <v>79</v>
      </c>
      <c r="F1187" s="110">
        <v>8.01</v>
      </c>
      <c r="G1187" s="36">
        <f t="shared" si="218"/>
        <v>50.462999999999994</v>
      </c>
      <c r="H1187" s="37">
        <v>21.5</v>
      </c>
      <c r="I1187" s="41">
        <f t="shared" si="219"/>
        <v>1084.9544999999998</v>
      </c>
      <c r="J1187" s="36">
        <v>1400</v>
      </c>
    </row>
    <row r="1188" spans="1:10" x14ac:dyDescent="0.25">
      <c r="A1188" s="31" t="s">
        <v>286</v>
      </c>
      <c r="B1188" s="50" t="s">
        <v>70</v>
      </c>
      <c r="C1188" s="34" t="s">
        <v>75</v>
      </c>
      <c r="D1188" s="108" t="s">
        <v>38</v>
      </c>
      <c r="E1188" s="34" t="s">
        <v>79</v>
      </c>
      <c r="F1188" s="36">
        <v>3.52</v>
      </c>
      <c r="G1188" s="36">
        <f t="shared" si="218"/>
        <v>22.175999999999998</v>
      </c>
      <c r="H1188" s="37">
        <v>24</v>
      </c>
      <c r="I1188" s="36">
        <f t="shared" si="219"/>
        <v>532.22399999999993</v>
      </c>
      <c r="J1188" s="36">
        <v>500</v>
      </c>
    </row>
    <row r="1189" spans="1:10" x14ac:dyDescent="0.25">
      <c r="A1189" s="31" t="s">
        <v>286</v>
      </c>
      <c r="B1189" s="75" t="s">
        <v>71</v>
      </c>
      <c r="C1189" s="111" t="s">
        <v>156</v>
      </c>
      <c r="D1189" s="111">
        <v>74.209999999999994</v>
      </c>
      <c r="E1189" s="42" t="s">
        <v>79</v>
      </c>
      <c r="F1189" s="74">
        <v>9.9499999999999993</v>
      </c>
      <c r="G1189" s="36">
        <f t="shared" si="218"/>
        <v>62.684999999999995</v>
      </c>
      <c r="H1189" s="37">
        <v>24</v>
      </c>
      <c r="I1189" s="44">
        <f t="shared" si="219"/>
        <v>1504.4399999999998</v>
      </c>
      <c r="J1189" s="36">
        <v>1600</v>
      </c>
    </row>
    <row r="1190" spans="1:10" x14ac:dyDescent="0.25">
      <c r="A1190" s="31" t="s">
        <v>286</v>
      </c>
      <c r="B1190" s="37" t="s">
        <v>65</v>
      </c>
      <c r="C1190" s="34" t="s">
        <v>158</v>
      </c>
      <c r="D1190" s="46">
        <v>16.09</v>
      </c>
      <c r="E1190" s="34" t="s">
        <v>79</v>
      </c>
      <c r="F1190" s="74">
        <v>7.01</v>
      </c>
      <c r="G1190" s="36">
        <f t="shared" si="218"/>
        <v>44.162999999999997</v>
      </c>
      <c r="H1190" s="35">
        <v>24</v>
      </c>
      <c r="I1190" s="44">
        <f t="shared" si="219"/>
        <v>1059.9119999999998</v>
      </c>
      <c r="J1190" s="36">
        <v>1000</v>
      </c>
    </row>
    <row r="1191" spans="1:10" ht="15.75" thickBot="1" x14ac:dyDescent="0.3">
      <c r="A1191" s="31" t="s">
        <v>286</v>
      </c>
      <c r="B1191" s="43" t="s">
        <v>66</v>
      </c>
      <c r="C1191" s="52" t="s">
        <v>152</v>
      </c>
      <c r="D1191" s="72">
        <v>97.56</v>
      </c>
      <c r="E1191" s="42" t="s">
        <v>79</v>
      </c>
      <c r="F1191" s="73">
        <v>6.71</v>
      </c>
      <c r="G1191" s="74">
        <f t="shared" si="218"/>
        <v>42.272999999999996</v>
      </c>
      <c r="H1191" s="91">
        <v>24</v>
      </c>
      <c r="I1191" s="96">
        <f t="shared" si="219"/>
        <v>1014.5519999999999</v>
      </c>
      <c r="J1191" s="74">
        <v>1300</v>
      </c>
    </row>
    <row r="1192" spans="1:10" ht="19.5" thickBot="1" x14ac:dyDescent="0.35">
      <c r="A1192" s="220"/>
      <c r="B1192" s="174"/>
      <c r="C1192" s="324"/>
      <c r="D1192" s="208"/>
      <c r="E1192" s="208"/>
      <c r="F1192" s="208"/>
      <c r="G1192" s="208"/>
      <c r="H1192" s="174" t="s">
        <v>171</v>
      </c>
      <c r="I1192" s="101">
        <f>SUM(I1186:I1191)</f>
        <v>6035.2424999999985</v>
      </c>
      <c r="J1192" s="104">
        <f>SUM(J1186:J1191)</f>
        <v>6700</v>
      </c>
    </row>
    <row r="1193" spans="1:10" x14ac:dyDescent="0.25">
      <c r="A1193" s="31" t="s">
        <v>287</v>
      </c>
      <c r="B1193" s="37" t="s">
        <v>68</v>
      </c>
      <c r="C1193" s="34" t="s">
        <v>114</v>
      </c>
      <c r="D1193" s="108">
        <v>25</v>
      </c>
      <c r="E1193" s="34" t="s">
        <v>79</v>
      </c>
      <c r="F1193" s="109">
        <v>4.5999999999999996</v>
      </c>
      <c r="G1193" s="36">
        <f t="shared" ref="G1193:G1198" si="220">F1193*6.3</f>
        <v>28.979999999999997</v>
      </c>
      <c r="H1193" s="37">
        <v>24</v>
      </c>
      <c r="I1193" s="36">
        <f t="shared" ref="I1193:I1198" si="221">G1193*H1193</f>
        <v>695.52</v>
      </c>
      <c r="J1193" s="36">
        <v>900</v>
      </c>
    </row>
    <row r="1194" spans="1:10" x14ac:dyDescent="0.25">
      <c r="A1194" s="31" t="s">
        <v>287</v>
      </c>
      <c r="B1194" s="37" t="s">
        <v>69</v>
      </c>
      <c r="C1194" s="34" t="s">
        <v>86</v>
      </c>
      <c r="D1194" s="108">
        <v>46.26</v>
      </c>
      <c r="E1194" s="34" t="s">
        <v>79</v>
      </c>
      <c r="F1194" s="110">
        <v>7.95</v>
      </c>
      <c r="G1194" s="36">
        <f t="shared" si="220"/>
        <v>50.085000000000001</v>
      </c>
      <c r="H1194" s="37">
        <v>24</v>
      </c>
      <c r="I1194" s="41">
        <f t="shared" si="221"/>
        <v>1202.04</v>
      </c>
      <c r="J1194" s="36">
        <v>1400</v>
      </c>
    </row>
    <row r="1195" spans="1:10" x14ac:dyDescent="0.25">
      <c r="A1195" s="31" t="s">
        <v>287</v>
      </c>
      <c r="B1195" s="50" t="s">
        <v>70</v>
      </c>
      <c r="C1195" s="34" t="s">
        <v>75</v>
      </c>
      <c r="D1195" s="108" t="s">
        <v>38</v>
      </c>
      <c r="E1195" s="34" t="s">
        <v>79</v>
      </c>
      <c r="F1195" s="36">
        <v>3.52</v>
      </c>
      <c r="G1195" s="36">
        <f t="shared" si="220"/>
        <v>22.175999999999998</v>
      </c>
      <c r="H1195" s="37">
        <v>24</v>
      </c>
      <c r="I1195" s="36">
        <f t="shared" si="221"/>
        <v>532.22399999999993</v>
      </c>
      <c r="J1195" s="36">
        <v>500</v>
      </c>
    </row>
    <row r="1196" spans="1:10" x14ac:dyDescent="0.25">
      <c r="A1196" s="31" t="s">
        <v>287</v>
      </c>
      <c r="B1196" s="75" t="s">
        <v>71</v>
      </c>
      <c r="C1196" s="111" t="s">
        <v>156</v>
      </c>
      <c r="D1196" s="111">
        <v>74.400000000000006</v>
      </c>
      <c r="E1196" s="42" t="s">
        <v>79</v>
      </c>
      <c r="F1196" s="74">
        <v>10.1</v>
      </c>
      <c r="G1196" s="36">
        <f t="shared" si="220"/>
        <v>63.629999999999995</v>
      </c>
      <c r="H1196" s="37">
        <v>24</v>
      </c>
      <c r="I1196" s="44">
        <f t="shared" si="221"/>
        <v>1527.12</v>
      </c>
      <c r="J1196" s="36">
        <v>1600</v>
      </c>
    </row>
    <row r="1197" spans="1:10" x14ac:dyDescent="0.25">
      <c r="A1197" s="31" t="s">
        <v>287</v>
      </c>
      <c r="B1197" s="37" t="s">
        <v>65</v>
      </c>
      <c r="C1197" s="34" t="s">
        <v>158</v>
      </c>
      <c r="D1197" s="46">
        <v>16.14</v>
      </c>
      <c r="E1197" s="34" t="s">
        <v>79</v>
      </c>
      <c r="F1197" s="74">
        <v>7.01</v>
      </c>
      <c r="G1197" s="36">
        <f t="shared" si="220"/>
        <v>44.162999999999997</v>
      </c>
      <c r="H1197" s="35">
        <v>24</v>
      </c>
      <c r="I1197" s="44">
        <f t="shared" si="221"/>
        <v>1059.9119999999998</v>
      </c>
      <c r="J1197" s="36">
        <v>1000</v>
      </c>
    </row>
    <row r="1198" spans="1:10" ht="15.75" thickBot="1" x14ac:dyDescent="0.3">
      <c r="A1198" s="31" t="s">
        <v>287</v>
      </c>
      <c r="B1198" s="43" t="s">
        <v>66</v>
      </c>
      <c r="C1198" s="52" t="s">
        <v>152</v>
      </c>
      <c r="D1198" s="72">
        <v>98.04</v>
      </c>
      <c r="E1198" s="42" t="s">
        <v>79</v>
      </c>
      <c r="F1198" s="73">
        <v>6.9</v>
      </c>
      <c r="G1198" s="74">
        <f t="shared" si="220"/>
        <v>43.47</v>
      </c>
      <c r="H1198" s="91">
        <v>24</v>
      </c>
      <c r="I1198" s="96">
        <f t="shared" si="221"/>
        <v>1043.28</v>
      </c>
      <c r="J1198" s="74">
        <v>1300</v>
      </c>
    </row>
    <row r="1199" spans="1:10" ht="19.5" thickBot="1" x14ac:dyDescent="0.35">
      <c r="A1199" s="206"/>
      <c r="B1199" s="174"/>
      <c r="C1199" s="207"/>
      <c r="D1199" s="208"/>
      <c r="E1199" s="208"/>
      <c r="F1199" s="208"/>
      <c r="G1199" s="208"/>
      <c r="H1199" s="174" t="s">
        <v>171</v>
      </c>
      <c r="I1199" s="101">
        <f>SUM(I1193:I1198)</f>
        <v>6060.0959999999986</v>
      </c>
      <c r="J1199" s="104">
        <f>SUM(J1193:J1198)</f>
        <v>6700</v>
      </c>
    </row>
    <row r="1200" spans="1:10" x14ac:dyDescent="0.25">
      <c r="A1200" s="31" t="s">
        <v>288</v>
      </c>
      <c r="B1200" s="37" t="s">
        <v>68</v>
      </c>
      <c r="C1200" s="34" t="s">
        <v>114</v>
      </c>
      <c r="D1200" s="108">
        <v>25.53</v>
      </c>
      <c r="E1200" s="34" t="s">
        <v>79</v>
      </c>
      <c r="F1200" s="109">
        <v>5.0999999999999996</v>
      </c>
      <c r="G1200" s="36">
        <f t="shared" ref="G1200:G1205" si="222">F1200*6.3</f>
        <v>32.129999999999995</v>
      </c>
      <c r="H1200" s="37">
        <v>23</v>
      </c>
      <c r="I1200" s="36">
        <f t="shared" ref="I1200:I1205" si="223">G1200*H1200</f>
        <v>738.9899999999999</v>
      </c>
      <c r="J1200" s="36">
        <v>900</v>
      </c>
    </row>
    <row r="1201" spans="1:11" x14ac:dyDescent="0.25">
      <c r="A1201" s="31" t="s">
        <v>288</v>
      </c>
      <c r="B1201" s="37" t="s">
        <v>69</v>
      </c>
      <c r="C1201" s="34" t="s">
        <v>86</v>
      </c>
      <c r="D1201" s="108">
        <v>69.22</v>
      </c>
      <c r="E1201" s="34" t="s">
        <v>79</v>
      </c>
      <c r="F1201" s="110">
        <v>9.8000000000000007</v>
      </c>
      <c r="G1201" s="36">
        <f t="shared" si="222"/>
        <v>61.74</v>
      </c>
      <c r="H1201" s="37">
        <v>23</v>
      </c>
      <c r="I1201" s="41">
        <f t="shared" si="223"/>
        <v>1420.02</v>
      </c>
      <c r="J1201" s="36">
        <v>1400</v>
      </c>
    </row>
    <row r="1202" spans="1:11" x14ac:dyDescent="0.25">
      <c r="A1202" s="31" t="s">
        <v>288</v>
      </c>
      <c r="B1202" s="50" t="s">
        <v>70</v>
      </c>
      <c r="C1202" s="34" t="s">
        <v>75</v>
      </c>
      <c r="D1202" s="108" t="s">
        <v>38</v>
      </c>
      <c r="E1202" s="34" t="s">
        <v>79</v>
      </c>
      <c r="F1202" s="36">
        <v>3.52</v>
      </c>
      <c r="G1202" s="36">
        <f t="shared" si="222"/>
        <v>22.175999999999998</v>
      </c>
      <c r="H1202" s="37">
        <v>24</v>
      </c>
      <c r="I1202" s="36">
        <f t="shared" si="223"/>
        <v>532.22399999999993</v>
      </c>
      <c r="J1202" s="36">
        <v>500</v>
      </c>
    </row>
    <row r="1203" spans="1:11" x14ac:dyDescent="0.25">
      <c r="A1203" s="31" t="s">
        <v>288</v>
      </c>
      <c r="B1203" s="75" t="s">
        <v>71</v>
      </c>
      <c r="C1203" s="111" t="s">
        <v>156</v>
      </c>
      <c r="D1203" s="111">
        <v>74.89</v>
      </c>
      <c r="E1203" s="42" t="s">
        <v>79</v>
      </c>
      <c r="F1203" s="74">
        <v>10.17</v>
      </c>
      <c r="G1203" s="36">
        <f t="shared" si="222"/>
        <v>64.070999999999998</v>
      </c>
      <c r="H1203" s="37">
        <v>24</v>
      </c>
      <c r="I1203" s="44">
        <f t="shared" si="223"/>
        <v>1537.704</v>
      </c>
      <c r="J1203" s="36">
        <v>1600</v>
      </c>
    </row>
    <row r="1204" spans="1:11" ht="15.75" thickBot="1" x14ac:dyDescent="0.3">
      <c r="A1204" s="31" t="s">
        <v>288</v>
      </c>
      <c r="B1204" s="37" t="s">
        <v>65</v>
      </c>
      <c r="C1204" s="34" t="s">
        <v>158</v>
      </c>
      <c r="D1204" s="46">
        <v>17.079999999999998</v>
      </c>
      <c r="E1204" s="34" t="s">
        <v>79</v>
      </c>
      <c r="F1204" s="74">
        <v>7</v>
      </c>
      <c r="G1204" s="36">
        <f t="shared" si="222"/>
        <v>44.1</v>
      </c>
      <c r="H1204" s="35">
        <v>24</v>
      </c>
      <c r="I1204" s="44">
        <f t="shared" si="223"/>
        <v>1058.4000000000001</v>
      </c>
      <c r="J1204" s="36">
        <v>1000</v>
      </c>
    </row>
    <row r="1205" spans="1:11" ht="15.75" thickBot="1" x14ac:dyDescent="0.3">
      <c r="A1205" s="31" t="s">
        <v>288</v>
      </c>
      <c r="B1205" s="43" t="s">
        <v>66</v>
      </c>
      <c r="C1205" s="52" t="s">
        <v>152</v>
      </c>
      <c r="D1205" s="72">
        <v>0</v>
      </c>
      <c r="E1205" s="42" t="s">
        <v>79</v>
      </c>
      <c r="F1205" s="73">
        <v>7.3</v>
      </c>
      <c r="G1205" s="74">
        <f t="shared" si="222"/>
        <v>45.989999999999995</v>
      </c>
      <c r="H1205" s="91">
        <v>18</v>
      </c>
      <c r="I1205" s="96">
        <f t="shared" si="223"/>
        <v>827.81999999999994</v>
      </c>
      <c r="J1205" s="74">
        <v>1300</v>
      </c>
      <c r="K1205" s="325" t="s">
        <v>289</v>
      </c>
    </row>
    <row r="1206" spans="1:11" ht="19.5" thickBot="1" x14ac:dyDescent="0.35">
      <c r="A1206" s="206"/>
      <c r="B1206" s="234"/>
      <c r="C1206" s="207"/>
      <c r="D1206" s="208"/>
      <c r="E1206" s="208"/>
      <c r="F1206" s="208"/>
      <c r="G1206" s="208"/>
      <c r="H1206" s="174" t="s">
        <v>171</v>
      </c>
      <c r="I1206" s="101">
        <f>SUM(I1200:I1205)</f>
        <v>6115.1579999999994</v>
      </c>
      <c r="J1206" s="104">
        <f>SUM(J1200:J1205)</f>
        <v>6700</v>
      </c>
      <c r="K1206" s="325" t="s">
        <v>290</v>
      </c>
    </row>
    <row r="1207" spans="1:11" x14ac:dyDescent="0.25">
      <c r="A1207" s="31" t="s">
        <v>292</v>
      </c>
      <c r="B1207" s="37" t="s">
        <v>68</v>
      </c>
      <c r="C1207" s="34" t="s">
        <v>114</v>
      </c>
      <c r="D1207" s="108">
        <v>27.42</v>
      </c>
      <c r="E1207" s="34" t="s">
        <v>79</v>
      </c>
      <c r="F1207" s="109">
        <v>5.47</v>
      </c>
      <c r="G1207" s="36">
        <f t="shared" ref="G1207:G1212" si="224">F1207*6.3</f>
        <v>34.460999999999999</v>
      </c>
      <c r="H1207" s="37">
        <v>24</v>
      </c>
      <c r="I1207" s="36">
        <f t="shared" ref="I1207:I1212" si="225">G1207*H1207</f>
        <v>827.06399999999996</v>
      </c>
      <c r="J1207" s="36">
        <v>900</v>
      </c>
    </row>
    <row r="1208" spans="1:11" x14ac:dyDescent="0.25">
      <c r="A1208" s="31" t="s">
        <v>292</v>
      </c>
      <c r="B1208" s="37" t="s">
        <v>69</v>
      </c>
      <c r="C1208" s="34" t="s">
        <v>86</v>
      </c>
      <c r="D1208" s="108">
        <v>71.66</v>
      </c>
      <c r="E1208" s="34" t="s">
        <v>79</v>
      </c>
      <c r="F1208" s="110">
        <v>9</v>
      </c>
      <c r="G1208" s="36">
        <f t="shared" si="224"/>
        <v>56.699999999999996</v>
      </c>
      <c r="H1208" s="37">
        <v>24</v>
      </c>
      <c r="I1208" s="41">
        <f t="shared" si="225"/>
        <v>1360.8</v>
      </c>
      <c r="J1208" s="36">
        <v>1400</v>
      </c>
    </row>
    <row r="1209" spans="1:11" x14ac:dyDescent="0.25">
      <c r="A1209" s="31" t="s">
        <v>292</v>
      </c>
      <c r="B1209" s="50" t="s">
        <v>70</v>
      </c>
      <c r="C1209" s="34" t="s">
        <v>75</v>
      </c>
      <c r="D1209" s="108" t="s">
        <v>38</v>
      </c>
      <c r="E1209" s="34" t="s">
        <v>79</v>
      </c>
      <c r="F1209" s="36">
        <v>3.5</v>
      </c>
      <c r="G1209" s="36">
        <f t="shared" si="224"/>
        <v>22.05</v>
      </c>
      <c r="H1209" s="37">
        <v>24</v>
      </c>
      <c r="I1209" s="36">
        <f t="shared" si="225"/>
        <v>529.20000000000005</v>
      </c>
      <c r="J1209" s="36">
        <v>500</v>
      </c>
    </row>
    <row r="1210" spans="1:11" x14ac:dyDescent="0.25">
      <c r="A1210" s="31" t="s">
        <v>292</v>
      </c>
      <c r="B1210" s="75" t="s">
        <v>71</v>
      </c>
      <c r="C1210" s="111" t="s">
        <v>156</v>
      </c>
      <c r="D1210" s="111">
        <v>74.5</v>
      </c>
      <c r="E1210" s="42" t="s">
        <v>79</v>
      </c>
      <c r="F1210" s="74">
        <v>10.35</v>
      </c>
      <c r="G1210" s="36">
        <f t="shared" si="224"/>
        <v>65.204999999999998</v>
      </c>
      <c r="H1210" s="37">
        <v>24</v>
      </c>
      <c r="I1210" s="44">
        <f t="shared" si="225"/>
        <v>1564.92</v>
      </c>
      <c r="J1210" s="36">
        <v>1600</v>
      </c>
    </row>
    <row r="1211" spans="1:11" x14ac:dyDescent="0.25">
      <c r="A1211" s="31" t="s">
        <v>292</v>
      </c>
      <c r="B1211" s="37" t="s">
        <v>65</v>
      </c>
      <c r="C1211" s="34" t="s">
        <v>158</v>
      </c>
      <c r="D1211" s="46">
        <v>17.079999999999998</v>
      </c>
      <c r="E1211" s="34" t="s">
        <v>79</v>
      </c>
      <c r="F1211" s="74">
        <v>7</v>
      </c>
      <c r="G1211" s="36">
        <f t="shared" si="224"/>
        <v>44.1</v>
      </c>
      <c r="H1211" s="35">
        <v>24</v>
      </c>
      <c r="I1211" s="44">
        <f t="shared" si="225"/>
        <v>1058.4000000000001</v>
      </c>
      <c r="J1211" s="36">
        <v>1000</v>
      </c>
    </row>
    <row r="1212" spans="1:11" ht="15.75" thickBot="1" x14ac:dyDescent="0.3">
      <c r="A1212" s="31" t="s">
        <v>292</v>
      </c>
      <c r="B1212" s="43" t="s">
        <v>66</v>
      </c>
      <c r="C1212" s="52" t="s">
        <v>152</v>
      </c>
      <c r="D1212" s="72" t="s">
        <v>38</v>
      </c>
      <c r="E1212" s="42" t="s">
        <v>291</v>
      </c>
      <c r="F1212" s="73">
        <v>0</v>
      </c>
      <c r="G1212" s="74">
        <f t="shared" si="224"/>
        <v>0</v>
      </c>
      <c r="H1212" s="91">
        <v>0</v>
      </c>
      <c r="I1212" s="96">
        <f t="shared" si="225"/>
        <v>0</v>
      </c>
      <c r="J1212" s="74">
        <v>1300</v>
      </c>
    </row>
    <row r="1213" spans="1:11" ht="19.5" thickBot="1" x14ac:dyDescent="0.35">
      <c r="A1213" s="206"/>
      <c r="B1213" s="174"/>
      <c r="C1213" s="207"/>
      <c r="D1213" s="208"/>
      <c r="E1213" s="208"/>
      <c r="F1213" s="208"/>
      <c r="G1213" s="208"/>
      <c r="H1213" s="174" t="s">
        <v>171</v>
      </c>
      <c r="I1213" s="101">
        <f>SUM(I1207:I1212)</f>
        <v>5340.384</v>
      </c>
      <c r="J1213" s="104">
        <f>SUM(J1207:J1212)</f>
        <v>6700</v>
      </c>
      <c r="K1213" s="325" t="s">
        <v>293</v>
      </c>
    </row>
    <row r="1214" spans="1:11" x14ac:dyDescent="0.25">
      <c r="A1214" s="31" t="s">
        <v>294</v>
      </c>
      <c r="B1214" s="37" t="s">
        <v>68</v>
      </c>
      <c r="C1214" s="34" t="s">
        <v>114</v>
      </c>
      <c r="D1214" s="108">
        <v>25.65</v>
      </c>
      <c r="E1214" s="34" t="s">
        <v>79</v>
      </c>
      <c r="F1214" s="109">
        <v>5.4</v>
      </c>
      <c r="G1214" s="36">
        <f t="shared" ref="G1214:G1219" si="226">F1214*6.3</f>
        <v>34.020000000000003</v>
      </c>
      <c r="H1214" s="37">
        <v>24</v>
      </c>
      <c r="I1214" s="36">
        <f t="shared" ref="I1214:I1219" si="227">G1214*H1214</f>
        <v>816.48</v>
      </c>
      <c r="J1214" s="36">
        <v>900</v>
      </c>
    </row>
    <row r="1215" spans="1:11" x14ac:dyDescent="0.25">
      <c r="A1215" s="31" t="s">
        <v>294</v>
      </c>
      <c r="B1215" s="37" t="s">
        <v>69</v>
      </c>
      <c r="C1215" s="34" t="s">
        <v>86</v>
      </c>
      <c r="D1215" s="108">
        <v>84.77</v>
      </c>
      <c r="E1215" s="34" t="s">
        <v>79</v>
      </c>
      <c r="F1215" s="110">
        <v>9.1199999999999992</v>
      </c>
      <c r="G1215" s="36">
        <f t="shared" si="226"/>
        <v>57.455999999999996</v>
      </c>
      <c r="H1215" s="37">
        <v>24</v>
      </c>
      <c r="I1215" s="41">
        <f t="shared" si="227"/>
        <v>1378.944</v>
      </c>
      <c r="J1215" s="36">
        <v>1400</v>
      </c>
    </row>
    <row r="1216" spans="1:11" x14ac:dyDescent="0.25">
      <c r="A1216" s="31" t="s">
        <v>294</v>
      </c>
      <c r="B1216" s="50" t="s">
        <v>70</v>
      </c>
      <c r="C1216" s="34" t="s">
        <v>75</v>
      </c>
      <c r="D1216" s="108" t="s">
        <v>38</v>
      </c>
      <c r="E1216" s="34" t="s">
        <v>79</v>
      </c>
      <c r="F1216" s="36">
        <v>3.48</v>
      </c>
      <c r="G1216" s="36">
        <f t="shared" si="226"/>
        <v>21.923999999999999</v>
      </c>
      <c r="H1216" s="37">
        <v>24</v>
      </c>
      <c r="I1216" s="36">
        <f t="shared" si="227"/>
        <v>526.17599999999993</v>
      </c>
      <c r="J1216" s="36">
        <v>500</v>
      </c>
    </row>
    <row r="1217" spans="1:11" x14ac:dyDescent="0.25">
      <c r="A1217" s="31" t="s">
        <v>294</v>
      </c>
      <c r="B1217" s="75" t="s">
        <v>71</v>
      </c>
      <c r="C1217" s="111" t="s">
        <v>156</v>
      </c>
      <c r="D1217" s="111">
        <v>75.37</v>
      </c>
      <c r="E1217" s="42" t="s">
        <v>79</v>
      </c>
      <c r="F1217" s="74">
        <v>10.3</v>
      </c>
      <c r="G1217" s="36">
        <f t="shared" si="226"/>
        <v>64.89</v>
      </c>
      <c r="H1217" s="37">
        <v>24</v>
      </c>
      <c r="I1217" s="44">
        <f t="shared" si="227"/>
        <v>1557.3600000000001</v>
      </c>
      <c r="J1217" s="36">
        <v>1600</v>
      </c>
    </row>
    <row r="1218" spans="1:11" x14ac:dyDescent="0.25">
      <c r="A1218" s="31" t="s">
        <v>294</v>
      </c>
      <c r="B1218" s="37" t="s">
        <v>65</v>
      </c>
      <c r="C1218" s="34" t="s">
        <v>158</v>
      </c>
      <c r="D1218" s="46">
        <v>16.989999999999998</v>
      </c>
      <c r="E1218" s="34" t="s">
        <v>79</v>
      </c>
      <c r="F1218" s="74">
        <v>7</v>
      </c>
      <c r="G1218" s="36">
        <f t="shared" si="226"/>
        <v>44.1</v>
      </c>
      <c r="H1218" s="35">
        <v>24</v>
      </c>
      <c r="I1218" s="44">
        <f t="shared" si="227"/>
        <v>1058.4000000000001</v>
      </c>
      <c r="J1218" s="36">
        <v>1000</v>
      </c>
    </row>
    <row r="1219" spans="1:11" ht="15.75" thickBot="1" x14ac:dyDescent="0.3">
      <c r="A1219" s="31" t="s">
        <v>294</v>
      </c>
      <c r="B1219" s="43" t="s">
        <v>66</v>
      </c>
      <c r="C1219" s="52" t="s">
        <v>152</v>
      </c>
      <c r="D1219" s="72">
        <v>75.400000000000006</v>
      </c>
      <c r="E1219" s="42" t="s">
        <v>79</v>
      </c>
      <c r="F1219" s="73">
        <v>5.8</v>
      </c>
      <c r="G1219" s="74">
        <f t="shared" si="226"/>
        <v>36.54</v>
      </c>
      <c r="H1219" s="91">
        <v>9.5</v>
      </c>
      <c r="I1219" s="96">
        <f t="shared" si="227"/>
        <v>347.13</v>
      </c>
      <c r="J1219" s="74">
        <v>1300</v>
      </c>
    </row>
    <row r="1220" spans="1:11" ht="19.5" thickBot="1" x14ac:dyDescent="0.35">
      <c r="A1220" s="206"/>
      <c r="B1220" s="174"/>
      <c r="C1220" s="207"/>
      <c r="D1220" s="208"/>
      <c r="E1220" s="208"/>
      <c r="F1220" s="208"/>
      <c r="G1220" s="208"/>
      <c r="H1220" s="174" t="s">
        <v>171</v>
      </c>
      <c r="I1220" s="101">
        <f>SUM(I1214:I1219)</f>
        <v>5684.4900000000007</v>
      </c>
      <c r="J1220" s="104">
        <f>SUM(J1214:J1219)</f>
        <v>6700</v>
      </c>
      <c r="K1220" s="325" t="s">
        <v>295</v>
      </c>
    </row>
    <row r="1221" spans="1:11" x14ac:dyDescent="0.25">
      <c r="A1221" s="31" t="s">
        <v>296</v>
      </c>
      <c r="B1221" s="37" t="s">
        <v>68</v>
      </c>
      <c r="C1221" s="34" t="s">
        <v>114</v>
      </c>
      <c r="D1221" s="108">
        <v>23.14</v>
      </c>
      <c r="E1221" s="34" t="s">
        <v>79</v>
      </c>
      <c r="F1221" s="109">
        <v>5.4</v>
      </c>
      <c r="G1221" s="36">
        <f t="shared" ref="G1221:G1226" si="228">F1221*6.3</f>
        <v>34.020000000000003</v>
      </c>
      <c r="H1221" s="37">
        <v>24</v>
      </c>
      <c r="I1221" s="36">
        <f t="shared" ref="I1221:I1226" si="229">G1221*H1221</f>
        <v>816.48</v>
      </c>
      <c r="J1221" s="36">
        <v>900</v>
      </c>
    </row>
    <row r="1222" spans="1:11" x14ac:dyDescent="0.25">
      <c r="A1222" s="31" t="s">
        <v>296</v>
      </c>
      <c r="B1222" s="37" t="s">
        <v>69</v>
      </c>
      <c r="C1222" s="34" t="s">
        <v>86</v>
      </c>
      <c r="D1222" s="108">
        <v>86.04</v>
      </c>
      <c r="E1222" s="34" t="s">
        <v>79</v>
      </c>
      <c r="F1222" s="110">
        <v>9.6</v>
      </c>
      <c r="G1222" s="36">
        <f t="shared" si="228"/>
        <v>60.48</v>
      </c>
      <c r="H1222" s="37">
        <v>24</v>
      </c>
      <c r="I1222" s="41">
        <f t="shared" si="229"/>
        <v>1451.52</v>
      </c>
      <c r="J1222" s="36">
        <v>1400</v>
      </c>
    </row>
    <row r="1223" spans="1:11" x14ac:dyDescent="0.25">
      <c r="A1223" s="31" t="s">
        <v>296</v>
      </c>
      <c r="B1223" s="50" t="s">
        <v>70</v>
      </c>
      <c r="C1223" s="34" t="s">
        <v>75</v>
      </c>
      <c r="D1223" s="108" t="s">
        <v>38</v>
      </c>
      <c r="E1223" s="34" t="s">
        <v>79</v>
      </c>
      <c r="F1223" s="36">
        <v>3.45</v>
      </c>
      <c r="G1223" s="36">
        <f t="shared" si="228"/>
        <v>21.734999999999999</v>
      </c>
      <c r="H1223" s="37">
        <v>24</v>
      </c>
      <c r="I1223" s="36">
        <f t="shared" si="229"/>
        <v>521.64</v>
      </c>
      <c r="J1223" s="36">
        <v>500</v>
      </c>
    </row>
    <row r="1224" spans="1:11" x14ac:dyDescent="0.25">
      <c r="A1224" s="31" t="s">
        <v>296</v>
      </c>
      <c r="B1224" s="75" t="s">
        <v>71</v>
      </c>
      <c r="C1224" s="111" t="s">
        <v>156</v>
      </c>
      <c r="D1224" s="111">
        <v>74.7</v>
      </c>
      <c r="E1224" s="42" t="s">
        <v>79</v>
      </c>
      <c r="F1224" s="74">
        <v>10.199999999999999</v>
      </c>
      <c r="G1224" s="36">
        <f t="shared" si="228"/>
        <v>64.259999999999991</v>
      </c>
      <c r="H1224" s="37">
        <v>24</v>
      </c>
      <c r="I1224" s="44">
        <f t="shared" si="229"/>
        <v>1542.2399999999998</v>
      </c>
      <c r="J1224" s="36">
        <v>1600</v>
      </c>
    </row>
    <row r="1225" spans="1:11" x14ac:dyDescent="0.25">
      <c r="A1225" s="31" t="s">
        <v>296</v>
      </c>
      <c r="B1225" s="37" t="s">
        <v>65</v>
      </c>
      <c r="C1225" s="34" t="s">
        <v>158</v>
      </c>
      <c r="D1225" s="46">
        <v>22.09</v>
      </c>
      <c r="E1225" s="34" t="s">
        <v>79</v>
      </c>
      <c r="F1225" s="74">
        <v>6.8</v>
      </c>
      <c r="G1225" s="36">
        <f t="shared" si="228"/>
        <v>42.839999999999996</v>
      </c>
      <c r="H1225" s="35">
        <v>24</v>
      </c>
      <c r="I1225" s="44">
        <f t="shared" si="229"/>
        <v>1028.1599999999999</v>
      </c>
      <c r="J1225" s="36">
        <v>1000</v>
      </c>
    </row>
    <row r="1226" spans="1:11" ht="15.75" thickBot="1" x14ac:dyDescent="0.3">
      <c r="A1226" s="31" t="s">
        <v>296</v>
      </c>
      <c r="B1226" s="43" t="s">
        <v>66</v>
      </c>
      <c r="C1226" s="52" t="s">
        <v>152</v>
      </c>
      <c r="D1226" s="72">
        <v>97.49</v>
      </c>
      <c r="E1226" s="42" t="s">
        <v>79</v>
      </c>
      <c r="F1226" s="73">
        <v>6.4</v>
      </c>
      <c r="G1226" s="74">
        <f t="shared" si="228"/>
        <v>40.32</v>
      </c>
      <c r="H1226" s="91">
        <v>24</v>
      </c>
      <c r="I1226" s="96">
        <f t="shared" si="229"/>
        <v>967.68000000000006</v>
      </c>
      <c r="J1226" s="74">
        <v>1300</v>
      </c>
    </row>
    <row r="1227" spans="1:11" ht="19.5" thickBot="1" x14ac:dyDescent="0.35">
      <c r="A1227" s="206"/>
      <c r="B1227" s="234"/>
      <c r="C1227" s="207"/>
      <c r="D1227" s="208"/>
      <c r="E1227" s="208"/>
      <c r="F1227" s="208"/>
      <c r="G1227" s="208"/>
      <c r="H1227" s="174" t="s">
        <v>171</v>
      </c>
      <c r="I1227" s="101">
        <f>SUM(I1221:I1226)</f>
        <v>6327.7199999999993</v>
      </c>
      <c r="J1227" s="104">
        <f>SUM(J1221:J1226)</f>
        <v>6700</v>
      </c>
    </row>
    <row r="1228" spans="1:11" x14ac:dyDescent="0.25">
      <c r="A1228" s="31" t="s">
        <v>297</v>
      </c>
      <c r="B1228" s="37" t="s">
        <v>314</v>
      </c>
      <c r="C1228" s="34" t="s">
        <v>114</v>
      </c>
      <c r="D1228" s="108">
        <v>21.01</v>
      </c>
      <c r="E1228" s="34" t="s">
        <v>79</v>
      </c>
      <c r="F1228" s="109">
        <v>5.2</v>
      </c>
      <c r="G1228" s="36">
        <f t="shared" ref="G1228:G1233" si="230">F1228*6.3</f>
        <v>32.76</v>
      </c>
      <c r="H1228" s="37">
        <v>24</v>
      </c>
      <c r="I1228" s="36">
        <f t="shared" ref="I1228:I1233" si="231">G1228*H1228</f>
        <v>786.24</v>
      </c>
      <c r="J1228" s="36">
        <v>900</v>
      </c>
    </row>
    <row r="1229" spans="1:11" x14ac:dyDescent="0.25">
      <c r="A1229" s="31" t="s">
        <v>297</v>
      </c>
      <c r="B1229" s="37" t="s">
        <v>315</v>
      </c>
      <c r="C1229" s="34" t="s">
        <v>86</v>
      </c>
      <c r="D1229" s="108">
        <v>87.09</v>
      </c>
      <c r="E1229" s="34" t="s">
        <v>79</v>
      </c>
      <c r="F1229" s="110">
        <v>9.4</v>
      </c>
      <c r="G1229" s="36">
        <f t="shared" si="230"/>
        <v>59.22</v>
      </c>
      <c r="H1229" s="37">
        <v>24</v>
      </c>
      <c r="I1229" s="41">
        <f t="shared" si="231"/>
        <v>1421.28</v>
      </c>
      <c r="J1229" s="36">
        <v>1400</v>
      </c>
    </row>
    <row r="1230" spans="1:11" x14ac:dyDescent="0.25">
      <c r="A1230" s="31" t="s">
        <v>297</v>
      </c>
      <c r="B1230" s="50" t="s">
        <v>316</v>
      </c>
      <c r="C1230" s="34" t="s">
        <v>75</v>
      </c>
      <c r="D1230" s="108" t="s">
        <v>38</v>
      </c>
      <c r="E1230" s="34" t="s">
        <v>79</v>
      </c>
      <c r="F1230" s="36">
        <v>3.4</v>
      </c>
      <c r="G1230" s="36">
        <f t="shared" si="230"/>
        <v>21.419999999999998</v>
      </c>
      <c r="H1230" s="37">
        <v>24</v>
      </c>
      <c r="I1230" s="36">
        <f t="shared" si="231"/>
        <v>514.07999999999993</v>
      </c>
      <c r="J1230" s="36">
        <v>500</v>
      </c>
    </row>
    <row r="1231" spans="1:11" x14ac:dyDescent="0.25">
      <c r="A1231" s="31" t="s">
        <v>297</v>
      </c>
      <c r="B1231" s="75" t="s">
        <v>317</v>
      </c>
      <c r="C1231" s="111" t="s">
        <v>156</v>
      </c>
      <c r="D1231" s="111">
        <v>75.17</v>
      </c>
      <c r="E1231" s="42" t="s">
        <v>79</v>
      </c>
      <c r="F1231" s="74">
        <v>10.1</v>
      </c>
      <c r="G1231" s="36">
        <f t="shared" si="230"/>
        <v>63.629999999999995</v>
      </c>
      <c r="H1231" s="37">
        <v>24</v>
      </c>
      <c r="I1231" s="44">
        <f t="shared" si="231"/>
        <v>1527.12</v>
      </c>
      <c r="J1231" s="36">
        <v>1600</v>
      </c>
    </row>
    <row r="1232" spans="1:11" x14ac:dyDescent="0.25">
      <c r="A1232" s="31" t="s">
        <v>297</v>
      </c>
      <c r="B1232" s="37" t="s">
        <v>318</v>
      </c>
      <c r="C1232" s="34" t="s">
        <v>158</v>
      </c>
      <c r="D1232" s="46">
        <v>22.32</v>
      </c>
      <c r="E1232" s="34" t="s">
        <v>79</v>
      </c>
      <c r="F1232" s="74">
        <v>6.7</v>
      </c>
      <c r="G1232" s="36">
        <f t="shared" si="230"/>
        <v>42.21</v>
      </c>
      <c r="H1232" s="35">
        <v>24</v>
      </c>
      <c r="I1232" s="44">
        <f t="shared" si="231"/>
        <v>1013.04</v>
      </c>
      <c r="J1232" s="36">
        <v>1000</v>
      </c>
    </row>
    <row r="1233" spans="1:11" ht="15.75" thickBot="1" x14ac:dyDescent="0.3">
      <c r="A1233" s="31" t="s">
        <v>297</v>
      </c>
      <c r="B1233" s="37" t="s">
        <v>319</v>
      </c>
      <c r="C1233" s="52" t="s">
        <v>152</v>
      </c>
      <c r="D1233" s="72">
        <v>97.99</v>
      </c>
      <c r="E1233" s="42" t="s">
        <v>79</v>
      </c>
      <c r="F1233" s="73">
        <v>6.5</v>
      </c>
      <c r="G1233" s="74">
        <f t="shared" si="230"/>
        <v>40.949999999999996</v>
      </c>
      <c r="H1233" s="91">
        <v>24</v>
      </c>
      <c r="I1233" s="96">
        <f t="shared" si="231"/>
        <v>982.8</v>
      </c>
      <c r="J1233" s="74">
        <v>1300</v>
      </c>
    </row>
    <row r="1234" spans="1:11" ht="19.5" thickBot="1" x14ac:dyDescent="0.35">
      <c r="A1234" s="206"/>
      <c r="B1234" s="174"/>
      <c r="C1234" s="207"/>
      <c r="D1234" s="208"/>
      <c r="E1234" s="208"/>
      <c r="F1234" s="208"/>
      <c r="G1234" s="208"/>
      <c r="H1234" s="174" t="s">
        <v>171</v>
      </c>
      <c r="I1234" s="101">
        <f>SUM(I1228:I1233)</f>
        <v>6244.5599999999995</v>
      </c>
      <c r="J1234" s="104">
        <f>SUM(J1228:J1233)</f>
        <v>6700</v>
      </c>
    </row>
    <row r="1235" spans="1:11" x14ac:dyDescent="0.25">
      <c r="A1235" s="31" t="s">
        <v>298</v>
      </c>
      <c r="B1235" s="37" t="s">
        <v>314</v>
      </c>
      <c r="C1235" s="34" t="s">
        <v>114</v>
      </c>
      <c r="D1235" s="108">
        <v>24.49</v>
      </c>
      <c r="E1235" s="34" t="s">
        <v>79</v>
      </c>
      <c r="F1235" s="109">
        <v>5.3</v>
      </c>
      <c r="G1235" s="36">
        <f t="shared" ref="G1235:G1240" si="232">F1235*6.3</f>
        <v>33.39</v>
      </c>
      <c r="H1235" s="37">
        <v>24</v>
      </c>
      <c r="I1235" s="36">
        <f t="shared" ref="I1235:I1240" si="233">G1235*H1235</f>
        <v>801.36</v>
      </c>
      <c r="J1235" s="36">
        <v>900</v>
      </c>
    </row>
    <row r="1236" spans="1:11" x14ac:dyDescent="0.25">
      <c r="A1236" s="31" t="s">
        <v>298</v>
      </c>
      <c r="B1236" s="37" t="s">
        <v>315</v>
      </c>
      <c r="C1236" s="34" t="s">
        <v>86</v>
      </c>
      <c r="D1236" s="108">
        <v>87.71</v>
      </c>
      <c r="E1236" s="34" t="s">
        <v>79</v>
      </c>
      <c r="F1236" s="110">
        <v>9.3000000000000007</v>
      </c>
      <c r="G1236" s="36">
        <f t="shared" si="232"/>
        <v>58.59</v>
      </c>
      <c r="H1236" s="37">
        <v>24</v>
      </c>
      <c r="I1236" s="41">
        <f t="shared" si="233"/>
        <v>1406.16</v>
      </c>
      <c r="J1236" s="36">
        <v>1400</v>
      </c>
    </row>
    <row r="1237" spans="1:11" x14ac:dyDescent="0.25">
      <c r="A1237" s="31" t="s">
        <v>298</v>
      </c>
      <c r="B1237" s="50" t="s">
        <v>316</v>
      </c>
      <c r="C1237" s="34" t="s">
        <v>75</v>
      </c>
      <c r="D1237" s="108" t="s">
        <v>38</v>
      </c>
      <c r="E1237" s="34" t="s">
        <v>79</v>
      </c>
      <c r="F1237" s="36">
        <v>3.4</v>
      </c>
      <c r="G1237" s="36">
        <f t="shared" si="232"/>
        <v>21.419999999999998</v>
      </c>
      <c r="H1237" s="37">
        <v>24</v>
      </c>
      <c r="I1237" s="36">
        <f t="shared" si="233"/>
        <v>514.07999999999993</v>
      </c>
      <c r="J1237" s="36">
        <v>500</v>
      </c>
    </row>
    <row r="1238" spans="1:11" x14ac:dyDescent="0.25">
      <c r="A1238" s="31" t="s">
        <v>298</v>
      </c>
      <c r="B1238" s="75" t="s">
        <v>317</v>
      </c>
      <c r="C1238" s="111" t="s">
        <v>156</v>
      </c>
      <c r="D1238" s="111">
        <v>75.459999999999994</v>
      </c>
      <c r="E1238" s="42" t="s">
        <v>79</v>
      </c>
      <c r="F1238" s="74">
        <v>10.15</v>
      </c>
      <c r="G1238" s="36">
        <f t="shared" si="232"/>
        <v>63.945</v>
      </c>
      <c r="H1238" s="37">
        <v>24</v>
      </c>
      <c r="I1238" s="44">
        <f t="shared" si="233"/>
        <v>1534.68</v>
      </c>
      <c r="J1238" s="36">
        <v>1600</v>
      </c>
    </row>
    <row r="1239" spans="1:11" x14ac:dyDescent="0.25">
      <c r="A1239" s="31" t="s">
        <v>298</v>
      </c>
      <c r="B1239" s="37" t="s">
        <v>318</v>
      </c>
      <c r="C1239" s="34" t="s">
        <v>158</v>
      </c>
      <c r="D1239" s="46">
        <v>22.27</v>
      </c>
      <c r="E1239" s="34" t="s">
        <v>79</v>
      </c>
      <c r="F1239" s="74">
        <v>6.7</v>
      </c>
      <c r="G1239" s="36">
        <f t="shared" si="232"/>
        <v>42.21</v>
      </c>
      <c r="H1239" s="35">
        <v>24</v>
      </c>
      <c r="I1239" s="44">
        <f t="shared" si="233"/>
        <v>1013.04</v>
      </c>
      <c r="J1239" s="36">
        <v>1000</v>
      </c>
    </row>
    <row r="1240" spans="1:11" ht="15.75" thickBot="1" x14ac:dyDescent="0.3">
      <c r="A1240" s="31" t="s">
        <v>298</v>
      </c>
      <c r="B1240" s="37" t="s">
        <v>319</v>
      </c>
      <c r="C1240" s="52" t="s">
        <v>152</v>
      </c>
      <c r="D1240" s="72">
        <v>98.35</v>
      </c>
      <c r="E1240" s="42" t="s">
        <v>79</v>
      </c>
      <c r="F1240" s="73">
        <v>6.5</v>
      </c>
      <c r="G1240" s="74">
        <f t="shared" si="232"/>
        <v>40.949999999999996</v>
      </c>
      <c r="H1240" s="91">
        <v>24</v>
      </c>
      <c r="I1240" s="96">
        <f t="shared" si="233"/>
        <v>982.8</v>
      </c>
      <c r="J1240" s="74">
        <v>1300</v>
      </c>
    </row>
    <row r="1241" spans="1:11" ht="19.5" thickBot="1" x14ac:dyDescent="0.35">
      <c r="A1241" s="206"/>
      <c r="B1241" s="174"/>
      <c r="C1241" s="207"/>
      <c r="D1241" s="208"/>
      <c r="E1241" s="208"/>
      <c r="F1241" s="208"/>
      <c r="G1241" s="208"/>
      <c r="H1241" s="174" t="s">
        <v>171</v>
      </c>
      <c r="I1241" s="101">
        <f>SUM(I1235:I1240)</f>
        <v>6252.12</v>
      </c>
      <c r="J1241" s="104">
        <f>SUM(J1235:J1240)</f>
        <v>6700</v>
      </c>
    </row>
    <row r="1242" spans="1:11" x14ac:dyDescent="0.25">
      <c r="A1242" s="31" t="s">
        <v>299</v>
      </c>
      <c r="B1242" s="37" t="s">
        <v>314</v>
      </c>
      <c r="C1242" s="34" t="s">
        <v>114</v>
      </c>
      <c r="D1242" s="108">
        <v>23.39</v>
      </c>
      <c r="E1242" s="34" t="s">
        <v>79</v>
      </c>
      <c r="F1242" s="109">
        <v>5.8</v>
      </c>
      <c r="G1242" s="36">
        <f t="shared" ref="G1242:G1247" si="234">F1242*6.3</f>
        <v>36.54</v>
      </c>
      <c r="H1242" s="37">
        <v>24</v>
      </c>
      <c r="I1242" s="36">
        <f t="shared" ref="I1242:I1247" si="235">G1242*H1242</f>
        <v>876.96</v>
      </c>
      <c r="J1242" s="36">
        <v>900</v>
      </c>
    </row>
    <row r="1243" spans="1:11" x14ac:dyDescent="0.25">
      <c r="A1243" s="31" t="s">
        <v>299</v>
      </c>
      <c r="B1243" s="37" t="s">
        <v>315</v>
      </c>
      <c r="C1243" s="34" t="s">
        <v>86</v>
      </c>
      <c r="D1243" s="108">
        <v>87.47</v>
      </c>
      <c r="E1243" s="34" t="s">
        <v>79</v>
      </c>
      <c r="F1243" s="110">
        <v>9.3000000000000007</v>
      </c>
      <c r="G1243" s="36">
        <f t="shared" si="234"/>
        <v>58.59</v>
      </c>
      <c r="H1243" s="37">
        <v>24</v>
      </c>
      <c r="I1243" s="41">
        <f t="shared" si="235"/>
        <v>1406.16</v>
      </c>
      <c r="J1243" s="36">
        <v>1400</v>
      </c>
    </row>
    <row r="1244" spans="1:11" x14ac:dyDescent="0.25">
      <c r="A1244" s="31" t="s">
        <v>299</v>
      </c>
      <c r="B1244" s="50" t="s">
        <v>316</v>
      </c>
      <c r="C1244" s="34" t="s">
        <v>75</v>
      </c>
      <c r="D1244" s="108" t="s">
        <v>38</v>
      </c>
      <c r="E1244" s="34" t="s">
        <v>79</v>
      </c>
      <c r="F1244" s="36">
        <v>3.4</v>
      </c>
      <c r="G1244" s="36">
        <f t="shared" si="234"/>
        <v>21.419999999999998</v>
      </c>
      <c r="H1244" s="37">
        <v>24</v>
      </c>
      <c r="I1244" s="36">
        <f t="shared" si="235"/>
        <v>514.07999999999993</v>
      </c>
      <c r="J1244" s="36">
        <v>500</v>
      </c>
    </row>
    <row r="1245" spans="1:11" x14ac:dyDescent="0.25">
      <c r="A1245" s="31" t="s">
        <v>299</v>
      </c>
      <c r="B1245" s="75" t="s">
        <v>317</v>
      </c>
      <c r="C1245" s="111" t="s">
        <v>156</v>
      </c>
      <c r="D1245" s="111">
        <v>75.09</v>
      </c>
      <c r="E1245" s="42" t="s">
        <v>79</v>
      </c>
      <c r="F1245" s="74">
        <v>10.4</v>
      </c>
      <c r="G1245" s="36">
        <f t="shared" si="234"/>
        <v>65.52</v>
      </c>
      <c r="H1245" s="37">
        <v>24</v>
      </c>
      <c r="I1245" s="44">
        <f t="shared" si="235"/>
        <v>1572.48</v>
      </c>
      <c r="J1245" s="36">
        <v>1600</v>
      </c>
    </row>
    <row r="1246" spans="1:11" x14ac:dyDescent="0.25">
      <c r="A1246" s="31" t="s">
        <v>299</v>
      </c>
      <c r="B1246" s="37" t="s">
        <v>318</v>
      </c>
      <c r="C1246" s="34" t="s">
        <v>158</v>
      </c>
      <c r="D1246" s="46">
        <v>21.91</v>
      </c>
      <c r="E1246" s="34" t="s">
        <v>79</v>
      </c>
      <c r="F1246" s="74">
        <v>7</v>
      </c>
      <c r="G1246" s="36">
        <f t="shared" si="234"/>
        <v>44.1</v>
      </c>
      <c r="H1246" s="35">
        <v>24</v>
      </c>
      <c r="I1246" s="44">
        <f t="shared" si="235"/>
        <v>1058.4000000000001</v>
      </c>
      <c r="J1246" s="36">
        <v>1000</v>
      </c>
    </row>
    <row r="1247" spans="1:11" ht="15.75" thickBot="1" x14ac:dyDescent="0.3">
      <c r="A1247" s="31" t="s">
        <v>299</v>
      </c>
      <c r="B1247" s="37" t="s">
        <v>319</v>
      </c>
      <c r="C1247" s="52" t="s">
        <v>152</v>
      </c>
      <c r="D1247" s="72">
        <v>99.94</v>
      </c>
      <c r="E1247" s="42" t="s">
        <v>79</v>
      </c>
      <c r="F1247" s="73">
        <v>4.4000000000000004</v>
      </c>
      <c r="G1247" s="74">
        <f t="shared" si="234"/>
        <v>27.720000000000002</v>
      </c>
      <c r="H1247" s="91">
        <v>24</v>
      </c>
      <c r="I1247" s="96">
        <f t="shared" si="235"/>
        <v>665.28000000000009</v>
      </c>
      <c r="J1247" s="74">
        <v>1300</v>
      </c>
    </row>
    <row r="1248" spans="1:11" ht="19.5" thickBot="1" x14ac:dyDescent="0.35">
      <c r="A1248" s="206"/>
      <c r="B1248" s="234"/>
      <c r="C1248" s="207"/>
      <c r="D1248" s="208"/>
      <c r="E1248" s="208"/>
      <c r="F1248" s="208"/>
      <c r="G1248" s="208"/>
      <c r="H1248" s="174" t="s">
        <v>171</v>
      </c>
      <c r="I1248" s="101">
        <f>SUM(I1242:I1247)</f>
        <v>6093.36</v>
      </c>
      <c r="J1248" s="326">
        <f>SUM(J1242:J1247)</f>
        <v>6700</v>
      </c>
      <c r="K1248" s="325" t="s">
        <v>300</v>
      </c>
    </row>
    <row r="1249" spans="1:11" x14ac:dyDescent="0.25">
      <c r="A1249" s="31" t="s">
        <v>301</v>
      </c>
      <c r="B1249" s="37" t="s">
        <v>314</v>
      </c>
      <c r="C1249" s="34" t="s">
        <v>114</v>
      </c>
      <c r="D1249" s="108">
        <v>14.7</v>
      </c>
      <c r="E1249" s="34" t="s">
        <v>79</v>
      </c>
      <c r="F1249" s="109">
        <v>0</v>
      </c>
      <c r="G1249" s="36">
        <f t="shared" ref="G1249:G1254" si="236">F1249*6.3</f>
        <v>0</v>
      </c>
      <c r="H1249" s="37">
        <v>24</v>
      </c>
      <c r="I1249" s="36">
        <f t="shared" ref="I1249:I1254" si="237">G1249*H1249</f>
        <v>0</v>
      </c>
      <c r="J1249" s="36">
        <v>900</v>
      </c>
    </row>
    <row r="1250" spans="1:11" x14ac:dyDescent="0.25">
      <c r="A1250" s="31" t="s">
        <v>301</v>
      </c>
      <c r="B1250" s="37" t="s">
        <v>315</v>
      </c>
      <c r="C1250" s="34" t="s">
        <v>86</v>
      </c>
      <c r="D1250" s="108">
        <v>12.54</v>
      </c>
      <c r="E1250" s="34" t="s">
        <v>79</v>
      </c>
      <c r="F1250" s="110">
        <v>0</v>
      </c>
      <c r="G1250" s="36">
        <f t="shared" si="236"/>
        <v>0</v>
      </c>
      <c r="H1250" s="37">
        <v>24</v>
      </c>
      <c r="I1250" s="41">
        <f t="shared" si="237"/>
        <v>0</v>
      </c>
      <c r="J1250" s="36">
        <v>1400</v>
      </c>
    </row>
    <row r="1251" spans="1:11" x14ac:dyDescent="0.25">
      <c r="A1251" s="31" t="s">
        <v>301</v>
      </c>
      <c r="B1251" s="50" t="s">
        <v>316</v>
      </c>
      <c r="C1251" s="34" t="s">
        <v>75</v>
      </c>
      <c r="D1251" s="108" t="s">
        <v>38</v>
      </c>
      <c r="E1251" s="34" t="s">
        <v>79</v>
      </c>
      <c r="F1251" s="36">
        <v>0</v>
      </c>
      <c r="G1251" s="36">
        <f t="shared" si="236"/>
        <v>0</v>
      </c>
      <c r="H1251" s="37">
        <v>24</v>
      </c>
      <c r="I1251" s="36">
        <f t="shared" si="237"/>
        <v>0</v>
      </c>
      <c r="J1251" s="36">
        <v>500</v>
      </c>
    </row>
    <row r="1252" spans="1:11" x14ac:dyDescent="0.25">
      <c r="A1252" s="31" t="s">
        <v>301</v>
      </c>
      <c r="B1252" s="75" t="s">
        <v>317</v>
      </c>
      <c r="C1252" s="111" t="s">
        <v>156</v>
      </c>
      <c r="D1252" s="111">
        <v>12</v>
      </c>
      <c r="E1252" s="42" t="s">
        <v>79</v>
      </c>
      <c r="F1252" s="74">
        <v>0</v>
      </c>
      <c r="G1252" s="36">
        <f t="shared" si="236"/>
        <v>0</v>
      </c>
      <c r="H1252" s="37">
        <v>24</v>
      </c>
      <c r="I1252" s="44">
        <f t="shared" si="237"/>
        <v>0</v>
      </c>
      <c r="J1252" s="36">
        <v>1600</v>
      </c>
    </row>
    <row r="1253" spans="1:11" x14ac:dyDescent="0.25">
      <c r="A1253" s="31" t="s">
        <v>301</v>
      </c>
      <c r="B1253" s="37" t="s">
        <v>318</v>
      </c>
      <c r="C1253" s="34" t="s">
        <v>158</v>
      </c>
      <c r="D1253" s="46">
        <v>0</v>
      </c>
      <c r="E1253" s="34" t="s">
        <v>79</v>
      </c>
      <c r="F1253" s="74">
        <v>0</v>
      </c>
      <c r="G1253" s="36">
        <f t="shared" si="236"/>
        <v>0</v>
      </c>
      <c r="H1253" s="35">
        <v>24</v>
      </c>
      <c r="I1253" s="44">
        <f t="shared" si="237"/>
        <v>0</v>
      </c>
      <c r="J1253" s="36">
        <v>1000</v>
      </c>
    </row>
    <row r="1254" spans="1:11" ht="15.75" thickBot="1" x14ac:dyDescent="0.3">
      <c r="A1254" s="31" t="s">
        <v>301</v>
      </c>
      <c r="B1254" s="37" t="s">
        <v>319</v>
      </c>
      <c r="C1254" s="52" t="s">
        <v>152</v>
      </c>
      <c r="D1254" s="72">
        <v>12</v>
      </c>
      <c r="E1254" s="42" t="s">
        <v>79</v>
      </c>
      <c r="F1254" s="73">
        <v>0</v>
      </c>
      <c r="G1254" s="74">
        <f t="shared" si="236"/>
        <v>0</v>
      </c>
      <c r="H1254" s="91">
        <v>24</v>
      </c>
      <c r="I1254" s="96">
        <f t="shared" si="237"/>
        <v>0</v>
      </c>
      <c r="J1254" s="74">
        <v>1300</v>
      </c>
    </row>
    <row r="1255" spans="1:11" ht="19.5" thickBot="1" x14ac:dyDescent="0.35">
      <c r="A1255" s="206"/>
      <c r="B1255" s="174"/>
      <c r="C1255" s="207"/>
      <c r="D1255" s="208"/>
      <c r="E1255" s="208"/>
      <c r="F1255" s="208"/>
      <c r="G1255" s="208"/>
      <c r="H1255" s="174" t="s">
        <v>171</v>
      </c>
      <c r="I1255" s="101">
        <f>SUM(I1249:I1254)</f>
        <v>0</v>
      </c>
      <c r="J1255" s="104">
        <f>SUM(J1249:J1254)</f>
        <v>6700</v>
      </c>
      <c r="K1255" s="325" t="s">
        <v>302</v>
      </c>
    </row>
    <row r="1256" spans="1:11" x14ac:dyDescent="0.25">
      <c r="A1256" s="31" t="s">
        <v>304</v>
      </c>
      <c r="B1256" s="37" t="s">
        <v>314</v>
      </c>
      <c r="C1256" s="34" t="s">
        <v>114</v>
      </c>
      <c r="D1256" s="108">
        <v>19.04</v>
      </c>
      <c r="E1256" s="34" t="s">
        <v>79</v>
      </c>
      <c r="F1256" s="109">
        <v>4.5</v>
      </c>
      <c r="G1256" s="36">
        <f t="shared" ref="G1256:G1261" si="238">F1256*6.3</f>
        <v>28.349999999999998</v>
      </c>
      <c r="H1256" s="37">
        <v>20</v>
      </c>
      <c r="I1256" s="36">
        <f t="shared" ref="I1256:I1261" si="239">G1256*H1256</f>
        <v>567</v>
      </c>
      <c r="J1256" s="36">
        <v>900</v>
      </c>
    </row>
    <row r="1257" spans="1:11" x14ac:dyDescent="0.25">
      <c r="A1257" s="31" t="s">
        <v>304</v>
      </c>
      <c r="B1257" s="37" t="s">
        <v>315</v>
      </c>
      <c r="C1257" s="34" t="s">
        <v>86</v>
      </c>
      <c r="D1257" s="108">
        <v>79.680000000000007</v>
      </c>
      <c r="E1257" s="34" t="s">
        <v>79</v>
      </c>
      <c r="F1257" s="110">
        <v>10.6</v>
      </c>
      <c r="G1257" s="36">
        <f t="shared" si="238"/>
        <v>66.78</v>
      </c>
      <c r="H1257" s="37">
        <v>20</v>
      </c>
      <c r="I1257" s="41">
        <f t="shared" si="239"/>
        <v>1335.6</v>
      </c>
      <c r="J1257" s="36">
        <v>1400</v>
      </c>
    </row>
    <row r="1258" spans="1:11" x14ac:dyDescent="0.25">
      <c r="A1258" s="31" t="s">
        <v>304</v>
      </c>
      <c r="B1258" s="50" t="s">
        <v>316</v>
      </c>
      <c r="C1258" s="34" t="s">
        <v>75</v>
      </c>
      <c r="D1258" s="108" t="s">
        <v>38</v>
      </c>
      <c r="E1258" s="34" t="s">
        <v>79</v>
      </c>
      <c r="F1258" s="36">
        <v>3.5</v>
      </c>
      <c r="G1258" s="36">
        <f t="shared" si="238"/>
        <v>22.05</v>
      </c>
      <c r="H1258" s="37">
        <v>20</v>
      </c>
      <c r="I1258" s="36">
        <f t="shared" si="239"/>
        <v>441</v>
      </c>
      <c r="J1258" s="36">
        <v>500</v>
      </c>
    </row>
    <row r="1259" spans="1:11" x14ac:dyDescent="0.25">
      <c r="A1259" s="31" t="s">
        <v>304</v>
      </c>
      <c r="B1259" s="75" t="s">
        <v>317</v>
      </c>
      <c r="C1259" s="111" t="s">
        <v>156</v>
      </c>
      <c r="D1259" s="111">
        <v>66.599999999999994</v>
      </c>
      <c r="E1259" s="42" t="s">
        <v>79</v>
      </c>
      <c r="F1259" s="74">
        <v>10</v>
      </c>
      <c r="G1259" s="36">
        <f t="shared" si="238"/>
        <v>63</v>
      </c>
      <c r="H1259" s="37">
        <v>20</v>
      </c>
      <c r="I1259" s="44">
        <f t="shared" si="239"/>
        <v>1260</v>
      </c>
      <c r="J1259" s="36">
        <v>1600</v>
      </c>
    </row>
    <row r="1260" spans="1:11" x14ac:dyDescent="0.25">
      <c r="A1260" s="31" t="s">
        <v>304</v>
      </c>
      <c r="B1260" s="37" t="s">
        <v>318</v>
      </c>
      <c r="C1260" s="34" t="s">
        <v>158</v>
      </c>
      <c r="D1260" s="46">
        <v>19.45</v>
      </c>
      <c r="E1260" s="34" t="s">
        <v>79</v>
      </c>
      <c r="F1260" s="74">
        <v>7.5</v>
      </c>
      <c r="G1260" s="36">
        <f t="shared" si="238"/>
        <v>47.25</v>
      </c>
      <c r="H1260" s="35">
        <v>20</v>
      </c>
      <c r="I1260" s="44">
        <f t="shared" si="239"/>
        <v>945</v>
      </c>
      <c r="J1260" s="36">
        <v>1000</v>
      </c>
    </row>
    <row r="1261" spans="1:11" ht="15.75" thickBot="1" x14ac:dyDescent="0.3">
      <c r="A1261" s="31" t="s">
        <v>304</v>
      </c>
      <c r="B1261" s="37" t="s">
        <v>319</v>
      </c>
      <c r="C1261" s="52" t="s">
        <v>152</v>
      </c>
      <c r="D1261" s="72">
        <v>94.81</v>
      </c>
      <c r="E1261" s="42" t="s">
        <v>79</v>
      </c>
      <c r="F1261" s="73">
        <v>4.5999999999999996</v>
      </c>
      <c r="G1261" s="74">
        <f t="shared" si="238"/>
        <v>28.979999999999997</v>
      </c>
      <c r="H1261" s="91">
        <v>20</v>
      </c>
      <c r="I1261" s="96">
        <f t="shared" si="239"/>
        <v>579.59999999999991</v>
      </c>
      <c r="J1261" s="74">
        <v>1300</v>
      </c>
    </row>
    <row r="1262" spans="1:11" ht="19.5" thickBot="1" x14ac:dyDescent="0.35">
      <c r="A1262" s="206"/>
      <c r="B1262" s="174"/>
      <c r="C1262" s="207"/>
      <c r="D1262" s="208"/>
      <c r="E1262" s="208"/>
      <c r="F1262" s="208"/>
      <c r="G1262" s="208"/>
      <c r="H1262" s="174" t="s">
        <v>171</v>
      </c>
      <c r="I1262" s="101">
        <f>SUM(I1256:I1261)</f>
        <v>5128.2000000000007</v>
      </c>
      <c r="J1262" s="104">
        <f>SUM(J1256:J1261)</f>
        <v>6700</v>
      </c>
      <c r="K1262" s="325" t="s">
        <v>303</v>
      </c>
    </row>
    <row r="1263" spans="1:11" x14ac:dyDescent="0.25">
      <c r="A1263" s="31" t="s">
        <v>305</v>
      </c>
      <c r="B1263" s="37" t="s">
        <v>314</v>
      </c>
      <c r="C1263" s="34" t="s">
        <v>114</v>
      </c>
      <c r="D1263" s="108">
        <v>19.350000000000001</v>
      </c>
      <c r="E1263" s="34" t="s">
        <v>79</v>
      </c>
      <c r="F1263" s="109">
        <v>4.8</v>
      </c>
      <c r="G1263" s="36">
        <f t="shared" ref="G1263:G1268" si="240">F1263*6.3</f>
        <v>30.24</v>
      </c>
      <c r="H1263" s="37">
        <v>24</v>
      </c>
      <c r="I1263" s="36">
        <f t="shared" ref="I1263:I1268" si="241">G1263*H1263</f>
        <v>725.76</v>
      </c>
      <c r="J1263" s="36">
        <v>900</v>
      </c>
    </row>
    <row r="1264" spans="1:11" x14ac:dyDescent="0.25">
      <c r="A1264" s="31" t="s">
        <v>305</v>
      </c>
      <c r="B1264" s="37" t="s">
        <v>315</v>
      </c>
      <c r="C1264" s="34" t="s">
        <v>86</v>
      </c>
      <c r="D1264" s="108">
        <v>82.26</v>
      </c>
      <c r="E1264" s="34" t="s">
        <v>79</v>
      </c>
      <c r="F1264" s="110">
        <v>9.6</v>
      </c>
      <c r="G1264" s="36">
        <f t="shared" si="240"/>
        <v>60.48</v>
      </c>
      <c r="H1264" s="37">
        <v>24</v>
      </c>
      <c r="I1264" s="41">
        <f t="shared" si="241"/>
        <v>1451.52</v>
      </c>
      <c r="J1264" s="36">
        <v>1400</v>
      </c>
    </row>
    <row r="1265" spans="1:11" x14ac:dyDescent="0.25">
      <c r="A1265" s="31" t="s">
        <v>305</v>
      </c>
      <c r="B1265" s="50" t="s">
        <v>316</v>
      </c>
      <c r="C1265" s="34" t="s">
        <v>75</v>
      </c>
      <c r="D1265" s="108" t="s">
        <v>38</v>
      </c>
      <c r="E1265" s="34" t="s">
        <v>79</v>
      </c>
      <c r="F1265" s="36">
        <v>3.45</v>
      </c>
      <c r="G1265" s="36">
        <f t="shared" si="240"/>
        <v>21.734999999999999</v>
      </c>
      <c r="H1265" s="37">
        <v>24</v>
      </c>
      <c r="I1265" s="36">
        <f t="shared" si="241"/>
        <v>521.64</v>
      </c>
      <c r="J1265" s="36">
        <v>500</v>
      </c>
    </row>
    <row r="1266" spans="1:11" x14ac:dyDescent="0.25">
      <c r="A1266" s="31" t="s">
        <v>305</v>
      </c>
      <c r="B1266" s="75" t="s">
        <v>317</v>
      </c>
      <c r="C1266" s="111" t="s">
        <v>156</v>
      </c>
      <c r="D1266" s="111">
        <v>69.73</v>
      </c>
      <c r="E1266" s="42" t="s">
        <v>79</v>
      </c>
      <c r="F1266" s="74">
        <v>10.6</v>
      </c>
      <c r="G1266" s="36">
        <f t="shared" si="240"/>
        <v>66.78</v>
      </c>
      <c r="H1266" s="37">
        <v>24</v>
      </c>
      <c r="I1266" s="44">
        <f t="shared" si="241"/>
        <v>1602.72</v>
      </c>
      <c r="J1266" s="36">
        <v>1600</v>
      </c>
    </row>
    <row r="1267" spans="1:11" x14ac:dyDescent="0.25">
      <c r="A1267" s="31" t="s">
        <v>305</v>
      </c>
      <c r="B1267" s="37" t="s">
        <v>318</v>
      </c>
      <c r="C1267" s="34" t="s">
        <v>158</v>
      </c>
      <c r="D1267" s="46">
        <v>19.829999999999998</v>
      </c>
      <c r="E1267" s="34" t="s">
        <v>79</v>
      </c>
      <c r="F1267" s="74">
        <v>7.2</v>
      </c>
      <c r="G1267" s="36">
        <f t="shared" si="240"/>
        <v>45.36</v>
      </c>
      <c r="H1267" s="35">
        <v>24</v>
      </c>
      <c r="I1267" s="44">
        <f t="shared" si="241"/>
        <v>1088.6399999999999</v>
      </c>
      <c r="J1267" s="36">
        <v>1000</v>
      </c>
    </row>
    <row r="1268" spans="1:11" ht="15.75" thickBot="1" x14ac:dyDescent="0.3">
      <c r="A1268" s="31" t="s">
        <v>305</v>
      </c>
      <c r="B1268" s="37" t="s">
        <v>319</v>
      </c>
      <c r="C1268" s="52" t="s">
        <v>152</v>
      </c>
      <c r="D1268" s="72">
        <v>94.74</v>
      </c>
      <c r="E1268" s="42" t="s">
        <v>79</v>
      </c>
      <c r="F1268" s="73">
        <v>4.7</v>
      </c>
      <c r="G1268" s="74">
        <f t="shared" si="240"/>
        <v>29.61</v>
      </c>
      <c r="H1268" s="91">
        <v>24</v>
      </c>
      <c r="I1268" s="96">
        <f t="shared" si="241"/>
        <v>710.64</v>
      </c>
      <c r="J1268" s="74">
        <v>1300</v>
      </c>
    </row>
    <row r="1269" spans="1:11" ht="19.5" thickBot="1" x14ac:dyDescent="0.35">
      <c r="A1269" s="206"/>
      <c r="B1269" s="174"/>
      <c r="C1269" s="207"/>
      <c r="D1269" s="208"/>
      <c r="E1269" s="208"/>
      <c r="F1269" s="208"/>
      <c r="G1269" s="208"/>
      <c r="H1269" s="174" t="s">
        <v>171</v>
      </c>
      <c r="I1269" s="101">
        <f>SUM(I1263:I1268)</f>
        <v>6100.9199999999992</v>
      </c>
      <c r="J1269" s="104">
        <f>SUM(J1263:J1268)</f>
        <v>6700</v>
      </c>
      <c r="K1269" s="325" t="s">
        <v>306</v>
      </c>
    </row>
    <row r="1270" spans="1:11" x14ac:dyDescent="0.25">
      <c r="A1270" s="31" t="s">
        <v>307</v>
      </c>
      <c r="B1270" s="37" t="s">
        <v>314</v>
      </c>
      <c r="C1270" s="34" t="s">
        <v>114</v>
      </c>
      <c r="D1270" s="108">
        <v>19.350000000000001</v>
      </c>
      <c r="E1270" s="34" t="s">
        <v>79</v>
      </c>
      <c r="F1270" s="109">
        <v>4.5999999999999996</v>
      </c>
      <c r="G1270" s="36">
        <f t="shared" ref="G1270:G1275" si="242">F1270*6.3</f>
        <v>28.979999999999997</v>
      </c>
      <c r="H1270" s="37">
        <v>24</v>
      </c>
      <c r="I1270" s="36">
        <f t="shared" ref="I1270:I1275" si="243">G1270*H1270</f>
        <v>695.52</v>
      </c>
      <c r="J1270" s="36">
        <v>900</v>
      </c>
    </row>
    <row r="1271" spans="1:11" x14ac:dyDescent="0.25">
      <c r="A1271" s="31" t="s">
        <v>307</v>
      </c>
      <c r="B1271" s="37" t="s">
        <v>315</v>
      </c>
      <c r="C1271" s="34" t="s">
        <v>86</v>
      </c>
      <c r="D1271" s="108">
        <v>85.45</v>
      </c>
      <c r="E1271" s="34" t="s">
        <v>79</v>
      </c>
      <c r="F1271" s="110">
        <v>9.8000000000000007</v>
      </c>
      <c r="G1271" s="36">
        <f t="shared" si="242"/>
        <v>61.74</v>
      </c>
      <c r="H1271" s="37">
        <v>24</v>
      </c>
      <c r="I1271" s="41">
        <f t="shared" si="243"/>
        <v>1481.76</v>
      </c>
      <c r="J1271" s="36">
        <v>1400</v>
      </c>
    </row>
    <row r="1272" spans="1:11" x14ac:dyDescent="0.25">
      <c r="A1272" s="31" t="s">
        <v>307</v>
      </c>
      <c r="B1272" s="50" t="s">
        <v>316</v>
      </c>
      <c r="C1272" s="34" t="s">
        <v>75</v>
      </c>
      <c r="D1272" s="108" t="s">
        <v>38</v>
      </c>
      <c r="E1272" s="34" t="s">
        <v>79</v>
      </c>
      <c r="F1272" s="36">
        <v>3.5</v>
      </c>
      <c r="G1272" s="36">
        <f t="shared" si="242"/>
        <v>22.05</v>
      </c>
      <c r="H1272" s="37">
        <v>24</v>
      </c>
      <c r="I1272" s="36">
        <f t="shared" si="243"/>
        <v>529.20000000000005</v>
      </c>
      <c r="J1272" s="36">
        <v>500</v>
      </c>
    </row>
    <row r="1273" spans="1:11" x14ac:dyDescent="0.25">
      <c r="A1273" s="31" t="s">
        <v>307</v>
      </c>
      <c r="B1273" s="75" t="s">
        <v>317</v>
      </c>
      <c r="C1273" s="111" t="s">
        <v>156</v>
      </c>
      <c r="D1273" s="111">
        <v>73.069999999999993</v>
      </c>
      <c r="E1273" s="42" t="s">
        <v>79</v>
      </c>
      <c r="F1273" s="74">
        <v>10.6</v>
      </c>
      <c r="G1273" s="36">
        <f t="shared" si="242"/>
        <v>66.78</v>
      </c>
      <c r="H1273" s="37">
        <v>24</v>
      </c>
      <c r="I1273" s="44">
        <f t="shared" si="243"/>
        <v>1602.72</v>
      </c>
      <c r="J1273" s="36">
        <v>1600</v>
      </c>
    </row>
    <row r="1274" spans="1:11" x14ac:dyDescent="0.25">
      <c r="A1274" s="31" t="s">
        <v>307</v>
      </c>
      <c r="B1274" s="37" t="s">
        <v>318</v>
      </c>
      <c r="C1274" s="34" t="s">
        <v>158</v>
      </c>
      <c r="D1274" s="46">
        <v>21.29</v>
      </c>
      <c r="E1274" s="34" t="s">
        <v>79</v>
      </c>
      <c r="F1274" s="74">
        <v>7.2</v>
      </c>
      <c r="G1274" s="36">
        <f t="shared" si="242"/>
        <v>45.36</v>
      </c>
      <c r="H1274" s="35">
        <v>24</v>
      </c>
      <c r="I1274" s="44">
        <f t="shared" si="243"/>
        <v>1088.6399999999999</v>
      </c>
      <c r="J1274" s="36">
        <v>1000</v>
      </c>
    </row>
    <row r="1275" spans="1:11" ht="15.75" thickBot="1" x14ac:dyDescent="0.3">
      <c r="A1275" s="31" t="s">
        <v>307</v>
      </c>
      <c r="B1275" s="37" t="s">
        <v>319</v>
      </c>
      <c r="C1275" s="52" t="s">
        <v>152</v>
      </c>
      <c r="D1275" s="72">
        <v>98.9</v>
      </c>
      <c r="E1275" s="42" t="s">
        <v>79</v>
      </c>
      <c r="F1275" s="73">
        <v>2.4</v>
      </c>
      <c r="G1275" s="74">
        <f t="shared" si="242"/>
        <v>15.12</v>
      </c>
      <c r="H1275" s="91">
        <v>24</v>
      </c>
      <c r="I1275" s="96">
        <f t="shared" si="243"/>
        <v>362.88</v>
      </c>
      <c r="J1275" s="74">
        <v>1300</v>
      </c>
    </row>
    <row r="1276" spans="1:11" ht="19.5" thickBot="1" x14ac:dyDescent="0.35">
      <c r="A1276" s="206"/>
      <c r="B1276" s="174"/>
      <c r="C1276" s="207"/>
      <c r="D1276" s="208"/>
      <c r="E1276" s="208"/>
      <c r="F1276" s="208"/>
      <c r="G1276" s="208"/>
      <c r="H1276" s="174" t="s">
        <v>171</v>
      </c>
      <c r="I1276" s="101">
        <f>SUM(I1270:I1275)</f>
        <v>5760.72</v>
      </c>
      <c r="J1276" s="104">
        <f>SUM(J1270:J1275)</f>
        <v>6700</v>
      </c>
      <c r="K1276" s="325" t="s">
        <v>308</v>
      </c>
    </row>
    <row r="1277" spans="1:11" x14ac:dyDescent="0.25">
      <c r="A1277" s="31" t="s">
        <v>309</v>
      </c>
      <c r="B1277" s="37" t="s">
        <v>314</v>
      </c>
      <c r="C1277" s="34" t="s">
        <v>114</v>
      </c>
      <c r="D1277" s="108">
        <v>22.47</v>
      </c>
      <c r="E1277" s="34" t="s">
        <v>79</v>
      </c>
      <c r="F1277" s="109">
        <v>5.4</v>
      </c>
      <c r="G1277" s="36">
        <f t="shared" ref="G1277:G1282" si="244">F1277*6.3</f>
        <v>34.020000000000003</v>
      </c>
      <c r="H1277" s="37">
        <v>24</v>
      </c>
      <c r="I1277" s="36">
        <f t="shared" ref="I1277:I1282" si="245">G1277*H1277</f>
        <v>816.48</v>
      </c>
      <c r="J1277" s="36">
        <v>900</v>
      </c>
      <c r="K1277" s="327"/>
    </row>
    <row r="1278" spans="1:11" x14ac:dyDescent="0.25">
      <c r="A1278" s="31" t="s">
        <v>309</v>
      </c>
      <c r="B1278" s="37" t="s">
        <v>315</v>
      </c>
      <c r="C1278" s="34" t="s">
        <v>86</v>
      </c>
      <c r="D1278" s="108">
        <v>85.75</v>
      </c>
      <c r="E1278" s="34" t="s">
        <v>79</v>
      </c>
      <c r="F1278" s="110">
        <v>9.4700000000000006</v>
      </c>
      <c r="G1278" s="36">
        <f t="shared" si="244"/>
        <v>59.661000000000001</v>
      </c>
      <c r="H1278" s="37">
        <v>24</v>
      </c>
      <c r="I1278" s="41">
        <f t="shared" si="245"/>
        <v>1431.864</v>
      </c>
      <c r="J1278" s="36">
        <v>1400</v>
      </c>
    </row>
    <row r="1279" spans="1:11" x14ac:dyDescent="0.25">
      <c r="A1279" s="31" t="s">
        <v>309</v>
      </c>
      <c r="B1279" s="50" t="s">
        <v>316</v>
      </c>
      <c r="C1279" s="34" t="s">
        <v>75</v>
      </c>
      <c r="D1279" s="108" t="s">
        <v>38</v>
      </c>
      <c r="E1279" s="34" t="s">
        <v>79</v>
      </c>
      <c r="F1279" s="36">
        <v>3.5</v>
      </c>
      <c r="G1279" s="36">
        <f t="shared" si="244"/>
        <v>22.05</v>
      </c>
      <c r="H1279" s="37">
        <v>24</v>
      </c>
      <c r="I1279" s="36">
        <f t="shared" si="245"/>
        <v>529.20000000000005</v>
      </c>
      <c r="J1279" s="36">
        <v>500</v>
      </c>
    </row>
    <row r="1280" spans="1:11" x14ac:dyDescent="0.25">
      <c r="A1280" s="31" t="s">
        <v>309</v>
      </c>
      <c r="B1280" s="75" t="s">
        <v>317</v>
      </c>
      <c r="C1280" s="111" t="s">
        <v>156</v>
      </c>
      <c r="D1280" s="111">
        <v>72.7</v>
      </c>
      <c r="E1280" s="42" t="s">
        <v>79</v>
      </c>
      <c r="F1280" s="74">
        <v>10.5</v>
      </c>
      <c r="G1280" s="36">
        <f t="shared" si="244"/>
        <v>66.149999999999991</v>
      </c>
      <c r="H1280" s="37">
        <v>24</v>
      </c>
      <c r="I1280" s="44">
        <f t="shared" si="245"/>
        <v>1587.6</v>
      </c>
      <c r="J1280" s="36">
        <v>1600</v>
      </c>
    </row>
    <row r="1281" spans="1:16" x14ac:dyDescent="0.25">
      <c r="A1281" s="31" t="s">
        <v>309</v>
      </c>
      <c r="B1281" s="37" t="s">
        <v>318</v>
      </c>
      <c r="C1281" s="34" t="s">
        <v>158</v>
      </c>
      <c r="D1281" s="46">
        <v>21.24</v>
      </c>
      <c r="E1281" s="34" t="s">
        <v>79</v>
      </c>
      <c r="F1281" s="74">
        <v>7.2</v>
      </c>
      <c r="G1281" s="36">
        <f t="shared" si="244"/>
        <v>45.36</v>
      </c>
      <c r="H1281" s="35">
        <v>24</v>
      </c>
      <c r="I1281" s="44">
        <f t="shared" si="245"/>
        <v>1088.6399999999999</v>
      </c>
      <c r="J1281" s="36">
        <v>1000</v>
      </c>
    </row>
    <row r="1282" spans="1:16" ht="15.75" thickBot="1" x14ac:dyDescent="0.3">
      <c r="A1282" s="31" t="s">
        <v>309</v>
      </c>
      <c r="B1282" s="37" t="s">
        <v>319</v>
      </c>
      <c r="C1282" s="52" t="s">
        <v>152</v>
      </c>
      <c r="D1282" s="72">
        <v>83.62</v>
      </c>
      <c r="E1282" s="42" t="s">
        <v>79</v>
      </c>
      <c r="F1282" s="73">
        <v>10.199999999999999</v>
      </c>
      <c r="G1282" s="74">
        <f t="shared" si="244"/>
        <v>64.259999999999991</v>
      </c>
      <c r="H1282" s="91">
        <v>18</v>
      </c>
      <c r="I1282" s="96">
        <f t="shared" si="245"/>
        <v>1156.6799999999998</v>
      </c>
      <c r="J1282" s="74">
        <v>1300</v>
      </c>
    </row>
    <row r="1283" spans="1:16" ht="24.75" customHeight="1" thickBot="1" x14ac:dyDescent="0.35">
      <c r="A1283" s="206"/>
      <c r="B1283" s="174"/>
      <c r="C1283" s="207"/>
      <c r="D1283" s="208"/>
      <c r="E1283" s="208"/>
      <c r="F1283" s="208"/>
      <c r="G1283" s="208"/>
      <c r="H1283" s="174" t="s">
        <v>171</v>
      </c>
      <c r="I1283" s="101">
        <f>SUM(I1277:I1282)</f>
        <v>6610.4639999999999</v>
      </c>
      <c r="J1283" s="101">
        <f>SUM(J1277:J1282)</f>
        <v>6700</v>
      </c>
      <c r="K1283" s="643" t="s">
        <v>310</v>
      </c>
      <c r="L1283" s="644"/>
      <c r="M1283" s="644"/>
      <c r="N1283" s="644"/>
      <c r="O1283" s="644"/>
      <c r="P1283" s="645"/>
    </row>
    <row r="1284" spans="1:16" x14ac:dyDescent="0.25">
      <c r="A1284" s="31" t="s">
        <v>311</v>
      </c>
      <c r="B1284" s="37" t="s">
        <v>314</v>
      </c>
      <c r="C1284" s="34" t="s">
        <v>114</v>
      </c>
      <c r="D1284" s="108">
        <v>22.04</v>
      </c>
      <c r="E1284" s="34" t="s">
        <v>79</v>
      </c>
      <c r="F1284" s="109">
        <v>5.5</v>
      </c>
      <c r="G1284" s="36">
        <f t="shared" ref="G1284:G1289" si="246">F1284*6.3</f>
        <v>34.65</v>
      </c>
      <c r="H1284" s="37">
        <v>24</v>
      </c>
      <c r="I1284" s="36">
        <f t="shared" ref="I1284:I1289" si="247">G1284*H1284</f>
        <v>831.59999999999991</v>
      </c>
      <c r="J1284" s="36">
        <v>900</v>
      </c>
    </row>
    <row r="1285" spans="1:16" x14ac:dyDescent="0.25">
      <c r="A1285" s="31" t="s">
        <v>311</v>
      </c>
      <c r="B1285" s="37" t="s">
        <v>315</v>
      </c>
      <c r="C1285" s="34" t="s">
        <v>86</v>
      </c>
      <c r="D1285" s="108">
        <v>85.75</v>
      </c>
      <c r="E1285" s="34" t="s">
        <v>79</v>
      </c>
      <c r="F1285" s="110">
        <v>9.35</v>
      </c>
      <c r="G1285" s="36">
        <f t="shared" si="246"/>
        <v>58.904999999999994</v>
      </c>
      <c r="H1285" s="37">
        <v>24</v>
      </c>
      <c r="I1285" s="41">
        <f t="shared" si="247"/>
        <v>1413.7199999999998</v>
      </c>
      <c r="J1285" s="36">
        <v>1400</v>
      </c>
    </row>
    <row r="1286" spans="1:16" x14ac:dyDescent="0.25">
      <c r="A1286" s="31" t="s">
        <v>311</v>
      </c>
      <c r="B1286" s="50" t="s">
        <v>316</v>
      </c>
      <c r="C1286" s="34" t="s">
        <v>75</v>
      </c>
      <c r="D1286" s="108" t="s">
        <v>38</v>
      </c>
      <c r="E1286" s="34" t="s">
        <v>79</v>
      </c>
      <c r="F1286" s="36">
        <v>3.35</v>
      </c>
      <c r="G1286" s="36">
        <f t="shared" si="246"/>
        <v>21.105</v>
      </c>
      <c r="H1286" s="37">
        <v>24</v>
      </c>
      <c r="I1286" s="36">
        <f t="shared" si="247"/>
        <v>506.52</v>
      </c>
      <c r="J1286" s="36">
        <v>500</v>
      </c>
    </row>
    <row r="1287" spans="1:16" x14ac:dyDescent="0.25">
      <c r="A1287" s="31" t="s">
        <v>311</v>
      </c>
      <c r="B1287" s="75" t="s">
        <v>317</v>
      </c>
      <c r="C1287" s="111" t="s">
        <v>156</v>
      </c>
      <c r="D1287" s="111">
        <v>73.45</v>
      </c>
      <c r="E1287" s="42" t="s">
        <v>79</v>
      </c>
      <c r="F1287" s="74">
        <v>10.5</v>
      </c>
      <c r="G1287" s="36">
        <f t="shared" si="246"/>
        <v>66.149999999999991</v>
      </c>
      <c r="H1287" s="37">
        <v>24</v>
      </c>
      <c r="I1287" s="44">
        <f t="shared" si="247"/>
        <v>1587.6</v>
      </c>
      <c r="J1287" s="36">
        <v>1600</v>
      </c>
    </row>
    <row r="1288" spans="1:16" x14ac:dyDescent="0.25">
      <c r="A1288" s="31" t="s">
        <v>311</v>
      </c>
      <c r="B1288" s="37" t="s">
        <v>318</v>
      </c>
      <c r="C1288" s="34" t="s">
        <v>158</v>
      </c>
      <c r="D1288" s="46">
        <v>21.83</v>
      </c>
      <c r="E1288" s="34" t="s">
        <v>79</v>
      </c>
      <c r="F1288" s="74">
        <v>6.6</v>
      </c>
      <c r="G1288" s="36">
        <f t="shared" si="246"/>
        <v>41.58</v>
      </c>
      <c r="H1288" s="35">
        <v>24</v>
      </c>
      <c r="I1288" s="44">
        <f t="shared" si="247"/>
        <v>997.92</v>
      </c>
      <c r="J1288" s="36">
        <v>1000</v>
      </c>
    </row>
    <row r="1289" spans="1:16" ht="15.75" thickBot="1" x14ac:dyDescent="0.3">
      <c r="A1289" s="31" t="s">
        <v>311</v>
      </c>
      <c r="B1289" s="37" t="s">
        <v>319</v>
      </c>
      <c r="C1289" s="52" t="s">
        <v>152</v>
      </c>
      <c r="D1289" s="72">
        <v>27.79</v>
      </c>
      <c r="E1289" s="42" t="s">
        <v>79</v>
      </c>
      <c r="F1289" s="73">
        <v>8.9</v>
      </c>
      <c r="G1289" s="74">
        <f t="shared" si="246"/>
        <v>56.07</v>
      </c>
      <c r="H1289" s="91">
        <v>24</v>
      </c>
      <c r="I1289" s="96">
        <f t="shared" si="247"/>
        <v>1345.68</v>
      </c>
      <c r="J1289" s="74">
        <v>1300</v>
      </c>
    </row>
    <row r="1290" spans="1:16" ht="19.5" thickBot="1" x14ac:dyDescent="0.35">
      <c r="A1290" s="251"/>
      <c r="B1290" s="174"/>
      <c r="C1290" s="207"/>
      <c r="D1290" s="208"/>
      <c r="E1290" s="208"/>
      <c r="F1290" s="208"/>
      <c r="G1290" s="208"/>
      <c r="H1290" s="174" t="s">
        <v>171</v>
      </c>
      <c r="I1290" s="101">
        <f>SUM(I1284:I1289)</f>
        <v>6683.04</v>
      </c>
      <c r="J1290" s="104">
        <f>SUM(J1284:J1289)</f>
        <v>6700</v>
      </c>
    </row>
    <row r="1291" spans="1:16" x14ac:dyDescent="0.25">
      <c r="A1291" s="46" t="s">
        <v>312</v>
      </c>
      <c r="B1291" s="37" t="s">
        <v>314</v>
      </c>
      <c r="C1291" s="34" t="s">
        <v>114</v>
      </c>
      <c r="D1291" s="108">
        <v>23.27</v>
      </c>
      <c r="E1291" s="34" t="s">
        <v>79</v>
      </c>
      <c r="F1291" s="109">
        <v>5.01</v>
      </c>
      <c r="G1291" s="36">
        <f t="shared" ref="G1291:G1296" si="248">F1291*6.3</f>
        <v>31.562999999999999</v>
      </c>
      <c r="H1291" s="37">
        <v>24</v>
      </c>
      <c r="I1291" s="36">
        <f t="shared" ref="I1291:I1296" si="249">G1291*H1291</f>
        <v>757.51199999999994</v>
      </c>
      <c r="J1291" s="36">
        <v>900</v>
      </c>
    </row>
    <row r="1292" spans="1:16" x14ac:dyDescent="0.25">
      <c r="A1292" s="31" t="s">
        <v>312</v>
      </c>
      <c r="B1292" s="37" t="s">
        <v>315</v>
      </c>
      <c r="C1292" s="34" t="s">
        <v>86</v>
      </c>
      <c r="D1292" s="108">
        <v>85.86</v>
      </c>
      <c r="E1292" s="34" t="s">
        <v>79</v>
      </c>
      <c r="F1292" s="110">
        <v>9.19</v>
      </c>
      <c r="G1292" s="36">
        <f t="shared" si="248"/>
        <v>57.896999999999998</v>
      </c>
      <c r="H1292" s="37">
        <v>24</v>
      </c>
      <c r="I1292" s="41">
        <f t="shared" si="249"/>
        <v>1389.528</v>
      </c>
      <c r="J1292" s="36">
        <v>1400</v>
      </c>
    </row>
    <row r="1293" spans="1:16" x14ac:dyDescent="0.25">
      <c r="A1293" s="31" t="s">
        <v>312</v>
      </c>
      <c r="B1293" s="50" t="s">
        <v>316</v>
      </c>
      <c r="C1293" s="34" t="s">
        <v>75</v>
      </c>
      <c r="D1293" s="108" t="s">
        <v>38</v>
      </c>
      <c r="E1293" s="34" t="s">
        <v>79</v>
      </c>
      <c r="F1293" s="36">
        <v>3.32</v>
      </c>
      <c r="G1293" s="36">
        <f t="shared" si="248"/>
        <v>20.915999999999997</v>
      </c>
      <c r="H1293" s="37">
        <v>24</v>
      </c>
      <c r="I1293" s="36">
        <f t="shared" si="249"/>
        <v>501.98399999999992</v>
      </c>
      <c r="J1293" s="36">
        <v>500</v>
      </c>
    </row>
    <row r="1294" spans="1:16" x14ac:dyDescent="0.25">
      <c r="A1294" s="31" t="s">
        <v>312</v>
      </c>
      <c r="B1294" s="75" t="s">
        <v>317</v>
      </c>
      <c r="C1294" s="111" t="s">
        <v>156</v>
      </c>
      <c r="D1294" s="111">
        <v>74.319999999999993</v>
      </c>
      <c r="E1294" s="42" t="s">
        <v>79</v>
      </c>
      <c r="F1294" s="74">
        <v>10.32</v>
      </c>
      <c r="G1294" s="36">
        <f t="shared" si="248"/>
        <v>65.016000000000005</v>
      </c>
      <c r="H1294" s="37">
        <v>24</v>
      </c>
      <c r="I1294" s="44">
        <f t="shared" si="249"/>
        <v>1560.384</v>
      </c>
      <c r="J1294" s="36">
        <v>1600</v>
      </c>
    </row>
    <row r="1295" spans="1:16" x14ac:dyDescent="0.25">
      <c r="A1295" s="31" t="s">
        <v>312</v>
      </c>
      <c r="B1295" s="37" t="s">
        <v>318</v>
      </c>
      <c r="C1295" s="34" t="s">
        <v>158</v>
      </c>
      <c r="D1295" s="46">
        <v>21.91</v>
      </c>
      <c r="E1295" s="34" t="s">
        <v>79</v>
      </c>
      <c r="F1295" s="74">
        <v>7.15</v>
      </c>
      <c r="G1295" s="36">
        <f t="shared" si="248"/>
        <v>45.045000000000002</v>
      </c>
      <c r="H1295" s="35">
        <v>24</v>
      </c>
      <c r="I1295" s="44">
        <f t="shared" si="249"/>
        <v>1081.08</v>
      </c>
      <c r="J1295" s="36">
        <v>1000</v>
      </c>
    </row>
    <row r="1296" spans="1:16" ht="15.75" thickBot="1" x14ac:dyDescent="0.3">
      <c r="A1296" s="31" t="s">
        <v>312</v>
      </c>
      <c r="B1296" s="37" t="s">
        <v>319</v>
      </c>
      <c r="C1296" s="52" t="s">
        <v>152</v>
      </c>
      <c r="D1296" s="72">
        <v>25.65</v>
      </c>
      <c r="E1296" s="42" t="s">
        <v>79</v>
      </c>
      <c r="F1296" s="73">
        <v>8.9</v>
      </c>
      <c r="G1296" s="74">
        <f t="shared" si="248"/>
        <v>56.07</v>
      </c>
      <c r="H1296" s="91">
        <v>24</v>
      </c>
      <c r="I1296" s="96">
        <f t="shared" si="249"/>
        <v>1345.68</v>
      </c>
      <c r="J1296" s="74">
        <v>1300</v>
      </c>
    </row>
    <row r="1297" spans="1:10" ht="19.5" thickBot="1" x14ac:dyDescent="0.35">
      <c r="A1297" s="206"/>
      <c r="B1297" s="174"/>
      <c r="C1297" s="207"/>
      <c r="D1297" s="208"/>
      <c r="E1297" s="208"/>
      <c r="F1297" s="208"/>
      <c r="G1297" s="208"/>
      <c r="H1297" s="174" t="s">
        <v>171</v>
      </c>
      <c r="I1297" s="101">
        <f>SUM(I1291:I1296)</f>
        <v>6636.1679999999997</v>
      </c>
      <c r="J1297" s="104">
        <f>SUM(J1291:J1296)</f>
        <v>6700</v>
      </c>
    </row>
    <row r="1298" spans="1:10" x14ac:dyDescent="0.25">
      <c r="A1298" s="31" t="s">
        <v>313</v>
      </c>
      <c r="B1298" s="37" t="s">
        <v>314</v>
      </c>
      <c r="C1298" s="34" t="s">
        <v>114</v>
      </c>
      <c r="D1298" s="108">
        <v>20.079999999999998</v>
      </c>
      <c r="E1298" s="34" t="s">
        <v>79</v>
      </c>
      <c r="F1298" s="109">
        <v>4.0199999999999996</v>
      </c>
      <c r="G1298" s="36">
        <f t="shared" ref="G1298:G1303" si="250">F1298*6.3</f>
        <v>25.325999999999997</v>
      </c>
      <c r="H1298" s="37">
        <v>24</v>
      </c>
      <c r="I1298" s="36">
        <f t="shared" ref="I1298:I1303" si="251">G1298*H1298</f>
        <v>607.82399999999996</v>
      </c>
      <c r="J1298" s="36">
        <v>900</v>
      </c>
    </row>
    <row r="1299" spans="1:10" x14ac:dyDescent="0.25">
      <c r="A1299" s="31" t="s">
        <v>313</v>
      </c>
      <c r="B1299" s="37" t="s">
        <v>315</v>
      </c>
      <c r="C1299" s="34" t="s">
        <v>86</v>
      </c>
      <c r="D1299" s="108">
        <v>81.53</v>
      </c>
      <c r="E1299" s="34" t="s">
        <v>79</v>
      </c>
      <c r="F1299" s="110">
        <v>7.84</v>
      </c>
      <c r="G1299" s="36">
        <f t="shared" si="250"/>
        <v>49.391999999999996</v>
      </c>
      <c r="H1299" s="37">
        <v>24</v>
      </c>
      <c r="I1299" s="41">
        <f t="shared" si="251"/>
        <v>1185.4079999999999</v>
      </c>
      <c r="J1299" s="36">
        <v>1400</v>
      </c>
    </row>
    <row r="1300" spans="1:10" x14ac:dyDescent="0.25">
      <c r="A1300" s="31" t="s">
        <v>313</v>
      </c>
      <c r="B1300" s="50" t="s">
        <v>316</v>
      </c>
      <c r="C1300" s="34" t="s">
        <v>75</v>
      </c>
      <c r="D1300" s="108" t="s">
        <v>38</v>
      </c>
      <c r="E1300" s="34" t="s">
        <v>79</v>
      </c>
      <c r="F1300" s="36">
        <v>3.35</v>
      </c>
      <c r="G1300" s="36">
        <f t="shared" si="250"/>
        <v>21.105</v>
      </c>
      <c r="H1300" s="37">
        <v>24</v>
      </c>
      <c r="I1300" s="36">
        <f t="shared" si="251"/>
        <v>506.52</v>
      </c>
      <c r="J1300" s="36">
        <v>500</v>
      </c>
    </row>
    <row r="1301" spans="1:10" x14ac:dyDescent="0.25">
      <c r="A1301" s="31" t="s">
        <v>313</v>
      </c>
      <c r="B1301" s="75" t="s">
        <v>317</v>
      </c>
      <c r="C1301" s="111" t="s">
        <v>156</v>
      </c>
      <c r="D1301" s="111">
        <v>70.680000000000007</v>
      </c>
      <c r="E1301" s="42" t="s">
        <v>79</v>
      </c>
      <c r="F1301" s="74">
        <v>9.4600000000000009</v>
      </c>
      <c r="G1301" s="36">
        <f t="shared" si="250"/>
        <v>59.598000000000006</v>
      </c>
      <c r="H1301" s="37">
        <v>24</v>
      </c>
      <c r="I1301" s="44">
        <f t="shared" si="251"/>
        <v>1430.3520000000001</v>
      </c>
      <c r="J1301" s="36">
        <v>1600</v>
      </c>
    </row>
    <row r="1302" spans="1:10" x14ac:dyDescent="0.25">
      <c r="A1302" s="31" t="s">
        <v>313</v>
      </c>
      <c r="B1302" s="37" t="s">
        <v>318</v>
      </c>
      <c r="C1302" s="34" t="s">
        <v>158</v>
      </c>
      <c r="D1302" s="46">
        <v>18.89</v>
      </c>
      <c r="E1302" s="34" t="s">
        <v>79</v>
      </c>
      <c r="F1302" s="74">
        <v>7</v>
      </c>
      <c r="G1302" s="36">
        <f t="shared" si="250"/>
        <v>44.1</v>
      </c>
      <c r="H1302" s="35">
        <v>24</v>
      </c>
      <c r="I1302" s="44">
        <f t="shared" si="251"/>
        <v>1058.4000000000001</v>
      </c>
      <c r="J1302" s="36">
        <v>1000</v>
      </c>
    </row>
    <row r="1303" spans="1:10" ht="15.75" thickBot="1" x14ac:dyDescent="0.3">
      <c r="A1303" s="31" t="s">
        <v>313</v>
      </c>
      <c r="B1303" s="37" t="s">
        <v>319</v>
      </c>
      <c r="C1303" s="52" t="s">
        <v>152</v>
      </c>
      <c r="D1303" s="72">
        <v>22.95</v>
      </c>
      <c r="E1303" s="42" t="s">
        <v>79</v>
      </c>
      <c r="F1303" s="73">
        <v>8.65</v>
      </c>
      <c r="G1303" s="74">
        <f t="shared" si="250"/>
        <v>54.494999999999997</v>
      </c>
      <c r="H1303" s="91">
        <v>24</v>
      </c>
      <c r="I1303" s="96">
        <f t="shared" si="251"/>
        <v>1307.8799999999999</v>
      </c>
      <c r="J1303" s="74">
        <v>1300</v>
      </c>
    </row>
    <row r="1304" spans="1:10" ht="19.5" thickBot="1" x14ac:dyDescent="0.35">
      <c r="A1304" s="220"/>
      <c r="B1304" s="174"/>
      <c r="C1304" s="324"/>
      <c r="D1304" s="208"/>
      <c r="E1304" s="208"/>
      <c r="F1304" s="208"/>
      <c r="G1304" s="208"/>
      <c r="H1304" s="174" t="s">
        <v>171</v>
      </c>
      <c r="I1304" s="101">
        <f>SUM(I1298:I1303)</f>
        <v>6096.3840000000009</v>
      </c>
      <c r="J1304" s="104">
        <f>SUM(J1298:J1303)</f>
        <v>6700</v>
      </c>
    </row>
    <row r="1305" spans="1:10" x14ac:dyDescent="0.25">
      <c r="A1305" s="31" t="s">
        <v>320</v>
      </c>
      <c r="B1305" s="37" t="s">
        <v>314</v>
      </c>
      <c r="C1305" s="34" t="s">
        <v>114</v>
      </c>
      <c r="D1305" s="108">
        <v>23.09</v>
      </c>
      <c r="E1305" s="34" t="s">
        <v>79</v>
      </c>
      <c r="F1305" s="109">
        <v>4.63</v>
      </c>
      <c r="G1305" s="36">
        <f t="shared" ref="G1305:G1310" si="252">F1305*6.3</f>
        <v>29.168999999999997</v>
      </c>
      <c r="H1305" s="37">
        <v>24</v>
      </c>
      <c r="I1305" s="36">
        <f t="shared" ref="I1305:I1310" si="253">G1305*H1305</f>
        <v>700.05599999999993</v>
      </c>
      <c r="J1305" s="36">
        <v>900</v>
      </c>
    </row>
    <row r="1306" spans="1:10" x14ac:dyDescent="0.25">
      <c r="A1306" s="31" t="s">
        <v>320</v>
      </c>
      <c r="B1306" s="37" t="s">
        <v>315</v>
      </c>
      <c r="C1306" s="34" t="s">
        <v>86</v>
      </c>
      <c r="D1306" s="108">
        <v>84.16</v>
      </c>
      <c r="E1306" s="34" t="s">
        <v>79</v>
      </c>
      <c r="F1306" s="110">
        <v>8.7799999999999994</v>
      </c>
      <c r="G1306" s="36">
        <f t="shared" si="252"/>
        <v>55.313999999999993</v>
      </c>
      <c r="H1306" s="37">
        <v>24</v>
      </c>
      <c r="I1306" s="41">
        <f t="shared" si="253"/>
        <v>1327.5359999999998</v>
      </c>
      <c r="J1306" s="36">
        <v>1400</v>
      </c>
    </row>
    <row r="1307" spans="1:10" x14ac:dyDescent="0.25">
      <c r="A1307" s="31" t="s">
        <v>320</v>
      </c>
      <c r="B1307" s="50" t="s">
        <v>316</v>
      </c>
      <c r="C1307" s="34" t="s">
        <v>75</v>
      </c>
      <c r="D1307" s="108" t="s">
        <v>38</v>
      </c>
      <c r="E1307" s="34" t="s">
        <v>79</v>
      </c>
      <c r="F1307" s="36">
        <v>3.3</v>
      </c>
      <c r="G1307" s="36">
        <f t="shared" si="252"/>
        <v>20.79</v>
      </c>
      <c r="H1307" s="37">
        <v>24</v>
      </c>
      <c r="I1307" s="36">
        <f t="shared" si="253"/>
        <v>498.96</v>
      </c>
      <c r="J1307" s="36">
        <v>500</v>
      </c>
    </row>
    <row r="1308" spans="1:10" x14ac:dyDescent="0.25">
      <c r="A1308" s="31" t="s">
        <v>320</v>
      </c>
      <c r="B1308" s="75" t="s">
        <v>317</v>
      </c>
      <c r="C1308" s="111" t="s">
        <v>156</v>
      </c>
      <c r="D1308" s="111">
        <v>73.930000000000007</v>
      </c>
      <c r="E1308" s="42" t="s">
        <v>79</v>
      </c>
      <c r="F1308" s="74">
        <v>10</v>
      </c>
      <c r="G1308" s="36">
        <f t="shared" si="252"/>
        <v>63</v>
      </c>
      <c r="H1308" s="37">
        <v>24</v>
      </c>
      <c r="I1308" s="44">
        <f t="shared" si="253"/>
        <v>1512</v>
      </c>
      <c r="J1308" s="36">
        <v>1600</v>
      </c>
    </row>
    <row r="1309" spans="1:10" x14ac:dyDescent="0.25">
      <c r="A1309" s="31" t="s">
        <v>320</v>
      </c>
      <c r="B1309" s="37" t="s">
        <v>318</v>
      </c>
      <c r="C1309" s="34" t="s">
        <v>158</v>
      </c>
      <c r="D1309" s="46">
        <v>21.72</v>
      </c>
      <c r="E1309" s="34" t="s">
        <v>79</v>
      </c>
      <c r="F1309" s="74">
        <v>7.15</v>
      </c>
      <c r="G1309" s="36">
        <f t="shared" si="252"/>
        <v>45.045000000000002</v>
      </c>
      <c r="H1309" s="35">
        <v>24</v>
      </c>
      <c r="I1309" s="44">
        <f t="shared" si="253"/>
        <v>1081.08</v>
      </c>
      <c r="J1309" s="36">
        <v>1000</v>
      </c>
    </row>
    <row r="1310" spans="1:10" ht="15.75" thickBot="1" x14ac:dyDescent="0.3">
      <c r="A1310" s="31" t="s">
        <v>320</v>
      </c>
      <c r="B1310" s="43" t="s">
        <v>319</v>
      </c>
      <c r="C1310" s="52" t="s">
        <v>152</v>
      </c>
      <c r="D1310" s="72">
        <v>24.67</v>
      </c>
      <c r="E1310" s="42" t="s">
        <v>79</v>
      </c>
      <c r="F1310" s="73">
        <v>8.6999999999999993</v>
      </c>
      <c r="G1310" s="74">
        <f t="shared" si="252"/>
        <v>54.809999999999995</v>
      </c>
      <c r="H1310" s="91">
        <v>24</v>
      </c>
      <c r="I1310" s="96">
        <f t="shared" si="253"/>
        <v>1315.4399999999998</v>
      </c>
      <c r="J1310" s="74">
        <v>1300</v>
      </c>
    </row>
    <row r="1311" spans="1:10" ht="19.5" thickBot="1" x14ac:dyDescent="0.35">
      <c r="A1311" s="220"/>
      <c r="B1311" s="174"/>
      <c r="C1311" s="324"/>
      <c r="D1311" s="208"/>
      <c r="E1311" s="208"/>
      <c r="F1311" s="208"/>
      <c r="G1311" s="208"/>
      <c r="H1311" s="174" t="s">
        <v>171</v>
      </c>
      <c r="I1311" s="101">
        <f>SUM(I1305:I1310)</f>
        <v>6435.0719999999992</v>
      </c>
      <c r="J1311" s="104">
        <f>SUM(J1305:J1310)</f>
        <v>6700</v>
      </c>
    </row>
    <row r="1312" spans="1:10" x14ac:dyDescent="0.25">
      <c r="A1312" s="31" t="s">
        <v>321</v>
      </c>
      <c r="B1312" s="37" t="s">
        <v>314</v>
      </c>
      <c r="C1312" s="34" t="s">
        <v>114</v>
      </c>
      <c r="D1312" s="108">
        <v>22.22</v>
      </c>
      <c r="E1312" s="34" t="s">
        <v>79</v>
      </c>
      <c r="F1312" s="109">
        <v>5.05</v>
      </c>
      <c r="G1312" s="36">
        <f t="shared" ref="G1312:G1317" si="254">F1312*6.3</f>
        <v>31.814999999999998</v>
      </c>
      <c r="H1312" s="37">
        <v>24</v>
      </c>
      <c r="I1312" s="36">
        <f t="shared" ref="I1312:I1317" si="255">G1312*H1312</f>
        <v>763.56</v>
      </c>
      <c r="J1312" s="36">
        <v>900</v>
      </c>
    </row>
    <row r="1313" spans="1:10" x14ac:dyDescent="0.25">
      <c r="A1313" s="31" t="s">
        <v>321</v>
      </c>
      <c r="B1313" s="37" t="s">
        <v>315</v>
      </c>
      <c r="C1313" s="34" t="s">
        <v>86</v>
      </c>
      <c r="D1313" s="108">
        <v>82.2</v>
      </c>
      <c r="E1313" s="34" t="s">
        <v>79</v>
      </c>
      <c r="F1313" s="110">
        <v>8.4</v>
      </c>
      <c r="G1313" s="36">
        <f t="shared" si="254"/>
        <v>52.92</v>
      </c>
      <c r="H1313" s="37">
        <v>24</v>
      </c>
      <c r="I1313" s="41">
        <f t="shared" si="255"/>
        <v>1270.08</v>
      </c>
      <c r="J1313" s="36">
        <v>1400</v>
      </c>
    </row>
    <row r="1314" spans="1:10" x14ac:dyDescent="0.25">
      <c r="A1314" s="31" t="s">
        <v>321</v>
      </c>
      <c r="B1314" s="50" t="s">
        <v>316</v>
      </c>
      <c r="C1314" s="34" t="s">
        <v>75</v>
      </c>
      <c r="D1314" s="108" t="s">
        <v>38</v>
      </c>
      <c r="E1314" s="34" t="s">
        <v>79</v>
      </c>
      <c r="F1314" s="36">
        <v>3.32</v>
      </c>
      <c r="G1314" s="36">
        <f t="shared" si="254"/>
        <v>20.915999999999997</v>
      </c>
      <c r="H1314" s="37">
        <v>24</v>
      </c>
      <c r="I1314" s="36">
        <f t="shared" si="255"/>
        <v>501.98399999999992</v>
      </c>
      <c r="J1314" s="36">
        <v>500</v>
      </c>
    </row>
    <row r="1315" spans="1:10" x14ac:dyDescent="0.25">
      <c r="A1315" s="31" t="s">
        <v>321</v>
      </c>
      <c r="B1315" s="75" t="s">
        <v>317</v>
      </c>
      <c r="C1315" s="111" t="s">
        <v>156</v>
      </c>
      <c r="D1315" s="111">
        <v>74.53</v>
      </c>
      <c r="E1315" s="42" t="s">
        <v>79</v>
      </c>
      <c r="F1315" s="74">
        <v>9.86</v>
      </c>
      <c r="G1315" s="36">
        <f t="shared" si="254"/>
        <v>62.117999999999995</v>
      </c>
      <c r="H1315" s="37">
        <v>24</v>
      </c>
      <c r="I1315" s="44">
        <f t="shared" si="255"/>
        <v>1490.8319999999999</v>
      </c>
      <c r="J1315" s="36">
        <v>1600</v>
      </c>
    </row>
    <row r="1316" spans="1:10" x14ac:dyDescent="0.25">
      <c r="A1316" s="31" t="s">
        <v>321</v>
      </c>
      <c r="B1316" s="37" t="s">
        <v>318</v>
      </c>
      <c r="C1316" s="34" t="s">
        <v>158</v>
      </c>
      <c r="D1316" s="46">
        <v>21.97</v>
      </c>
      <c r="E1316" s="34" t="s">
        <v>79</v>
      </c>
      <c r="F1316" s="74">
        <v>7.18</v>
      </c>
      <c r="G1316" s="36">
        <f t="shared" si="254"/>
        <v>45.233999999999995</v>
      </c>
      <c r="H1316" s="35">
        <v>24</v>
      </c>
      <c r="I1316" s="44">
        <f t="shared" si="255"/>
        <v>1085.616</v>
      </c>
      <c r="J1316" s="36">
        <v>1000</v>
      </c>
    </row>
    <row r="1317" spans="1:10" ht="15.75" thickBot="1" x14ac:dyDescent="0.3">
      <c r="A1317" s="31" t="s">
        <v>321</v>
      </c>
      <c r="B1317" s="43" t="s">
        <v>319</v>
      </c>
      <c r="C1317" s="52" t="s">
        <v>152</v>
      </c>
      <c r="D1317" s="72">
        <v>24.98</v>
      </c>
      <c r="E1317" s="42" t="s">
        <v>79</v>
      </c>
      <c r="F1317" s="73">
        <v>8.75</v>
      </c>
      <c r="G1317" s="74">
        <f t="shared" si="254"/>
        <v>55.125</v>
      </c>
      <c r="H1317" s="91">
        <v>24</v>
      </c>
      <c r="I1317" s="96">
        <f t="shared" si="255"/>
        <v>1323</v>
      </c>
      <c r="J1317" s="74">
        <v>1300</v>
      </c>
    </row>
    <row r="1318" spans="1:10" ht="18.75" x14ac:dyDescent="0.3">
      <c r="A1318" s="246"/>
      <c r="B1318" s="178"/>
      <c r="C1318" s="333"/>
      <c r="D1318" s="248"/>
      <c r="E1318" s="248"/>
      <c r="F1318" s="248"/>
      <c r="G1318" s="248"/>
      <c r="H1318" s="178" t="s">
        <v>171</v>
      </c>
      <c r="I1318" s="179">
        <f>SUM(I1312:I1317)</f>
        <v>6435.0720000000001</v>
      </c>
      <c r="J1318" s="180">
        <f>SUM(J1312:J1317)</f>
        <v>6700</v>
      </c>
    </row>
    <row r="1319" spans="1:10" x14ac:dyDescent="0.25">
      <c r="A1319" s="31" t="s">
        <v>328</v>
      </c>
      <c r="B1319" s="37" t="s">
        <v>314</v>
      </c>
      <c r="C1319" s="34" t="s">
        <v>114</v>
      </c>
      <c r="D1319" s="108">
        <v>24.25</v>
      </c>
      <c r="E1319" s="34" t="s">
        <v>79</v>
      </c>
      <c r="F1319" s="109">
        <v>5.43</v>
      </c>
      <c r="G1319" s="36">
        <f t="shared" ref="G1319:G1324" si="256">F1319*6.3</f>
        <v>34.208999999999996</v>
      </c>
      <c r="H1319" s="37">
        <v>24</v>
      </c>
      <c r="I1319" s="109">
        <f t="shared" ref="I1319:I1324" si="257">G1319*H1319</f>
        <v>821.01599999999985</v>
      </c>
      <c r="J1319" s="36">
        <v>900</v>
      </c>
    </row>
    <row r="1320" spans="1:10" x14ac:dyDescent="0.25">
      <c r="A1320" s="31" t="s">
        <v>328</v>
      </c>
      <c r="B1320" s="37" t="s">
        <v>315</v>
      </c>
      <c r="C1320" s="34" t="s">
        <v>86</v>
      </c>
      <c r="D1320" s="108">
        <v>85.99</v>
      </c>
      <c r="E1320" s="34" t="s">
        <v>79</v>
      </c>
      <c r="F1320" s="110">
        <v>9.3800000000000008</v>
      </c>
      <c r="G1320" s="36">
        <f t="shared" si="256"/>
        <v>59.094000000000001</v>
      </c>
      <c r="H1320" s="37">
        <v>24</v>
      </c>
      <c r="I1320" s="328">
        <f t="shared" si="257"/>
        <v>1418.2560000000001</v>
      </c>
      <c r="J1320" s="36">
        <v>1400</v>
      </c>
    </row>
    <row r="1321" spans="1:10" x14ac:dyDescent="0.25">
      <c r="A1321" s="31" t="s">
        <v>328</v>
      </c>
      <c r="B1321" s="50" t="s">
        <v>316</v>
      </c>
      <c r="C1321" s="34" t="s">
        <v>75</v>
      </c>
      <c r="D1321" s="108" t="s">
        <v>38</v>
      </c>
      <c r="E1321" s="34" t="s">
        <v>79</v>
      </c>
      <c r="F1321" s="36">
        <v>3.32</v>
      </c>
      <c r="G1321" s="36">
        <f t="shared" si="256"/>
        <v>20.915999999999997</v>
      </c>
      <c r="H1321" s="37">
        <v>24</v>
      </c>
      <c r="I1321" s="109">
        <f t="shared" si="257"/>
        <v>501.98399999999992</v>
      </c>
      <c r="J1321" s="36">
        <v>500</v>
      </c>
    </row>
    <row r="1322" spans="1:10" x14ac:dyDescent="0.25">
      <c r="A1322" s="31" t="s">
        <v>328</v>
      </c>
      <c r="B1322" s="75" t="s">
        <v>317</v>
      </c>
      <c r="C1322" s="111" t="s">
        <v>156</v>
      </c>
      <c r="D1322" s="111">
        <v>76.23</v>
      </c>
      <c r="E1322" s="42" t="s">
        <v>79</v>
      </c>
      <c r="F1322" s="74">
        <v>10.65</v>
      </c>
      <c r="G1322" s="36">
        <f t="shared" si="256"/>
        <v>67.094999999999999</v>
      </c>
      <c r="H1322" s="37">
        <v>24</v>
      </c>
      <c r="I1322" s="329">
        <f t="shared" si="257"/>
        <v>1610.28</v>
      </c>
      <c r="J1322" s="36">
        <v>1600</v>
      </c>
    </row>
    <row r="1323" spans="1:10" x14ac:dyDescent="0.25">
      <c r="A1323" s="31" t="s">
        <v>328</v>
      </c>
      <c r="B1323" s="37" t="s">
        <v>318</v>
      </c>
      <c r="C1323" s="34" t="s">
        <v>158</v>
      </c>
      <c r="D1323" s="46">
        <v>22.82</v>
      </c>
      <c r="E1323" s="34" t="s">
        <v>79</v>
      </c>
      <c r="F1323" s="74">
        <v>7.15</v>
      </c>
      <c r="G1323" s="36">
        <f t="shared" si="256"/>
        <v>45.045000000000002</v>
      </c>
      <c r="H1323" s="35">
        <v>24</v>
      </c>
      <c r="I1323" s="329">
        <f t="shared" si="257"/>
        <v>1081.08</v>
      </c>
      <c r="J1323" s="36">
        <v>1000</v>
      </c>
    </row>
    <row r="1324" spans="1:10" ht="15.75" thickBot="1" x14ac:dyDescent="0.3">
      <c r="A1324" s="31" t="s">
        <v>328</v>
      </c>
      <c r="B1324" s="43" t="s">
        <v>319</v>
      </c>
      <c r="C1324" s="52" t="s">
        <v>152</v>
      </c>
      <c r="D1324" s="72">
        <v>25.96</v>
      </c>
      <c r="E1324" s="42" t="s">
        <v>79</v>
      </c>
      <c r="F1324" s="73">
        <v>8.65</v>
      </c>
      <c r="G1324" s="74">
        <f t="shared" si="256"/>
        <v>54.494999999999997</v>
      </c>
      <c r="H1324" s="91">
        <v>24</v>
      </c>
      <c r="I1324" s="328">
        <f t="shared" si="257"/>
        <v>1307.8799999999999</v>
      </c>
      <c r="J1324" s="74">
        <v>1300</v>
      </c>
    </row>
    <row r="1325" spans="1:10" ht="19.5" thickBot="1" x14ac:dyDescent="0.35">
      <c r="A1325" s="220"/>
      <c r="B1325" s="335"/>
      <c r="C1325" s="335"/>
      <c r="D1325" s="335"/>
      <c r="E1325" s="335"/>
      <c r="F1325" s="335"/>
      <c r="G1325" s="335"/>
      <c r="H1325" s="174" t="s">
        <v>171</v>
      </c>
      <c r="I1325" s="238">
        <f>SUM(I1319:I1324)</f>
        <v>6740.4960000000001</v>
      </c>
      <c r="J1325" s="104">
        <f>SUM(J1319:J1324)</f>
        <v>6700</v>
      </c>
    </row>
    <row r="1326" spans="1:10" x14ac:dyDescent="0.25">
      <c r="A1326" s="46" t="s">
        <v>327</v>
      </c>
      <c r="B1326" s="37" t="s">
        <v>322</v>
      </c>
      <c r="C1326" s="34" t="s">
        <v>114</v>
      </c>
      <c r="D1326" s="108">
        <v>22.47</v>
      </c>
      <c r="E1326" s="34" t="s">
        <v>79</v>
      </c>
      <c r="F1326" s="109">
        <v>5.01</v>
      </c>
      <c r="G1326" s="36">
        <f t="shared" ref="G1326:G1331" si="258">F1326*6.3</f>
        <v>31.562999999999999</v>
      </c>
      <c r="H1326" s="37">
        <v>24</v>
      </c>
      <c r="I1326" s="109">
        <f t="shared" ref="I1326:I1331" si="259">G1326*H1326</f>
        <v>757.51199999999994</v>
      </c>
      <c r="J1326" s="36">
        <v>900</v>
      </c>
    </row>
    <row r="1327" spans="1:10" x14ac:dyDescent="0.25">
      <c r="A1327" s="46" t="s">
        <v>327</v>
      </c>
      <c r="B1327" s="37" t="s">
        <v>323</v>
      </c>
      <c r="C1327" s="34" t="s">
        <v>86</v>
      </c>
      <c r="D1327" s="108">
        <v>85.93</v>
      </c>
      <c r="E1327" s="34" t="s">
        <v>79</v>
      </c>
      <c r="F1327" s="36">
        <v>9.1</v>
      </c>
      <c r="G1327" s="36">
        <f t="shared" si="258"/>
        <v>57.33</v>
      </c>
      <c r="H1327" s="37">
        <v>24</v>
      </c>
      <c r="I1327" s="109">
        <f t="shared" si="259"/>
        <v>1375.92</v>
      </c>
      <c r="J1327" s="36">
        <v>1400</v>
      </c>
    </row>
    <row r="1328" spans="1:10" x14ac:dyDescent="0.25">
      <c r="A1328" s="46" t="s">
        <v>327</v>
      </c>
      <c r="B1328" s="34" t="s">
        <v>324</v>
      </c>
      <c r="C1328" s="34" t="s">
        <v>75</v>
      </c>
      <c r="D1328" s="108" t="s">
        <v>38</v>
      </c>
      <c r="E1328" s="34" t="s">
        <v>79</v>
      </c>
      <c r="F1328" s="36">
        <v>3.32</v>
      </c>
      <c r="G1328" s="36">
        <f t="shared" si="258"/>
        <v>20.915999999999997</v>
      </c>
      <c r="H1328" s="37">
        <v>24</v>
      </c>
      <c r="I1328" s="109">
        <f t="shared" si="259"/>
        <v>501.98399999999992</v>
      </c>
      <c r="J1328" s="36">
        <v>500</v>
      </c>
    </row>
    <row r="1329" spans="1:10" x14ac:dyDescent="0.25">
      <c r="A1329" s="46" t="s">
        <v>327</v>
      </c>
      <c r="B1329" s="34" t="s">
        <v>317</v>
      </c>
      <c r="C1329" s="108" t="s">
        <v>156</v>
      </c>
      <c r="D1329" s="108">
        <v>76.81</v>
      </c>
      <c r="E1329" s="34" t="s">
        <v>79</v>
      </c>
      <c r="F1329" s="36">
        <v>10.6</v>
      </c>
      <c r="G1329" s="36">
        <f t="shared" si="258"/>
        <v>66.78</v>
      </c>
      <c r="H1329" s="37">
        <v>24</v>
      </c>
      <c r="I1329" s="109">
        <f t="shared" si="259"/>
        <v>1602.72</v>
      </c>
      <c r="J1329" s="36">
        <v>1600</v>
      </c>
    </row>
    <row r="1330" spans="1:10" x14ac:dyDescent="0.25">
      <c r="A1330" s="46" t="s">
        <v>327</v>
      </c>
      <c r="B1330" s="37" t="s">
        <v>325</v>
      </c>
      <c r="C1330" s="34" t="s">
        <v>158</v>
      </c>
      <c r="D1330" s="46">
        <v>22.94</v>
      </c>
      <c r="E1330" s="34" t="s">
        <v>79</v>
      </c>
      <c r="F1330" s="36">
        <v>7.05</v>
      </c>
      <c r="G1330" s="36">
        <f t="shared" si="258"/>
        <v>44.414999999999999</v>
      </c>
      <c r="H1330" s="35">
        <v>24</v>
      </c>
      <c r="I1330" s="109">
        <f t="shared" si="259"/>
        <v>1065.96</v>
      </c>
      <c r="J1330" s="36">
        <v>1000</v>
      </c>
    </row>
    <row r="1331" spans="1:10" x14ac:dyDescent="0.25">
      <c r="A1331" s="46" t="s">
        <v>327</v>
      </c>
      <c r="B1331" s="37" t="s">
        <v>326</v>
      </c>
      <c r="C1331" s="46" t="s">
        <v>152</v>
      </c>
      <c r="D1331" s="34">
        <v>26.15</v>
      </c>
      <c r="E1331" s="34" t="s">
        <v>79</v>
      </c>
      <c r="F1331" s="37">
        <v>8.73</v>
      </c>
      <c r="G1331" s="36">
        <f t="shared" si="258"/>
        <v>54.999000000000002</v>
      </c>
      <c r="H1331" s="35">
        <v>24</v>
      </c>
      <c r="I1331" s="109">
        <f t="shared" si="259"/>
        <v>1319.9760000000001</v>
      </c>
      <c r="J1331" s="36">
        <v>1300</v>
      </c>
    </row>
    <row r="1332" spans="1:10" ht="18.75" x14ac:dyDescent="0.3">
      <c r="A1332" s="233"/>
      <c r="B1332" s="334"/>
      <c r="C1332" s="334"/>
      <c r="D1332" s="334"/>
      <c r="E1332" s="334"/>
      <c r="F1332" s="334"/>
      <c r="G1332" s="334"/>
      <c r="H1332" s="99" t="s">
        <v>171</v>
      </c>
      <c r="I1332" s="330">
        <f>SUM(I1326:I1331)</f>
        <v>6624.0720000000001</v>
      </c>
      <c r="J1332" s="33">
        <f>SUM(J1326:J1331)</f>
        <v>6700</v>
      </c>
    </row>
    <row r="1333" spans="1:10" x14ac:dyDescent="0.25">
      <c r="A1333" s="31" t="s">
        <v>329</v>
      </c>
      <c r="B1333" s="37" t="s">
        <v>322</v>
      </c>
      <c r="C1333" s="34" t="s">
        <v>114</v>
      </c>
      <c r="D1333" s="108">
        <v>21.8</v>
      </c>
      <c r="E1333" s="34" t="s">
        <v>79</v>
      </c>
      <c r="F1333" s="109">
        <v>4.82</v>
      </c>
      <c r="G1333" s="36">
        <f t="shared" ref="G1333:G1338" si="260">F1333*6.3</f>
        <v>30.366</v>
      </c>
      <c r="H1333" s="37">
        <v>24</v>
      </c>
      <c r="I1333" s="109">
        <f t="shared" ref="I1333:I1338" si="261">G1333*H1333</f>
        <v>728.78399999999999</v>
      </c>
      <c r="J1333" s="36">
        <v>900</v>
      </c>
    </row>
    <row r="1334" spans="1:10" x14ac:dyDescent="0.25">
      <c r="A1334" s="31" t="s">
        <v>329</v>
      </c>
      <c r="B1334" s="37" t="s">
        <v>323</v>
      </c>
      <c r="C1334" s="34" t="s">
        <v>86</v>
      </c>
      <c r="D1334" s="108">
        <v>85.19</v>
      </c>
      <c r="E1334" s="34" t="s">
        <v>79</v>
      </c>
      <c r="F1334" s="110">
        <v>9.26</v>
      </c>
      <c r="G1334" s="36">
        <f t="shared" si="260"/>
        <v>58.337999999999994</v>
      </c>
      <c r="H1334" s="37">
        <v>24</v>
      </c>
      <c r="I1334" s="328">
        <f t="shared" si="261"/>
        <v>1400.1119999999999</v>
      </c>
      <c r="J1334" s="36">
        <v>1400</v>
      </c>
    </row>
    <row r="1335" spans="1:10" x14ac:dyDescent="0.25">
      <c r="A1335" s="31" t="s">
        <v>329</v>
      </c>
      <c r="B1335" s="50" t="s">
        <v>324</v>
      </c>
      <c r="C1335" s="34" t="s">
        <v>75</v>
      </c>
      <c r="D1335" s="108" t="s">
        <v>38</v>
      </c>
      <c r="E1335" s="34" t="s">
        <v>79</v>
      </c>
      <c r="F1335" s="36">
        <v>3.32</v>
      </c>
      <c r="G1335" s="36">
        <f t="shared" si="260"/>
        <v>20.915999999999997</v>
      </c>
      <c r="H1335" s="37">
        <v>24</v>
      </c>
      <c r="I1335" s="109">
        <f t="shared" si="261"/>
        <v>501.98399999999992</v>
      </c>
      <c r="J1335" s="36">
        <v>500</v>
      </c>
    </row>
    <row r="1336" spans="1:10" x14ac:dyDescent="0.25">
      <c r="A1336" s="31" t="s">
        <v>329</v>
      </c>
      <c r="B1336" s="75" t="s">
        <v>317</v>
      </c>
      <c r="C1336" s="111" t="s">
        <v>156</v>
      </c>
      <c r="D1336" s="111">
        <v>76.81</v>
      </c>
      <c r="E1336" s="42" t="s">
        <v>79</v>
      </c>
      <c r="F1336" s="74">
        <v>10.5</v>
      </c>
      <c r="G1336" s="36">
        <f t="shared" si="260"/>
        <v>66.149999999999991</v>
      </c>
      <c r="H1336" s="37">
        <v>24</v>
      </c>
      <c r="I1336" s="329">
        <f t="shared" si="261"/>
        <v>1587.6</v>
      </c>
      <c r="J1336" s="36">
        <v>1600</v>
      </c>
    </row>
    <row r="1337" spans="1:10" x14ac:dyDescent="0.25">
      <c r="A1337" s="31" t="s">
        <v>329</v>
      </c>
      <c r="B1337" s="37" t="s">
        <v>325</v>
      </c>
      <c r="C1337" s="34" t="s">
        <v>158</v>
      </c>
      <c r="D1337" s="46">
        <v>22.58</v>
      </c>
      <c r="E1337" s="34" t="s">
        <v>79</v>
      </c>
      <c r="F1337" s="74">
        <v>7.12</v>
      </c>
      <c r="G1337" s="36">
        <f t="shared" si="260"/>
        <v>44.856000000000002</v>
      </c>
      <c r="H1337" s="35">
        <v>24</v>
      </c>
      <c r="I1337" s="329">
        <f t="shared" si="261"/>
        <v>1076.5440000000001</v>
      </c>
      <c r="J1337" s="36">
        <v>1000</v>
      </c>
    </row>
    <row r="1338" spans="1:10" ht="15.75" thickBot="1" x14ac:dyDescent="0.3">
      <c r="A1338" s="31" t="s">
        <v>329</v>
      </c>
      <c r="B1338" s="43" t="s">
        <v>326</v>
      </c>
      <c r="C1338" s="52" t="s">
        <v>152</v>
      </c>
      <c r="D1338" s="72">
        <v>26.2</v>
      </c>
      <c r="E1338" s="42" t="s">
        <v>79</v>
      </c>
      <c r="F1338" s="73">
        <v>8.73</v>
      </c>
      <c r="G1338" s="74">
        <f t="shared" si="260"/>
        <v>54.999000000000002</v>
      </c>
      <c r="H1338" s="91">
        <v>24</v>
      </c>
      <c r="I1338" s="328">
        <f t="shared" si="261"/>
        <v>1319.9760000000001</v>
      </c>
      <c r="J1338" s="74">
        <v>1300</v>
      </c>
    </row>
    <row r="1339" spans="1:10" ht="19.5" thickBot="1" x14ac:dyDescent="0.35">
      <c r="A1339" s="220"/>
      <c r="B1339" s="335"/>
      <c r="C1339" s="335"/>
      <c r="D1339" s="335"/>
      <c r="E1339" s="335"/>
      <c r="F1339" s="335"/>
      <c r="G1339" s="335"/>
      <c r="H1339" s="174" t="s">
        <v>171</v>
      </c>
      <c r="I1339" s="238">
        <f>SUM(I1333:I1338)</f>
        <v>6615</v>
      </c>
      <c r="J1339" s="104">
        <f>SUM(J1333:J1338)</f>
        <v>6700</v>
      </c>
    </row>
    <row r="1340" spans="1:10" x14ac:dyDescent="0.25">
      <c r="A1340" s="31" t="s">
        <v>331</v>
      </c>
      <c r="B1340" s="151" t="s">
        <v>322</v>
      </c>
      <c r="C1340" s="50" t="s">
        <v>114</v>
      </c>
      <c r="D1340" s="152">
        <v>23.29</v>
      </c>
      <c r="E1340" s="50" t="s">
        <v>79</v>
      </c>
      <c r="F1340" s="153">
        <v>5.32</v>
      </c>
      <c r="G1340" s="51">
        <f t="shared" ref="G1340:G1345" si="262">F1340*6.3</f>
        <v>33.515999999999998</v>
      </c>
      <c r="H1340" s="151">
        <v>24</v>
      </c>
      <c r="I1340" s="153">
        <f t="shared" ref="I1340:I1345" si="263">G1340*H1340</f>
        <v>804.38400000000001</v>
      </c>
      <c r="J1340" s="51">
        <v>900</v>
      </c>
    </row>
    <row r="1341" spans="1:10" x14ac:dyDescent="0.25">
      <c r="A1341" s="31" t="s">
        <v>331</v>
      </c>
      <c r="B1341" s="37" t="s">
        <v>323</v>
      </c>
      <c r="C1341" s="34" t="s">
        <v>86</v>
      </c>
      <c r="D1341" s="108">
        <v>83.28</v>
      </c>
      <c r="E1341" s="34" t="s">
        <v>79</v>
      </c>
      <c r="F1341" s="110">
        <v>8.76</v>
      </c>
      <c r="G1341" s="36">
        <f t="shared" si="262"/>
        <v>55.187999999999995</v>
      </c>
      <c r="H1341" s="37">
        <v>24</v>
      </c>
      <c r="I1341" s="328">
        <f t="shared" si="263"/>
        <v>1324.5119999999999</v>
      </c>
      <c r="J1341" s="36">
        <v>1400</v>
      </c>
    </row>
    <row r="1342" spans="1:10" x14ac:dyDescent="0.25">
      <c r="A1342" s="31" t="s">
        <v>331</v>
      </c>
      <c r="B1342" s="50" t="s">
        <v>324</v>
      </c>
      <c r="C1342" s="34" t="s">
        <v>75</v>
      </c>
      <c r="D1342" s="108" t="s">
        <v>38</v>
      </c>
      <c r="E1342" s="34" t="s">
        <v>79</v>
      </c>
      <c r="F1342" s="36">
        <v>3.34</v>
      </c>
      <c r="G1342" s="36">
        <f t="shared" si="262"/>
        <v>21.041999999999998</v>
      </c>
      <c r="H1342" s="37">
        <v>24</v>
      </c>
      <c r="I1342" s="109">
        <f t="shared" si="263"/>
        <v>505.00799999999992</v>
      </c>
      <c r="J1342" s="36">
        <v>500</v>
      </c>
    </row>
    <row r="1343" spans="1:10" x14ac:dyDescent="0.25">
      <c r="A1343" s="31" t="s">
        <v>331</v>
      </c>
      <c r="B1343" s="75" t="s">
        <v>317</v>
      </c>
      <c r="C1343" s="111" t="s">
        <v>156</v>
      </c>
      <c r="D1343" s="111">
        <v>75.86</v>
      </c>
      <c r="E1343" s="42" t="s">
        <v>79</v>
      </c>
      <c r="F1343" s="74">
        <v>10.19</v>
      </c>
      <c r="G1343" s="36">
        <f t="shared" si="262"/>
        <v>64.196999999999989</v>
      </c>
      <c r="H1343" s="37">
        <v>24</v>
      </c>
      <c r="I1343" s="329">
        <f t="shared" si="263"/>
        <v>1540.7279999999996</v>
      </c>
      <c r="J1343" s="36">
        <v>1600</v>
      </c>
    </row>
    <row r="1344" spans="1:10" x14ac:dyDescent="0.25">
      <c r="A1344" s="31" t="s">
        <v>331</v>
      </c>
      <c r="B1344" s="37" t="s">
        <v>325</v>
      </c>
      <c r="C1344" s="34" t="s">
        <v>158</v>
      </c>
      <c r="D1344" s="46">
        <v>22.14</v>
      </c>
      <c r="E1344" s="34" t="s">
        <v>79</v>
      </c>
      <c r="F1344" s="74">
        <v>7.15</v>
      </c>
      <c r="G1344" s="36">
        <f t="shared" si="262"/>
        <v>45.045000000000002</v>
      </c>
      <c r="H1344" s="35">
        <v>24</v>
      </c>
      <c r="I1344" s="329">
        <f t="shared" si="263"/>
        <v>1081.08</v>
      </c>
      <c r="J1344" s="36">
        <v>1000</v>
      </c>
    </row>
    <row r="1345" spans="1:10" ht="15.75" thickBot="1" x14ac:dyDescent="0.3">
      <c r="A1345" s="31" t="s">
        <v>331</v>
      </c>
      <c r="B1345" s="43" t="s">
        <v>326</v>
      </c>
      <c r="C1345" s="52" t="s">
        <v>152</v>
      </c>
      <c r="D1345" s="72">
        <v>25.78</v>
      </c>
      <c r="E1345" s="42" t="s">
        <v>79</v>
      </c>
      <c r="F1345" s="73">
        <v>8.8000000000000007</v>
      </c>
      <c r="G1345" s="74">
        <f t="shared" si="262"/>
        <v>55.440000000000005</v>
      </c>
      <c r="H1345" s="91">
        <v>24</v>
      </c>
      <c r="I1345" s="328">
        <f t="shared" si="263"/>
        <v>1330.5600000000002</v>
      </c>
      <c r="J1345" s="74">
        <v>1300</v>
      </c>
    </row>
    <row r="1346" spans="1:10" ht="19.5" thickBot="1" x14ac:dyDescent="0.35">
      <c r="A1346" s="206"/>
      <c r="B1346" s="335"/>
      <c r="C1346" s="336"/>
      <c r="D1346" s="336"/>
      <c r="E1346" s="336"/>
      <c r="F1346" s="336"/>
      <c r="G1346" s="337"/>
      <c r="H1346" s="174" t="s">
        <v>171</v>
      </c>
      <c r="I1346" s="238">
        <f>SUM(I1340:I1345)</f>
        <v>6586.2719999999999</v>
      </c>
      <c r="J1346" s="104">
        <f>SUM(J1340:J1345)</f>
        <v>6700</v>
      </c>
    </row>
    <row r="1347" spans="1:10" x14ac:dyDescent="0.25">
      <c r="A1347" s="31" t="s">
        <v>332</v>
      </c>
      <c r="B1347" s="37" t="s">
        <v>322</v>
      </c>
      <c r="C1347" s="34" t="s">
        <v>114</v>
      </c>
      <c r="D1347" s="108">
        <v>24.62</v>
      </c>
      <c r="E1347" s="34" t="s">
        <v>79</v>
      </c>
      <c r="F1347" s="109">
        <v>5.77</v>
      </c>
      <c r="G1347" s="36">
        <f t="shared" ref="G1347:G1352" si="264">F1347*6.3</f>
        <v>36.350999999999999</v>
      </c>
      <c r="H1347" s="37">
        <v>24</v>
      </c>
      <c r="I1347" s="109">
        <f t="shared" ref="I1347:I1352" si="265">G1347*H1347</f>
        <v>872.42399999999998</v>
      </c>
      <c r="J1347" s="36">
        <v>900</v>
      </c>
    </row>
    <row r="1348" spans="1:10" x14ac:dyDescent="0.25">
      <c r="A1348" s="31" t="s">
        <v>332</v>
      </c>
      <c r="B1348" s="37" t="s">
        <v>323</v>
      </c>
      <c r="C1348" s="34" t="s">
        <v>86</v>
      </c>
      <c r="D1348" s="108">
        <v>85.5</v>
      </c>
      <c r="E1348" s="34" t="s">
        <v>79</v>
      </c>
      <c r="F1348" s="110">
        <v>9.26</v>
      </c>
      <c r="G1348" s="36">
        <f t="shared" si="264"/>
        <v>58.337999999999994</v>
      </c>
      <c r="H1348" s="37">
        <v>24</v>
      </c>
      <c r="I1348" s="328">
        <f t="shared" si="265"/>
        <v>1400.1119999999999</v>
      </c>
      <c r="J1348" s="36">
        <v>1400</v>
      </c>
    </row>
    <row r="1349" spans="1:10" x14ac:dyDescent="0.25">
      <c r="A1349" s="31" t="s">
        <v>332</v>
      </c>
      <c r="B1349" s="50" t="s">
        <v>324</v>
      </c>
      <c r="C1349" s="34" t="s">
        <v>75</v>
      </c>
      <c r="D1349" s="108" t="s">
        <v>38</v>
      </c>
      <c r="E1349" s="34" t="s">
        <v>79</v>
      </c>
      <c r="F1349" s="36">
        <v>3.35</v>
      </c>
      <c r="G1349" s="36">
        <f t="shared" si="264"/>
        <v>21.105</v>
      </c>
      <c r="H1349" s="37">
        <v>24</v>
      </c>
      <c r="I1349" s="109">
        <f t="shared" si="265"/>
        <v>506.52</v>
      </c>
      <c r="J1349" s="36">
        <v>500</v>
      </c>
    </row>
    <row r="1350" spans="1:10" x14ac:dyDescent="0.25">
      <c r="A1350" s="31" t="s">
        <v>332</v>
      </c>
      <c r="B1350" s="75" t="s">
        <v>317</v>
      </c>
      <c r="C1350" s="111" t="s">
        <v>156</v>
      </c>
      <c r="D1350" s="111">
        <v>76.42</v>
      </c>
      <c r="E1350" s="42" t="s">
        <v>79</v>
      </c>
      <c r="F1350" s="74">
        <v>10.26</v>
      </c>
      <c r="G1350" s="36">
        <f t="shared" si="264"/>
        <v>64.637999999999991</v>
      </c>
      <c r="H1350" s="37">
        <v>24</v>
      </c>
      <c r="I1350" s="329">
        <f t="shared" si="265"/>
        <v>1551.3119999999999</v>
      </c>
      <c r="J1350" s="36">
        <v>1600</v>
      </c>
    </row>
    <row r="1351" spans="1:10" x14ac:dyDescent="0.25">
      <c r="A1351" s="31" t="s">
        <v>332</v>
      </c>
      <c r="B1351" s="37" t="s">
        <v>325</v>
      </c>
      <c r="C1351" s="34" t="s">
        <v>158</v>
      </c>
      <c r="D1351" s="46">
        <v>22.32</v>
      </c>
      <c r="E1351" s="34" t="s">
        <v>79</v>
      </c>
      <c r="F1351" s="74">
        <v>7.08</v>
      </c>
      <c r="G1351" s="36">
        <f t="shared" si="264"/>
        <v>44.603999999999999</v>
      </c>
      <c r="H1351" s="35">
        <v>24</v>
      </c>
      <c r="I1351" s="329">
        <f t="shared" si="265"/>
        <v>1070.4960000000001</v>
      </c>
      <c r="J1351" s="36">
        <v>1000</v>
      </c>
    </row>
    <row r="1352" spans="1:10" ht="15.75" thickBot="1" x14ac:dyDescent="0.3">
      <c r="A1352" s="31" t="s">
        <v>332</v>
      </c>
      <c r="B1352" s="43" t="s">
        <v>326</v>
      </c>
      <c r="C1352" s="52" t="s">
        <v>152</v>
      </c>
      <c r="D1352" s="72">
        <v>25.84</v>
      </c>
      <c r="E1352" s="42" t="s">
        <v>79</v>
      </c>
      <c r="F1352" s="73">
        <v>8.52</v>
      </c>
      <c r="G1352" s="74">
        <f t="shared" si="264"/>
        <v>53.675999999999995</v>
      </c>
      <c r="H1352" s="91">
        <v>24</v>
      </c>
      <c r="I1352" s="328">
        <f t="shared" si="265"/>
        <v>1288.2239999999999</v>
      </c>
      <c r="J1352" s="74">
        <v>1300</v>
      </c>
    </row>
    <row r="1353" spans="1:10" ht="19.5" thickBot="1" x14ac:dyDescent="0.35">
      <c r="A1353" s="220"/>
      <c r="B1353" s="335"/>
      <c r="C1353" s="335"/>
      <c r="D1353" s="335"/>
      <c r="E1353" s="335"/>
      <c r="F1353" s="335"/>
      <c r="G1353" s="335"/>
      <c r="H1353" s="174" t="s">
        <v>171</v>
      </c>
      <c r="I1353" s="238">
        <f>SUM(I1347:I1352)</f>
        <v>6689.0880000000006</v>
      </c>
      <c r="J1353" s="104">
        <f>SUM(J1347:J1352)</f>
        <v>6700</v>
      </c>
    </row>
    <row r="1354" spans="1:10" x14ac:dyDescent="0.25">
      <c r="A1354" s="31" t="s">
        <v>333</v>
      </c>
      <c r="B1354" s="37" t="s">
        <v>322</v>
      </c>
      <c r="C1354" s="34" t="s">
        <v>114</v>
      </c>
      <c r="D1354" s="108">
        <v>22.83</v>
      </c>
      <c r="E1354" s="34" t="s">
        <v>79</v>
      </c>
      <c r="F1354" s="109">
        <v>5.39</v>
      </c>
      <c r="G1354" s="36">
        <f t="shared" ref="G1354:G1359" si="266">F1354*6.3</f>
        <v>33.956999999999994</v>
      </c>
      <c r="H1354" s="37">
        <v>24</v>
      </c>
      <c r="I1354" s="109">
        <f t="shared" ref="I1354:I1359" si="267">G1354*H1354</f>
        <v>814.96799999999985</v>
      </c>
      <c r="J1354" s="36">
        <v>900</v>
      </c>
    </row>
    <row r="1355" spans="1:10" x14ac:dyDescent="0.25">
      <c r="A1355" s="31" t="s">
        <v>333</v>
      </c>
      <c r="B1355" s="37" t="s">
        <v>323</v>
      </c>
      <c r="C1355" s="34" t="s">
        <v>86</v>
      </c>
      <c r="D1355" s="108">
        <v>85.45</v>
      </c>
      <c r="E1355" s="34" t="s">
        <v>79</v>
      </c>
      <c r="F1355" s="110">
        <v>9.1999999999999993</v>
      </c>
      <c r="G1355" s="36">
        <f t="shared" si="266"/>
        <v>57.959999999999994</v>
      </c>
      <c r="H1355" s="37">
        <v>24</v>
      </c>
      <c r="I1355" s="328">
        <f t="shared" si="267"/>
        <v>1391.04</v>
      </c>
      <c r="J1355" s="36">
        <v>1400</v>
      </c>
    </row>
    <row r="1356" spans="1:10" x14ac:dyDescent="0.25">
      <c r="A1356" s="31" t="s">
        <v>333</v>
      </c>
      <c r="B1356" s="50" t="s">
        <v>324</v>
      </c>
      <c r="C1356" s="34" t="s">
        <v>75</v>
      </c>
      <c r="D1356" s="108" t="s">
        <v>38</v>
      </c>
      <c r="E1356" s="34" t="s">
        <v>79</v>
      </c>
      <c r="F1356" s="36">
        <v>3.32</v>
      </c>
      <c r="G1356" s="36">
        <f t="shared" si="266"/>
        <v>20.915999999999997</v>
      </c>
      <c r="H1356" s="37">
        <v>24</v>
      </c>
      <c r="I1356" s="109">
        <f t="shared" si="267"/>
        <v>501.98399999999992</v>
      </c>
      <c r="J1356" s="36">
        <v>500</v>
      </c>
    </row>
    <row r="1357" spans="1:10" x14ac:dyDescent="0.25">
      <c r="A1357" s="31" t="s">
        <v>333</v>
      </c>
      <c r="B1357" s="75" t="s">
        <v>317</v>
      </c>
      <c r="C1357" s="111" t="s">
        <v>156</v>
      </c>
      <c r="D1357" s="111">
        <v>76.42</v>
      </c>
      <c r="E1357" s="42" t="s">
        <v>79</v>
      </c>
      <c r="F1357" s="74">
        <v>10.26</v>
      </c>
      <c r="G1357" s="36">
        <f t="shared" si="266"/>
        <v>64.637999999999991</v>
      </c>
      <c r="H1357" s="37">
        <v>24</v>
      </c>
      <c r="I1357" s="329">
        <f t="shared" si="267"/>
        <v>1551.3119999999999</v>
      </c>
      <c r="J1357" s="36">
        <v>1600</v>
      </c>
    </row>
    <row r="1358" spans="1:10" x14ac:dyDescent="0.25">
      <c r="A1358" s="31" t="s">
        <v>333</v>
      </c>
      <c r="B1358" s="37" t="s">
        <v>325</v>
      </c>
      <c r="C1358" s="34" t="s">
        <v>158</v>
      </c>
      <c r="D1358" s="46">
        <v>22.39</v>
      </c>
      <c r="E1358" s="34" t="s">
        <v>79</v>
      </c>
      <c r="F1358" s="74">
        <v>7.18</v>
      </c>
      <c r="G1358" s="36">
        <f t="shared" si="266"/>
        <v>45.233999999999995</v>
      </c>
      <c r="H1358" s="35">
        <v>24</v>
      </c>
      <c r="I1358" s="329">
        <f t="shared" si="267"/>
        <v>1085.616</v>
      </c>
      <c r="J1358" s="36">
        <v>1000</v>
      </c>
    </row>
    <row r="1359" spans="1:10" ht="15.75" thickBot="1" x14ac:dyDescent="0.3">
      <c r="A1359" s="31" t="s">
        <v>333</v>
      </c>
      <c r="B1359" s="43" t="s">
        <v>326</v>
      </c>
      <c r="C1359" s="52" t="s">
        <v>152</v>
      </c>
      <c r="D1359" s="72">
        <v>26.09</v>
      </c>
      <c r="E1359" s="42" t="s">
        <v>79</v>
      </c>
      <c r="F1359" s="73">
        <v>8.5</v>
      </c>
      <c r="G1359" s="74">
        <f t="shared" si="266"/>
        <v>53.55</v>
      </c>
      <c r="H1359" s="91">
        <v>24</v>
      </c>
      <c r="I1359" s="328">
        <f t="shared" si="267"/>
        <v>1285.1999999999998</v>
      </c>
      <c r="J1359" s="74">
        <v>1300</v>
      </c>
    </row>
    <row r="1360" spans="1:10" ht="19.5" thickBot="1" x14ac:dyDescent="0.35">
      <c r="A1360" s="220"/>
      <c r="B1360" s="335"/>
      <c r="C1360" s="335"/>
      <c r="D1360" s="335"/>
      <c r="E1360" s="335"/>
      <c r="F1360" s="335"/>
      <c r="G1360" s="335"/>
      <c r="H1360" s="174" t="s">
        <v>171</v>
      </c>
      <c r="I1360" s="238">
        <f>SUM(I1354:I1359)</f>
        <v>6630.12</v>
      </c>
      <c r="J1360" s="104">
        <f>SUM(J1354:J1359)</f>
        <v>6700</v>
      </c>
    </row>
    <row r="1361" spans="1:10" x14ac:dyDescent="0.25">
      <c r="A1361" s="31" t="s">
        <v>335</v>
      </c>
      <c r="B1361" s="37" t="s">
        <v>322</v>
      </c>
      <c r="C1361" s="34" t="s">
        <v>114</v>
      </c>
      <c r="D1361" s="108">
        <v>23.57</v>
      </c>
      <c r="E1361" s="34" t="s">
        <v>79</v>
      </c>
      <c r="F1361" s="109">
        <v>5.63</v>
      </c>
      <c r="G1361" s="36">
        <f t="shared" ref="G1361:G1366" si="268">F1361*6.3</f>
        <v>35.469000000000001</v>
      </c>
      <c r="H1361" s="37">
        <v>24</v>
      </c>
      <c r="I1361" s="109">
        <f t="shared" ref="I1361:I1366" si="269">G1361*H1361</f>
        <v>851.25600000000009</v>
      </c>
      <c r="J1361" s="36">
        <v>900</v>
      </c>
    </row>
    <row r="1362" spans="1:10" x14ac:dyDescent="0.25">
      <c r="A1362" s="31" t="s">
        <v>335</v>
      </c>
      <c r="B1362" s="37" t="s">
        <v>323</v>
      </c>
      <c r="C1362" s="34" t="s">
        <v>86</v>
      </c>
      <c r="D1362" s="108">
        <v>85.48</v>
      </c>
      <c r="E1362" s="34" t="s">
        <v>79</v>
      </c>
      <c r="F1362" s="110">
        <v>9.1999999999999993</v>
      </c>
      <c r="G1362" s="36">
        <f t="shared" si="268"/>
        <v>57.959999999999994</v>
      </c>
      <c r="H1362" s="37">
        <v>24</v>
      </c>
      <c r="I1362" s="328">
        <f t="shared" si="269"/>
        <v>1391.04</v>
      </c>
      <c r="J1362" s="36">
        <v>1400</v>
      </c>
    </row>
    <row r="1363" spans="1:10" x14ac:dyDescent="0.25">
      <c r="A1363" s="31" t="s">
        <v>335</v>
      </c>
      <c r="B1363" s="50" t="s">
        <v>324</v>
      </c>
      <c r="C1363" s="34" t="s">
        <v>75</v>
      </c>
      <c r="D1363" s="108" t="s">
        <v>38</v>
      </c>
      <c r="E1363" s="34" t="s">
        <v>79</v>
      </c>
      <c r="F1363" s="36">
        <v>3.32</v>
      </c>
      <c r="G1363" s="36">
        <f t="shared" si="268"/>
        <v>20.915999999999997</v>
      </c>
      <c r="H1363" s="37">
        <v>24</v>
      </c>
      <c r="I1363" s="109">
        <f t="shared" si="269"/>
        <v>501.98399999999992</v>
      </c>
      <c r="J1363" s="36">
        <v>500</v>
      </c>
    </row>
    <row r="1364" spans="1:10" x14ac:dyDescent="0.25">
      <c r="A1364" s="31" t="s">
        <v>335</v>
      </c>
      <c r="B1364" s="75" t="s">
        <v>317</v>
      </c>
      <c r="C1364" s="111" t="s">
        <v>156</v>
      </c>
      <c r="D1364" s="111">
        <v>76.510000000000005</v>
      </c>
      <c r="E1364" s="42" t="s">
        <v>79</v>
      </c>
      <c r="F1364" s="74">
        <v>10.24</v>
      </c>
      <c r="G1364" s="36">
        <f t="shared" si="268"/>
        <v>64.512</v>
      </c>
      <c r="H1364" s="37">
        <v>24</v>
      </c>
      <c r="I1364" s="329">
        <f t="shared" si="269"/>
        <v>1548.288</v>
      </c>
      <c r="J1364" s="36">
        <v>1600</v>
      </c>
    </row>
    <row r="1365" spans="1:10" x14ac:dyDescent="0.25">
      <c r="A1365" s="31" t="s">
        <v>335</v>
      </c>
      <c r="B1365" s="37" t="s">
        <v>325</v>
      </c>
      <c r="C1365" s="34" t="s">
        <v>158</v>
      </c>
      <c r="D1365" s="46">
        <v>22.45</v>
      </c>
      <c r="E1365" s="34" t="s">
        <v>79</v>
      </c>
      <c r="F1365" s="74">
        <v>7.15</v>
      </c>
      <c r="G1365" s="36">
        <f t="shared" si="268"/>
        <v>45.045000000000002</v>
      </c>
      <c r="H1365" s="35">
        <v>24</v>
      </c>
      <c r="I1365" s="329">
        <f t="shared" si="269"/>
        <v>1081.08</v>
      </c>
      <c r="J1365" s="36">
        <v>1000</v>
      </c>
    </row>
    <row r="1366" spans="1:10" x14ac:dyDescent="0.25">
      <c r="A1366" s="31" t="s">
        <v>335</v>
      </c>
      <c r="B1366" s="43" t="s">
        <v>326</v>
      </c>
      <c r="C1366" s="52" t="s">
        <v>152</v>
      </c>
      <c r="D1366" s="72">
        <v>26.2</v>
      </c>
      <c r="E1366" s="42" t="s">
        <v>79</v>
      </c>
      <c r="F1366" s="73">
        <v>8.42</v>
      </c>
      <c r="G1366" s="74">
        <f t="shared" si="268"/>
        <v>53.045999999999999</v>
      </c>
      <c r="H1366" s="91">
        <v>24</v>
      </c>
      <c r="I1366" s="328">
        <f t="shared" si="269"/>
        <v>1273.104</v>
      </c>
      <c r="J1366" s="74">
        <v>1300</v>
      </c>
    </row>
    <row r="1367" spans="1:10" ht="18.75" x14ac:dyDescent="0.3">
      <c r="A1367" s="233"/>
      <c r="B1367" s="233"/>
      <c r="C1367" s="334"/>
      <c r="D1367" s="334"/>
      <c r="E1367" s="334"/>
      <c r="F1367" s="334"/>
      <c r="G1367" s="334"/>
      <c r="H1367" s="99" t="s">
        <v>171</v>
      </c>
      <c r="I1367" s="330">
        <f>SUM(I1361:I1366)</f>
        <v>6646.7520000000004</v>
      </c>
      <c r="J1367" s="33">
        <f>SUM(J1361:J1366)</f>
        <v>6700</v>
      </c>
    </row>
    <row r="1368" spans="1:10" x14ac:dyDescent="0.25">
      <c r="A1368" s="31" t="s">
        <v>336</v>
      </c>
      <c r="B1368" s="37" t="s">
        <v>322</v>
      </c>
      <c r="C1368" s="34" t="s">
        <v>114</v>
      </c>
      <c r="D1368" s="108">
        <v>23.09</v>
      </c>
      <c r="E1368" s="34" t="s">
        <v>79</v>
      </c>
      <c r="F1368" s="109">
        <v>5.54</v>
      </c>
      <c r="G1368" s="36">
        <f t="shared" ref="G1368:G1373" si="270">F1368*6.3</f>
        <v>34.902000000000001</v>
      </c>
      <c r="H1368" s="37">
        <v>24</v>
      </c>
      <c r="I1368" s="109">
        <f t="shared" ref="I1368:I1373" si="271">G1368*H1368</f>
        <v>837.64800000000002</v>
      </c>
      <c r="J1368" s="36">
        <v>900</v>
      </c>
    </row>
    <row r="1369" spans="1:10" x14ac:dyDescent="0.25">
      <c r="A1369" s="31" t="s">
        <v>336</v>
      </c>
      <c r="B1369" s="37" t="s">
        <v>323</v>
      </c>
      <c r="C1369" s="34" t="s">
        <v>86</v>
      </c>
      <c r="D1369" s="108">
        <v>81.73</v>
      </c>
      <c r="E1369" s="34" t="s">
        <v>79</v>
      </c>
      <c r="F1369" s="110">
        <v>9.2100000000000009</v>
      </c>
      <c r="G1369" s="36">
        <f t="shared" si="270"/>
        <v>58.023000000000003</v>
      </c>
      <c r="H1369" s="37">
        <v>24</v>
      </c>
      <c r="I1369" s="328">
        <f t="shared" si="271"/>
        <v>1392.5520000000001</v>
      </c>
      <c r="J1369" s="36">
        <v>1400</v>
      </c>
    </row>
    <row r="1370" spans="1:10" x14ac:dyDescent="0.25">
      <c r="A1370" s="31" t="s">
        <v>336</v>
      </c>
      <c r="B1370" s="50" t="s">
        <v>324</v>
      </c>
      <c r="C1370" s="34" t="s">
        <v>75</v>
      </c>
      <c r="D1370" s="108" t="s">
        <v>38</v>
      </c>
      <c r="E1370" s="34" t="s">
        <v>79</v>
      </c>
      <c r="F1370" s="36">
        <v>3.32</v>
      </c>
      <c r="G1370" s="36">
        <f t="shared" si="270"/>
        <v>20.915999999999997</v>
      </c>
      <c r="H1370" s="37">
        <v>24</v>
      </c>
      <c r="I1370" s="109">
        <f t="shared" si="271"/>
        <v>501.98399999999992</v>
      </c>
      <c r="J1370" s="36">
        <v>500</v>
      </c>
    </row>
    <row r="1371" spans="1:10" x14ac:dyDescent="0.25">
      <c r="A1371" s="31" t="s">
        <v>336</v>
      </c>
      <c r="B1371" s="75" t="s">
        <v>317</v>
      </c>
      <c r="C1371" s="111" t="s">
        <v>156</v>
      </c>
      <c r="D1371" s="111">
        <v>76.23</v>
      </c>
      <c r="E1371" s="42" t="s">
        <v>79</v>
      </c>
      <c r="F1371" s="74">
        <v>10.16</v>
      </c>
      <c r="G1371" s="36">
        <f t="shared" si="270"/>
        <v>64.007999999999996</v>
      </c>
      <c r="H1371" s="37">
        <v>24</v>
      </c>
      <c r="I1371" s="329">
        <f t="shared" si="271"/>
        <v>1536.192</v>
      </c>
      <c r="J1371" s="36">
        <v>1600</v>
      </c>
    </row>
    <row r="1372" spans="1:10" x14ac:dyDescent="0.25">
      <c r="A1372" s="31" t="s">
        <v>336</v>
      </c>
      <c r="B1372" s="37" t="s">
        <v>325</v>
      </c>
      <c r="C1372" s="34" t="s">
        <v>158</v>
      </c>
      <c r="D1372" s="46">
        <v>22.02</v>
      </c>
      <c r="E1372" s="34" t="s">
        <v>79</v>
      </c>
      <c r="F1372" s="74">
        <v>7.17</v>
      </c>
      <c r="G1372" s="36">
        <f t="shared" si="270"/>
        <v>45.170999999999999</v>
      </c>
      <c r="H1372" s="35">
        <v>24</v>
      </c>
      <c r="I1372" s="329">
        <f t="shared" si="271"/>
        <v>1084.104</v>
      </c>
      <c r="J1372" s="36">
        <v>1000</v>
      </c>
    </row>
    <row r="1373" spans="1:10" x14ac:dyDescent="0.25">
      <c r="A1373" s="31" t="s">
        <v>336</v>
      </c>
      <c r="B1373" s="43" t="s">
        <v>326</v>
      </c>
      <c r="C1373" s="52" t="s">
        <v>152</v>
      </c>
      <c r="D1373" s="72">
        <v>26.09</v>
      </c>
      <c r="E1373" s="42" t="s">
        <v>79</v>
      </c>
      <c r="F1373" s="73">
        <v>8.43</v>
      </c>
      <c r="G1373" s="74">
        <f t="shared" si="270"/>
        <v>53.108999999999995</v>
      </c>
      <c r="H1373" s="91">
        <v>24</v>
      </c>
      <c r="I1373" s="328">
        <f t="shared" si="271"/>
        <v>1274.616</v>
      </c>
      <c r="J1373" s="74">
        <v>1300</v>
      </c>
    </row>
    <row r="1374" spans="1:10" ht="18.75" x14ac:dyDescent="0.3">
      <c r="A1374" s="233"/>
      <c r="B1374" s="334"/>
      <c r="C1374" s="334"/>
      <c r="D1374" s="334"/>
      <c r="E1374" s="334"/>
      <c r="F1374" s="334"/>
      <c r="G1374" s="334"/>
      <c r="H1374" s="99" t="s">
        <v>171</v>
      </c>
      <c r="I1374" s="330">
        <f>SUM(I1368:I1373)</f>
        <v>6627.0960000000005</v>
      </c>
      <c r="J1374" s="33">
        <f>SUM(J1368:J1373)</f>
        <v>6700</v>
      </c>
    </row>
    <row r="1375" spans="1:10" x14ac:dyDescent="0.25">
      <c r="A1375" s="31" t="s">
        <v>337</v>
      </c>
      <c r="B1375" s="37" t="s">
        <v>322</v>
      </c>
      <c r="C1375" s="34" t="s">
        <v>114</v>
      </c>
      <c r="D1375" s="108">
        <v>22.77</v>
      </c>
      <c r="E1375" s="34" t="s">
        <v>79</v>
      </c>
      <c r="F1375" s="109">
        <v>5.37</v>
      </c>
      <c r="G1375" s="36">
        <f t="shared" ref="G1375:G1380" si="272">F1375*6.3</f>
        <v>33.831000000000003</v>
      </c>
      <c r="H1375" s="37">
        <v>24</v>
      </c>
      <c r="I1375" s="109">
        <f t="shared" ref="I1375:I1380" si="273">G1375*H1375</f>
        <v>811.94400000000007</v>
      </c>
      <c r="J1375" s="36">
        <v>900</v>
      </c>
    </row>
    <row r="1376" spans="1:10" x14ac:dyDescent="0.25">
      <c r="A1376" s="31" t="s">
        <v>337</v>
      </c>
      <c r="B1376" s="37" t="s">
        <v>323</v>
      </c>
      <c r="C1376" s="34" t="s">
        <v>86</v>
      </c>
      <c r="D1376" s="108">
        <v>82.99</v>
      </c>
      <c r="E1376" s="34" t="s">
        <v>79</v>
      </c>
      <c r="F1376" s="110">
        <v>9.2200000000000006</v>
      </c>
      <c r="G1376" s="36">
        <f t="shared" si="272"/>
        <v>58.086000000000006</v>
      </c>
      <c r="H1376" s="37">
        <v>24</v>
      </c>
      <c r="I1376" s="328">
        <f t="shared" si="273"/>
        <v>1394.0640000000001</v>
      </c>
      <c r="J1376" s="36">
        <v>1400</v>
      </c>
    </row>
    <row r="1377" spans="1:20" x14ac:dyDescent="0.25">
      <c r="A1377" s="31" t="s">
        <v>337</v>
      </c>
      <c r="B1377" s="50" t="s">
        <v>324</v>
      </c>
      <c r="C1377" s="34" t="s">
        <v>75</v>
      </c>
      <c r="D1377" s="108" t="s">
        <v>38</v>
      </c>
      <c r="E1377" s="34" t="s">
        <v>79</v>
      </c>
      <c r="F1377" s="36">
        <v>3.32</v>
      </c>
      <c r="G1377" s="36">
        <f t="shared" si="272"/>
        <v>20.915999999999997</v>
      </c>
      <c r="H1377" s="37">
        <v>24</v>
      </c>
      <c r="I1377" s="109">
        <f t="shared" si="273"/>
        <v>501.98399999999992</v>
      </c>
      <c r="J1377" s="36">
        <v>500</v>
      </c>
    </row>
    <row r="1378" spans="1:20" x14ac:dyDescent="0.25">
      <c r="A1378" s="31" t="s">
        <v>337</v>
      </c>
      <c r="B1378" s="75" t="s">
        <v>317</v>
      </c>
      <c r="C1378" s="111" t="s">
        <v>156</v>
      </c>
      <c r="D1378" s="111">
        <v>75.95</v>
      </c>
      <c r="E1378" s="42" t="s">
        <v>79</v>
      </c>
      <c r="F1378" s="74">
        <v>10.17</v>
      </c>
      <c r="G1378" s="36">
        <f t="shared" si="272"/>
        <v>64.070999999999998</v>
      </c>
      <c r="H1378" s="37">
        <v>24</v>
      </c>
      <c r="I1378" s="329">
        <f t="shared" si="273"/>
        <v>1537.704</v>
      </c>
      <c r="J1378" s="36">
        <v>1600</v>
      </c>
    </row>
    <row r="1379" spans="1:20" x14ac:dyDescent="0.25">
      <c r="A1379" s="31" t="s">
        <v>337</v>
      </c>
      <c r="B1379" s="37" t="s">
        <v>325</v>
      </c>
      <c r="C1379" s="34" t="s">
        <v>158</v>
      </c>
      <c r="D1379" s="46">
        <v>21.69</v>
      </c>
      <c r="E1379" s="34" t="s">
        <v>79</v>
      </c>
      <c r="F1379" s="74">
        <v>7.22</v>
      </c>
      <c r="G1379" s="36">
        <f t="shared" si="272"/>
        <v>45.485999999999997</v>
      </c>
      <c r="H1379" s="35">
        <v>24</v>
      </c>
      <c r="I1379" s="329">
        <f t="shared" si="273"/>
        <v>1091.664</v>
      </c>
      <c r="J1379" s="36">
        <v>1000</v>
      </c>
    </row>
    <row r="1380" spans="1:20" ht="15.75" thickBot="1" x14ac:dyDescent="0.3">
      <c r="A1380" s="31" t="s">
        <v>337</v>
      </c>
      <c r="B1380" s="43" t="s">
        <v>326</v>
      </c>
      <c r="C1380" s="52" t="s">
        <v>152</v>
      </c>
      <c r="D1380" s="72">
        <v>25.96</v>
      </c>
      <c r="E1380" s="42" t="s">
        <v>79</v>
      </c>
      <c r="F1380" s="73">
        <v>8.35</v>
      </c>
      <c r="G1380" s="74">
        <f t="shared" si="272"/>
        <v>52.604999999999997</v>
      </c>
      <c r="H1380" s="91">
        <v>24</v>
      </c>
      <c r="I1380" s="328">
        <f t="shared" si="273"/>
        <v>1262.52</v>
      </c>
      <c r="J1380" s="74">
        <v>1300</v>
      </c>
    </row>
    <row r="1381" spans="1:20" ht="19.5" thickBot="1" x14ac:dyDescent="0.35">
      <c r="A1381" s="220"/>
      <c r="B1381" s="335"/>
      <c r="C1381" s="335"/>
      <c r="D1381" s="335"/>
      <c r="E1381" s="335"/>
      <c r="F1381" s="335"/>
      <c r="G1381" s="335"/>
      <c r="H1381" s="174" t="s">
        <v>171</v>
      </c>
      <c r="I1381" s="238">
        <f>SUM(I1375:I1380)</f>
        <v>6599.8799999999992</v>
      </c>
      <c r="J1381" s="104">
        <f>SUM(J1375:J1380)</f>
        <v>6700</v>
      </c>
    </row>
    <row r="1382" spans="1:20" x14ac:dyDescent="0.25">
      <c r="A1382" s="31" t="s">
        <v>339</v>
      </c>
      <c r="B1382" s="37" t="s">
        <v>322</v>
      </c>
      <c r="C1382" s="34" t="s">
        <v>114</v>
      </c>
      <c r="D1382" s="108">
        <v>22.77</v>
      </c>
      <c r="E1382" s="34" t="s">
        <v>79</v>
      </c>
      <c r="F1382" s="109">
        <v>5.37</v>
      </c>
      <c r="G1382" s="36">
        <f t="shared" ref="G1382:G1387" si="274">F1382*6.3</f>
        <v>33.831000000000003</v>
      </c>
      <c r="H1382" s="37">
        <v>23</v>
      </c>
      <c r="I1382" s="109">
        <f t="shared" ref="I1382:I1387" si="275">G1382*H1382</f>
        <v>778.11300000000006</v>
      </c>
      <c r="J1382" s="36">
        <v>900</v>
      </c>
    </row>
    <row r="1383" spans="1:20" x14ac:dyDescent="0.25">
      <c r="A1383" s="31" t="s">
        <v>339</v>
      </c>
      <c r="B1383" s="37" t="s">
        <v>323</v>
      </c>
      <c r="C1383" s="34" t="s">
        <v>86</v>
      </c>
      <c r="D1383" s="108">
        <v>82.31</v>
      </c>
      <c r="E1383" s="34" t="s">
        <v>79</v>
      </c>
      <c r="F1383" s="110">
        <v>8.9600000000000009</v>
      </c>
      <c r="G1383" s="36">
        <f t="shared" si="274"/>
        <v>56.448</v>
      </c>
      <c r="H1383" s="37">
        <v>23</v>
      </c>
      <c r="I1383" s="328">
        <f t="shared" si="275"/>
        <v>1298.3040000000001</v>
      </c>
      <c r="J1383" s="36">
        <v>1400</v>
      </c>
    </row>
    <row r="1384" spans="1:20" x14ac:dyDescent="0.25">
      <c r="A1384" s="31" t="s">
        <v>339</v>
      </c>
      <c r="B1384" s="50" t="s">
        <v>324</v>
      </c>
      <c r="C1384" s="34" t="s">
        <v>75</v>
      </c>
      <c r="D1384" s="108" t="s">
        <v>38</v>
      </c>
      <c r="E1384" s="34" t="s">
        <v>79</v>
      </c>
      <c r="F1384" s="36">
        <v>3.32</v>
      </c>
      <c r="G1384" s="36">
        <f t="shared" si="274"/>
        <v>20.915999999999997</v>
      </c>
      <c r="H1384" s="37">
        <v>23</v>
      </c>
      <c r="I1384" s="109">
        <f t="shared" si="275"/>
        <v>481.06799999999993</v>
      </c>
      <c r="J1384" s="36">
        <v>500</v>
      </c>
    </row>
    <row r="1385" spans="1:20" x14ac:dyDescent="0.25">
      <c r="A1385" s="31" t="s">
        <v>339</v>
      </c>
      <c r="B1385" s="75" t="s">
        <v>317</v>
      </c>
      <c r="C1385" s="111" t="s">
        <v>156</v>
      </c>
      <c r="D1385" s="111">
        <v>76.42</v>
      </c>
      <c r="E1385" s="42" t="s">
        <v>79</v>
      </c>
      <c r="F1385" s="74">
        <v>10.08</v>
      </c>
      <c r="G1385" s="36">
        <f t="shared" si="274"/>
        <v>63.503999999999998</v>
      </c>
      <c r="H1385" s="37">
        <v>23</v>
      </c>
      <c r="I1385" s="329">
        <f t="shared" si="275"/>
        <v>1460.5919999999999</v>
      </c>
      <c r="J1385" s="36">
        <v>1600</v>
      </c>
    </row>
    <row r="1386" spans="1:20" x14ac:dyDescent="0.25">
      <c r="A1386" s="31" t="s">
        <v>339</v>
      </c>
      <c r="B1386" s="37" t="s">
        <v>325</v>
      </c>
      <c r="C1386" s="34" t="s">
        <v>158</v>
      </c>
      <c r="D1386" s="46">
        <v>22.27</v>
      </c>
      <c r="E1386" s="34" t="s">
        <v>79</v>
      </c>
      <c r="F1386" s="74">
        <v>7.05</v>
      </c>
      <c r="G1386" s="36">
        <f t="shared" si="274"/>
        <v>44.414999999999999</v>
      </c>
      <c r="H1386" s="35">
        <v>23</v>
      </c>
      <c r="I1386" s="329">
        <f t="shared" si="275"/>
        <v>1021.545</v>
      </c>
      <c r="J1386" s="36">
        <v>1000</v>
      </c>
    </row>
    <row r="1387" spans="1:20" ht="15.75" thickBot="1" x14ac:dyDescent="0.3">
      <c r="A1387" s="31" t="s">
        <v>339</v>
      </c>
      <c r="B1387" s="43" t="s">
        <v>326</v>
      </c>
      <c r="C1387" s="52" t="s">
        <v>152</v>
      </c>
      <c r="D1387" s="72">
        <v>25.84</v>
      </c>
      <c r="E1387" s="42" t="s">
        <v>79</v>
      </c>
      <c r="F1387" s="73">
        <v>8.1</v>
      </c>
      <c r="G1387" s="74">
        <f t="shared" si="274"/>
        <v>51.029999999999994</v>
      </c>
      <c r="H1387" s="91">
        <v>23</v>
      </c>
      <c r="I1387" s="328">
        <f t="shared" si="275"/>
        <v>1173.6899999999998</v>
      </c>
      <c r="J1387" s="74">
        <v>1300</v>
      </c>
    </row>
    <row r="1388" spans="1:20" ht="19.5" thickBot="1" x14ac:dyDescent="0.35">
      <c r="A1388" s="220"/>
      <c r="B1388" s="335"/>
      <c r="C1388" s="335"/>
      <c r="D1388" s="335"/>
      <c r="E1388" s="335"/>
      <c r="F1388" s="335"/>
      <c r="G1388" s="335"/>
      <c r="H1388" s="174" t="s">
        <v>171</v>
      </c>
      <c r="I1388" s="238">
        <f>SUM(I1382:I1387)</f>
        <v>6213.3119999999999</v>
      </c>
      <c r="J1388" s="104">
        <f>SUM(J1382:J1387)</f>
        <v>6700</v>
      </c>
      <c r="K1388" s="325" t="s">
        <v>338</v>
      </c>
      <c r="L1388" s="235"/>
      <c r="M1388" s="235"/>
      <c r="N1388" s="235"/>
      <c r="O1388" s="235"/>
      <c r="P1388" s="235"/>
      <c r="Q1388" s="235"/>
      <c r="R1388" s="235"/>
      <c r="S1388" s="235"/>
      <c r="T1388" s="235"/>
    </row>
    <row r="1389" spans="1:20" x14ac:dyDescent="0.25">
      <c r="A1389" s="31" t="s">
        <v>340</v>
      </c>
      <c r="B1389" s="37" t="s">
        <v>322</v>
      </c>
      <c r="C1389" s="34" t="s">
        <v>114</v>
      </c>
      <c r="D1389" s="108">
        <v>22.77</v>
      </c>
      <c r="E1389" s="34" t="s">
        <v>79</v>
      </c>
      <c r="F1389" s="109">
        <v>5.4</v>
      </c>
      <c r="G1389" s="36">
        <f t="shared" ref="G1389:G1394" si="276">F1389*6.3</f>
        <v>34.020000000000003</v>
      </c>
      <c r="H1389" s="37">
        <v>24</v>
      </c>
      <c r="I1389" s="109">
        <f t="shared" ref="I1389:I1394" si="277">G1389*H1389</f>
        <v>816.48</v>
      </c>
      <c r="J1389" s="36">
        <v>900</v>
      </c>
    </row>
    <row r="1390" spans="1:20" x14ac:dyDescent="0.25">
      <c r="A1390" s="31" t="s">
        <v>340</v>
      </c>
      <c r="B1390" s="37" t="s">
        <v>323</v>
      </c>
      <c r="C1390" s="34" t="s">
        <v>86</v>
      </c>
      <c r="D1390" s="108">
        <v>82.99</v>
      </c>
      <c r="E1390" s="34" t="s">
        <v>79</v>
      </c>
      <c r="F1390" s="110">
        <v>9.1</v>
      </c>
      <c r="G1390" s="36">
        <f t="shared" si="276"/>
        <v>57.33</v>
      </c>
      <c r="H1390" s="37">
        <v>24</v>
      </c>
      <c r="I1390" s="328">
        <f t="shared" si="277"/>
        <v>1375.92</v>
      </c>
      <c r="J1390" s="36">
        <v>1400</v>
      </c>
    </row>
    <row r="1391" spans="1:20" x14ac:dyDescent="0.25">
      <c r="A1391" s="31" t="s">
        <v>340</v>
      </c>
      <c r="B1391" s="50" t="s">
        <v>324</v>
      </c>
      <c r="C1391" s="34" t="s">
        <v>75</v>
      </c>
      <c r="D1391" s="108" t="s">
        <v>38</v>
      </c>
      <c r="E1391" s="34" t="s">
        <v>79</v>
      </c>
      <c r="F1391" s="36">
        <v>3.4</v>
      </c>
      <c r="G1391" s="36">
        <f t="shared" si="276"/>
        <v>21.419999999999998</v>
      </c>
      <c r="H1391" s="37">
        <v>24</v>
      </c>
      <c r="I1391" s="109">
        <f t="shared" si="277"/>
        <v>514.07999999999993</v>
      </c>
      <c r="J1391" s="36">
        <v>500</v>
      </c>
    </row>
    <row r="1392" spans="1:20" x14ac:dyDescent="0.25">
      <c r="A1392" s="31" t="s">
        <v>340</v>
      </c>
      <c r="B1392" s="75" t="s">
        <v>317</v>
      </c>
      <c r="C1392" s="111" t="s">
        <v>156</v>
      </c>
      <c r="D1392" s="111">
        <v>75.95</v>
      </c>
      <c r="E1392" s="42" t="s">
        <v>79</v>
      </c>
      <c r="F1392" s="74">
        <v>10</v>
      </c>
      <c r="G1392" s="36">
        <f t="shared" si="276"/>
        <v>63</v>
      </c>
      <c r="H1392" s="37">
        <v>24</v>
      </c>
      <c r="I1392" s="329">
        <f t="shared" si="277"/>
        <v>1512</v>
      </c>
      <c r="J1392" s="36">
        <v>1600</v>
      </c>
    </row>
    <row r="1393" spans="1:10" x14ac:dyDescent="0.25">
      <c r="A1393" s="31" t="s">
        <v>340</v>
      </c>
      <c r="B1393" s="37" t="s">
        <v>325</v>
      </c>
      <c r="C1393" s="34" t="s">
        <v>158</v>
      </c>
      <c r="D1393" s="46">
        <v>21.69</v>
      </c>
      <c r="E1393" s="34" t="s">
        <v>79</v>
      </c>
      <c r="F1393" s="74">
        <v>7.1</v>
      </c>
      <c r="G1393" s="36">
        <f t="shared" si="276"/>
        <v>44.73</v>
      </c>
      <c r="H1393" s="35">
        <v>24</v>
      </c>
      <c r="I1393" s="329">
        <f t="shared" si="277"/>
        <v>1073.52</v>
      </c>
      <c r="J1393" s="36">
        <v>1000</v>
      </c>
    </row>
    <row r="1394" spans="1:10" ht="15.75" thickBot="1" x14ac:dyDescent="0.3">
      <c r="A1394" s="31" t="s">
        <v>340</v>
      </c>
      <c r="B1394" s="43" t="s">
        <v>326</v>
      </c>
      <c r="C1394" s="52" t="s">
        <v>152</v>
      </c>
      <c r="D1394" s="72">
        <v>25.96</v>
      </c>
      <c r="E1394" s="42" t="s">
        <v>79</v>
      </c>
      <c r="F1394" s="73">
        <v>8.1</v>
      </c>
      <c r="G1394" s="74">
        <f t="shared" si="276"/>
        <v>51.029999999999994</v>
      </c>
      <c r="H1394" s="91">
        <v>24</v>
      </c>
      <c r="I1394" s="328">
        <f t="shared" si="277"/>
        <v>1224.7199999999998</v>
      </c>
      <c r="J1394" s="74">
        <v>1300</v>
      </c>
    </row>
    <row r="1395" spans="1:10" ht="19.5" thickBot="1" x14ac:dyDescent="0.35">
      <c r="A1395" s="246"/>
      <c r="B1395" s="335"/>
      <c r="C1395" s="335"/>
      <c r="D1395" s="335"/>
      <c r="E1395" s="335"/>
      <c r="F1395" s="335"/>
      <c r="G1395" s="335"/>
      <c r="H1395" s="174" t="s">
        <v>171</v>
      </c>
      <c r="I1395" s="238">
        <f>SUM(I1389:I1394)</f>
        <v>6516.7199999999993</v>
      </c>
      <c r="J1395" s="104">
        <f>SUM(J1389:J1394)</f>
        <v>6700</v>
      </c>
    </row>
    <row r="1396" spans="1:10" x14ac:dyDescent="0.25">
      <c r="A1396" s="46" t="s">
        <v>341</v>
      </c>
      <c r="B1396" s="37" t="s">
        <v>322</v>
      </c>
      <c r="C1396" s="34" t="s">
        <v>114</v>
      </c>
      <c r="D1396" s="108">
        <v>22.77</v>
      </c>
      <c r="E1396" s="34" t="s">
        <v>79</v>
      </c>
      <c r="F1396" s="109">
        <v>5.2</v>
      </c>
      <c r="G1396" s="36">
        <f t="shared" ref="G1396:G1401" si="278">F1396*6.3</f>
        <v>32.76</v>
      </c>
      <c r="H1396" s="37">
        <v>24</v>
      </c>
      <c r="I1396" s="109">
        <f t="shared" ref="I1396:I1401" si="279">G1396*H1396</f>
        <v>786.24</v>
      </c>
      <c r="J1396" s="36">
        <v>900</v>
      </c>
    </row>
    <row r="1397" spans="1:10" x14ac:dyDescent="0.25">
      <c r="A1397" s="46" t="s">
        <v>341</v>
      </c>
      <c r="B1397" s="37" t="s">
        <v>323</v>
      </c>
      <c r="C1397" s="34" t="s">
        <v>86</v>
      </c>
      <c r="D1397" s="108">
        <v>82.31</v>
      </c>
      <c r="E1397" s="34" t="s">
        <v>79</v>
      </c>
      <c r="F1397" s="110">
        <v>9.4</v>
      </c>
      <c r="G1397" s="36">
        <f t="shared" si="278"/>
        <v>59.22</v>
      </c>
      <c r="H1397" s="37">
        <v>24</v>
      </c>
      <c r="I1397" s="328">
        <f t="shared" si="279"/>
        <v>1421.28</v>
      </c>
      <c r="J1397" s="36">
        <v>1400</v>
      </c>
    </row>
    <row r="1398" spans="1:10" x14ac:dyDescent="0.25">
      <c r="A1398" s="46" t="s">
        <v>341</v>
      </c>
      <c r="B1398" s="50" t="s">
        <v>324</v>
      </c>
      <c r="C1398" s="34" t="s">
        <v>75</v>
      </c>
      <c r="D1398" s="108" t="s">
        <v>38</v>
      </c>
      <c r="E1398" s="34" t="s">
        <v>79</v>
      </c>
      <c r="F1398" s="36">
        <v>3.3</v>
      </c>
      <c r="G1398" s="36">
        <f t="shared" si="278"/>
        <v>20.79</v>
      </c>
      <c r="H1398" s="37">
        <v>24</v>
      </c>
      <c r="I1398" s="109">
        <f t="shared" si="279"/>
        <v>498.96</v>
      </c>
      <c r="J1398" s="36">
        <v>500</v>
      </c>
    </row>
    <row r="1399" spans="1:10" x14ac:dyDescent="0.25">
      <c r="A1399" s="46" t="s">
        <v>341</v>
      </c>
      <c r="B1399" s="75" t="s">
        <v>317</v>
      </c>
      <c r="C1399" s="111" t="s">
        <v>156</v>
      </c>
      <c r="D1399" s="111">
        <v>76.42</v>
      </c>
      <c r="E1399" s="42" t="s">
        <v>79</v>
      </c>
      <c r="F1399" s="74">
        <v>10</v>
      </c>
      <c r="G1399" s="36">
        <f t="shared" si="278"/>
        <v>63</v>
      </c>
      <c r="H1399" s="37">
        <v>24</v>
      </c>
      <c r="I1399" s="329">
        <f t="shared" si="279"/>
        <v>1512</v>
      </c>
      <c r="J1399" s="36">
        <v>1600</v>
      </c>
    </row>
    <row r="1400" spans="1:10" x14ac:dyDescent="0.25">
      <c r="A1400" s="46" t="s">
        <v>341</v>
      </c>
      <c r="B1400" s="37" t="s">
        <v>325</v>
      </c>
      <c r="C1400" s="34" t="s">
        <v>158</v>
      </c>
      <c r="D1400" s="46">
        <v>22.27</v>
      </c>
      <c r="E1400" s="34" t="s">
        <v>79</v>
      </c>
      <c r="F1400" s="74">
        <v>7.4</v>
      </c>
      <c r="G1400" s="36">
        <f t="shared" si="278"/>
        <v>46.62</v>
      </c>
      <c r="H1400" s="35">
        <v>24</v>
      </c>
      <c r="I1400" s="329">
        <f t="shared" si="279"/>
        <v>1118.8799999999999</v>
      </c>
      <c r="J1400" s="36">
        <v>1000</v>
      </c>
    </row>
    <row r="1401" spans="1:10" ht="15.75" thickBot="1" x14ac:dyDescent="0.3">
      <c r="A1401" s="52" t="s">
        <v>341</v>
      </c>
      <c r="B1401" s="43" t="s">
        <v>326</v>
      </c>
      <c r="C1401" s="52" t="s">
        <v>152</v>
      </c>
      <c r="D1401" s="72">
        <v>25.84</v>
      </c>
      <c r="E1401" s="42" t="s">
        <v>79</v>
      </c>
      <c r="F1401" s="73">
        <v>8.1999999999999993</v>
      </c>
      <c r="G1401" s="74">
        <f t="shared" si="278"/>
        <v>51.66</v>
      </c>
      <c r="H1401" s="91">
        <v>24</v>
      </c>
      <c r="I1401" s="328">
        <f t="shared" si="279"/>
        <v>1239.8399999999999</v>
      </c>
      <c r="J1401" s="74">
        <v>1300</v>
      </c>
    </row>
    <row r="1402" spans="1:10" ht="19.5" thickBot="1" x14ac:dyDescent="0.35">
      <c r="A1402" s="204"/>
      <c r="B1402" s="338"/>
      <c r="C1402" s="338"/>
      <c r="D1402" s="338"/>
      <c r="E1402" s="338"/>
      <c r="F1402" s="338"/>
      <c r="G1402" s="338"/>
      <c r="H1402" s="315" t="s">
        <v>171</v>
      </c>
      <c r="I1402" s="238">
        <f>SUM(I1396:I1401)</f>
        <v>6577.2</v>
      </c>
      <c r="J1402" s="104">
        <f>SUM(J1396:J1401)</f>
        <v>6700</v>
      </c>
    </row>
    <row r="1403" spans="1:10" x14ac:dyDescent="0.25">
      <c r="A1403" s="46" t="s">
        <v>342</v>
      </c>
      <c r="B1403" s="37" t="s">
        <v>322</v>
      </c>
      <c r="C1403" s="34" t="s">
        <v>114</v>
      </c>
      <c r="D1403" s="108">
        <v>19.3</v>
      </c>
      <c r="E1403" s="34" t="s">
        <v>79</v>
      </c>
      <c r="F1403" s="109">
        <v>5</v>
      </c>
      <c r="G1403" s="36">
        <f t="shared" ref="G1403:G1408" si="280">F1403*6.3</f>
        <v>31.5</v>
      </c>
      <c r="H1403" s="37">
        <v>24</v>
      </c>
      <c r="I1403" s="109">
        <f t="shared" ref="I1403:I1408" si="281">G1403*H1403</f>
        <v>756</v>
      </c>
      <c r="J1403" s="36">
        <v>900</v>
      </c>
    </row>
    <row r="1404" spans="1:10" x14ac:dyDescent="0.25">
      <c r="A1404" s="46" t="s">
        <v>342</v>
      </c>
      <c r="B1404" s="37" t="s">
        <v>323</v>
      </c>
      <c r="C1404" s="34" t="s">
        <v>86</v>
      </c>
      <c r="D1404" s="108">
        <v>79</v>
      </c>
      <c r="E1404" s="34" t="s">
        <v>79</v>
      </c>
      <c r="F1404" s="110">
        <v>8.9</v>
      </c>
      <c r="G1404" s="36">
        <f t="shared" si="280"/>
        <v>56.07</v>
      </c>
      <c r="H1404" s="37">
        <v>24</v>
      </c>
      <c r="I1404" s="328">
        <f t="shared" si="281"/>
        <v>1345.68</v>
      </c>
      <c r="J1404" s="36">
        <v>1400</v>
      </c>
    </row>
    <row r="1405" spans="1:10" x14ac:dyDescent="0.25">
      <c r="A1405" s="46" t="s">
        <v>342</v>
      </c>
      <c r="B1405" s="50" t="s">
        <v>324</v>
      </c>
      <c r="C1405" s="34" t="s">
        <v>75</v>
      </c>
      <c r="D1405" s="108" t="s">
        <v>38</v>
      </c>
      <c r="E1405" s="34" t="s">
        <v>79</v>
      </c>
      <c r="F1405" s="36">
        <v>3.4</v>
      </c>
      <c r="G1405" s="36">
        <f t="shared" si="280"/>
        <v>21.419999999999998</v>
      </c>
      <c r="H1405" s="37">
        <v>24</v>
      </c>
      <c r="I1405" s="109">
        <f t="shared" si="281"/>
        <v>514.07999999999993</v>
      </c>
      <c r="J1405" s="36">
        <v>500</v>
      </c>
    </row>
    <row r="1406" spans="1:10" x14ac:dyDescent="0.25">
      <c r="A1406" s="46" t="s">
        <v>342</v>
      </c>
      <c r="B1406" s="75" t="s">
        <v>317</v>
      </c>
      <c r="C1406" s="111" t="s">
        <v>156</v>
      </c>
      <c r="D1406" s="111">
        <v>76.42</v>
      </c>
      <c r="E1406" s="42" t="s">
        <v>79</v>
      </c>
      <c r="F1406" s="74">
        <v>10.199999999999999</v>
      </c>
      <c r="G1406" s="36">
        <f t="shared" si="280"/>
        <v>64.259999999999991</v>
      </c>
      <c r="H1406" s="37">
        <v>24</v>
      </c>
      <c r="I1406" s="329">
        <f t="shared" si="281"/>
        <v>1542.2399999999998</v>
      </c>
      <c r="J1406" s="36">
        <v>1600</v>
      </c>
    </row>
    <row r="1407" spans="1:10" x14ac:dyDescent="0.25">
      <c r="A1407" s="46" t="s">
        <v>342</v>
      </c>
      <c r="B1407" s="37" t="s">
        <v>325</v>
      </c>
      <c r="C1407" s="34" t="s">
        <v>158</v>
      </c>
      <c r="D1407" s="46">
        <v>36.6</v>
      </c>
      <c r="E1407" s="34" t="s">
        <v>79</v>
      </c>
      <c r="F1407" s="74">
        <v>7.5</v>
      </c>
      <c r="G1407" s="36">
        <f t="shared" si="280"/>
        <v>47.25</v>
      </c>
      <c r="H1407" s="35">
        <v>24</v>
      </c>
      <c r="I1407" s="329">
        <f t="shared" si="281"/>
        <v>1134</v>
      </c>
      <c r="J1407" s="36">
        <v>1000</v>
      </c>
    </row>
    <row r="1408" spans="1:10" ht="15.75" thickBot="1" x14ac:dyDescent="0.3">
      <c r="A1408" s="52" t="s">
        <v>342</v>
      </c>
      <c r="B1408" s="43" t="s">
        <v>326</v>
      </c>
      <c r="C1408" s="52" t="s">
        <v>152</v>
      </c>
      <c r="D1408" s="72">
        <v>14</v>
      </c>
      <c r="E1408" s="42" t="s">
        <v>79</v>
      </c>
      <c r="F1408" s="73">
        <v>9</v>
      </c>
      <c r="G1408" s="74">
        <f t="shared" si="280"/>
        <v>56.699999999999996</v>
      </c>
      <c r="H1408" s="91">
        <v>24</v>
      </c>
      <c r="I1408" s="328">
        <f t="shared" si="281"/>
        <v>1360.8</v>
      </c>
      <c r="J1408" s="74">
        <v>1300</v>
      </c>
    </row>
    <row r="1409" spans="1:10" ht="19.5" thickBot="1" x14ac:dyDescent="0.35">
      <c r="A1409" s="82"/>
      <c r="B1409" s="339"/>
      <c r="C1409" s="339"/>
      <c r="D1409" s="339"/>
      <c r="E1409" s="339"/>
      <c r="F1409" s="339"/>
      <c r="G1409" s="340"/>
      <c r="H1409" s="174" t="s">
        <v>171</v>
      </c>
      <c r="I1409" s="238">
        <f>SUM(I1403:I1408)</f>
        <v>6652.8</v>
      </c>
      <c r="J1409" s="104">
        <f>SUM(J1403:J1408)</f>
        <v>6700</v>
      </c>
    </row>
    <row r="1410" spans="1:10" x14ac:dyDescent="0.25">
      <c r="A1410" s="132" t="s">
        <v>343</v>
      </c>
      <c r="B1410" s="120" t="s">
        <v>322</v>
      </c>
      <c r="C1410" s="341" t="s">
        <v>114</v>
      </c>
      <c r="D1410" s="342">
        <v>22</v>
      </c>
      <c r="E1410" s="341" t="s">
        <v>79</v>
      </c>
      <c r="F1410" s="118">
        <v>5.7</v>
      </c>
      <c r="G1410" s="119">
        <f t="shared" ref="G1410:G1415" si="282">F1410*6.3</f>
        <v>35.909999999999997</v>
      </c>
      <c r="H1410" s="120">
        <v>24</v>
      </c>
      <c r="I1410" s="118">
        <f t="shared" ref="I1410:I1415" si="283">G1410*H1410</f>
        <v>861.83999999999992</v>
      </c>
      <c r="J1410" s="121">
        <v>900</v>
      </c>
    </row>
    <row r="1411" spans="1:10" x14ac:dyDescent="0.25">
      <c r="A1411" s="133" t="s">
        <v>343</v>
      </c>
      <c r="B1411" s="37" t="s">
        <v>323</v>
      </c>
      <c r="C1411" s="34" t="s">
        <v>86</v>
      </c>
      <c r="D1411" s="108">
        <v>78.900000000000006</v>
      </c>
      <c r="E1411" s="34" t="s">
        <v>79</v>
      </c>
      <c r="F1411" s="110">
        <v>8.9</v>
      </c>
      <c r="G1411" s="36">
        <f t="shared" si="282"/>
        <v>56.07</v>
      </c>
      <c r="H1411" s="37">
        <v>24</v>
      </c>
      <c r="I1411" s="328">
        <f t="shared" si="283"/>
        <v>1345.68</v>
      </c>
      <c r="J1411" s="123">
        <v>1400</v>
      </c>
    </row>
    <row r="1412" spans="1:10" x14ac:dyDescent="0.25">
      <c r="A1412" s="133" t="s">
        <v>343</v>
      </c>
      <c r="B1412" s="50" t="s">
        <v>324</v>
      </c>
      <c r="C1412" s="34" t="s">
        <v>75</v>
      </c>
      <c r="D1412" s="108" t="s">
        <v>38</v>
      </c>
      <c r="E1412" s="34" t="s">
        <v>79</v>
      </c>
      <c r="F1412" s="36">
        <v>3.3</v>
      </c>
      <c r="G1412" s="36">
        <f t="shared" si="282"/>
        <v>20.79</v>
      </c>
      <c r="H1412" s="37">
        <v>24</v>
      </c>
      <c r="I1412" s="109">
        <f t="shared" si="283"/>
        <v>498.96</v>
      </c>
      <c r="J1412" s="123">
        <v>500</v>
      </c>
    </row>
    <row r="1413" spans="1:10" x14ac:dyDescent="0.25">
      <c r="A1413" s="133" t="s">
        <v>343</v>
      </c>
      <c r="B1413" s="75" t="s">
        <v>317</v>
      </c>
      <c r="C1413" s="111" t="s">
        <v>156</v>
      </c>
      <c r="D1413" s="111">
        <v>76.42</v>
      </c>
      <c r="E1413" s="42" t="s">
        <v>79</v>
      </c>
      <c r="F1413" s="74">
        <v>10.6</v>
      </c>
      <c r="G1413" s="36">
        <f t="shared" si="282"/>
        <v>66.78</v>
      </c>
      <c r="H1413" s="37">
        <v>24</v>
      </c>
      <c r="I1413" s="329">
        <f t="shared" si="283"/>
        <v>1602.72</v>
      </c>
      <c r="J1413" s="123">
        <v>1600</v>
      </c>
    </row>
    <row r="1414" spans="1:10" x14ac:dyDescent="0.25">
      <c r="A1414" s="133" t="s">
        <v>343</v>
      </c>
      <c r="B1414" s="37" t="s">
        <v>325</v>
      </c>
      <c r="C1414" s="34" t="s">
        <v>158</v>
      </c>
      <c r="D1414" s="46">
        <v>36.6</v>
      </c>
      <c r="E1414" s="34" t="s">
        <v>79</v>
      </c>
      <c r="F1414" s="74">
        <v>7.1</v>
      </c>
      <c r="G1414" s="36">
        <f t="shared" si="282"/>
        <v>44.73</v>
      </c>
      <c r="H1414" s="35">
        <v>24</v>
      </c>
      <c r="I1414" s="329">
        <f t="shared" si="283"/>
        <v>1073.52</v>
      </c>
      <c r="J1414" s="123">
        <v>1000</v>
      </c>
    </row>
    <row r="1415" spans="1:10" ht="15.75" thickBot="1" x14ac:dyDescent="0.3">
      <c r="A1415" s="134" t="s">
        <v>343</v>
      </c>
      <c r="B1415" s="181" t="s">
        <v>326</v>
      </c>
      <c r="C1415" s="66" t="s">
        <v>152</v>
      </c>
      <c r="D1415" s="346">
        <v>11.9</v>
      </c>
      <c r="E1415" s="347" t="s">
        <v>79</v>
      </c>
      <c r="F1415" s="348">
        <v>8.9</v>
      </c>
      <c r="G1415" s="182">
        <f t="shared" si="282"/>
        <v>56.07</v>
      </c>
      <c r="H1415" s="183">
        <v>24</v>
      </c>
      <c r="I1415" s="349">
        <f t="shared" si="283"/>
        <v>1345.68</v>
      </c>
      <c r="J1415" s="185">
        <v>1300</v>
      </c>
    </row>
    <row r="1416" spans="1:10" ht="19.5" thickBot="1" x14ac:dyDescent="0.35">
      <c r="A1416" s="150"/>
      <c r="B1416" s="343"/>
      <c r="C1416" s="343"/>
      <c r="D1416" s="343"/>
      <c r="E1416" s="343"/>
      <c r="F1416" s="343"/>
      <c r="G1416" s="344"/>
      <c r="H1416" s="188" t="s">
        <v>171</v>
      </c>
      <c r="I1416" s="345">
        <f>SUM(I1410:I1415)</f>
        <v>6728.4</v>
      </c>
      <c r="J1416" s="190">
        <f>SUM(J1410:J1415)</f>
        <v>6700</v>
      </c>
    </row>
    <row r="1417" spans="1:10" ht="15.75" thickBot="1" x14ac:dyDescent="0.3">
      <c r="A1417" s="132" t="s">
        <v>344</v>
      </c>
      <c r="B1417" s="37" t="s">
        <v>322</v>
      </c>
      <c r="C1417" s="34" t="s">
        <v>114</v>
      </c>
      <c r="D1417" s="108">
        <v>22</v>
      </c>
      <c r="E1417" s="34" t="s">
        <v>79</v>
      </c>
      <c r="F1417" s="109">
        <v>6.01</v>
      </c>
      <c r="G1417" s="36">
        <f t="shared" ref="G1417:G1422" si="284">F1417*6.3</f>
        <v>37.863</v>
      </c>
      <c r="H1417" s="37">
        <v>24</v>
      </c>
      <c r="I1417" s="109">
        <f t="shared" ref="I1417:I1422" si="285">G1417*H1417</f>
        <v>908.71199999999999</v>
      </c>
      <c r="J1417" s="36">
        <v>900</v>
      </c>
    </row>
    <row r="1418" spans="1:10" ht="15.75" thickBot="1" x14ac:dyDescent="0.3">
      <c r="A1418" s="132" t="s">
        <v>344</v>
      </c>
      <c r="B1418" s="37" t="s">
        <v>323</v>
      </c>
      <c r="C1418" s="34" t="s">
        <v>86</v>
      </c>
      <c r="D1418" s="108">
        <v>78.900000000000006</v>
      </c>
      <c r="E1418" s="34" t="s">
        <v>79</v>
      </c>
      <c r="F1418" s="110">
        <v>8.9</v>
      </c>
      <c r="G1418" s="36">
        <f t="shared" si="284"/>
        <v>56.07</v>
      </c>
      <c r="H1418" s="37">
        <v>24</v>
      </c>
      <c r="I1418" s="109">
        <f t="shared" si="285"/>
        <v>1345.68</v>
      </c>
      <c r="J1418" s="36">
        <v>1400</v>
      </c>
    </row>
    <row r="1419" spans="1:10" ht="15.75" thickBot="1" x14ac:dyDescent="0.3">
      <c r="A1419" s="132" t="s">
        <v>344</v>
      </c>
      <c r="B1419" s="50" t="s">
        <v>324</v>
      </c>
      <c r="C1419" s="34" t="s">
        <v>75</v>
      </c>
      <c r="D1419" s="108" t="s">
        <v>38</v>
      </c>
      <c r="E1419" s="34" t="s">
        <v>79</v>
      </c>
      <c r="F1419" s="36">
        <v>3.4</v>
      </c>
      <c r="G1419" s="36">
        <f t="shared" si="284"/>
        <v>21.419999999999998</v>
      </c>
      <c r="H1419" s="37">
        <v>24</v>
      </c>
      <c r="I1419" s="109">
        <f t="shared" si="285"/>
        <v>514.07999999999993</v>
      </c>
      <c r="J1419" s="36">
        <v>500</v>
      </c>
    </row>
    <row r="1420" spans="1:10" ht="15.75" thickBot="1" x14ac:dyDescent="0.3">
      <c r="A1420" s="132" t="s">
        <v>344</v>
      </c>
      <c r="B1420" s="75" t="s">
        <v>317</v>
      </c>
      <c r="C1420" s="111" t="s">
        <v>156</v>
      </c>
      <c r="D1420" s="111">
        <v>76.42</v>
      </c>
      <c r="E1420" s="42" t="s">
        <v>79</v>
      </c>
      <c r="F1420" s="74">
        <v>10.3</v>
      </c>
      <c r="G1420" s="36">
        <f t="shared" si="284"/>
        <v>64.89</v>
      </c>
      <c r="H1420" s="37">
        <v>24</v>
      </c>
      <c r="I1420" s="109">
        <f t="shared" si="285"/>
        <v>1557.3600000000001</v>
      </c>
      <c r="J1420" s="36">
        <v>1600</v>
      </c>
    </row>
    <row r="1421" spans="1:10" ht="15.75" thickBot="1" x14ac:dyDescent="0.3">
      <c r="A1421" s="132" t="s">
        <v>344</v>
      </c>
      <c r="B1421" s="37" t="s">
        <v>325</v>
      </c>
      <c r="C1421" s="34" t="s">
        <v>158</v>
      </c>
      <c r="D1421" s="46">
        <v>36.6</v>
      </c>
      <c r="E1421" s="34" t="s">
        <v>79</v>
      </c>
      <c r="F1421" s="74">
        <v>6.8</v>
      </c>
      <c r="G1421" s="36">
        <f t="shared" si="284"/>
        <v>42.839999999999996</v>
      </c>
      <c r="H1421" s="35">
        <v>24</v>
      </c>
      <c r="I1421" s="109">
        <f t="shared" si="285"/>
        <v>1028.1599999999999</v>
      </c>
      <c r="J1421" s="36">
        <v>1000</v>
      </c>
    </row>
    <row r="1422" spans="1:10" x14ac:dyDescent="0.25">
      <c r="A1422" s="132" t="s">
        <v>344</v>
      </c>
      <c r="B1422" s="37" t="s">
        <v>326</v>
      </c>
      <c r="C1422" s="46" t="s">
        <v>152</v>
      </c>
      <c r="D1422" s="72">
        <v>11.9</v>
      </c>
      <c r="E1422" s="34" t="s">
        <v>79</v>
      </c>
      <c r="F1422" s="73">
        <v>8.9</v>
      </c>
      <c r="G1422" s="36">
        <f t="shared" si="284"/>
        <v>56.07</v>
      </c>
      <c r="H1422" s="35">
        <v>24</v>
      </c>
      <c r="I1422" s="329">
        <f t="shared" si="285"/>
        <v>1345.68</v>
      </c>
      <c r="J1422" s="36">
        <v>1300</v>
      </c>
    </row>
    <row r="1423" spans="1:10" ht="19.5" thickBot="1" x14ac:dyDescent="0.35">
      <c r="B1423" s="331"/>
      <c r="C1423" s="331"/>
      <c r="D1423" s="331"/>
      <c r="E1423" s="331"/>
      <c r="F1423" s="331"/>
      <c r="G1423" s="332"/>
      <c r="H1423" s="99" t="s">
        <v>171</v>
      </c>
      <c r="I1423" s="330">
        <f>SUM(I1417:I1422)</f>
        <v>6699.6720000000005</v>
      </c>
      <c r="J1423" s="33">
        <f>SUM(J1417:J1422)</f>
        <v>6700</v>
      </c>
    </row>
    <row r="1424" spans="1:10" x14ac:dyDescent="0.25">
      <c r="A1424" s="113" t="s">
        <v>345</v>
      </c>
      <c r="B1424" s="350" t="s">
        <v>322</v>
      </c>
      <c r="C1424" s="34" t="s">
        <v>114</v>
      </c>
      <c r="D1424" s="108">
        <v>22.54</v>
      </c>
      <c r="E1424" s="34" t="s">
        <v>79</v>
      </c>
      <c r="F1424" s="109">
        <v>5.81</v>
      </c>
      <c r="G1424" s="36">
        <f t="shared" ref="G1424:G1429" si="286">F1424*6.3</f>
        <v>36.602999999999994</v>
      </c>
      <c r="H1424" s="37">
        <v>24</v>
      </c>
      <c r="I1424" s="109">
        <f t="shared" ref="I1424:I1429" si="287">G1424*H1424</f>
        <v>878.47199999999987</v>
      </c>
      <c r="J1424" s="36">
        <v>900</v>
      </c>
    </row>
    <row r="1425" spans="1:10" x14ac:dyDescent="0.25">
      <c r="A1425" s="195" t="s">
        <v>345</v>
      </c>
      <c r="B1425" s="350" t="s">
        <v>323</v>
      </c>
      <c r="C1425" s="34" t="s">
        <v>86</v>
      </c>
      <c r="D1425" s="108">
        <v>78.59</v>
      </c>
      <c r="E1425" s="34" t="s">
        <v>79</v>
      </c>
      <c r="F1425" s="110">
        <v>9.1999999999999993</v>
      </c>
      <c r="G1425" s="36">
        <f t="shared" si="286"/>
        <v>57.959999999999994</v>
      </c>
      <c r="H1425" s="37">
        <v>24</v>
      </c>
      <c r="I1425" s="109">
        <f t="shared" si="287"/>
        <v>1391.04</v>
      </c>
      <c r="J1425" s="36">
        <v>1400</v>
      </c>
    </row>
    <row r="1426" spans="1:10" x14ac:dyDescent="0.25">
      <c r="A1426" s="195" t="s">
        <v>345</v>
      </c>
      <c r="B1426" s="291" t="s">
        <v>324</v>
      </c>
      <c r="C1426" s="34" t="s">
        <v>75</v>
      </c>
      <c r="D1426" s="108" t="s">
        <v>38</v>
      </c>
      <c r="E1426" s="34" t="s">
        <v>79</v>
      </c>
      <c r="F1426" s="36">
        <v>3.35</v>
      </c>
      <c r="G1426" s="36">
        <f t="shared" si="286"/>
        <v>21.105</v>
      </c>
      <c r="H1426" s="37">
        <v>24</v>
      </c>
      <c r="I1426" s="109">
        <f t="shared" si="287"/>
        <v>506.52</v>
      </c>
      <c r="J1426" s="36">
        <v>500</v>
      </c>
    </row>
    <row r="1427" spans="1:10" x14ac:dyDescent="0.25">
      <c r="A1427" s="195" t="s">
        <v>345</v>
      </c>
      <c r="B1427" s="289" t="s">
        <v>317</v>
      </c>
      <c r="C1427" s="111" t="s">
        <v>156</v>
      </c>
      <c r="D1427" s="111">
        <v>74.8</v>
      </c>
      <c r="E1427" s="42" t="s">
        <v>79</v>
      </c>
      <c r="F1427" s="74">
        <v>10.25</v>
      </c>
      <c r="G1427" s="36">
        <f t="shared" si="286"/>
        <v>64.575000000000003</v>
      </c>
      <c r="H1427" s="37">
        <v>24</v>
      </c>
      <c r="I1427" s="109">
        <f t="shared" si="287"/>
        <v>1549.8000000000002</v>
      </c>
      <c r="J1427" s="36">
        <v>1600</v>
      </c>
    </row>
    <row r="1428" spans="1:10" x14ac:dyDescent="0.25">
      <c r="A1428" s="195" t="s">
        <v>345</v>
      </c>
      <c r="B1428" s="350" t="s">
        <v>325</v>
      </c>
      <c r="C1428" s="34" t="s">
        <v>158</v>
      </c>
      <c r="D1428" s="46">
        <v>10.46</v>
      </c>
      <c r="E1428" s="34" t="s">
        <v>79</v>
      </c>
      <c r="F1428" s="74">
        <v>6.6</v>
      </c>
      <c r="G1428" s="36">
        <f t="shared" si="286"/>
        <v>41.58</v>
      </c>
      <c r="H1428" s="35">
        <v>24</v>
      </c>
      <c r="I1428" s="109">
        <f t="shared" si="287"/>
        <v>997.92</v>
      </c>
      <c r="J1428" s="36">
        <v>1000</v>
      </c>
    </row>
    <row r="1429" spans="1:10" ht="15.75" thickBot="1" x14ac:dyDescent="0.3">
      <c r="A1429" s="196" t="s">
        <v>345</v>
      </c>
      <c r="B1429" s="351" t="s">
        <v>326</v>
      </c>
      <c r="C1429" s="52" t="s">
        <v>152</v>
      </c>
      <c r="D1429" s="72">
        <v>9.57</v>
      </c>
      <c r="E1429" s="42" t="s">
        <v>79</v>
      </c>
      <c r="F1429" s="73">
        <v>8.5</v>
      </c>
      <c r="G1429" s="74">
        <f t="shared" si="286"/>
        <v>53.55</v>
      </c>
      <c r="H1429" s="91">
        <v>24</v>
      </c>
      <c r="I1429" s="328">
        <f t="shared" si="287"/>
        <v>1285.1999999999998</v>
      </c>
      <c r="J1429" s="74">
        <v>1300</v>
      </c>
    </row>
    <row r="1430" spans="1:10" ht="19.5" thickBot="1" x14ac:dyDescent="0.35">
      <c r="A1430" s="206"/>
      <c r="B1430" s="336"/>
      <c r="C1430" s="336"/>
      <c r="D1430" s="336"/>
      <c r="E1430" s="336"/>
      <c r="F1430" s="336"/>
      <c r="G1430" s="337"/>
      <c r="H1430" s="174" t="s">
        <v>171</v>
      </c>
      <c r="I1430" s="238">
        <f>SUM(I1424:I1429)</f>
        <v>6608.9520000000002</v>
      </c>
      <c r="J1430" s="104">
        <f>SUM(J1424:J1429)</f>
        <v>6700</v>
      </c>
    </row>
    <row r="1431" spans="1:10" x14ac:dyDescent="0.25">
      <c r="A1431" s="31" t="s">
        <v>346</v>
      </c>
      <c r="B1431" s="37" t="s">
        <v>322</v>
      </c>
      <c r="C1431" s="34" t="s">
        <v>114</v>
      </c>
      <c r="D1431" s="108">
        <v>23.09</v>
      </c>
      <c r="E1431" s="34" t="s">
        <v>79</v>
      </c>
      <c r="F1431" s="109">
        <v>5.95</v>
      </c>
      <c r="G1431" s="36">
        <f t="shared" ref="G1431:G1436" si="288">F1431*6.3</f>
        <v>37.484999999999999</v>
      </c>
      <c r="H1431" s="37">
        <v>24</v>
      </c>
      <c r="I1431" s="109">
        <f t="shared" ref="I1431:I1436" si="289">G1431*H1431</f>
        <v>899.64</v>
      </c>
      <c r="J1431" s="36">
        <v>900</v>
      </c>
    </row>
    <row r="1432" spans="1:10" x14ac:dyDescent="0.25">
      <c r="A1432" s="31" t="s">
        <v>346</v>
      </c>
      <c r="B1432" s="37" t="s">
        <v>323</v>
      </c>
      <c r="C1432" s="34" t="s">
        <v>86</v>
      </c>
      <c r="D1432" s="108">
        <v>75.95</v>
      </c>
      <c r="E1432" s="34" t="s">
        <v>79</v>
      </c>
      <c r="F1432" s="110">
        <v>8.43</v>
      </c>
      <c r="G1432" s="36">
        <f t="shared" si="288"/>
        <v>53.108999999999995</v>
      </c>
      <c r="H1432" s="37">
        <v>24</v>
      </c>
      <c r="I1432" s="109">
        <f t="shared" si="289"/>
        <v>1274.616</v>
      </c>
      <c r="J1432" s="36">
        <v>1400</v>
      </c>
    </row>
    <row r="1433" spans="1:10" x14ac:dyDescent="0.25">
      <c r="A1433" s="31" t="s">
        <v>346</v>
      </c>
      <c r="B1433" s="50" t="s">
        <v>324</v>
      </c>
      <c r="C1433" s="34" t="s">
        <v>75</v>
      </c>
      <c r="D1433" s="108" t="s">
        <v>38</v>
      </c>
      <c r="E1433" s="34" t="s">
        <v>79</v>
      </c>
      <c r="F1433" s="36">
        <v>3.4</v>
      </c>
      <c r="G1433" s="36">
        <f t="shared" si="288"/>
        <v>21.419999999999998</v>
      </c>
      <c r="H1433" s="37">
        <v>24</v>
      </c>
      <c r="I1433" s="109">
        <f t="shared" si="289"/>
        <v>514.07999999999993</v>
      </c>
      <c r="J1433" s="36">
        <v>500</v>
      </c>
    </row>
    <row r="1434" spans="1:10" x14ac:dyDescent="0.25">
      <c r="A1434" s="31" t="s">
        <v>346</v>
      </c>
      <c r="B1434" s="75" t="s">
        <v>317</v>
      </c>
      <c r="C1434" s="111" t="s">
        <v>156</v>
      </c>
      <c r="D1434" s="111">
        <v>72.400000000000006</v>
      </c>
      <c r="E1434" s="42" t="s">
        <v>79</v>
      </c>
      <c r="F1434" s="74">
        <v>9.4</v>
      </c>
      <c r="G1434" s="36">
        <f t="shared" si="288"/>
        <v>59.22</v>
      </c>
      <c r="H1434" s="37">
        <v>24</v>
      </c>
      <c r="I1434" s="109">
        <f t="shared" si="289"/>
        <v>1421.28</v>
      </c>
      <c r="J1434" s="36">
        <v>1600</v>
      </c>
    </row>
    <row r="1435" spans="1:10" x14ac:dyDescent="0.25">
      <c r="A1435" s="31" t="s">
        <v>346</v>
      </c>
      <c r="B1435" s="37" t="s">
        <v>325</v>
      </c>
      <c r="C1435" s="34" t="s">
        <v>158</v>
      </c>
      <c r="D1435" s="46">
        <v>8.44</v>
      </c>
      <c r="E1435" s="34" t="s">
        <v>79</v>
      </c>
      <c r="F1435" s="74">
        <v>6.7</v>
      </c>
      <c r="G1435" s="36">
        <f t="shared" si="288"/>
        <v>42.21</v>
      </c>
      <c r="H1435" s="35">
        <v>24</v>
      </c>
      <c r="I1435" s="109">
        <f t="shared" si="289"/>
        <v>1013.04</v>
      </c>
      <c r="J1435" s="36">
        <v>1000</v>
      </c>
    </row>
    <row r="1436" spans="1:10" ht="15.75" thickBot="1" x14ac:dyDescent="0.3">
      <c r="A1436" s="31" t="s">
        <v>346</v>
      </c>
      <c r="B1436" s="43" t="s">
        <v>326</v>
      </c>
      <c r="C1436" s="52" t="s">
        <v>152</v>
      </c>
      <c r="D1436" s="72">
        <v>8.1999999999999993</v>
      </c>
      <c r="E1436" s="42" t="s">
        <v>79</v>
      </c>
      <c r="F1436" s="73">
        <v>8.5</v>
      </c>
      <c r="G1436" s="74">
        <f t="shared" si="288"/>
        <v>53.55</v>
      </c>
      <c r="H1436" s="91">
        <v>24</v>
      </c>
      <c r="I1436" s="328">
        <f t="shared" si="289"/>
        <v>1285.1999999999998</v>
      </c>
      <c r="J1436" s="74">
        <v>1300</v>
      </c>
    </row>
    <row r="1437" spans="1:10" ht="19.5" thickBot="1" x14ac:dyDescent="0.35">
      <c r="A1437" s="206"/>
      <c r="B1437" s="336"/>
      <c r="C1437" s="336"/>
      <c r="D1437" s="336"/>
      <c r="E1437" s="336"/>
      <c r="F1437" s="336"/>
      <c r="G1437" s="337"/>
      <c r="H1437" s="174" t="s">
        <v>171</v>
      </c>
      <c r="I1437" s="238">
        <f>SUM(I1431:I1436)</f>
        <v>6407.8559999999998</v>
      </c>
      <c r="J1437" s="104">
        <f>SUM(J1431:J1436)</f>
        <v>6700</v>
      </c>
    </row>
    <row r="1438" spans="1:10" x14ac:dyDescent="0.25">
      <c r="A1438" s="31" t="s">
        <v>347</v>
      </c>
      <c r="B1438" s="37" t="s">
        <v>322</v>
      </c>
      <c r="C1438" s="34" t="s">
        <v>114</v>
      </c>
      <c r="D1438" s="108">
        <v>22.22</v>
      </c>
      <c r="E1438" s="34" t="s">
        <v>79</v>
      </c>
      <c r="F1438" s="109">
        <v>5.4</v>
      </c>
      <c r="G1438" s="36">
        <f t="shared" ref="G1438:G1443" si="290">F1438*6.3</f>
        <v>34.020000000000003</v>
      </c>
      <c r="H1438" s="37">
        <v>24</v>
      </c>
      <c r="I1438" s="109">
        <f t="shared" ref="I1438:I1443" si="291">G1438*H1438</f>
        <v>816.48</v>
      </c>
      <c r="J1438" s="36">
        <v>900</v>
      </c>
    </row>
    <row r="1439" spans="1:10" x14ac:dyDescent="0.25">
      <c r="A1439" s="31" t="s">
        <v>347</v>
      </c>
      <c r="B1439" s="37" t="s">
        <v>323</v>
      </c>
      <c r="C1439" s="34" t="s">
        <v>86</v>
      </c>
      <c r="D1439" s="108">
        <v>79.86</v>
      </c>
      <c r="E1439" s="34" t="s">
        <v>79</v>
      </c>
      <c r="F1439" s="110">
        <v>9.1999999999999993</v>
      </c>
      <c r="G1439" s="36">
        <f t="shared" si="290"/>
        <v>57.959999999999994</v>
      </c>
      <c r="H1439" s="37">
        <v>24</v>
      </c>
      <c r="I1439" s="109">
        <f t="shared" si="291"/>
        <v>1391.04</v>
      </c>
      <c r="J1439" s="36">
        <v>1400</v>
      </c>
    </row>
    <row r="1440" spans="1:10" x14ac:dyDescent="0.25">
      <c r="A1440" s="31" t="s">
        <v>347</v>
      </c>
      <c r="B1440" s="50" t="s">
        <v>324</v>
      </c>
      <c r="C1440" s="34" t="s">
        <v>75</v>
      </c>
      <c r="D1440" s="108" t="s">
        <v>38</v>
      </c>
      <c r="E1440" s="34" t="s">
        <v>79</v>
      </c>
      <c r="F1440" s="36">
        <v>3.4</v>
      </c>
      <c r="G1440" s="36">
        <f t="shared" si="290"/>
        <v>21.419999999999998</v>
      </c>
      <c r="H1440" s="37">
        <v>24</v>
      </c>
      <c r="I1440" s="109">
        <f t="shared" si="291"/>
        <v>514.07999999999993</v>
      </c>
      <c r="J1440" s="36">
        <v>500</v>
      </c>
    </row>
    <row r="1441" spans="1:10" x14ac:dyDescent="0.25">
      <c r="A1441" s="31" t="s">
        <v>347</v>
      </c>
      <c r="B1441" s="75" t="s">
        <v>317</v>
      </c>
      <c r="C1441" s="111" t="s">
        <v>156</v>
      </c>
      <c r="D1441" s="111">
        <v>76.81</v>
      </c>
      <c r="E1441" s="42" t="s">
        <v>79</v>
      </c>
      <c r="F1441" s="74">
        <v>10.3</v>
      </c>
      <c r="G1441" s="36">
        <f t="shared" si="290"/>
        <v>64.89</v>
      </c>
      <c r="H1441" s="37">
        <v>24</v>
      </c>
      <c r="I1441" s="109">
        <f t="shared" si="291"/>
        <v>1557.3600000000001</v>
      </c>
      <c r="J1441" s="36">
        <v>1600</v>
      </c>
    </row>
    <row r="1442" spans="1:10" x14ac:dyDescent="0.25">
      <c r="A1442" s="31" t="s">
        <v>347</v>
      </c>
      <c r="B1442" s="37" t="s">
        <v>325</v>
      </c>
      <c r="C1442" s="34" t="s">
        <v>158</v>
      </c>
      <c r="D1442" s="46">
        <v>10.9</v>
      </c>
      <c r="E1442" s="34" t="s">
        <v>79</v>
      </c>
      <c r="F1442" s="74">
        <v>6.9</v>
      </c>
      <c r="G1442" s="36">
        <f t="shared" si="290"/>
        <v>43.47</v>
      </c>
      <c r="H1442" s="35">
        <v>24</v>
      </c>
      <c r="I1442" s="109">
        <f t="shared" si="291"/>
        <v>1043.28</v>
      </c>
      <c r="J1442" s="36">
        <v>1000</v>
      </c>
    </row>
    <row r="1443" spans="1:10" ht="15.75" thickBot="1" x14ac:dyDescent="0.3">
      <c r="A1443" s="31" t="s">
        <v>347</v>
      </c>
      <c r="B1443" s="43" t="s">
        <v>326</v>
      </c>
      <c r="C1443" s="52" t="s">
        <v>152</v>
      </c>
      <c r="D1443" s="72">
        <v>9.5</v>
      </c>
      <c r="E1443" s="42" t="s">
        <v>79</v>
      </c>
      <c r="F1443" s="73">
        <v>8.8000000000000007</v>
      </c>
      <c r="G1443" s="74">
        <f t="shared" si="290"/>
        <v>55.440000000000005</v>
      </c>
      <c r="H1443" s="91">
        <v>24</v>
      </c>
      <c r="I1443" s="328">
        <f t="shared" si="291"/>
        <v>1330.5600000000002</v>
      </c>
      <c r="J1443" s="74">
        <v>1300</v>
      </c>
    </row>
    <row r="1444" spans="1:10" ht="19.5" thickBot="1" x14ac:dyDescent="0.35">
      <c r="A1444" s="206"/>
      <c r="B1444" s="336"/>
      <c r="C1444" s="336"/>
      <c r="D1444" s="336"/>
      <c r="E1444" s="336"/>
      <c r="F1444" s="336"/>
      <c r="G1444" s="337"/>
      <c r="H1444" s="174" t="s">
        <v>171</v>
      </c>
      <c r="I1444" s="238">
        <f>SUM(I1438:I1443)</f>
        <v>6652.8</v>
      </c>
      <c r="J1444" s="104">
        <f>SUM(J1438:J1443)</f>
        <v>6700</v>
      </c>
    </row>
    <row r="1445" spans="1:10" x14ac:dyDescent="0.25">
      <c r="A1445" s="31" t="s">
        <v>348</v>
      </c>
      <c r="B1445" s="37" t="s">
        <v>322</v>
      </c>
      <c r="C1445" s="34" t="s">
        <v>114</v>
      </c>
      <c r="D1445" s="108">
        <v>20.14</v>
      </c>
      <c r="E1445" s="34" t="s">
        <v>79</v>
      </c>
      <c r="F1445" s="109">
        <v>5.0999999999999996</v>
      </c>
      <c r="G1445" s="36">
        <f t="shared" ref="G1445:G1450" si="292">F1445*6.3</f>
        <v>32.129999999999995</v>
      </c>
      <c r="H1445" s="37">
        <v>24</v>
      </c>
      <c r="I1445" s="109">
        <f t="shared" ref="I1445:I1450" si="293">G1445*H1445</f>
        <v>771.11999999999989</v>
      </c>
      <c r="J1445" s="36">
        <v>900</v>
      </c>
    </row>
    <row r="1446" spans="1:10" x14ac:dyDescent="0.25">
      <c r="A1446" s="31" t="s">
        <v>348</v>
      </c>
      <c r="B1446" s="37" t="s">
        <v>323</v>
      </c>
      <c r="C1446" s="34" t="s">
        <v>86</v>
      </c>
      <c r="D1446" s="108">
        <v>80.12</v>
      </c>
      <c r="E1446" s="34" t="s">
        <v>79</v>
      </c>
      <c r="F1446" s="110">
        <v>9.1999999999999993</v>
      </c>
      <c r="G1446" s="36">
        <f t="shared" si="292"/>
        <v>57.959999999999994</v>
      </c>
      <c r="H1446" s="37">
        <v>24</v>
      </c>
      <c r="I1446" s="109">
        <f t="shared" si="293"/>
        <v>1391.04</v>
      </c>
      <c r="J1446" s="36">
        <v>1400</v>
      </c>
    </row>
    <row r="1447" spans="1:10" x14ac:dyDescent="0.25">
      <c r="A1447" s="31" t="s">
        <v>348</v>
      </c>
      <c r="B1447" s="50" t="s">
        <v>324</v>
      </c>
      <c r="C1447" s="34" t="s">
        <v>75</v>
      </c>
      <c r="D1447" s="108" t="s">
        <v>38</v>
      </c>
      <c r="E1447" s="34" t="s">
        <v>79</v>
      </c>
      <c r="F1447" s="36">
        <v>3.4</v>
      </c>
      <c r="G1447" s="36">
        <f t="shared" si="292"/>
        <v>21.419999999999998</v>
      </c>
      <c r="H1447" s="37">
        <v>24</v>
      </c>
      <c r="I1447" s="109">
        <f t="shared" si="293"/>
        <v>514.07999999999993</v>
      </c>
      <c r="J1447" s="36">
        <v>500</v>
      </c>
    </row>
    <row r="1448" spans="1:10" x14ac:dyDescent="0.25">
      <c r="A1448" s="31" t="s">
        <v>348</v>
      </c>
      <c r="B1448" s="75" t="s">
        <v>317</v>
      </c>
      <c r="C1448" s="111" t="s">
        <v>156</v>
      </c>
      <c r="D1448" s="111">
        <v>76.400000000000006</v>
      </c>
      <c r="E1448" s="42" t="s">
        <v>79</v>
      </c>
      <c r="F1448" s="74">
        <v>10.5</v>
      </c>
      <c r="G1448" s="36">
        <f t="shared" si="292"/>
        <v>66.149999999999991</v>
      </c>
      <c r="H1448" s="37">
        <v>24</v>
      </c>
      <c r="I1448" s="109">
        <f t="shared" si="293"/>
        <v>1587.6</v>
      </c>
      <c r="J1448" s="36">
        <v>1600</v>
      </c>
    </row>
    <row r="1449" spans="1:10" x14ac:dyDescent="0.25">
      <c r="A1449" s="31" t="s">
        <v>348</v>
      </c>
      <c r="B1449" s="37" t="s">
        <v>325</v>
      </c>
      <c r="C1449" s="34" t="s">
        <v>158</v>
      </c>
      <c r="D1449" s="46">
        <v>10.71</v>
      </c>
      <c r="E1449" s="34" t="s">
        <v>79</v>
      </c>
      <c r="F1449" s="74">
        <v>6.7</v>
      </c>
      <c r="G1449" s="36">
        <f t="shared" si="292"/>
        <v>42.21</v>
      </c>
      <c r="H1449" s="35">
        <v>24</v>
      </c>
      <c r="I1449" s="109">
        <f t="shared" si="293"/>
        <v>1013.04</v>
      </c>
      <c r="J1449" s="36">
        <v>1000</v>
      </c>
    </row>
    <row r="1450" spans="1:10" ht="15.75" thickBot="1" x14ac:dyDescent="0.3">
      <c r="A1450" s="31" t="s">
        <v>348</v>
      </c>
      <c r="B1450" s="43" t="s">
        <v>326</v>
      </c>
      <c r="C1450" s="52" t="s">
        <v>152</v>
      </c>
      <c r="D1450" s="72">
        <v>9.4499999999999993</v>
      </c>
      <c r="E1450" s="42" t="s">
        <v>79</v>
      </c>
      <c r="F1450" s="73">
        <v>8.6</v>
      </c>
      <c r="G1450" s="74">
        <f t="shared" si="292"/>
        <v>54.18</v>
      </c>
      <c r="H1450" s="91">
        <v>24</v>
      </c>
      <c r="I1450" s="328">
        <f t="shared" si="293"/>
        <v>1300.32</v>
      </c>
      <c r="J1450" s="74">
        <v>1300</v>
      </c>
    </row>
    <row r="1451" spans="1:10" ht="19.5" thickBot="1" x14ac:dyDescent="0.35">
      <c r="A1451" s="206"/>
      <c r="B1451" s="336"/>
      <c r="C1451" s="336"/>
      <c r="D1451" s="336"/>
      <c r="E1451" s="336"/>
      <c r="F1451" s="336"/>
      <c r="G1451" s="337"/>
      <c r="H1451" s="174" t="s">
        <v>171</v>
      </c>
      <c r="I1451" s="238">
        <f>SUM(I1445:I1450)</f>
        <v>6577.2</v>
      </c>
      <c r="J1451" s="104">
        <f>SUM(J1445:J1450)</f>
        <v>6700</v>
      </c>
    </row>
    <row r="1452" spans="1:10" x14ac:dyDescent="0.25">
      <c r="A1452" s="31" t="s">
        <v>349</v>
      </c>
      <c r="B1452" s="37" t="s">
        <v>322</v>
      </c>
      <c r="C1452" s="34" t="s">
        <v>114</v>
      </c>
      <c r="D1452" s="108">
        <v>21.43</v>
      </c>
      <c r="E1452" s="34" t="s">
        <v>79</v>
      </c>
      <c r="F1452" s="109">
        <v>5.6</v>
      </c>
      <c r="G1452" s="36">
        <f t="shared" ref="G1452:G1457" si="294">F1452*6.3</f>
        <v>35.279999999999994</v>
      </c>
      <c r="H1452" s="37">
        <v>24</v>
      </c>
      <c r="I1452" s="109">
        <f t="shared" ref="I1452:I1457" si="295">G1452*H1452</f>
        <v>846.7199999999998</v>
      </c>
      <c r="J1452" s="36">
        <v>900</v>
      </c>
    </row>
    <row r="1453" spans="1:10" x14ac:dyDescent="0.25">
      <c r="A1453" s="31" t="s">
        <v>349</v>
      </c>
      <c r="B1453" s="37" t="s">
        <v>323</v>
      </c>
      <c r="C1453" s="34" t="s">
        <v>86</v>
      </c>
      <c r="D1453" s="108">
        <v>79.86</v>
      </c>
      <c r="E1453" s="34" t="s">
        <v>79</v>
      </c>
      <c r="F1453" s="110">
        <v>9.4499999999999993</v>
      </c>
      <c r="G1453" s="36">
        <f t="shared" si="294"/>
        <v>59.534999999999997</v>
      </c>
      <c r="H1453" s="37">
        <v>24</v>
      </c>
      <c r="I1453" s="109">
        <f t="shared" si="295"/>
        <v>1428.84</v>
      </c>
      <c r="J1453" s="36">
        <v>1400</v>
      </c>
    </row>
    <row r="1454" spans="1:10" x14ac:dyDescent="0.25">
      <c r="A1454" s="31" t="s">
        <v>349</v>
      </c>
      <c r="B1454" s="50" t="s">
        <v>324</v>
      </c>
      <c r="C1454" s="34" t="s">
        <v>75</v>
      </c>
      <c r="D1454" s="108" t="s">
        <v>38</v>
      </c>
      <c r="E1454" s="34" t="s">
        <v>79</v>
      </c>
      <c r="F1454" s="36">
        <v>3.4</v>
      </c>
      <c r="G1454" s="36">
        <f t="shared" si="294"/>
        <v>21.419999999999998</v>
      </c>
      <c r="H1454" s="37">
        <v>24</v>
      </c>
      <c r="I1454" s="109">
        <f t="shared" si="295"/>
        <v>514.07999999999993</v>
      </c>
      <c r="J1454" s="36">
        <v>500</v>
      </c>
    </row>
    <row r="1455" spans="1:10" x14ac:dyDescent="0.25">
      <c r="A1455" s="31" t="s">
        <v>349</v>
      </c>
      <c r="B1455" s="75" t="s">
        <v>317</v>
      </c>
      <c r="C1455" s="111" t="s">
        <v>156</v>
      </c>
      <c r="D1455" s="111">
        <v>77.650000000000006</v>
      </c>
      <c r="E1455" s="42" t="s">
        <v>79</v>
      </c>
      <c r="F1455" s="74">
        <v>10.45</v>
      </c>
      <c r="G1455" s="36">
        <f t="shared" si="294"/>
        <v>65.834999999999994</v>
      </c>
      <c r="H1455" s="37">
        <v>24</v>
      </c>
      <c r="I1455" s="109">
        <f t="shared" si="295"/>
        <v>1580.04</v>
      </c>
      <c r="J1455" s="36">
        <v>1600</v>
      </c>
    </row>
    <row r="1456" spans="1:10" x14ac:dyDescent="0.25">
      <c r="A1456" s="31" t="s">
        <v>349</v>
      </c>
      <c r="B1456" s="37" t="s">
        <v>325</v>
      </c>
      <c r="C1456" s="34" t="s">
        <v>158</v>
      </c>
      <c r="D1456" s="46">
        <v>10.64</v>
      </c>
      <c r="E1456" s="34" t="s">
        <v>79</v>
      </c>
      <c r="F1456" s="74">
        <v>6.6</v>
      </c>
      <c r="G1456" s="36">
        <f t="shared" si="294"/>
        <v>41.58</v>
      </c>
      <c r="H1456" s="35">
        <v>24</v>
      </c>
      <c r="I1456" s="109">
        <f t="shared" si="295"/>
        <v>997.92</v>
      </c>
      <c r="J1456" s="36">
        <v>1000</v>
      </c>
    </row>
    <row r="1457" spans="1:10" ht="15.75" thickBot="1" x14ac:dyDescent="0.3">
      <c r="A1457" s="31" t="s">
        <v>349</v>
      </c>
      <c r="B1457" s="43" t="s">
        <v>326</v>
      </c>
      <c r="C1457" s="52" t="s">
        <v>152</v>
      </c>
      <c r="D1457" s="72">
        <v>9.39</v>
      </c>
      <c r="E1457" s="42" t="s">
        <v>79</v>
      </c>
      <c r="F1457" s="73">
        <v>8.5</v>
      </c>
      <c r="G1457" s="74">
        <f t="shared" si="294"/>
        <v>53.55</v>
      </c>
      <c r="H1457" s="91">
        <v>24</v>
      </c>
      <c r="I1457" s="328">
        <f t="shared" si="295"/>
        <v>1285.1999999999998</v>
      </c>
      <c r="J1457" s="74">
        <v>1300</v>
      </c>
    </row>
    <row r="1458" spans="1:10" ht="19.5" thickBot="1" x14ac:dyDescent="0.35">
      <c r="A1458" s="206"/>
      <c r="B1458" s="336"/>
      <c r="C1458" s="336"/>
      <c r="D1458" s="336"/>
      <c r="E1458" s="336"/>
      <c r="F1458" s="336"/>
      <c r="G1458" s="337"/>
      <c r="H1458" s="174" t="s">
        <v>171</v>
      </c>
      <c r="I1458" s="238">
        <f>SUM(I1452:I1457)</f>
        <v>6652.7999999999993</v>
      </c>
      <c r="J1458" s="104">
        <f>SUM(J1452:J1457)</f>
        <v>6700</v>
      </c>
    </row>
    <row r="1459" spans="1:10" x14ac:dyDescent="0.25">
      <c r="A1459" s="31" t="s">
        <v>349</v>
      </c>
      <c r="B1459" s="37" t="s">
        <v>322</v>
      </c>
      <c r="C1459" s="34" t="s">
        <v>114</v>
      </c>
      <c r="D1459" s="108">
        <v>21.31</v>
      </c>
      <c r="E1459" s="34" t="s">
        <v>79</v>
      </c>
      <c r="F1459" s="109">
        <v>5.5</v>
      </c>
      <c r="G1459" s="36">
        <f t="shared" ref="G1459:G1464" si="296">F1459*6.3</f>
        <v>34.65</v>
      </c>
      <c r="H1459" s="37">
        <v>24</v>
      </c>
      <c r="I1459" s="109">
        <f t="shared" ref="I1459:I1464" si="297">G1459*H1459</f>
        <v>831.59999999999991</v>
      </c>
      <c r="J1459" s="36">
        <v>900</v>
      </c>
    </row>
    <row r="1460" spans="1:10" x14ac:dyDescent="0.25">
      <c r="A1460" s="31" t="s">
        <v>349</v>
      </c>
      <c r="B1460" s="37" t="s">
        <v>323</v>
      </c>
      <c r="C1460" s="34" t="s">
        <v>86</v>
      </c>
      <c r="D1460" s="108">
        <v>71.87</v>
      </c>
      <c r="E1460" s="34" t="s">
        <v>79</v>
      </c>
      <c r="F1460" s="110">
        <v>8.9</v>
      </c>
      <c r="G1460" s="36">
        <f t="shared" si="296"/>
        <v>56.07</v>
      </c>
      <c r="H1460" s="37">
        <v>24</v>
      </c>
      <c r="I1460" s="109">
        <f t="shared" si="297"/>
        <v>1345.68</v>
      </c>
      <c r="J1460" s="36">
        <v>1400</v>
      </c>
    </row>
    <row r="1461" spans="1:10" x14ac:dyDescent="0.25">
      <c r="A1461" s="31" t="s">
        <v>349</v>
      </c>
      <c r="B1461" s="50" t="s">
        <v>324</v>
      </c>
      <c r="C1461" s="34" t="s">
        <v>75</v>
      </c>
      <c r="D1461" s="108" t="s">
        <v>38</v>
      </c>
      <c r="E1461" s="34" t="s">
        <v>79</v>
      </c>
      <c r="F1461" s="36">
        <v>3.4</v>
      </c>
      <c r="G1461" s="36">
        <f t="shared" si="296"/>
        <v>21.419999999999998</v>
      </c>
      <c r="H1461" s="37">
        <v>24</v>
      </c>
      <c r="I1461" s="109">
        <f t="shared" si="297"/>
        <v>514.07999999999993</v>
      </c>
      <c r="J1461" s="36">
        <v>500</v>
      </c>
    </row>
    <row r="1462" spans="1:10" x14ac:dyDescent="0.25">
      <c r="A1462" s="31" t="s">
        <v>349</v>
      </c>
      <c r="B1462" s="75" t="s">
        <v>317</v>
      </c>
      <c r="C1462" s="111" t="s">
        <v>156</v>
      </c>
      <c r="D1462" s="111">
        <v>72.400000000000006</v>
      </c>
      <c r="E1462" s="42" t="s">
        <v>79</v>
      </c>
      <c r="F1462" s="74">
        <v>9.5</v>
      </c>
      <c r="G1462" s="36">
        <f t="shared" si="296"/>
        <v>59.85</v>
      </c>
      <c r="H1462" s="37">
        <v>24</v>
      </c>
      <c r="I1462" s="109">
        <f t="shared" si="297"/>
        <v>1436.4</v>
      </c>
      <c r="J1462" s="36">
        <v>1600</v>
      </c>
    </row>
    <row r="1463" spans="1:10" x14ac:dyDescent="0.25">
      <c r="A1463" s="31" t="s">
        <v>349</v>
      </c>
      <c r="B1463" s="37" t="s">
        <v>325</v>
      </c>
      <c r="C1463" s="34" t="s">
        <v>158</v>
      </c>
      <c r="D1463" s="46">
        <v>7.9</v>
      </c>
      <c r="E1463" s="34" t="s">
        <v>79</v>
      </c>
      <c r="F1463" s="74">
        <v>6.6</v>
      </c>
      <c r="G1463" s="36">
        <f t="shared" si="296"/>
        <v>41.58</v>
      </c>
      <c r="H1463" s="35">
        <v>24</v>
      </c>
      <c r="I1463" s="109">
        <f t="shared" si="297"/>
        <v>997.92</v>
      </c>
      <c r="J1463" s="36">
        <v>1000</v>
      </c>
    </row>
    <row r="1464" spans="1:10" ht="15.75" thickBot="1" x14ac:dyDescent="0.3">
      <c r="A1464" s="31" t="s">
        <v>349</v>
      </c>
      <c r="B1464" s="43" t="s">
        <v>326</v>
      </c>
      <c r="C1464" s="52" t="s">
        <v>152</v>
      </c>
      <c r="D1464" s="72">
        <v>7.6</v>
      </c>
      <c r="E1464" s="42" t="s">
        <v>79</v>
      </c>
      <c r="F1464" s="73">
        <v>8.5</v>
      </c>
      <c r="G1464" s="74">
        <f t="shared" si="296"/>
        <v>53.55</v>
      </c>
      <c r="H1464" s="91">
        <v>24</v>
      </c>
      <c r="I1464" s="328">
        <f t="shared" si="297"/>
        <v>1285.1999999999998</v>
      </c>
      <c r="J1464" s="74">
        <v>1300</v>
      </c>
    </row>
    <row r="1465" spans="1:10" ht="19.5" thickBot="1" x14ac:dyDescent="0.35">
      <c r="A1465" s="206"/>
      <c r="B1465" s="336"/>
      <c r="C1465" s="336"/>
      <c r="D1465" s="336"/>
      <c r="E1465" s="336"/>
      <c r="F1465" s="336"/>
      <c r="G1465" s="337"/>
      <c r="H1465" s="174" t="s">
        <v>171</v>
      </c>
      <c r="I1465" s="238">
        <f>SUM(I1459:I1464)</f>
        <v>6410.88</v>
      </c>
      <c r="J1465" s="104">
        <f>SUM(J1459:J1464)</f>
        <v>6700</v>
      </c>
    </row>
    <row r="1466" spans="1:10" x14ac:dyDescent="0.25">
      <c r="A1466" s="31" t="s">
        <v>350</v>
      </c>
      <c r="B1466" s="37" t="s">
        <v>322</v>
      </c>
      <c r="C1466" s="34" t="s">
        <v>114</v>
      </c>
      <c r="D1466" s="108">
        <v>20.2</v>
      </c>
      <c r="E1466" s="34" t="s">
        <v>79</v>
      </c>
      <c r="F1466" s="109">
        <v>5.2</v>
      </c>
      <c r="G1466" s="36">
        <f t="shared" ref="G1466:G1471" si="298">F1466*6.3</f>
        <v>32.76</v>
      </c>
      <c r="H1466" s="37">
        <v>24</v>
      </c>
      <c r="I1466" s="109">
        <f t="shared" ref="I1466:I1471" si="299">G1466*H1466</f>
        <v>786.24</v>
      </c>
      <c r="J1466" s="36">
        <v>900</v>
      </c>
    </row>
    <row r="1467" spans="1:10" x14ac:dyDescent="0.25">
      <c r="A1467" s="31" t="s">
        <v>350</v>
      </c>
      <c r="B1467" s="37" t="s">
        <v>323</v>
      </c>
      <c r="C1467" s="34" t="s">
        <v>86</v>
      </c>
      <c r="D1467" s="108">
        <v>80.599999999999994</v>
      </c>
      <c r="E1467" s="34" t="s">
        <v>79</v>
      </c>
      <c r="F1467" s="110">
        <v>9.4</v>
      </c>
      <c r="G1467" s="36">
        <f t="shared" si="298"/>
        <v>59.22</v>
      </c>
      <c r="H1467" s="37">
        <v>24</v>
      </c>
      <c r="I1467" s="109">
        <f t="shared" si="299"/>
        <v>1421.28</v>
      </c>
      <c r="J1467" s="36">
        <v>1400</v>
      </c>
    </row>
    <row r="1468" spans="1:10" x14ac:dyDescent="0.25">
      <c r="A1468" s="31" t="s">
        <v>350</v>
      </c>
      <c r="B1468" s="50" t="s">
        <v>324</v>
      </c>
      <c r="C1468" s="34" t="s">
        <v>75</v>
      </c>
      <c r="D1468" s="108" t="s">
        <v>38</v>
      </c>
      <c r="E1468" s="34" t="s">
        <v>79</v>
      </c>
      <c r="F1468" s="36">
        <v>3.4</v>
      </c>
      <c r="G1468" s="36">
        <f t="shared" si="298"/>
        <v>21.419999999999998</v>
      </c>
      <c r="H1468" s="37">
        <v>24</v>
      </c>
      <c r="I1468" s="109">
        <f t="shared" si="299"/>
        <v>514.07999999999993</v>
      </c>
      <c r="J1468" s="36">
        <v>500</v>
      </c>
    </row>
    <row r="1469" spans="1:10" x14ac:dyDescent="0.25">
      <c r="A1469" s="31" t="s">
        <v>350</v>
      </c>
      <c r="B1469" s="75" t="s">
        <v>317</v>
      </c>
      <c r="C1469" s="111" t="s">
        <v>156</v>
      </c>
      <c r="D1469" s="111">
        <v>77.09</v>
      </c>
      <c r="E1469" s="42" t="s">
        <v>79</v>
      </c>
      <c r="F1469" s="74">
        <v>9.9</v>
      </c>
      <c r="G1469" s="36">
        <f t="shared" si="298"/>
        <v>62.37</v>
      </c>
      <c r="H1469" s="37">
        <v>24</v>
      </c>
      <c r="I1469" s="109">
        <f t="shared" si="299"/>
        <v>1496.8799999999999</v>
      </c>
      <c r="J1469" s="36">
        <v>1600</v>
      </c>
    </row>
    <row r="1470" spans="1:10" x14ac:dyDescent="0.25">
      <c r="A1470" s="31" t="s">
        <v>350</v>
      </c>
      <c r="B1470" s="37" t="s">
        <v>325</v>
      </c>
      <c r="C1470" s="34" t="s">
        <v>158</v>
      </c>
      <c r="D1470" s="46">
        <v>10.29</v>
      </c>
      <c r="E1470" s="34" t="s">
        <v>79</v>
      </c>
      <c r="F1470" s="74">
        <v>6.9</v>
      </c>
      <c r="G1470" s="36">
        <f t="shared" si="298"/>
        <v>43.47</v>
      </c>
      <c r="H1470" s="35">
        <v>24</v>
      </c>
      <c r="I1470" s="109">
        <f t="shared" si="299"/>
        <v>1043.28</v>
      </c>
      <c r="J1470" s="36">
        <v>1000</v>
      </c>
    </row>
    <row r="1471" spans="1:10" ht="15.75" thickBot="1" x14ac:dyDescent="0.3">
      <c r="A1471" s="31" t="s">
        <v>350</v>
      </c>
      <c r="B1471" s="43" t="s">
        <v>326</v>
      </c>
      <c r="C1471" s="52" t="s">
        <v>152</v>
      </c>
      <c r="D1471" s="72">
        <v>8.5</v>
      </c>
      <c r="E1471" s="42" t="s">
        <v>79</v>
      </c>
      <c r="F1471" s="73">
        <v>8.6</v>
      </c>
      <c r="G1471" s="74">
        <f t="shared" si="298"/>
        <v>54.18</v>
      </c>
      <c r="H1471" s="91">
        <v>24</v>
      </c>
      <c r="I1471" s="328">
        <f t="shared" si="299"/>
        <v>1300.32</v>
      </c>
      <c r="J1471" s="74">
        <v>1300</v>
      </c>
    </row>
    <row r="1472" spans="1:10" ht="19.5" thickBot="1" x14ac:dyDescent="0.35">
      <c r="A1472" s="206"/>
      <c r="B1472" s="336"/>
      <c r="C1472" s="336"/>
      <c r="D1472" s="336"/>
      <c r="E1472" s="336"/>
      <c r="F1472" s="336"/>
      <c r="G1472" s="337"/>
      <c r="H1472" s="174" t="s">
        <v>171</v>
      </c>
      <c r="I1472" s="238">
        <f>SUM(I1466:I1471)</f>
        <v>6562.079999999999</v>
      </c>
      <c r="J1472" s="104">
        <f>SUM(J1466:J1471)</f>
        <v>6700</v>
      </c>
    </row>
    <row r="1473" spans="1:10" x14ac:dyDescent="0.25">
      <c r="A1473" s="31" t="s">
        <v>351</v>
      </c>
      <c r="B1473" s="37" t="s">
        <v>322</v>
      </c>
      <c r="C1473" s="34" t="s">
        <v>114</v>
      </c>
      <c r="D1473" s="108">
        <v>21.5</v>
      </c>
      <c r="E1473" s="34" t="s">
        <v>79</v>
      </c>
      <c r="F1473" s="109">
        <v>5.5</v>
      </c>
      <c r="G1473" s="36">
        <f t="shared" ref="G1473:G1478" si="300">F1473*6.3</f>
        <v>34.65</v>
      </c>
      <c r="H1473" s="37">
        <v>24</v>
      </c>
      <c r="I1473" s="109">
        <f t="shared" ref="I1473:I1478" si="301">G1473*H1473</f>
        <v>831.59999999999991</v>
      </c>
      <c r="J1473" s="36">
        <v>900</v>
      </c>
    </row>
    <row r="1474" spans="1:10" x14ac:dyDescent="0.25">
      <c r="A1474" s="31" t="s">
        <v>351</v>
      </c>
      <c r="B1474" s="37" t="s">
        <v>323</v>
      </c>
      <c r="C1474" s="34" t="s">
        <v>86</v>
      </c>
      <c r="D1474" s="108">
        <v>80.599999999999994</v>
      </c>
      <c r="E1474" s="34" t="s">
        <v>79</v>
      </c>
      <c r="F1474" s="110">
        <v>9.1999999999999993</v>
      </c>
      <c r="G1474" s="36">
        <f t="shared" si="300"/>
        <v>57.959999999999994</v>
      </c>
      <c r="H1474" s="37">
        <v>24</v>
      </c>
      <c r="I1474" s="109">
        <f t="shared" si="301"/>
        <v>1391.04</v>
      </c>
      <c r="J1474" s="36">
        <v>1400</v>
      </c>
    </row>
    <row r="1475" spans="1:10" x14ac:dyDescent="0.25">
      <c r="A1475" s="31" t="s">
        <v>351</v>
      </c>
      <c r="B1475" s="50" t="s">
        <v>324</v>
      </c>
      <c r="C1475" s="34" t="s">
        <v>75</v>
      </c>
      <c r="D1475" s="108" t="s">
        <v>38</v>
      </c>
      <c r="E1475" s="34" t="s">
        <v>79</v>
      </c>
      <c r="F1475" s="36">
        <v>3.4</v>
      </c>
      <c r="G1475" s="36">
        <f t="shared" si="300"/>
        <v>21.419999999999998</v>
      </c>
      <c r="H1475" s="37">
        <v>24</v>
      </c>
      <c r="I1475" s="109">
        <f t="shared" si="301"/>
        <v>514.07999999999993</v>
      </c>
      <c r="J1475" s="36">
        <v>500</v>
      </c>
    </row>
    <row r="1476" spans="1:10" x14ac:dyDescent="0.25">
      <c r="A1476" s="31" t="s">
        <v>351</v>
      </c>
      <c r="B1476" s="75" t="s">
        <v>317</v>
      </c>
      <c r="C1476" s="111" t="s">
        <v>156</v>
      </c>
      <c r="D1476" s="111">
        <v>75.400000000000006</v>
      </c>
      <c r="E1476" s="42" t="s">
        <v>79</v>
      </c>
      <c r="F1476" s="74">
        <v>9.8000000000000007</v>
      </c>
      <c r="G1476" s="36">
        <f t="shared" si="300"/>
        <v>61.74</v>
      </c>
      <c r="H1476" s="37">
        <v>24</v>
      </c>
      <c r="I1476" s="109">
        <f t="shared" si="301"/>
        <v>1481.76</v>
      </c>
      <c r="J1476" s="36">
        <v>1600</v>
      </c>
    </row>
    <row r="1477" spans="1:10" x14ac:dyDescent="0.25">
      <c r="A1477" s="31" t="s">
        <v>351</v>
      </c>
      <c r="B1477" s="37" t="s">
        <v>325</v>
      </c>
      <c r="C1477" s="34" t="s">
        <v>158</v>
      </c>
      <c r="D1477" s="46">
        <v>10.53</v>
      </c>
      <c r="E1477" s="34" t="s">
        <v>79</v>
      </c>
      <c r="F1477" s="74">
        <v>6.9</v>
      </c>
      <c r="G1477" s="36">
        <f t="shared" si="300"/>
        <v>43.47</v>
      </c>
      <c r="H1477" s="35">
        <v>24</v>
      </c>
      <c r="I1477" s="109">
        <f t="shared" si="301"/>
        <v>1043.28</v>
      </c>
      <c r="J1477" s="36">
        <v>1000</v>
      </c>
    </row>
    <row r="1478" spans="1:10" ht="15.75" thickBot="1" x14ac:dyDescent="0.3">
      <c r="A1478" s="31" t="s">
        <v>351</v>
      </c>
      <c r="B1478" s="43" t="s">
        <v>326</v>
      </c>
      <c r="C1478" s="52" t="s">
        <v>152</v>
      </c>
      <c r="D1478" s="72">
        <v>9.36</v>
      </c>
      <c r="E1478" s="42" t="s">
        <v>79</v>
      </c>
      <c r="F1478" s="73">
        <v>8.5500000000000007</v>
      </c>
      <c r="G1478" s="74">
        <f t="shared" si="300"/>
        <v>53.865000000000002</v>
      </c>
      <c r="H1478" s="91">
        <v>24</v>
      </c>
      <c r="I1478" s="328">
        <f t="shared" si="301"/>
        <v>1292.76</v>
      </c>
      <c r="J1478" s="74">
        <v>1300</v>
      </c>
    </row>
    <row r="1479" spans="1:10" ht="19.5" thickBot="1" x14ac:dyDescent="0.35">
      <c r="A1479" s="206"/>
      <c r="B1479" s="336"/>
      <c r="C1479" s="336"/>
      <c r="D1479" s="336"/>
      <c r="E1479" s="336"/>
      <c r="F1479" s="336"/>
      <c r="G1479" s="337"/>
      <c r="H1479" s="174" t="s">
        <v>171</v>
      </c>
      <c r="I1479" s="238">
        <f>SUM(I1473:I1478)</f>
        <v>6554.5199999999995</v>
      </c>
      <c r="J1479" s="104">
        <f>SUM(J1473:J1478)</f>
        <v>6700</v>
      </c>
    </row>
    <row r="1480" spans="1:10" x14ac:dyDescent="0.25">
      <c r="A1480" s="31" t="s">
        <v>352</v>
      </c>
      <c r="B1480" s="37" t="s">
        <v>322</v>
      </c>
      <c r="C1480" s="34" t="s">
        <v>114</v>
      </c>
      <c r="D1480" s="108">
        <v>20.5</v>
      </c>
      <c r="E1480" s="34" t="s">
        <v>79</v>
      </c>
      <c r="F1480" s="109">
        <v>5.6</v>
      </c>
      <c r="G1480" s="36">
        <f t="shared" ref="G1480:G1485" si="302">F1480*6.3</f>
        <v>35.279999999999994</v>
      </c>
      <c r="H1480" s="37">
        <v>24</v>
      </c>
      <c r="I1480" s="109">
        <f t="shared" ref="I1480:I1485" si="303">G1480*H1480</f>
        <v>846.7199999999998</v>
      </c>
      <c r="J1480" s="36">
        <v>900</v>
      </c>
    </row>
    <row r="1481" spans="1:10" x14ac:dyDescent="0.25">
      <c r="A1481" s="31" t="s">
        <v>352</v>
      </c>
      <c r="B1481" s="37" t="s">
        <v>323</v>
      </c>
      <c r="C1481" s="34" t="s">
        <v>86</v>
      </c>
      <c r="D1481" s="108">
        <v>78.5</v>
      </c>
      <c r="E1481" s="34" t="s">
        <v>79</v>
      </c>
      <c r="F1481" s="110">
        <v>9.25</v>
      </c>
      <c r="G1481" s="36">
        <f t="shared" si="302"/>
        <v>58.274999999999999</v>
      </c>
      <c r="H1481" s="37">
        <v>24</v>
      </c>
      <c r="I1481" s="109">
        <f t="shared" si="303"/>
        <v>1398.6</v>
      </c>
      <c r="J1481" s="36">
        <v>1400</v>
      </c>
    </row>
    <row r="1482" spans="1:10" x14ac:dyDescent="0.25">
      <c r="A1482" s="31" t="s">
        <v>352</v>
      </c>
      <c r="B1482" s="50" t="s">
        <v>324</v>
      </c>
      <c r="C1482" s="34" t="s">
        <v>75</v>
      </c>
      <c r="D1482" s="108" t="s">
        <v>38</v>
      </c>
      <c r="E1482" s="34" t="s">
        <v>79</v>
      </c>
      <c r="F1482" s="36">
        <v>3.4</v>
      </c>
      <c r="G1482" s="36">
        <f t="shared" si="302"/>
        <v>21.419999999999998</v>
      </c>
      <c r="H1482" s="37">
        <v>24</v>
      </c>
      <c r="I1482" s="109">
        <f t="shared" si="303"/>
        <v>514.07999999999993</v>
      </c>
      <c r="J1482" s="36">
        <v>500</v>
      </c>
    </row>
    <row r="1483" spans="1:10" x14ac:dyDescent="0.25">
      <c r="A1483" s="31" t="s">
        <v>352</v>
      </c>
      <c r="B1483" s="75" t="s">
        <v>317</v>
      </c>
      <c r="C1483" s="111" t="s">
        <v>156</v>
      </c>
      <c r="D1483" s="111">
        <v>74.599999999999994</v>
      </c>
      <c r="E1483" s="42" t="s">
        <v>79</v>
      </c>
      <c r="F1483" s="74">
        <v>10.1</v>
      </c>
      <c r="G1483" s="36">
        <f t="shared" si="302"/>
        <v>63.629999999999995</v>
      </c>
      <c r="H1483" s="37">
        <v>24</v>
      </c>
      <c r="I1483" s="109">
        <f t="shared" si="303"/>
        <v>1527.12</v>
      </c>
      <c r="J1483" s="36">
        <v>1600</v>
      </c>
    </row>
    <row r="1484" spans="1:10" x14ac:dyDescent="0.25">
      <c r="A1484" s="31" t="s">
        <v>352</v>
      </c>
      <c r="B1484" s="37" t="s">
        <v>325</v>
      </c>
      <c r="C1484" s="34" t="s">
        <v>158</v>
      </c>
      <c r="D1484" s="46">
        <v>9.85</v>
      </c>
      <c r="E1484" s="34" t="s">
        <v>79</v>
      </c>
      <c r="F1484" s="74">
        <v>6.6</v>
      </c>
      <c r="G1484" s="36">
        <f t="shared" si="302"/>
        <v>41.58</v>
      </c>
      <c r="H1484" s="35">
        <v>24</v>
      </c>
      <c r="I1484" s="109">
        <f t="shared" si="303"/>
        <v>997.92</v>
      </c>
      <c r="J1484" s="36">
        <v>1000</v>
      </c>
    </row>
    <row r="1485" spans="1:10" x14ac:dyDescent="0.25">
      <c r="A1485" s="31" t="s">
        <v>352</v>
      </c>
      <c r="B1485" s="43" t="s">
        <v>326</v>
      </c>
      <c r="C1485" s="52" t="s">
        <v>152</v>
      </c>
      <c r="D1485" s="72">
        <v>8.84</v>
      </c>
      <c r="E1485" s="42" t="s">
        <v>79</v>
      </c>
      <c r="F1485" s="73">
        <v>8.5</v>
      </c>
      <c r="G1485" s="74">
        <f t="shared" si="302"/>
        <v>53.55</v>
      </c>
      <c r="H1485" s="91">
        <v>24</v>
      </c>
      <c r="I1485" s="328">
        <f t="shared" si="303"/>
        <v>1285.1999999999998</v>
      </c>
      <c r="J1485" s="74">
        <v>1300</v>
      </c>
    </row>
    <row r="1486" spans="1:10" ht="18.75" x14ac:dyDescent="0.3">
      <c r="A1486" s="222"/>
      <c r="B1486" s="352"/>
      <c r="C1486" s="352"/>
      <c r="D1486" s="352"/>
      <c r="E1486" s="352"/>
      <c r="F1486" s="352"/>
      <c r="G1486" s="353"/>
      <c r="H1486" s="99" t="s">
        <v>171</v>
      </c>
      <c r="I1486" s="330">
        <f>SUM(I1480:I1485)</f>
        <v>6569.6399999999994</v>
      </c>
      <c r="J1486" s="33">
        <f>SUM(J1480:J1485)</f>
        <v>6700</v>
      </c>
    </row>
    <row r="1487" spans="1:10" x14ac:dyDescent="0.25">
      <c r="A1487" s="31" t="s">
        <v>353</v>
      </c>
      <c r="B1487" s="37" t="s">
        <v>322</v>
      </c>
      <c r="C1487" s="34" t="s">
        <v>114</v>
      </c>
      <c r="D1487" s="108">
        <v>20.5</v>
      </c>
      <c r="E1487" s="34" t="s">
        <v>79</v>
      </c>
      <c r="F1487" s="109">
        <v>5.14</v>
      </c>
      <c r="G1487" s="36">
        <f t="shared" ref="G1487:G1492" si="304">F1487*6.3</f>
        <v>32.381999999999998</v>
      </c>
      <c r="H1487" s="37">
        <v>24</v>
      </c>
      <c r="I1487" s="109">
        <f t="shared" ref="I1487:I1492" si="305">G1487*H1487</f>
        <v>777.16799999999989</v>
      </c>
      <c r="J1487" s="36">
        <v>900</v>
      </c>
    </row>
    <row r="1488" spans="1:10" x14ac:dyDescent="0.25">
      <c r="A1488" s="31" t="s">
        <v>353</v>
      </c>
      <c r="B1488" s="37" t="s">
        <v>323</v>
      </c>
      <c r="C1488" s="34" t="s">
        <v>86</v>
      </c>
      <c r="D1488" s="108"/>
      <c r="E1488" s="34" t="s">
        <v>79</v>
      </c>
      <c r="F1488" s="110">
        <v>0</v>
      </c>
      <c r="G1488" s="36">
        <f t="shared" si="304"/>
        <v>0</v>
      </c>
      <c r="H1488" s="37">
        <v>24</v>
      </c>
      <c r="I1488" s="109">
        <f t="shared" si="305"/>
        <v>0</v>
      </c>
      <c r="J1488" s="36">
        <v>1400</v>
      </c>
    </row>
    <row r="1489" spans="1:10" x14ac:dyDescent="0.25">
      <c r="A1489" s="31" t="s">
        <v>353</v>
      </c>
      <c r="B1489" s="50" t="s">
        <v>324</v>
      </c>
      <c r="C1489" s="34" t="s">
        <v>75</v>
      </c>
      <c r="D1489" s="108" t="s">
        <v>38</v>
      </c>
      <c r="E1489" s="34" t="s">
        <v>79</v>
      </c>
      <c r="F1489" s="36">
        <v>3.4</v>
      </c>
      <c r="G1489" s="36">
        <f t="shared" si="304"/>
        <v>21.419999999999998</v>
      </c>
      <c r="H1489" s="37">
        <v>24</v>
      </c>
      <c r="I1489" s="109">
        <f t="shared" si="305"/>
        <v>514.07999999999993</v>
      </c>
      <c r="J1489" s="36">
        <v>500</v>
      </c>
    </row>
    <row r="1490" spans="1:10" x14ac:dyDescent="0.25">
      <c r="A1490" s="31" t="s">
        <v>353</v>
      </c>
      <c r="B1490" s="75" t="s">
        <v>317</v>
      </c>
      <c r="C1490" s="111" t="s">
        <v>156</v>
      </c>
      <c r="D1490" s="111">
        <v>74.599999999999994</v>
      </c>
      <c r="E1490" s="42" t="s">
        <v>79</v>
      </c>
      <c r="F1490" s="74">
        <v>10.1</v>
      </c>
      <c r="G1490" s="36">
        <f t="shared" si="304"/>
        <v>63.629999999999995</v>
      </c>
      <c r="H1490" s="37">
        <v>24</v>
      </c>
      <c r="I1490" s="109">
        <f t="shared" si="305"/>
        <v>1527.12</v>
      </c>
      <c r="J1490" s="36">
        <v>1600</v>
      </c>
    </row>
    <row r="1491" spans="1:10" x14ac:dyDescent="0.25">
      <c r="A1491" s="31" t="s">
        <v>353</v>
      </c>
      <c r="B1491" s="37" t="s">
        <v>325</v>
      </c>
      <c r="C1491" s="34" t="s">
        <v>158</v>
      </c>
      <c r="D1491" s="46">
        <v>9.85</v>
      </c>
      <c r="E1491" s="34" t="s">
        <v>79</v>
      </c>
      <c r="F1491" s="74">
        <v>6.8</v>
      </c>
      <c r="G1491" s="36">
        <f t="shared" si="304"/>
        <v>42.839999999999996</v>
      </c>
      <c r="H1491" s="35">
        <v>24</v>
      </c>
      <c r="I1491" s="109">
        <f t="shared" si="305"/>
        <v>1028.1599999999999</v>
      </c>
      <c r="J1491" s="36">
        <v>1000</v>
      </c>
    </row>
    <row r="1492" spans="1:10" x14ac:dyDescent="0.25">
      <c r="A1492" s="31" t="s">
        <v>353</v>
      </c>
      <c r="B1492" s="43" t="s">
        <v>326</v>
      </c>
      <c r="C1492" s="52" t="s">
        <v>152</v>
      </c>
      <c r="D1492" s="72">
        <v>8.84</v>
      </c>
      <c r="E1492" s="42" t="s">
        <v>79</v>
      </c>
      <c r="F1492" s="73">
        <v>8.9</v>
      </c>
      <c r="G1492" s="74">
        <f t="shared" si="304"/>
        <v>56.07</v>
      </c>
      <c r="H1492" s="91">
        <v>24</v>
      </c>
      <c r="I1492" s="328">
        <f t="shared" si="305"/>
        <v>1345.68</v>
      </c>
      <c r="J1492" s="74">
        <v>1300</v>
      </c>
    </row>
    <row r="1493" spans="1:10" ht="18.75" x14ac:dyDescent="0.3">
      <c r="A1493" s="222"/>
      <c r="B1493" s="352"/>
      <c r="C1493" s="352"/>
      <c r="D1493" s="352"/>
      <c r="E1493" s="352"/>
      <c r="F1493" s="352"/>
      <c r="G1493" s="353"/>
      <c r="H1493" s="99" t="s">
        <v>171</v>
      </c>
      <c r="I1493" s="330">
        <f>SUM(I1487:I1492)</f>
        <v>5192.2079999999996</v>
      </c>
      <c r="J1493" s="33">
        <f>SUM(J1487:J1492)</f>
        <v>6700</v>
      </c>
    </row>
    <row r="1494" spans="1:10" x14ac:dyDescent="0.25">
      <c r="A1494" s="31" t="s">
        <v>354</v>
      </c>
      <c r="B1494" s="37" t="s">
        <v>322</v>
      </c>
      <c r="C1494" s="34" t="s">
        <v>114</v>
      </c>
      <c r="D1494" s="108">
        <v>22.5</v>
      </c>
      <c r="E1494" s="34" t="s">
        <v>79</v>
      </c>
      <c r="F1494" s="109">
        <v>4.8499999999999996</v>
      </c>
      <c r="G1494" s="36">
        <f t="shared" ref="G1494:G1499" si="306">F1494*6.3</f>
        <v>30.554999999999996</v>
      </c>
      <c r="H1494" s="37">
        <v>24</v>
      </c>
      <c r="I1494" s="109">
        <f t="shared" ref="I1494:I1499" si="307">G1494*H1494</f>
        <v>733.31999999999994</v>
      </c>
      <c r="J1494" s="36">
        <v>900</v>
      </c>
    </row>
    <row r="1495" spans="1:10" x14ac:dyDescent="0.25">
      <c r="A1495" s="31" t="s">
        <v>354</v>
      </c>
      <c r="B1495" s="37" t="s">
        <v>323</v>
      </c>
      <c r="C1495" s="34" t="s">
        <v>86</v>
      </c>
      <c r="D1495" s="108"/>
      <c r="E1495" s="34" t="s">
        <v>79</v>
      </c>
      <c r="F1495" s="110">
        <v>0</v>
      </c>
      <c r="G1495" s="36">
        <f t="shared" si="306"/>
        <v>0</v>
      </c>
      <c r="H1495" s="37">
        <v>24</v>
      </c>
      <c r="I1495" s="109">
        <f t="shared" si="307"/>
        <v>0</v>
      </c>
      <c r="J1495" s="36">
        <v>1400</v>
      </c>
    </row>
    <row r="1496" spans="1:10" x14ac:dyDescent="0.25">
      <c r="A1496" s="31" t="s">
        <v>354</v>
      </c>
      <c r="B1496" s="50" t="s">
        <v>324</v>
      </c>
      <c r="C1496" s="34" t="s">
        <v>75</v>
      </c>
      <c r="D1496" s="108" t="s">
        <v>38</v>
      </c>
      <c r="E1496" s="34" t="s">
        <v>79</v>
      </c>
      <c r="F1496" s="36">
        <v>3.4</v>
      </c>
      <c r="G1496" s="36">
        <f t="shared" si="306"/>
        <v>21.419999999999998</v>
      </c>
      <c r="H1496" s="37">
        <v>24</v>
      </c>
      <c r="I1496" s="109">
        <f t="shared" si="307"/>
        <v>514.07999999999993</v>
      </c>
      <c r="J1496" s="36">
        <v>500</v>
      </c>
    </row>
    <row r="1497" spans="1:10" x14ac:dyDescent="0.25">
      <c r="A1497" s="31" t="s">
        <v>354</v>
      </c>
      <c r="B1497" s="75" t="s">
        <v>317</v>
      </c>
      <c r="C1497" s="111" t="s">
        <v>156</v>
      </c>
      <c r="D1497" s="111">
        <v>74.599999999999994</v>
      </c>
      <c r="E1497" s="42" t="s">
        <v>79</v>
      </c>
      <c r="F1497" s="74">
        <v>10.1</v>
      </c>
      <c r="G1497" s="36">
        <f t="shared" si="306"/>
        <v>63.629999999999995</v>
      </c>
      <c r="H1497" s="37">
        <v>24</v>
      </c>
      <c r="I1497" s="109">
        <f t="shared" si="307"/>
        <v>1527.12</v>
      </c>
      <c r="J1497" s="36">
        <v>1600</v>
      </c>
    </row>
    <row r="1498" spans="1:10" x14ac:dyDescent="0.25">
      <c r="A1498" s="31" t="s">
        <v>354</v>
      </c>
      <c r="B1498" s="37" t="s">
        <v>325</v>
      </c>
      <c r="C1498" s="34" t="s">
        <v>158</v>
      </c>
      <c r="D1498" s="46">
        <v>9.8000000000000007</v>
      </c>
      <c r="E1498" s="34" t="s">
        <v>79</v>
      </c>
      <c r="F1498" s="74">
        <v>6.85</v>
      </c>
      <c r="G1498" s="36">
        <f t="shared" si="306"/>
        <v>43.154999999999994</v>
      </c>
      <c r="H1498" s="37">
        <v>24</v>
      </c>
      <c r="I1498" s="109">
        <f t="shared" si="307"/>
        <v>1035.7199999999998</v>
      </c>
      <c r="J1498" s="36">
        <v>1000</v>
      </c>
    </row>
    <row r="1499" spans="1:10" x14ac:dyDescent="0.25">
      <c r="A1499" s="31" t="s">
        <v>354</v>
      </c>
      <c r="B1499" s="37" t="s">
        <v>326</v>
      </c>
      <c r="C1499" s="46" t="s">
        <v>152</v>
      </c>
      <c r="D1499" s="72">
        <v>8.9</v>
      </c>
      <c r="E1499" s="34" t="s">
        <v>79</v>
      </c>
      <c r="F1499" s="73">
        <v>8.82</v>
      </c>
      <c r="G1499" s="36">
        <f t="shared" si="306"/>
        <v>55.566000000000003</v>
      </c>
      <c r="H1499" s="37">
        <v>24</v>
      </c>
      <c r="I1499" s="329">
        <f t="shared" si="307"/>
        <v>1333.5840000000001</v>
      </c>
      <c r="J1499" s="36">
        <v>1300</v>
      </c>
    </row>
    <row r="1500" spans="1:10" ht="18.75" x14ac:dyDescent="0.3">
      <c r="B1500" s="331"/>
      <c r="C1500" s="331"/>
      <c r="D1500" s="331"/>
      <c r="E1500" s="331"/>
      <c r="F1500" s="331"/>
      <c r="G1500" s="332"/>
      <c r="H1500" s="99" t="s">
        <v>171</v>
      </c>
      <c r="I1500" s="330">
        <f>SUM(I1494:I1499)</f>
        <v>5143.8239999999996</v>
      </c>
      <c r="J1500" s="33">
        <f>SUM(J1494:J1499)</f>
        <v>6700</v>
      </c>
    </row>
    <row r="1501" spans="1:10" x14ac:dyDescent="0.25">
      <c r="A1501" s="31" t="s">
        <v>355</v>
      </c>
      <c r="B1501" s="37" t="s">
        <v>322</v>
      </c>
      <c r="C1501" s="34" t="s">
        <v>114</v>
      </c>
      <c r="D1501" s="108">
        <v>22.5</v>
      </c>
      <c r="E1501" s="34" t="s">
        <v>79</v>
      </c>
      <c r="F1501" s="109">
        <v>4.7699999999999996</v>
      </c>
      <c r="G1501" s="36">
        <f t="shared" ref="G1501:G1506" si="308">F1501*6.3</f>
        <v>30.050999999999995</v>
      </c>
      <c r="H1501" s="37">
        <v>24</v>
      </c>
      <c r="I1501" s="109">
        <f t="shared" ref="I1501:I1506" si="309">G1501*H1501</f>
        <v>721.22399999999993</v>
      </c>
      <c r="J1501" s="36">
        <v>900</v>
      </c>
    </row>
    <row r="1502" spans="1:10" x14ac:dyDescent="0.25">
      <c r="A1502" s="31" t="s">
        <v>355</v>
      </c>
      <c r="B1502" s="37" t="s">
        <v>323</v>
      </c>
      <c r="C1502" s="34" t="s">
        <v>86</v>
      </c>
      <c r="D1502" s="108"/>
      <c r="E1502" s="34" t="s">
        <v>79</v>
      </c>
      <c r="F1502" s="110">
        <v>0</v>
      </c>
      <c r="G1502" s="36">
        <f t="shared" si="308"/>
        <v>0</v>
      </c>
      <c r="H1502" s="37">
        <v>24</v>
      </c>
      <c r="I1502" s="109">
        <f t="shared" si="309"/>
        <v>0</v>
      </c>
      <c r="J1502" s="36">
        <v>1400</v>
      </c>
    </row>
    <row r="1503" spans="1:10" x14ac:dyDescent="0.25">
      <c r="A1503" s="31" t="s">
        <v>355</v>
      </c>
      <c r="B1503" s="50" t="s">
        <v>324</v>
      </c>
      <c r="C1503" s="34" t="s">
        <v>75</v>
      </c>
      <c r="D1503" s="108" t="s">
        <v>38</v>
      </c>
      <c r="E1503" s="34" t="s">
        <v>79</v>
      </c>
      <c r="F1503" s="36">
        <v>3.4</v>
      </c>
      <c r="G1503" s="36">
        <f t="shared" si="308"/>
        <v>21.419999999999998</v>
      </c>
      <c r="H1503" s="37">
        <v>24</v>
      </c>
      <c r="I1503" s="109">
        <f t="shared" si="309"/>
        <v>514.07999999999993</v>
      </c>
      <c r="J1503" s="36">
        <v>500</v>
      </c>
    </row>
    <row r="1504" spans="1:10" x14ac:dyDescent="0.25">
      <c r="A1504" s="31" t="s">
        <v>355</v>
      </c>
      <c r="B1504" s="75" t="s">
        <v>317</v>
      </c>
      <c r="C1504" s="111" t="s">
        <v>156</v>
      </c>
      <c r="D1504" s="111">
        <v>78.459999999999994</v>
      </c>
      <c r="E1504" s="42" t="s">
        <v>79</v>
      </c>
      <c r="F1504" s="74">
        <v>10.11</v>
      </c>
      <c r="G1504" s="36">
        <f t="shared" si="308"/>
        <v>63.692999999999998</v>
      </c>
      <c r="H1504" s="37">
        <v>24</v>
      </c>
      <c r="I1504" s="109">
        <f t="shared" si="309"/>
        <v>1528.6320000000001</v>
      </c>
      <c r="J1504" s="36">
        <v>1600</v>
      </c>
    </row>
    <row r="1505" spans="1:10" x14ac:dyDescent="0.25">
      <c r="A1505" s="31" t="s">
        <v>355</v>
      </c>
      <c r="B1505" s="37" t="s">
        <v>325</v>
      </c>
      <c r="C1505" s="34" t="s">
        <v>158</v>
      </c>
      <c r="D1505" s="46">
        <v>10.46</v>
      </c>
      <c r="E1505" s="34" t="s">
        <v>79</v>
      </c>
      <c r="F1505" s="74">
        <v>6.96</v>
      </c>
      <c r="G1505" s="36">
        <f t="shared" si="308"/>
        <v>43.847999999999999</v>
      </c>
      <c r="H1505" s="37">
        <v>24</v>
      </c>
      <c r="I1505" s="109">
        <f t="shared" si="309"/>
        <v>1052.3519999999999</v>
      </c>
      <c r="J1505" s="36">
        <v>1000</v>
      </c>
    </row>
    <row r="1506" spans="1:10" x14ac:dyDescent="0.25">
      <c r="A1506" s="31" t="s">
        <v>355</v>
      </c>
      <c r="B1506" s="37" t="s">
        <v>326</v>
      </c>
      <c r="C1506" s="46" t="s">
        <v>152</v>
      </c>
      <c r="D1506" s="72">
        <v>9.16</v>
      </c>
      <c r="E1506" s="34" t="s">
        <v>79</v>
      </c>
      <c r="F1506" s="73">
        <v>8.86</v>
      </c>
      <c r="G1506" s="36">
        <f t="shared" si="308"/>
        <v>55.817999999999998</v>
      </c>
      <c r="H1506" s="37">
        <v>24</v>
      </c>
      <c r="I1506" s="329">
        <f t="shared" si="309"/>
        <v>1339.6320000000001</v>
      </c>
      <c r="J1506" s="36">
        <v>1300</v>
      </c>
    </row>
    <row r="1507" spans="1:10" ht="18.75" x14ac:dyDescent="0.3">
      <c r="B1507" s="331"/>
      <c r="C1507" s="331"/>
      <c r="D1507" s="331"/>
      <c r="E1507" s="331"/>
      <c r="F1507" s="331"/>
      <c r="G1507" s="332"/>
      <c r="H1507" s="99" t="s">
        <v>171</v>
      </c>
      <c r="I1507" s="330">
        <f>SUM(I1501:I1506)</f>
        <v>5155.92</v>
      </c>
      <c r="J1507" s="33">
        <f>SUM(J1501:J1506)</f>
        <v>6700</v>
      </c>
    </row>
    <row r="1508" spans="1:10" x14ac:dyDescent="0.25">
      <c r="A1508" s="31" t="s">
        <v>356</v>
      </c>
      <c r="B1508" s="37" t="s">
        <v>322</v>
      </c>
      <c r="C1508" s="34" t="s">
        <v>114</v>
      </c>
      <c r="D1508" s="108">
        <v>22.5</v>
      </c>
      <c r="E1508" s="34" t="s">
        <v>79</v>
      </c>
      <c r="F1508" s="109">
        <v>4.6500000000000004</v>
      </c>
      <c r="G1508" s="36">
        <f t="shared" ref="G1508:G1513" si="310">F1508*6.3</f>
        <v>29.295000000000002</v>
      </c>
      <c r="H1508" s="37">
        <v>24</v>
      </c>
      <c r="I1508" s="109">
        <f t="shared" ref="I1508:I1513" si="311">G1508*H1508</f>
        <v>703.08</v>
      </c>
      <c r="J1508" s="36">
        <v>900</v>
      </c>
    </row>
    <row r="1509" spans="1:10" x14ac:dyDescent="0.25">
      <c r="A1509" s="31" t="s">
        <v>356</v>
      </c>
      <c r="B1509" s="37" t="s">
        <v>323</v>
      </c>
      <c r="C1509" s="34" t="s">
        <v>86</v>
      </c>
      <c r="D1509" s="108">
        <v>80.41</v>
      </c>
      <c r="E1509" s="34" t="s">
        <v>79</v>
      </c>
      <c r="F1509" s="110">
        <v>9.1999999999999993</v>
      </c>
      <c r="G1509" s="36">
        <f t="shared" si="310"/>
        <v>57.959999999999994</v>
      </c>
      <c r="H1509" s="37">
        <v>11.5</v>
      </c>
      <c r="I1509" s="109">
        <f t="shared" si="311"/>
        <v>666.54</v>
      </c>
      <c r="J1509" s="36">
        <v>1400</v>
      </c>
    </row>
    <row r="1510" spans="1:10" x14ac:dyDescent="0.25">
      <c r="A1510" s="31" t="s">
        <v>356</v>
      </c>
      <c r="B1510" s="50" t="s">
        <v>324</v>
      </c>
      <c r="C1510" s="34" t="s">
        <v>75</v>
      </c>
      <c r="D1510" s="108" t="s">
        <v>38</v>
      </c>
      <c r="E1510" s="34" t="s">
        <v>79</v>
      </c>
      <c r="F1510" s="36">
        <v>3.4</v>
      </c>
      <c r="G1510" s="36">
        <f t="shared" si="310"/>
        <v>21.419999999999998</v>
      </c>
      <c r="H1510" s="37">
        <v>24</v>
      </c>
      <c r="I1510" s="109">
        <f t="shared" si="311"/>
        <v>514.07999999999993</v>
      </c>
      <c r="J1510" s="36">
        <v>500</v>
      </c>
    </row>
    <row r="1511" spans="1:10" x14ac:dyDescent="0.25">
      <c r="A1511" s="31" t="s">
        <v>356</v>
      </c>
      <c r="B1511" s="75" t="s">
        <v>317</v>
      </c>
      <c r="C1511" s="111" t="s">
        <v>156</v>
      </c>
      <c r="D1511" s="111">
        <v>78.459999999999994</v>
      </c>
      <c r="E1511" s="42" t="s">
        <v>79</v>
      </c>
      <c r="F1511" s="74">
        <v>10.11</v>
      </c>
      <c r="G1511" s="36">
        <f t="shared" si="310"/>
        <v>63.692999999999998</v>
      </c>
      <c r="H1511" s="37">
        <v>24</v>
      </c>
      <c r="I1511" s="109">
        <f t="shared" si="311"/>
        <v>1528.6320000000001</v>
      </c>
      <c r="J1511" s="36">
        <v>1600</v>
      </c>
    </row>
    <row r="1512" spans="1:10" x14ac:dyDescent="0.25">
      <c r="A1512" s="31" t="s">
        <v>356</v>
      </c>
      <c r="B1512" s="37" t="s">
        <v>325</v>
      </c>
      <c r="C1512" s="34" t="s">
        <v>158</v>
      </c>
      <c r="D1512" s="46">
        <v>10.7</v>
      </c>
      <c r="E1512" s="34" t="s">
        <v>79</v>
      </c>
      <c r="F1512" s="74">
        <v>7</v>
      </c>
      <c r="G1512" s="36">
        <f t="shared" si="310"/>
        <v>44.1</v>
      </c>
      <c r="H1512" s="37">
        <v>24</v>
      </c>
      <c r="I1512" s="109">
        <f t="shared" si="311"/>
        <v>1058.4000000000001</v>
      </c>
      <c r="J1512" s="36">
        <v>1000</v>
      </c>
    </row>
    <row r="1513" spans="1:10" x14ac:dyDescent="0.25">
      <c r="A1513" s="31" t="s">
        <v>356</v>
      </c>
      <c r="B1513" s="37" t="s">
        <v>326</v>
      </c>
      <c r="C1513" s="46" t="s">
        <v>152</v>
      </c>
      <c r="D1513" s="72">
        <v>9.16</v>
      </c>
      <c r="E1513" s="34" t="s">
        <v>79</v>
      </c>
      <c r="F1513" s="73">
        <v>9</v>
      </c>
      <c r="G1513" s="36">
        <f t="shared" si="310"/>
        <v>56.699999999999996</v>
      </c>
      <c r="H1513" s="37">
        <v>24</v>
      </c>
      <c r="I1513" s="329">
        <f t="shared" si="311"/>
        <v>1360.8</v>
      </c>
      <c r="J1513" s="36">
        <v>1300</v>
      </c>
    </row>
    <row r="1514" spans="1:10" ht="18.75" x14ac:dyDescent="0.3">
      <c r="B1514" s="331"/>
      <c r="C1514" s="331"/>
      <c r="D1514" s="331"/>
      <c r="E1514" s="331"/>
      <c r="F1514" s="331"/>
      <c r="G1514" s="332"/>
      <c r="H1514" s="99" t="s">
        <v>171</v>
      </c>
      <c r="I1514" s="330">
        <f>SUM(I1508:I1513)</f>
        <v>5831.5320000000002</v>
      </c>
      <c r="J1514" s="33">
        <f>SUM(J1508:J1513)</f>
        <v>6700</v>
      </c>
    </row>
    <row r="1515" spans="1:10" x14ac:dyDescent="0.25">
      <c r="A1515" s="31" t="s">
        <v>357</v>
      </c>
      <c r="B1515" s="37" t="s">
        <v>322</v>
      </c>
      <c r="C1515" s="34" t="s">
        <v>114</v>
      </c>
      <c r="D1515" s="108">
        <v>22.5</v>
      </c>
      <c r="E1515" s="34" t="s">
        <v>79</v>
      </c>
      <c r="F1515" s="109">
        <v>5.31</v>
      </c>
      <c r="G1515" s="36">
        <f t="shared" ref="G1515:G1520" si="312">F1515*6.3</f>
        <v>33.452999999999996</v>
      </c>
      <c r="H1515" s="37">
        <v>21.07</v>
      </c>
      <c r="I1515" s="109">
        <f t="shared" ref="I1515:I1520" si="313">G1515*H1515</f>
        <v>704.85470999999995</v>
      </c>
      <c r="J1515" s="36">
        <v>900</v>
      </c>
    </row>
    <row r="1516" spans="1:10" x14ac:dyDescent="0.25">
      <c r="A1516" s="31" t="s">
        <v>357</v>
      </c>
      <c r="B1516" s="37" t="s">
        <v>323</v>
      </c>
      <c r="C1516" s="34" t="s">
        <v>86</v>
      </c>
      <c r="D1516" s="108">
        <v>62.25</v>
      </c>
      <c r="E1516" s="34" t="s">
        <v>79</v>
      </c>
      <c r="F1516" s="110">
        <v>7.72</v>
      </c>
      <c r="G1516" s="36">
        <f t="shared" si="312"/>
        <v>48.635999999999996</v>
      </c>
      <c r="H1516" s="37">
        <v>24</v>
      </c>
      <c r="I1516" s="109">
        <f t="shared" si="313"/>
        <v>1167.2639999999999</v>
      </c>
      <c r="J1516" s="36">
        <v>1400</v>
      </c>
    </row>
    <row r="1517" spans="1:10" x14ac:dyDescent="0.25">
      <c r="A1517" s="31" t="s">
        <v>357</v>
      </c>
      <c r="B1517" s="50" t="s">
        <v>324</v>
      </c>
      <c r="C1517" s="34" t="s">
        <v>75</v>
      </c>
      <c r="D1517" s="108" t="s">
        <v>38</v>
      </c>
      <c r="E1517" s="34" t="s">
        <v>79</v>
      </c>
      <c r="F1517" s="36">
        <v>3.4</v>
      </c>
      <c r="G1517" s="36">
        <f t="shared" si="312"/>
        <v>21.419999999999998</v>
      </c>
      <c r="H1517" s="37">
        <v>24</v>
      </c>
      <c r="I1517" s="109">
        <f t="shared" si="313"/>
        <v>514.07999999999993</v>
      </c>
      <c r="J1517" s="36">
        <v>500</v>
      </c>
    </row>
    <row r="1518" spans="1:10" x14ac:dyDescent="0.25">
      <c r="A1518" s="31" t="s">
        <v>357</v>
      </c>
      <c r="B1518" s="75" t="s">
        <v>317</v>
      </c>
      <c r="C1518" s="111" t="s">
        <v>156</v>
      </c>
      <c r="D1518" s="111">
        <v>78.459999999999994</v>
      </c>
      <c r="E1518" s="42" t="s">
        <v>79</v>
      </c>
      <c r="F1518" s="74">
        <v>10.11</v>
      </c>
      <c r="G1518" s="36">
        <f t="shared" si="312"/>
        <v>63.692999999999998</v>
      </c>
      <c r="H1518" s="37">
        <v>24</v>
      </c>
      <c r="I1518" s="109">
        <f t="shared" si="313"/>
        <v>1528.6320000000001</v>
      </c>
      <c r="J1518" s="36">
        <v>1600</v>
      </c>
    </row>
    <row r="1519" spans="1:10" x14ac:dyDescent="0.25">
      <c r="A1519" s="31" t="s">
        <v>357</v>
      </c>
      <c r="B1519" s="37" t="s">
        <v>325</v>
      </c>
      <c r="C1519" s="34" t="s">
        <v>158</v>
      </c>
      <c r="D1519" s="46">
        <v>10.8</v>
      </c>
      <c r="E1519" s="34" t="s">
        <v>79</v>
      </c>
      <c r="F1519" s="74">
        <v>6.9</v>
      </c>
      <c r="G1519" s="36">
        <f t="shared" si="312"/>
        <v>43.47</v>
      </c>
      <c r="H1519" s="37">
        <v>24</v>
      </c>
      <c r="I1519" s="109">
        <f t="shared" si="313"/>
        <v>1043.28</v>
      </c>
      <c r="J1519" s="36">
        <v>1000</v>
      </c>
    </row>
    <row r="1520" spans="1:10" x14ac:dyDescent="0.25">
      <c r="A1520" s="31" t="s">
        <v>357</v>
      </c>
      <c r="B1520" s="37" t="s">
        <v>326</v>
      </c>
      <c r="C1520" s="46" t="s">
        <v>152</v>
      </c>
      <c r="D1520" s="72">
        <v>9.5</v>
      </c>
      <c r="E1520" s="34" t="s">
        <v>79</v>
      </c>
      <c r="F1520" s="73">
        <v>8.9</v>
      </c>
      <c r="G1520" s="36">
        <f t="shared" si="312"/>
        <v>56.07</v>
      </c>
      <c r="H1520" s="37">
        <v>24</v>
      </c>
      <c r="I1520" s="329">
        <f t="shared" si="313"/>
        <v>1345.68</v>
      </c>
      <c r="J1520" s="36">
        <v>1300</v>
      </c>
    </row>
    <row r="1521" spans="1:10" ht="18.75" x14ac:dyDescent="0.3">
      <c r="B1521" s="331"/>
      <c r="C1521" s="331"/>
      <c r="D1521" s="331"/>
      <c r="E1521" s="331"/>
      <c r="F1521" s="331"/>
      <c r="G1521" s="332"/>
      <c r="H1521" s="99" t="s">
        <v>171</v>
      </c>
      <c r="I1521" s="330">
        <f>SUM(I1515:I1520)</f>
        <v>6303.7907100000002</v>
      </c>
      <c r="J1521" s="33">
        <f>SUM(J1515:J1520)</f>
        <v>6700</v>
      </c>
    </row>
    <row r="1522" spans="1:10" x14ac:dyDescent="0.25">
      <c r="A1522" s="31" t="s">
        <v>358</v>
      </c>
      <c r="B1522" s="37" t="s">
        <v>322</v>
      </c>
      <c r="C1522" s="34" t="s">
        <v>114</v>
      </c>
      <c r="D1522" s="108">
        <v>0</v>
      </c>
      <c r="E1522" s="34" t="s">
        <v>79</v>
      </c>
      <c r="F1522" s="109">
        <v>0</v>
      </c>
      <c r="G1522" s="36">
        <f t="shared" ref="G1522:G1527" si="314">F1522*6.3</f>
        <v>0</v>
      </c>
      <c r="H1522" s="37">
        <v>24</v>
      </c>
      <c r="I1522" s="109">
        <f t="shared" ref="I1522:I1527" si="315">G1522*H1522</f>
        <v>0</v>
      </c>
      <c r="J1522" s="36">
        <v>900</v>
      </c>
    </row>
    <row r="1523" spans="1:10" x14ac:dyDescent="0.25">
      <c r="A1523" s="31" t="s">
        <v>358</v>
      </c>
      <c r="B1523" s="37" t="s">
        <v>323</v>
      </c>
      <c r="C1523" s="34" t="s">
        <v>86</v>
      </c>
      <c r="D1523" s="108">
        <v>61.25</v>
      </c>
      <c r="E1523" s="34" t="s">
        <v>79</v>
      </c>
      <c r="F1523" s="110">
        <v>8.85</v>
      </c>
      <c r="G1523" s="36">
        <f t="shared" si="314"/>
        <v>55.754999999999995</v>
      </c>
      <c r="H1523" s="37">
        <v>24</v>
      </c>
      <c r="I1523" s="109">
        <f t="shared" si="315"/>
        <v>1338.12</v>
      </c>
      <c r="J1523" s="36">
        <v>1400</v>
      </c>
    </row>
    <row r="1524" spans="1:10" x14ac:dyDescent="0.25">
      <c r="A1524" s="31" t="s">
        <v>358</v>
      </c>
      <c r="B1524" s="50" t="s">
        <v>324</v>
      </c>
      <c r="C1524" s="34" t="s">
        <v>75</v>
      </c>
      <c r="D1524" s="108" t="s">
        <v>38</v>
      </c>
      <c r="E1524" s="34" t="s">
        <v>79</v>
      </c>
      <c r="F1524" s="36">
        <v>3.4</v>
      </c>
      <c r="G1524" s="36">
        <f t="shared" si="314"/>
        <v>21.419999999999998</v>
      </c>
      <c r="H1524" s="37">
        <v>24</v>
      </c>
      <c r="I1524" s="109">
        <f t="shared" si="315"/>
        <v>514.07999999999993</v>
      </c>
      <c r="J1524" s="36">
        <v>500</v>
      </c>
    </row>
    <row r="1525" spans="1:10" x14ac:dyDescent="0.25">
      <c r="A1525" s="31" t="s">
        <v>358</v>
      </c>
      <c r="B1525" s="75" t="s">
        <v>317</v>
      </c>
      <c r="C1525" s="111" t="s">
        <v>156</v>
      </c>
      <c r="D1525" s="111">
        <v>78.459999999999994</v>
      </c>
      <c r="E1525" s="42" t="s">
        <v>79</v>
      </c>
      <c r="F1525" s="74">
        <v>10.11</v>
      </c>
      <c r="G1525" s="36">
        <f t="shared" si="314"/>
        <v>63.692999999999998</v>
      </c>
      <c r="H1525" s="37">
        <v>24</v>
      </c>
      <c r="I1525" s="109">
        <f t="shared" si="315"/>
        <v>1528.6320000000001</v>
      </c>
      <c r="J1525" s="36">
        <v>1600</v>
      </c>
    </row>
    <row r="1526" spans="1:10" x14ac:dyDescent="0.25">
      <c r="A1526" s="31" t="s">
        <v>358</v>
      </c>
      <c r="B1526" s="37" t="s">
        <v>325</v>
      </c>
      <c r="C1526" s="34" t="s">
        <v>158</v>
      </c>
      <c r="D1526" s="46">
        <v>10.8</v>
      </c>
      <c r="E1526" s="34" t="s">
        <v>79</v>
      </c>
      <c r="F1526" s="74">
        <v>6.9</v>
      </c>
      <c r="G1526" s="36">
        <f t="shared" si="314"/>
        <v>43.47</v>
      </c>
      <c r="H1526" s="37">
        <v>24</v>
      </c>
      <c r="I1526" s="109">
        <f t="shared" si="315"/>
        <v>1043.28</v>
      </c>
      <c r="J1526" s="36">
        <v>1000</v>
      </c>
    </row>
    <row r="1527" spans="1:10" x14ac:dyDescent="0.25">
      <c r="A1527" s="31" t="s">
        <v>358</v>
      </c>
      <c r="B1527" s="37" t="s">
        <v>326</v>
      </c>
      <c r="C1527" s="46" t="s">
        <v>152</v>
      </c>
      <c r="D1527" s="72">
        <v>9.4</v>
      </c>
      <c r="E1527" s="34" t="s">
        <v>79</v>
      </c>
      <c r="F1527" s="73">
        <v>8.9</v>
      </c>
      <c r="G1527" s="36">
        <f t="shared" si="314"/>
        <v>56.07</v>
      </c>
      <c r="H1527" s="37">
        <v>24</v>
      </c>
      <c r="I1527" s="329">
        <f t="shared" si="315"/>
        <v>1345.68</v>
      </c>
      <c r="J1527" s="36">
        <v>1300</v>
      </c>
    </row>
    <row r="1528" spans="1:10" ht="18.75" x14ac:dyDescent="0.3">
      <c r="B1528" s="331"/>
      <c r="C1528" s="331"/>
      <c r="D1528" s="331"/>
      <c r="E1528" s="331"/>
      <c r="F1528" s="331"/>
      <c r="G1528" s="332"/>
      <c r="H1528" s="99" t="s">
        <v>171</v>
      </c>
      <c r="I1528" s="330">
        <f>SUM(I1522:I1527)</f>
        <v>5769.7920000000004</v>
      </c>
      <c r="J1528" s="33">
        <f>SUM(J1522:J1527)</f>
        <v>6700</v>
      </c>
    </row>
    <row r="1529" spans="1:10" x14ac:dyDescent="0.25">
      <c r="A1529" s="31" t="s">
        <v>359</v>
      </c>
      <c r="B1529" s="37" t="s">
        <v>322</v>
      </c>
      <c r="C1529" s="34" t="s">
        <v>114</v>
      </c>
      <c r="D1529" s="108">
        <v>0</v>
      </c>
      <c r="E1529" s="34" t="s">
        <v>79</v>
      </c>
      <c r="F1529" s="109">
        <v>0</v>
      </c>
      <c r="G1529" s="36">
        <f t="shared" ref="G1529:G1534" si="316">F1529*6.3</f>
        <v>0</v>
      </c>
      <c r="H1529" s="37">
        <v>24</v>
      </c>
      <c r="I1529" s="109">
        <f t="shared" ref="I1529:I1534" si="317">G1529*H1529</f>
        <v>0</v>
      </c>
      <c r="J1529" s="36">
        <v>900</v>
      </c>
    </row>
    <row r="1530" spans="1:10" x14ac:dyDescent="0.25">
      <c r="A1530" s="31" t="s">
        <v>359</v>
      </c>
      <c r="B1530" s="37" t="s">
        <v>323</v>
      </c>
      <c r="C1530" s="34" t="s">
        <v>86</v>
      </c>
      <c r="D1530" s="108">
        <v>81.5</v>
      </c>
      <c r="E1530" s="34" t="s">
        <v>79</v>
      </c>
      <c r="F1530" s="110">
        <v>9.1999999999999993</v>
      </c>
      <c r="G1530" s="36">
        <f t="shared" si="316"/>
        <v>57.959999999999994</v>
      </c>
      <c r="H1530" s="37">
        <v>24</v>
      </c>
      <c r="I1530" s="109">
        <f t="shared" si="317"/>
        <v>1391.04</v>
      </c>
      <c r="J1530" s="36">
        <v>1400</v>
      </c>
    </row>
    <row r="1531" spans="1:10" x14ac:dyDescent="0.25">
      <c r="A1531" s="31" t="s">
        <v>359</v>
      </c>
      <c r="B1531" s="50" t="s">
        <v>324</v>
      </c>
      <c r="C1531" s="34" t="s">
        <v>75</v>
      </c>
      <c r="D1531" s="108" t="s">
        <v>38</v>
      </c>
      <c r="E1531" s="34" t="s">
        <v>79</v>
      </c>
      <c r="F1531" s="36">
        <v>3.4</v>
      </c>
      <c r="G1531" s="36">
        <f t="shared" si="316"/>
        <v>21.419999999999998</v>
      </c>
      <c r="H1531" s="37">
        <v>24</v>
      </c>
      <c r="I1531" s="109">
        <f t="shared" si="317"/>
        <v>514.07999999999993</v>
      </c>
      <c r="J1531" s="36">
        <v>500</v>
      </c>
    </row>
    <row r="1532" spans="1:10" x14ac:dyDescent="0.25">
      <c r="A1532" s="31" t="s">
        <v>359</v>
      </c>
      <c r="B1532" s="75" t="s">
        <v>317</v>
      </c>
      <c r="C1532" s="111" t="s">
        <v>156</v>
      </c>
      <c r="D1532" s="111">
        <v>78.459999999999994</v>
      </c>
      <c r="E1532" s="42" t="s">
        <v>79</v>
      </c>
      <c r="F1532" s="74">
        <v>10.11</v>
      </c>
      <c r="G1532" s="36">
        <f t="shared" si="316"/>
        <v>63.692999999999998</v>
      </c>
      <c r="H1532" s="37">
        <v>24</v>
      </c>
      <c r="I1532" s="109">
        <f t="shared" si="317"/>
        <v>1528.6320000000001</v>
      </c>
      <c r="J1532" s="36">
        <v>1600</v>
      </c>
    </row>
    <row r="1533" spans="1:10" x14ac:dyDescent="0.25">
      <c r="A1533" s="31" t="s">
        <v>359</v>
      </c>
      <c r="B1533" s="37" t="s">
        <v>325</v>
      </c>
      <c r="C1533" s="34" t="s">
        <v>158</v>
      </c>
      <c r="D1533" s="46">
        <v>10.8</v>
      </c>
      <c r="E1533" s="34" t="s">
        <v>79</v>
      </c>
      <c r="F1533" s="74">
        <v>6.9</v>
      </c>
      <c r="G1533" s="36">
        <f t="shared" si="316"/>
        <v>43.47</v>
      </c>
      <c r="H1533" s="37">
        <v>24</v>
      </c>
      <c r="I1533" s="109">
        <f t="shared" si="317"/>
        <v>1043.28</v>
      </c>
      <c r="J1533" s="36">
        <v>1000</v>
      </c>
    </row>
    <row r="1534" spans="1:10" x14ac:dyDescent="0.25">
      <c r="A1534" s="31" t="s">
        <v>359</v>
      </c>
      <c r="B1534" s="37" t="s">
        <v>326</v>
      </c>
      <c r="C1534" s="46" t="s">
        <v>152</v>
      </c>
      <c r="D1534" s="72">
        <v>9.4</v>
      </c>
      <c r="E1534" s="34" t="s">
        <v>79</v>
      </c>
      <c r="F1534" s="73">
        <v>8.9</v>
      </c>
      <c r="G1534" s="36">
        <f t="shared" si="316"/>
        <v>56.07</v>
      </c>
      <c r="H1534" s="37">
        <v>24</v>
      </c>
      <c r="I1534" s="329">
        <f t="shared" si="317"/>
        <v>1345.68</v>
      </c>
      <c r="J1534" s="36">
        <v>1300</v>
      </c>
    </row>
    <row r="1535" spans="1:10" ht="18.75" x14ac:dyDescent="0.3">
      <c r="H1535" s="99" t="s">
        <v>171</v>
      </c>
      <c r="I1535" s="330">
        <f>SUM(I1529:I1534)</f>
        <v>5822.7120000000004</v>
      </c>
      <c r="J1535" s="33">
        <f>SUM(J1529:J1534)</f>
        <v>6700</v>
      </c>
    </row>
    <row r="1536" spans="1:10" x14ac:dyDescent="0.25">
      <c r="A1536" s="31" t="s">
        <v>360</v>
      </c>
      <c r="B1536" s="37" t="s">
        <v>322</v>
      </c>
      <c r="C1536" s="34" t="s">
        <v>114</v>
      </c>
      <c r="D1536" s="108">
        <v>0</v>
      </c>
      <c r="E1536" s="34" t="s">
        <v>79</v>
      </c>
      <c r="F1536" s="109">
        <v>0</v>
      </c>
      <c r="G1536" s="36">
        <f t="shared" ref="G1536:G1541" si="318">F1536*6.3</f>
        <v>0</v>
      </c>
      <c r="H1536" s="37">
        <v>0</v>
      </c>
      <c r="I1536" s="109">
        <f t="shared" ref="I1536:I1541" si="319">G1536*H1536</f>
        <v>0</v>
      </c>
      <c r="J1536" s="36">
        <v>900</v>
      </c>
    </row>
    <row r="1537" spans="1:10" x14ac:dyDescent="0.25">
      <c r="A1537" s="31" t="s">
        <v>360</v>
      </c>
      <c r="B1537" s="37" t="s">
        <v>323</v>
      </c>
      <c r="C1537" s="34" t="s">
        <v>86</v>
      </c>
      <c r="D1537" s="108">
        <v>81.5</v>
      </c>
      <c r="E1537" s="34" t="s">
        <v>79</v>
      </c>
      <c r="F1537" s="110">
        <v>8</v>
      </c>
      <c r="G1537" s="36">
        <f t="shared" si="318"/>
        <v>50.4</v>
      </c>
      <c r="H1537" s="37">
        <v>20</v>
      </c>
      <c r="I1537" s="109">
        <f t="shared" si="319"/>
        <v>1008</v>
      </c>
      <c r="J1537" s="36">
        <v>1400</v>
      </c>
    </row>
    <row r="1538" spans="1:10" x14ac:dyDescent="0.25">
      <c r="A1538" s="31" t="s">
        <v>360</v>
      </c>
      <c r="B1538" s="50" t="s">
        <v>324</v>
      </c>
      <c r="C1538" s="34" t="s">
        <v>75</v>
      </c>
      <c r="D1538" s="108" t="s">
        <v>38</v>
      </c>
      <c r="E1538" s="34" t="s">
        <v>79</v>
      </c>
      <c r="F1538" s="36">
        <v>3.4</v>
      </c>
      <c r="G1538" s="36">
        <f t="shared" si="318"/>
        <v>21.419999999999998</v>
      </c>
      <c r="H1538" s="37">
        <v>20</v>
      </c>
      <c r="I1538" s="109">
        <f t="shared" si="319"/>
        <v>428.4</v>
      </c>
      <c r="J1538" s="36">
        <v>500</v>
      </c>
    </row>
    <row r="1539" spans="1:10" x14ac:dyDescent="0.25">
      <c r="A1539" s="31" t="s">
        <v>360</v>
      </c>
      <c r="B1539" s="75" t="s">
        <v>317</v>
      </c>
      <c r="C1539" s="111" t="s">
        <v>156</v>
      </c>
      <c r="D1539" s="111">
        <v>78.459999999999994</v>
      </c>
      <c r="E1539" s="42" t="s">
        <v>79</v>
      </c>
      <c r="F1539" s="74">
        <v>10.11</v>
      </c>
      <c r="G1539" s="36">
        <f t="shared" si="318"/>
        <v>63.692999999999998</v>
      </c>
      <c r="H1539" s="37">
        <v>20</v>
      </c>
      <c r="I1539" s="109">
        <f t="shared" si="319"/>
        <v>1273.8599999999999</v>
      </c>
      <c r="J1539" s="36">
        <v>1600</v>
      </c>
    </row>
    <row r="1540" spans="1:10" x14ac:dyDescent="0.25">
      <c r="A1540" s="31" t="s">
        <v>360</v>
      </c>
      <c r="B1540" s="37" t="s">
        <v>325</v>
      </c>
      <c r="C1540" s="34" t="s">
        <v>158</v>
      </c>
      <c r="D1540" s="46">
        <v>10.8</v>
      </c>
      <c r="E1540" s="34" t="s">
        <v>79</v>
      </c>
      <c r="F1540" s="74">
        <v>6.9</v>
      </c>
      <c r="G1540" s="36">
        <f t="shared" si="318"/>
        <v>43.47</v>
      </c>
      <c r="H1540" s="37">
        <v>20</v>
      </c>
      <c r="I1540" s="109">
        <f t="shared" si="319"/>
        <v>869.4</v>
      </c>
      <c r="J1540" s="36">
        <v>1000</v>
      </c>
    </row>
    <row r="1541" spans="1:10" x14ac:dyDescent="0.25">
      <c r="A1541" s="31" t="s">
        <v>360</v>
      </c>
      <c r="B1541" s="37" t="s">
        <v>326</v>
      </c>
      <c r="C1541" s="46" t="s">
        <v>152</v>
      </c>
      <c r="D1541" s="72">
        <v>9.4</v>
      </c>
      <c r="E1541" s="34" t="s">
        <v>79</v>
      </c>
      <c r="F1541" s="73">
        <v>8.9</v>
      </c>
      <c r="G1541" s="36">
        <f t="shared" si="318"/>
        <v>56.07</v>
      </c>
      <c r="H1541" s="37">
        <v>20</v>
      </c>
      <c r="I1541" s="329">
        <f t="shared" si="319"/>
        <v>1121.4000000000001</v>
      </c>
      <c r="J1541" s="36">
        <v>1300</v>
      </c>
    </row>
    <row r="1542" spans="1:10" ht="18.75" x14ac:dyDescent="0.3">
      <c r="B1542" s="331"/>
      <c r="C1542" s="331"/>
      <c r="D1542" s="331"/>
      <c r="E1542" s="331"/>
      <c r="F1542" s="331"/>
      <c r="G1542" s="332"/>
      <c r="H1542" s="99" t="s">
        <v>171</v>
      </c>
      <c r="I1542" s="330">
        <f>SUM(I1536:I1541)</f>
        <v>4701.0600000000004</v>
      </c>
      <c r="J1542" s="33">
        <f>SUM(J1536:J1541)</f>
        <v>6700</v>
      </c>
    </row>
    <row r="1543" spans="1:10" x14ac:dyDescent="0.25">
      <c r="A1543" s="31" t="s">
        <v>361</v>
      </c>
      <c r="B1543" s="37" t="s">
        <v>322</v>
      </c>
      <c r="C1543" s="34" t="s">
        <v>114</v>
      </c>
      <c r="D1543" s="108">
        <v>30.2</v>
      </c>
      <c r="E1543" s="34" t="s">
        <v>79</v>
      </c>
      <c r="F1543" s="109">
        <v>5.65</v>
      </c>
      <c r="G1543" s="36">
        <f t="shared" ref="G1543:G1548" si="320">F1543*6.3</f>
        <v>35.594999999999999</v>
      </c>
      <c r="H1543" s="37">
        <v>18.75</v>
      </c>
      <c r="I1543" s="109">
        <f t="shared" ref="I1543:I1548" si="321">G1543*H1543</f>
        <v>667.40625</v>
      </c>
      <c r="J1543" s="36">
        <v>900</v>
      </c>
    </row>
    <row r="1544" spans="1:10" x14ac:dyDescent="0.25">
      <c r="A1544" s="31" t="s">
        <v>361</v>
      </c>
      <c r="B1544" s="37" t="s">
        <v>323</v>
      </c>
      <c r="C1544" s="34" t="s">
        <v>86</v>
      </c>
      <c r="D1544" s="108">
        <v>81.5</v>
      </c>
      <c r="E1544" s="34" t="s">
        <v>79</v>
      </c>
      <c r="F1544" s="110">
        <v>8</v>
      </c>
      <c r="G1544" s="36">
        <f t="shared" si="320"/>
        <v>50.4</v>
      </c>
      <c r="H1544" s="37">
        <v>24</v>
      </c>
      <c r="I1544" s="109">
        <f t="shared" si="321"/>
        <v>1209.5999999999999</v>
      </c>
      <c r="J1544" s="36">
        <v>1400</v>
      </c>
    </row>
    <row r="1545" spans="1:10" x14ac:dyDescent="0.25">
      <c r="A1545" s="31" t="s">
        <v>361</v>
      </c>
      <c r="B1545" s="50" t="s">
        <v>324</v>
      </c>
      <c r="C1545" s="34" t="s">
        <v>75</v>
      </c>
      <c r="D1545" s="108" t="s">
        <v>38</v>
      </c>
      <c r="E1545" s="34" t="s">
        <v>79</v>
      </c>
      <c r="F1545" s="36">
        <v>3.4</v>
      </c>
      <c r="G1545" s="36">
        <f t="shared" si="320"/>
        <v>21.419999999999998</v>
      </c>
      <c r="H1545" s="37">
        <v>24</v>
      </c>
      <c r="I1545" s="109">
        <f t="shared" si="321"/>
        <v>514.07999999999993</v>
      </c>
      <c r="J1545" s="36">
        <v>500</v>
      </c>
    </row>
    <row r="1546" spans="1:10" x14ac:dyDescent="0.25">
      <c r="A1546" s="31" t="s">
        <v>361</v>
      </c>
      <c r="B1546" s="75" t="s">
        <v>317</v>
      </c>
      <c r="C1546" s="111" t="s">
        <v>156</v>
      </c>
      <c r="D1546" s="111">
        <v>78.459999999999994</v>
      </c>
      <c r="E1546" s="42" t="s">
        <v>79</v>
      </c>
      <c r="F1546" s="74">
        <v>10.11</v>
      </c>
      <c r="G1546" s="36">
        <f t="shared" si="320"/>
        <v>63.692999999999998</v>
      </c>
      <c r="H1546" s="37">
        <v>24</v>
      </c>
      <c r="I1546" s="109">
        <f t="shared" si="321"/>
        <v>1528.6320000000001</v>
      </c>
      <c r="J1546" s="36">
        <v>1600</v>
      </c>
    </row>
    <row r="1547" spans="1:10" x14ac:dyDescent="0.25">
      <c r="A1547" s="31" t="s">
        <v>361</v>
      </c>
      <c r="B1547" s="37" t="s">
        <v>325</v>
      </c>
      <c r="C1547" s="34" t="s">
        <v>158</v>
      </c>
      <c r="D1547" s="46">
        <v>10.8</v>
      </c>
      <c r="E1547" s="34" t="s">
        <v>79</v>
      </c>
      <c r="F1547" s="74">
        <v>6.9</v>
      </c>
      <c r="G1547" s="36">
        <f t="shared" si="320"/>
        <v>43.47</v>
      </c>
      <c r="H1547" s="37">
        <v>24</v>
      </c>
      <c r="I1547" s="109">
        <f t="shared" si="321"/>
        <v>1043.28</v>
      </c>
      <c r="J1547" s="36">
        <v>1000</v>
      </c>
    </row>
    <row r="1548" spans="1:10" x14ac:dyDescent="0.25">
      <c r="A1548" s="31" t="s">
        <v>361</v>
      </c>
      <c r="B1548" s="37" t="s">
        <v>326</v>
      </c>
      <c r="C1548" s="46" t="s">
        <v>152</v>
      </c>
      <c r="D1548" s="72">
        <v>9.4</v>
      </c>
      <c r="E1548" s="34" t="s">
        <v>79</v>
      </c>
      <c r="F1548" s="73">
        <v>8.9</v>
      </c>
      <c r="G1548" s="36">
        <f t="shared" si="320"/>
        <v>56.07</v>
      </c>
      <c r="H1548" s="37">
        <v>24</v>
      </c>
      <c r="I1548" s="329">
        <f t="shared" si="321"/>
        <v>1345.68</v>
      </c>
      <c r="J1548" s="36">
        <v>1300</v>
      </c>
    </row>
    <row r="1549" spans="1:10" ht="18.75" x14ac:dyDescent="0.3">
      <c r="B1549" s="331"/>
      <c r="C1549" s="331"/>
      <c r="D1549" s="331"/>
      <c r="E1549" s="331"/>
      <c r="F1549" s="331"/>
      <c r="G1549" s="332"/>
      <c r="H1549" s="99" t="s">
        <v>171</v>
      </c>
      <c r="I1549" s="330">
        <f>SUM(I1543:I1548)</f>
        <v>6308.6782499999999</v>
      </c>
      <c r="J1549" s="33">
        <f>SUM(J1543:J1548)</f>
        <v>6700</v>
      </c>
    </row>
    <row r="1550" spans="1:10" x14ac:dyDescent="0.25">
      <c r="A1550" s="31" t="s">
        <v>362</v>
      </c>
      <c r="B1550" s="37" t="s">
        <v>322</v>
      </c>
      <c r="C1550" s="34" t="s">
        <v>114</v>
      </c>
      <c r="D1550" s="108">
        <v>30.2</v>
      </c>
      <c r="E1550" s="34" t="s">
        <v>79</v>
      </c>
      <c r="F1550" s="109">
        <v>5.65</v>
      </c>
      <c r="G1550" s="36">
        <f t="shared" ref="G1550:G1555" si="322">F1550*6.3</f>
        <v>35.594999999999999</v>
      </c>
      <c r="H1550" s="37">
        <v>24</v>
      </c>
      <c r="I1550" s="109">
        <f t="shared" ref="I1550:I1555" si="323">G1550*H1550</f>
        <v>854.28</v>
      </c>
      <c r="J1550" s="123">
        <v>900</v>
      </c>
    </row>
    <row r="1551" spans="1:10" x14ac:dyDescent="0.25">
      <c r="A1551" s="31" t="s">
        <v>362</v>
      </c>
      <c r="B1551" s="37" t="s">
        <v>323</v>
      </c>
      <c r="C1551" s="34" t="s">
        <v>86</v>
      </c>
      <c r="D1551" s="108">
        <v>81.5</v>
      </c>
      <c r="E1551" s="34" t="s">
        <v>79</v>
      </c>
      <c r="F1551" s="110">
        <v>8</v>
      </c>
      <c r="G1551" s="36">
        <f t="shared" si="322"/>
        <v>50.4</v>
      </c>
      <c r="H1551" s="37">
        <v>24</v>
      </c>
      <c r="I1551" s="109">
        <f t="shared" si="323"/>
        <v>1209.5999999999999</v>
      </c>
      <c r="J1551" s="123">
        <v>1400</v>
      </c>
    </row>
    <row r="1552" spans="1:10" x14ac:dyDescent="0.25">
      <c r="A1552" s="31" t="s">
        <v>362</v>
      </c>
      <c r="B1552" s="50" t="s">
        <v>324</v>
      </c>
      <c r="C1552" s="34" t="s">
        <v>75</v>
      </c>
      <c r="D1552" s="108" t="s">
        <v>38</v>
      </c>
      <c r="E1552" s="34" t="s">
        <v>79</v>
      </c>
      <c r="F1552" s="36">
        <v>3.4</v>
      </c>
      <c r="G1552" s="36">
        <f t="shared" si="322"/>
        <v>21.419999999999998</v>
      </c>
      <c r="H1552" s="37">
        <v>24</v>
      </c>
      <c r="I1552" s="109">
        <f t="shared" si="323"/>
        <v>514.07999999999993</v>
      </c>
      <c r="J1552" s="123">
        <v>500</v>
      </c>
    </row>
    <row r="1553" spans="1:10" x14ac:dyDescent="0.25">
      <c r="A1553" s="31" t="s">
        <v>362</v>
      </c>
      <c r="B1553" s="75" t="s">
        <v>317</v>
      </c>
      <c r="C1553" s="111" t="s">
        <v>156</v>
      </c>
      <c r="D1553" s="111">
        <v>78.459999999999994</v>
      </c>
      <c r="E1553" s="42" t="s">
        <v>79</v>
      </c>
      <c r="F1553" s="74">
        <v>10.11</v>
      </c>
      <c r="G1553" s="36">
        <f t="shared" si="322"/>
        <v>63.692999999999998</v>
      </c>
      <c r="H1553" s="37">
        <v>24</v>
      </c>
      <c r="I1553" s="109">
        <f t="shared" si="323"/>
        <v>1528.6320000000001</v>
      </c>
      <c r="J1553" s="123">
        <v>1600</v>
      </c>
    </row>
    <row r="1554" spans="1:10" x14ac:dyDescent="0.25">
      <c r="A1554" s="31" t="s">
        <v>362</v>
      </c>
      <c r="B1554" s="37" t="s">
        <v>325</v>
      </c>
      <c r="C1554" s="34" t="s">
        <v>158</v>
      </c>
      <c r="D1554" s="46">
        <v>10.8</v>
      </c>
      <c r="E1554" s="34" t="s">
        <v>79</v>
      </c>
      <c r="F1554" s="74">
        <v>6.9</v>
      </c>
      <c r="G1554" s="36">
        <f t="shared" si="322"/>
        <v>43.47</v>
      </c>
      <c r="H1554" s="37">
        <v>24</v>
      </c>
      <c r="I1554" s="109">
        <f t="shared" si="323"/>
        <v>1043.28</v>
      </c>
      <c r="J1554" s="123">
        <v>1000</v>
      </c>
    </row>
    <row r="1555" spans="1:10" x14ac:dyDescent="0.25">
      <c r="A1555" s="31" t="s">
        <v>362</v>
      </c>
      <c r="B1555" s="37" t="s">
        <v>326</v>
      </c>
      <c r="C1555" s="46" t="s">
        <v>152</v>
      </c>
      <c r="D1555" s="72">
        <v>9.4</v>
      </c>
      <c r="E1555" s="34" t="s">
        <v>79</v>
      </c>
      <c r="F1555" s="73">
        <v>8.9</v>
      </c>
      <c r="G1555" s="36">
        <f t="shared" si="322"/>
        <v>56.07</v>
      </c>
      <c r="H1555" s="37">
        <v>24</v>
      </c>
      <c r="I1555" s="329">
        <f t="shared" si="323"/>
        <v>1345.68</v>
      </c>
      <c r="J1555" s="123">
        <v>1300</v>
      </c>
    </row>
    <row r="1556" spans="1:10" ht="18.75" x14ac:dyDescent="0.3">
      <c r="B1556" s="331"/>
      <c r="C1556" s="331"/>
      <c r="D1556" s="331"/>
      <c r="E1556" s="331"/>
      <c r="F1556" s="331"/>
      <c r="G1556" s="332"/>
      <c r="H1556" s="99" t="s">
        <v>171</v>
      </c>
      <c r="I1556" s="330">
        <f>SUM(I1550:I1555)</f>
        <v>6495.5520000000006</v>
      </c>
      <c r="J1556" s="169">
        <f>SUM(J1550:J1555)</f>
        <v>6700</v>
      </c>
    </row>
    <row r="1557" spans="1:10" x14ac:dyDescent="0.25">
      <c r="A1557" s="31" t="s">
        <v>363</v>
      </c>
      <c r="B1557" s="37" t="s">
        <v>322</v>
      </c>
      <c r="C1557" s="34" t="s">
        <v>114</v>
      </c>
      <c r="D1557" s="108">
        <v>30.2</v>
      </c>
      <c r="E1557" s="34" t="s">
        <v>79</v>
      </c>
      <c r="F1557" s="109">
        <v>5.65</v>
      </c>
      <c r="G1557" s="36">
        <f t="shared" ref="G1557:G1562" si="324">F1557*6.3</f>
        <v>35.594999999999999</v>
      </c>
      <c r="H1557" s="37">
        <v>24</v>
      </c>
      <c r="I1557" s="109">
        <f t="shared" ref="I1557:I1562" si="325">G1557*H1557</f>
        <v>854.28</v>
      </c>
      <c r="J1557" s="123">
        <v>900</v>
      </c>
    </row>
    <row r="1558" spans="1:10" x14ac:dyDescent="0.25">
      <c r="A1558" s="31" t="s">
        <v>363</v>
      </c>
      <c r="B1558" s="37" t="s">
        <v>323</v>
      </c>
      <c r="C1558" s="34" t="s">
        <v>86</v>
      </c>
      <c r="D1558" s="108">
        <v>81.5</v>
      </c>
      <c r="E1558" s="34" t="s">
        <v>79</v>
      </c>
      <c r="F1558" s="110">
        <v>8</v>
      </c>
      <c r="G1558" s="36">
        <f t="shared" si="324"/>
        <v>50.4</v>
      </c>
      <c r="H1558" s="37">
        <v>24</v>
      </c>
      <c r="I1558" s="109">
        <f t="shared" si="325"/>
        <v>1209.5999999999999</v>
      </c>
      <c r="J1558" s="123">
        <v>1400</v>
      </c>
    </row>
    <row r="1559" spans="1:10" x14ac:dyDescent="0.25">
      <c r="A1559" s="31" t="s">
        <v>363</v>
      </c>
      <c r="B1559" s="50" t="s">
        <v>324</v>
      </c>
      <c r="C1559" s="34" t="s">
        <v>75</v>
      </c>
      <c r="D1559" s="108" t="s">
        <v>38</v>
      </c>
      <c r="E1559" s="34" t="s">
        <v>79</v>
      </c>
      <c r="F1559" s="36">
        <v>3.4</v>
      </c>
      <c r="G1559" s="36">
        <f t="shared" si="324"/>
        <v>21.419999999999998</v>
      </c>
      <c r="H1559" s="37">
        <v>24</v>
      </c>
      <c r="I1559" s="109">
        <f t="shared" si="325"/>
        <v>514.07999999999993</v>
      </c>
      <c r="J1559" s="123">
        <v>500</v>
      </c>
    </row>
    <row r="1560" spans="1:10" x14ac:dyDescent="0.25">
      <c r="A1560" s="31" t="s">
        <v>363</v>
      </c>
      <c r="B1560" s="75" t="s">
        <v>317</v>
      </c>
      <c r="C1560" s="111" t="s">
        <v>156</v>
      </c>
      <c r="D1560" s="111">
        <v>78.459999999999994</v>
      </c>
      <c r="E1560" s="42" t="s">
        <v>79</v>
      </c>
      <c r="F1560" s="74">
        <v>10.11</v>
      </c>
      <c r="G1560" s="36">
        <f t="shared" si="324"/>
        <v>63.692999999999998</v>
      </c>
      <c r="H1560" s="37">
        <v>24</v>
      </c>
      <c r="I1560" s="109">
        <f t="shared" si="325"/>
        <v>1528.6320000000001</v>
      </c>
      <c r="J1560" s="123">
        <v>1600</v>
      </c>
    </row>
    <row r="1561" spans="1:10" x14ac:dyDescent="0.25">
      <c r="A1561" s="31" t="s">
        <v>363</v>
      </c>
      <c r="B1561" s="37" t="s">
        <v>325</v>
      </c>
      <c r="C1561" s="34" t="s">
        <v>158</v>
      </c>
      <c r="D1561" s="46">
        <v>10.8</v>
      </c>
      <c r="E1561" s="34" t="s">
        <v>79</v>
      </c>
      <c r="F1561" s="74">
        <v>6.9</v>
      </c>
      <c r="G1561" s="36">
        <f t="shared" si="324"/>
        <v>43.47</v>
      </c>
      <c r="H1561" s="37">
        <v>24</v>
      </c>
      <c r="I1561" s="109">
        <f t="shared" si="325"/>
        <v>1043.28</v>
      </c>
      <c r="J1561" s="123">
        <v>1000</v>
      </c>
    </row>
    <row r="1562" spans="1:10" x14ac:dyDescent="0.25">
      <c r="A1562" s="31" t="s">
        <v>363</v>
      </c>
      <c r="B1562" s="37" t="s">
        <v>326</v>
      </c>
      <c r="C1562" s="46" t="s">
        <v>152</v>
      </c>
      <c r="D1562" s="72">
        <v>9.4</v>
      </c>
      <c r="E1562" s="34" t="s">
        <v>79</v>
      </c>
      <c r="F1562" s="73">
        <v>8.9</v>
      </c>
      <c r="G1562" s="36">
        <f t="shared" si="324"/>
        <v>56.07</v>
      </c>
      <c r="H1562" s="37">
        <v>24</v>
      </c>
      <c r="I1562" s="329">
        <f t="shared" si="325"/>
        <v>1345.68</v>
      </c>
      <c r="J1562" s="123">
        <v>1300</v>
      </c>
    </row>
    <row r="1563" spans="1:10" ht="18.75" x14ac:dyDescent="0.3">
      <c r="B1563" s="331"/>
      <c r="C1563" s="331"/>
      <c r="D1563" s="331"/>
      <c r="E1563" s="331"/>
      <c r="F1563" s="331"/>
      <c r="G1563" s="332"/>
      <c r="H1563" s="99" t="s">
        <v>171</v>
      </c>
      <c r="I1563" s="330">
        <f>SUM(I1557:I1562)</f>
        <v>6495.5520000000006</v>
      </c>
      <c r="J1563" s="169">
        <f>SUM(J1557:J1562)</f>
        <v>6700</v>
      </c>
    </row>
    <row r="1564" spans="1:10" x14ac:dyDescent="0.25">
      <c r="A1564" s="31" t="s">
        <v>364</v>
      </c>
      <c r="B1564" s="37" t="s">
        <v>322</v>
      </c>
      <c r="C1564" s="34" t="s">
        <v>114</v>
      </c>
      <c r="D1564" s="108">
        <v>30.2</v>
      </c>
      <c r="E1564" s="34" t="s">
        <v>79</v>
      </c>
      <c r="F1564" s="109">
        <v>5.65</v>
      </c>
      <c r="G1564" s="36">
        <f t="shared" ref="G1564:G1569" si="326">F1564*6.3</f>
        <v>35.594999999999999</v>
      </c>
      <c r="H1564" s="37">
        <v>24</v>
      </c>
      <c r="I1564" s="109">
        <f t="shared" ref="I1564:I1569" si="327">G1564*H1564</f>
        <v>854.28</v>
      </c>
      <c r="J1564" s="123">
        <v>900</v>
      </c>
    </row>
    <row r="1565" spans="1:10" x14ac:dyDescent="0.25">
      <c r="A1565" s="31" t="s">
        <v>364</v>
      </c>
      <c r="B1565" s="37" t="s">
        <v>323</v>
      </c>
      <c r="C1565" s="34" t="s">
        <v>86</v>
      </c>
      <c r="D1565" s="108">
        <v>78</v>
      </c>
      <c r="E1565" s="34" t="s">
        <v>79</v>
      </c>
      <c r="F1565" s="110">
        <v>9.5</v>
      </c>
      <c r="G1565" s="36">
        <f t="shared" si="326"/>
        <v>59.85</v>
      </c>
      <c r="H1565" s="37">
        <v>11.25</v>
      </c>
      <c r="I1565" s="109">
        <f t="shared" si="327"/>
        <v>673.3125</v>
      </c>
      <c r="J1565" s="123">
        <v>1400</v>
      </c>
    </row>
    <row r="1566" spans="1:10" x14ac:dyDescent="0.25">
      <c r="A1566" s="31" t="s">
        <v>364</v>
      </c>
      <c r="B1566" s="50" t="s">
        <v>324</v>
      </c>
      <c r="C1566" s="34" t="s">
        <v>75</v>
      </c>
      <c r="D1566" s="108" t="s">
        <v>38</v>
      </c>
      <c r="E1566" s="34" t="s">
        <v>79</v>
      </c>
      <c r="F1566" s="36">
        <v>3.4</v>
      </c>
      <c r="G1566" s="36">
        <f t="shared" si="326"/>
        <v>21.419999999999998</v>
      </c>
      <c r="H1566" s="37">
        <v>24</v>
      </c>
      <c r="I1566" s="109">
        <f t="shared" si="327"/>
        <v>514.07999999999993</v>
      </c>
      <c r="J1566" s="123">
        <v>500</v>
      </c>
    </row>
    <row r="1567" spans="1:10" x14ac:dyDescent="0.25">
      <c r="A1567" s="31" t="s">
        <v>364</v>
      </c>
      <c r="B1567" s="75" t="s">
        <v>317</v>
      </c>
      <c r="C1567" s="111" t="s">
        <v>156</v>
      </c>
      <c r="D1567" s="111">
        <v>78.459999999999994</v>
      </c>
      <c r="E1567" s="42" t="s">
        <v>79</v>
      </c>
      <c r="F1567" s="74">
        <v>10.11</v>
      </c>
      <c r="G1567" s="36">
        <f t="shared" si="326"/>
        <v>63.692999999999998</v>
      </c>
      <c r="H1567" s="37">
        <v>24</v>
      </c>
      <c r="I1567" s="109">
        <f t="shared" si="327"/>
        <v>1528.6320000000001</v>
      </c>
      <c r="J1567" s="123">
        <v>1600</v>
      </c>
    </row>
    <row r="1568" spans="1:10" x14ac:dyDescent="0.25">
      <c r="A1568" s="31" t="s">
        <v>364</v>
      </c>
      <c r="B1568" s="37" t="s">
        <v>325</v>
      </c>
      <c r="C1568" s="34" t="s">
        <v>158</v>
      </c>
      <c r="D1568" s="46">
        <v>10.8</v>
      </c>
      <c r="E1568" s="34" t="s">
        <v>79</v>
      </c>
      <c r="F1568" s="74">
        <v>6.9</v>
      </c>
      <c r="G1568" s="36">
        <f t="shared" si="326"/>
        <v>43.47</v>
      </c>
      <c r="H1568" s="37">
        <v>24</v>
      </c>
      <c r="I1568" s="109">
        <f t="shared" si="327"/>
        <v>1043.28</v>
      </c>
      <c r="J1568" s="123">
        <v>1000</v>
      </c>
    </row>
    <row r="1569" spans="1:10" x14ac:dyDescent="0.25">
      <c r="A1569" s="31" t="s">
        <v>364</v>
      </c>
      <c r="B1569" s="37" t="s">
        <v>326</v>
      </c>
      <c r="C1569" s="46" t="s">
        <v>152</v>
      </c>
      <c r="D1569" s="72">
        <v>9.4</v>
      </c>
      <c r="E1569" s="34" t="s">
        <v>79</v>
      </c>
      <c r="F1569" s="73">
        <v>8.9</v>
      </c>
      <c r="G1569" s="36">
        <f t="shared" si="326"/>
        <v>56.07</v>
      </c>
      <c r="H1569" s="37">
        <v>24</v>
      </c>
      <c r="I1569" s="329">
        <f t="shared" si="327"/>
        <v>1345.68</v>
      </c>
      <c r="J1569" s="123">
        <v>1300</v>
      </c>
    </row>
    <row r="1570" spans="1:10" ht="18.75" x14ac:dyDescent="0.3">
      <c r="B1570" s="331"/>
      <c r="C1570" s="331"/>
      <c r="D1570" s="331"/>
      <c r="E1570" s="331"/>
      <c r="F1570" s="331"/>
      <c r="G1570" s="332"/>
      <c r="H1570" s="99" t="s">
        <v>171</v>
      </c>
      <c r="I1570" s="330">
        <f>SUM(I1564:I1569)</f>
        <v>5959.2645000000002</v>
      </c>
      <c r="J1570" s="169">
        <f>SUM(J1564:J1569)</f>
        <v>6700</v>
      </c>
    </row>
    <row r="1571" spans="1:10" x14ac:dyDescent="0.25">
      <c r="A1571" s="31" t="s">
        <v>365</v>
      </c>
      <c r="B1571" s="37" t="s">
        <v>322</v>
      </c>
      <c r="C1571" s="34" t="s">
        <v>114</v>
      </c>
      <c r="D1571" s="108">
        <v>30.2</v>
      </c>
      <c r="E1571" s="34" t="s">
        <v>79</v>
      </c>
      <c r="F1571" s="109">
        <v>5.65</v>
      </c>
      <c r="G1571" s="36">
        <f t="shared" ref="G1571:G1576" si="328">F1571*6.3</f>
        <v>35.594999999999999</v>
      </c>
      <c r="H1571" s="37">
        <v>24</v>
      </c>
      <c r="I1571" s="109">
        <f t="shared" ref="I1571:I1576" si="329">G1571*H1571</f>
        <v>854.28</v>
      </c>
      <c r="J1571" s="123">
        <v>900</v>
      </c>
    </row>
    <row r="1572" spans="1:10" x14ac:dyDescent="0.25">
      <c r="A1572" s="31" t="s">
        <v>365</v>
      </c>
      <c r="B1572" s="37" t="s">
        <v>323</v>
      </c>
      <c r="C1572" s="34" t="s">
        <v>86</v>
      </c>
      <c r="D1572" s="108">
        <v>78</v>
      </c>
      <c r="E1572" s="34" t="s">
        <v>79</v>
      </c>
      <c r="F1572" s="110">
        <v>9.5</v>
      </c>
      <c r="G1572" s="36">
        <f t="shared" si="328"/>
        <v>59.85</v>
      </c>
      <c r="H1572" s="37">
        <v>24</v>
      </c>
      <c r="I1572" s="109">
        <f t="shared" si="329"/>
        <v>1436.4</v>
      </c>
      <c r="J1572" s="123">
        <v>1400</v>
      </c>
    </row>
    <row r="1573" spans="1:10" x14ac:dyDescent="0.25">
      <c r="A1573" s="31" t="s">
        <v>365</v>
      </c>
      <c r="B1573" s="50" t="s">
        <v>324</v>
      </c>
      <c r="C1573" s="34" t="s">
        <v>75</v>
      </c>
      <c r="D1573" s="108" t="s">
        <v>38</v>
      </c>
      <c r="E1573" s="34" t="s">
        <v>79</v>
      </c>
      <c r="F1573" s="36">
        <v>3.4</v>
      </c>
      <c r="G1573" s="36">
        <f t="shared" si="328"/>
        <v>21.419999999999998</v>
      </c>
      <c r="H1573" s="37">
        <v>24</v>
      </c>
      <c r="I1573" s="109">
        <f t="shared" si="329"/>
        <v>514.07999999999993</v>
      </c>
      <c r="J1573" s="123">
        <v>500</v>
      </c>
    </row>
    <row r="1574" spans="1:10" x14ac:dyDescent="0.25">
      <c r="A1574" s="31" t="s">
        <v>365</v>
      </c>
      <c r="B1574" s="75" t="s">
        <v>317</v>
      </c>
      <c r="C1574" s="111" t="s">
        <v>156</v>
      </c>
      <c r="D1574" s="111">
        <v>78.459999999999994</v>
      </c>
      <c r="E1574" s="42" t="s">
        <v>79</v>
      </c>
      <c r="F1574" s="74">
        <v>10.11</v>
      </c>
      <c r="G1574" s="36">
        <f t="shared" si="328"/>
        <v>63.692999999999998</v>
      </c>
      <c r="H1574" s="37">
        <v>24</v>
      </c>
      <c r="I1574" s="109">
        <f t="shared" si="329"/>
        <v>1528.6320000000001</v>
      </c>
      <c r="J1574" s="123">
        <v>1600</v>
      </c>
    </row>
    <row r="1575" spans="1:10" x14ac:dyDescent="0.25">
      <c r="A1575" s="31" t="s">
        <v>365</v>
      </c>
      <c r="B1575" s="37" t="s">
        <v>325</v>
      </c>
      <c r="C1575" s="34" t="s">
        <v>158</v>
      </c>
      <c r="D1575" s="46">
        <v>10.8</v>
      </c>
      <c r="E1575" s="34" t="s">
        <v>79</v>
      </c>
      <c r="F1575" s="74">
        <v>6.9</v>
      </c>
      <c r="G1575" s="36">
        <f t="shared" si="328"/>
        <v>43.47</v>
      </c>
      <c r="H1575" s="37">
        <v>24</v>
      </c>
      <c r="I1575" s="109">
        <f t="shared" si="329"/>
        <v>1043.28</v>
      </c>
      <c r="J1575" s="123">
        <v>1000</v>
      </c>
    </row>
    <row r="1576" spans="1:10" x14ac:dyDescent="0.25">
      <c r="A1576" s="31" t="s">
        <v>365</v>
      </c>
      <c r="B1576" s="37" t="s">
        <v>326</v>
      </c>
      <c r="C1576" s="46" t="s">
        <v>152</v>
      </c>
      <c r="D1576" s="72">
        <v>9.4</v>
      </c>
      <c r="E1576" s="34" t="s">
        <v>79</v>
      </c>
      <c r="F1576" s="73">
        <v>8.9</v>
      </c>
      <c r="G1576" s="36">
        <f t="shared" si="328"/>
        <v>56.07</v>
      </c>
      <c r="H1576" s="37">
        <v>11</v>
      </c>
      <c r="I1576" s="329">
        <f t="shared" si="329"/>
        <v>616.77</v>
      </c>
      <c r="J1576" s="123">
        <v>1300</v>
      </c>
    </row>
    <row r="1577" spans="1:10" ht="18.75" x14ac:dyDescent="0.3">
      <c r="B1577" s="331"/>
      <c r="C1577" s="331"/>
      <c r="D1577" s="331"/>
      <c r="E1577" s="331"/>
      <c r="F1577" s="331"/>
      <c r="G1577" s="332"/>
      <c r="H1577" s="99" t="s">
        <v>171</v>
      </c>
      <c r="I1577" s="330">
        <f>SUM(I1571:I1576)</f>
        <v>5993.4419999999991</v>
      </c>
      <c r="J1577" s="169">
        <f>SUM(J1571:J1576)</f>
        <v>6700</v>
      </c>
    </row>
    <row r="1578" spans="1:10" x14ac:dyDescent="0.25">
      <c r="A1578" s="31" t="s">
        <v>366</v>
      </c>
      <c r="B1578" s="37" t="s">
        <v>322</v>
      </c>
      <c r="C1578" s="34" t="s">
        <v>114</v>
      </c>
      <c r="D1578" s="108">
        <v>30.2</v>
      </c>
      <c r="E1578" s="34" t="s">
        <v>79</v>
      </c>
      <c r="F1578" s="109">
        <v>5.65</v>
      </c>
      <c r="G1578" s="36">
        <f t="shared" ref="G1578:G1583" si="330">F1578*6.3</f>
        <v>35.594999999999999</v>
      </c>
      <c r="H1578" s="37">
        <v>24</v>
      </c>
      <c r="I1578" s="109">
        <f t="shared" ref="I1578:I1583" si="331">G1578*H1578</f>
        <v>854.28</v>
      </c>
      <c r="J1578" s="123">
        <v>900</v>
      </c>
    </row>
    <row r="1579" spans="1:10" x14ac:dyDescent="0.25">
      <c r="A1579" s="31" t="s">
        <v>366</v>
      </c>
      <c r="B1579" s="37" t="s">
        <v>323</v>
      </c>
      <c r="C1579" s="34" t="s">
        <v>86</v>
      </c>
      <c r="D1579" s="108">
        <v>78</v>
      </c>
      <c r="E1579" s="34" t="s">
        <v>79</v>
      </c>
      <c r="F1579" s="110">
        <v>9.5</v>
      </c>
      <c r="G1579" s="36">
        <f t="shared" si="330"/>
        <v>59.85</v>
      </c>
      <c r="H1579" s="37">
        <v>24</v>
      </c>
      <c r="I1579" s="109">
        <f t="shared" si="331"/>
        <v>1436.4</v>
      </c>
      <c r="J1579" s="123">
        <v>1400</v>
      </c>
    </row>
    <row r="1580" spans="1:10" x14ac:dyDescent="0.25">
      <c r="A1580" s="31" t="s">
        <v>366</v>
      </c>
      <c r="B1580" s="50" t="s">
        <v>324</v>
      </c>
      <c r="C1580" s="34" t="s">
        <v>75</v>
      </c>
      <c r="D1580" s="108" t="s">
        <v>38</v>
      </c>
      <c r="E1580" s="34" t="s">
        <v>79</v>
      </c>
      <c r="F1580" s="36">
        <v>3.4</v>
      </c>
      <c r="G1580" s="36">
        <f t="shared" si="330"/>
        <v>21.419999999999998</v>
      </c>
      <c r="H1580" s="37">
        <v>24</v>
      </c>
      <c r="I1580" s="109">
        <f t="shared" si="331"/>
        <v>514.07999999999993</v>
      </c>
      <c r="J1580" s="123">
        <v>500</v>
      </c>
    </row>
    <row r="1581" spans="1:10" x14ac:dyDescent="0.25">
      <c r="A1581" s="31" t="s">
        <v>366</v>
      </c>
      <c r="B1581" s="75" t="s">
        <v>317</v>
      </c>
      <c r="C1581" s="111" t="s">
        <v>156</v>
      </c>
      <c r="D1581" s="111">
        <v>78.459999999999994</v>
      </c>
      <c r="E1581" s="42" t="s">
        <v>79</v>
      </c>
      <c r="F1581" s="74">
        <v>10.11</v>
      </c>
      <c r="G1581" s="36">
        <f t="shared" si="330"/>
        <v>63.692999999999998</v>
      </c>
      <c r="H1581" s="37">
        <v>24</v>
      </c>
      <c r="I1581" s="109">
        <f t="shared" si="331"/>
        <v>1528.6320000000001</v>
      </c>
      <c r="J1581" s="123">
        <v>1600</v>
      </c>
    </row>
    <row r="1582" spans="1:10" x14ac:dyDescent="0.25">
      <c r="A1582" s="31" t="s">
        <v>366</v>
      </c>
      <c r="B1582" s="37" t="s">
        <v>325</v>
      </c>
      <c r="C1582" s="34" t="s">
        <v>158</v>
      </c>
      <c r="D1582" s="46">
        <v>10.8</v>
      </c>
      <c r="E1582" s="34" t="s">
        <v>79</v>
      </c>
      <c r="F1582" s="74">
        <v>6.9</v>
      </c>
      <c r="G1582" s="36">
        <f t="shared" si="330"/>
        <v>43.47</v>
      </c>
      <c r="H1582" s="37">
        <v>24</v>
      </c>
      <c r="I1582" s="109">
        <f t="shared" si="331"/>
        <v>1043.28</v>
      </c>
      <c r="J1582" s="123">
        <v>1000</v>
      </c>
    </row>
    <row r="1583" spans="1:10" x14ac:dyDescent="0.25">
      <c r="A1583" s="31" t="s">
        <v>366</v>
      </c>
      <c r="B1583" s="37" t="s">
        <v>326</v>
      </c>
      <c r="C1583" s="46" t="s">
        <v>152</v>
      </c>
      <c r="D1583" s="72">
        <v>9.4</v>
      </c>
      <c r="E1583" s="34" t="s">
        <v>79</v>
      </c>
      <c r="F1583" s="73">
        <v>8.9</v>
      </c>
      <c r="G1583" s="36">
        <f t="shared" si="330"/>
        <v>56.07</v>
      </c>
      <c r="H1583" s="37">
        <v>22</v>
      </c>
      <c r="I1583" s="329">
        <f t="shared" si="331"/>
        <v>1233.54</v>
      </c>
      <c r="J1583" s="123">
        <v>1300</v>
      </c>
    </row>
    <row r="1584" spans="1:10" ht="18.75" x14ac:dyDescent="0.3">
      <c r="B1584" s="331"/>
      <c r="C1584" s="331"/>
      <c r="D1584" s="331"/>
      <c r="E1584" s="331"/>
      <c r="F1584" s="331"/>
      <c r="G1584" s="332"/>
      <c r="H1584" s="99" t="s">
        <v>171</v>
      </c>
      <c r="I1584" s="330">
        <f>SUM(I1578:I1583)</f>
        <v>6610.2119999999995</v>
      </c>
      <c r="J1584" s="169">
        <f>SUM(J1578:J1583)</f>
        <v>6700</v>
      </c>
    </row>
    <row r="1585" spans="1:13" x14ac:dyDescent="0.25">
      <c r="A1585" s="31" t="s">
        <v>368</v>
      </c>
      <c r="B1585" s="37" t="s">
        <v>322</v>
      </c>
      <c r="C1585" s="34" t="s">
        <v>114</v>
      </c>
      <c r="D1585" s="108">
        <v>30.2</v>
      </c>
      <c r="E1585" s="34" t="s">
        <v>79</v>
      </c>
      <c r="F1585" s="109">
        <v>5.65</v>
      </c>
      <c r="G1585" s="36">
        <f t="shared" ref="G1585:G1590" si="332">F1585*6.3</f>
        <v>35.594999999999999</v>
      </c>
      <c r="H1585" s="37">
        <v>20.5</v>
      </c>
      <c r="I1585" s="109">
        <f t="shared" ref="I1585:I1590" si="333">G1585*H1585</f>
        <v>729.69749999999999</v>
      </c>
      <c r="J1585" s="123">
        <v>900</v>
      </c>
    </row>
    <row r="1586" spans="1:13" x14ac:dyDescent="0.25">
      <c r="A1586" s="31" t="s">
        <v>368</v>
      </c>
      <c r="B1586" s="37" t="s">
        <v>323</v>
      </c>
      <c r="C1586" s="34" t="s">
        <v>86</v>
      </c>
      <c r="D1586" s="108">
        <v>78</v>
      </c>
      <c r="E1586" s="34" t="s">
        <v>79</v>
      </c>
      <c r="F1586" s="110">
        <v>9.5</v>
      </c>
      <c r="G1586" s="36">
        <f t="shared" si="332"/>
        <v>59.85</v>
      </c>
      <c r="H1586" s="37">
        <v>20.5</v>
      </c>
      <c r="I1586" s="109">
        <f t="shared" si="333"/>
        <v>1226.925</v>
      </c>
      <c r="J1586" s="123">
        <v>1400</v>
      </c>
    </row>
    <row r="1587" spans="1:13" x14ac:dyDescent="0.25">
      <c r="A1587" s="31" t="s">
        <v>368</v>
      </c>
      <c r="B1587" s="50" t="s">
        <v>324</v>
      </c>
      <c r="C1587" s="34" t="s">
        <v>75</v>
      </c>
      <c r="D1587" s="108" t="s">
        <v>38</v>
      </c>
      <c r="E1587" s="34" t="s">
        <v>79</v>
      </c>
      <c r="F1587" s="36">
        <v>3.4</v>
      </c>
      <c r="G1587" s="36">
        <f t="shared" si="332"/>
        <v>21.419999999999998</v>
      </c>
      <c r="H1587" s="37">
        <v>20.5</v>
      </c>
      <c r="I1587" s="109">
        <f t="shared" si="333"/>
        <v>439.10999999999996</v>
      </c>
      <c r="J1587" s="123">
        <v>500</v>
      </c>
    </row>
    <row r="1588" spans="1:13" x14ac:dyDescent="0.25">
      <c r="A1588" s="31" t="s">
        <v>368</v>
      </c>
      <c r="B1588" s="75" t="s">
        <v>317</v>
      </c>
      <c r="C1588" s="111" t="s">
        <v>156</v>
      </c>
      <c r="D1588" s="111">
        <v>78.459999999999994</v>
      </c>
      <c r="E1588" s="42" t="s">
        <v>79</v>
      </c>
      <c r="F1588" s="74">
        <v>10.11</v>
      </c>
      <c r="G1588" s="36">
        <f t="shared" si="332"/>
        <v>63.692999999999998</v>
      </c>
      <c r="H1588" s="37">
        <v>20.5</v>
      </c>
      <c r="I1588" s="109">
        <f t="shared" si="333"/>
        <v>1305.7065</v>
      </c>
      <c r="J1588" s="123">
        <v>1600</v>
      </c>
    </row>
    <row r="1589" spans="1:13" x14ac:dyDescent="0.25">
      <c r="A1589" s="31" t="s">
        <v>368</v>
      </c>
      <c r="B1589" s="37" t="s">
        <v>325</v>
      </c>
      <c r="C1589" s="34" t="s">
        <v>158</v>
      </c>
      <c r="D1589" s="46">
        <v>10.8</v>
      </c>
      <c r="E1589" s="34" t="s">
        <v>79</v>
      </c>
      <c r="F1589" s="74">
        <v>6.9</v>
      </c>
      <c r="G1589" s="36">
        <f t="shared" si="332"/>
        <v>43.47</v>
      </c>
      <c r="H1589" s="37">
        <v>20.5</v>
      </c>
      <c r="I1589" s="109">
        <f t="shared" si="333"/>
        <v>891.13499999999999</v>
      </c>
      <c r="J1589" s="123">
        <v>1000</v>
      </c>
    </row>
    <row r="1590" spans="1:13" ht="15.75" thickBot="1" x14ac:dyDescent="0.3">
      <c r="A1590" s="31" t="s">
        <v>368</v>
      </c>
      <c r="B1590" s="43" t="s">
        <v>326</v>
      </c>
      <c r="C1590" s="52" t="s">
        <v>152</v>
      </c>
      <c r="D1590" s="72">
        <v>9.4</v>
      </c>
      <c r="E1590" s="42" t="s">
        <v>79</v>
      </c>
      <c r="F1590" s="73">
        <v>8.9</v>
      </c>
      <c r="G1590" s="74">
        <f t="shared" si="332"/>
        <v>56.07</v>
      </c>
      <c r="H1590" s="43">
        <v>20.5</v>
      </c>
      <c r="I1590" s="328">
        <f t="shared" si="333"/>
        <v>1149.4349999999999</v>
      </c>
      <c r="J1590" s="124">
        <v>1300</v>
      </c>
    </row>
    <row r="1591" spans="1:13" ht="19.5" thickBot="1" x14ac:dyDescent="0.35">
      <c r="A1591" s="206"/>
      <c r="B1591" s="336"/>
      <c r="C1591" s="336"/>
      <c r="D1591" s="336"/>
      <c r="E1591" s="336"/>
      <c r="F1591" s="336"/>
      <c r="G1591" s="337"/>
      <c r="H1591" s="174" t="s">
        <v>171</v>
      </c>
      <c r="I1591" s="238">
        <f>SUM(I1585:I1590)</f>
        <v>5742.009</v>
      </c>
      <c r="J1591" s="104">
        <f>SUM(J1585:J1590)</f>
        <v>6700</v>
      </c>
      <c r="K1591" s="209" t="s">
        <v>367</v>
      </c>
    </row>
    <row r="1592" spans="1:13" x14ac:dyDescent="0.25">
      <c r="A1592" s="31" t="s">
        <v>371</v>
      </c>
      <c r="B1592" s="37" t="s">
        <v>322</v>
      </c>
      <c r="C1592" s="34" t="s">
        <v>114</v>
      </c>
      <c r="D1592" s="108">
        <v>30.2</v>
      </c>
      <c r="E1592" s="34" t="s">
        <v>79</v>
      </c>
      <c r="F1592" s="109">
        <v>5.65</v>
      </c>
      <c r="G1592" s="36">
        <f t="shared" ref="G1592:G1597" si="334">F1592*6.3</f>
        <v>35.594999999999999</v>
      </c>
      <c r="H1592" s="37">
        <v>24</v>
      </c>
      <c r="I1592" s="109">
        <f t="shared" ref="I1592:I1597" si="335">G1592*H1592</f>
        <v>854.28</v>
      </c>
      <c r="J1592" s="123">
        <v>900</v>
      </c>
    </row>
    <row r="1593" spans="1:13" x14ac:dyDescent="0.25">
      <c r="A1593" s="31" t="s">
        <v>371</v>
      </c>
      <c r="B1593" s="37" t="s">
        <v>323</v>
      </c>
      <c r="C1593" s="34" t="s">
        <v>86</v>
      </c>
      <c r="D1593" s="108">
        <v>63.77</v>
      </c>
      <c r="E1593" s="34" t="s">
        <v>79</v>
      </c>
      <c r="F1593" s="110">
        <v>9.5</v>
      </c>
      <c r="G1593" s="36">
        <f t="shared" si="334"/>
        <v>59.85</v>
      </c>
      <c r="H1593" s="37">
        <v>24</v>
      </c>
      <c r="I1593" s="109">
        <f t="shared" si="335"/>
        <v>1436.4</v>
      </c>
      <c r="J1593" s="123">
        <v>1400</v>
      </c>
    </row>
    <row r="1594" spans="1:13" x14ac:dyDescent="0.25">
      <c r="A1594" s="31" t="s">
        <v>371</v>
      </c>
      <c r="B1594" s="50" t="s">
        <v>324</v>
      </c>
      <c r="C1594" s="34" t="s">
        <v>75</v>
      </c>
      <c r="D1594" s="108" t="s">
        <v>38</v>
      </c>
      <c r="E1594" s="34" t="s">
        <v>79</v>
      </c>
      <c r="F1594" s="36">
        <v>3.4</v>
      </c>
      <c r="G1594" s="36">
        <f t="shared" si="334"/>
        <v>21.419999999999998</v>
      </c>
      <c r="H1594" s="37">
        <v>24</v>
      </c>
      <c r="I1594" s="109">
        <f t="shared" si="335"/>
        <v>514.07999999999993</v>
      </c>
      <c r="J1594" s="123">
        <v>500</v>
      </c>
    </row>
    <row r="1595" spans="1:13" x14ac:dyDescent="0.25">
      <c r="A1595" s="31" t="s">
        <v>371</v>
      </c>
      <c r="B1595" s="75" t="s">
        <v>317</v>
      </c>
      <c r="C1595" s="111" t="s">
        <v>156</v>
      </c>
      <c r="D1595" s="111">
        <v>76.72</v>
      </c>
      <c r="E1595" s="42" t="s">
        <v>79</v>
      </c>
      <c r="F1595" s="74">
        <v>10.3</v>
      </c>
      <c r="G1595" s="36">
        <f t="shared" si="334"/>
        <v>64.89</v>
      </c>
      <c r="H1595" s="37">
        <v>24</v>
      </c>
      <c r="I1595" s="109">
        <f t="shared" si="335"/>
        <v>1557.3600000000001</v>
      </c>
      <c r="J1595" s="123">
        <v>1600</v>
      </c>
    </row>
    <row r="1596" spans="1:13" x14ac:dyDescent="0.25">
      <c r="A1596" s="31" t="s">
        <v>371</v>
      </c>
      <c r="B1596" s="37" t="s">
        <v>325</v>
      </c>
      <c r="C1596" s="34" t="s">
        <v>158</v>
      </c>
      <c r="D1596" s="46">
        <v>17</v>
      </c>
      <c r="E1596" s="34" t="s">
        <v>79</v>
      </c>
      <c r="F1596" s="74">
        <v>6.9</v>
      </c>
      <c r="G1596" s="36">
        <f t="shared" si="334"/>
        <v>43.47</v>
      </c>
      <c r="H1596" s="37">
        <v>3.5</v>
      </c>
      <c r="I1596" s="109">
        <f t="shared" si="335"/>
        <v>152.14499999999998</v>
      </c>
      <c r="J1596" s="123">
        <v>1000</v>
      </c>
    </row>
    <row r="1597" spans="1:13" x14ac:dyDescent="0.25">
      <c r="A1597" s="31" t="s">
        <v>371</v>
      </c>
      <c r="B1597" s="43" t="s">
        <v>326</v>
      </c>
      <c r="C1597" s="52" t="s">
        <v>152</v>
      </c>
      <c r="D1597" s="72">
        <v>9.4</v>
      </c>
      <c r="E1597" s="42" t="s">
        <v>79</v>
      </c>
      <c r="F1597" s="73">
        <v>8.9</v>
      </c>
      <c r="G1597" s="74">
        <f t="shared" si="334"/>
        <v>56.07</v>
      </c>
      <c r="H1597" s="43">
        <v>24</v>
      </c>
      <c r="I1597" s="328">
        <f t="shared" si="335"/>
        <v>1345.68</v>
      </c>
      <c r="J1597" s="124">
        <v>1300</v>
      </c>
    </row>
    <row r="1598" spans="1:13" ht="18.75" x14ac:dyDescent="0.3">
      <c r="A1598" s="222"/>
      <c r="B1598" s="352"/>
      <c r="C1598" s="352"/>
      <c r="D1598" s="352"/>
      <c r="E1598" s="352"/>
      <c r="F1598" s="352"/>
      <c r="G1598" s="353"/>
      <c r="H1598" s="99" t="s">
        <v>171</v>
      </c>
      <c r="I1598" s="330">
        <f>SUM(I1592:I1597)</f>
        <v>5859.9450000000015</v>
      </c>
      <c r="J1598" s="33">
        <f>SUM(J1592:J1597)</f>
        <v>6700</v>
      </c>
      <c r="K1598" s="641" t="s">
        <v>370</v>
      </c>
      <c r="L1598" s="642"/>
      <c r="M1598" s="642"/>
    </row>
    <row r="1599" spans="1:13" x14ac:dyDescent="0.25">
      <c r="A1599" s="31" t="s">
        <v>372</v>
      </c>
      <c r="B1599" s="37" t="s">
        <v>322</v>
      </c>
      <c r="C1599" s="34" t="s">
        <v>114</v>
      </c>
      <c r="D1599" s="108">
        <v>30.2</v>
      </c>
      <c r="E1599" s="34" t="s">
        <v>79</v>
      </c>
      <c r="F1599" s="109">
        <v>5.5</v>
      </c>
      <c r="G1599" s="36">
        <f t="shared" ref="G1599:G1604" si="336">F1599*6.3</f>
        <v>34.65</v>
      </c>
      <c r="H1599" s="37">
        <v>24</v>
      </c>
      <c r="I1599" s="109">
        <f t="shared" ref="I1599:I1604" si="337">G1599*H1599</f>
        <v>831.59999999999991</v>
      </c>
      <c r="J1599" s="123">
        <v>900</v>
      </c>
    </row>
    <row r="1600" spans="1:13" x14ac:dyDescent="0.25">
      <c r="A1600" s="31" t="s">
        <v>372</v>
      </c>
      <c r="B1600" s="37" t="s">
        <v>323</v>
      </c>
      <c r="C1600" s="34" t="s">
        <v>86</v>
      </c>
      <c r="D1600" s="108">
        <v>63.77</v>
      </c>
      <c r="E1600" s="34" t="s">
        <v>79</v>
      </c>
      <c r="F1600" s="110">
        <v>9.5</v>
      </c>
      <c r="G1600" s="36">
        <f t="shared" si="336"/>
        <v>59.85</v>
      </c>
      <c r="H1600" s="37">
        <v>24</v>
      </c>
      <c r="I1600" s="109">
        <f t="shared" si="337"/>
        <v>1436.4</v>
      </c>
      <c r="J1600" s="123">
        <v>1400</v>
      </c>
    </row>
    <row r="1601" spans="1:13" x14ac:dyDescent="0.25">
      <c r="A1601" s="31" t="s">
        <v>372</v>
      </c>
      <c r="B1601" s="50" t="s">
        <v>324</v>
      </c>
      <c r="C1601" s="34" t="s">
        <v>75</v>
      </c>
      <c r="D1601" s="108" t="s">
        <v>38</v>
      </c>
      <c r="E1601" s="34" t="s">
        <v>79</v>
      </c>
      <c r="F1601" s="36">
        <v>3.4</v>
      </c>
      <c r="G1601" s="36">
        <f t="shared" si="336"/>
        <v>21.419999999999998</v>
      </c>
      <c r="H1601" s="37">
        <v>24</v>
      </c>
      <c r="I1601" s="109">
        <f t="shared" si="337"/>
        <v>514.07999999999993</v>
      </c>
      <c r="J1601" s="123">
        <v>500</v>
      </c>
    </row>
    <row r="1602" spans="1:13" x14ac:dyDescent="0.25">
      <c r="A1602" s="31" t="s">
        <v>372</v>
      </c>
      <c r="B1602" s="75" t="s">
        <v>317</v>
      </c>
      <c r="C1602" s="111" t="s">
        <v>156</v>
      </c>
      <c r="D1602" s="111">
        <v>77.56</v>
      </c>
      <c r="E1602" s="42" t="s">
        <v>79</v>
      </c>
      <c r="F1602" s="74">
        <v>10.5</v>
      </c>
      <c r="G1602" s="36">
        <f t="shared" si="336"/>
        <v>66.149999999999991</v>
      </c>
      <c r="H1602" s="37">
        <v>24</v>
      </c>
      <c r="I1602" s="109">
        <f t="shared" si="337"/>
        <v>1587.6</v>
      </c>
      <c r="J1602" s="123">
        <v>1600</v>
      </c>
    </row>
    <row r="1603" spans="1:13" x14ac:dyDescent="0.25">
      <c r="A1603" s="31" t="s">
        <v>372</v>
      </c>
      <c r="B1603" s="37" t="s">
        <v>325</v>
      </c>
      <c r="C1603" s="34" t="s">
        <v>158</v>
      </c>
      <c r="D1603" s="46">
        <v>0</v>
      </c>
      <c r="E1603" s="34" t="s">
        <v>79</v>
      </c>
      <c r="F1603" s="74">
        <v>0</v>
      </c>
      <c r="G1603" s="36">
        <f t="shared" si="336"/>
        <v>0</v>
      </c>
      <c r="H1603" s="37">
        <v>0</v>
      </c>
      <c r="I1603" s="109">
        <f t="shared" si="337"/>
        <v>0</v>
      </c>
      <c r="J1603" s="123">
        <v>1000</v>
      </c>
    </row>
    <row r="1604" spans="1:13" x14ac:dyDescent="0.25">
      <c r="A1604" s="31" t="s">
        <v>372</v>
      </c>
      <c r="B1604" s="43" t="s">
        <v>326</v>
      </c>
      <c r="C1604" s="52" t="s">
        <v>152</v>
      </c>
      <c r="D1604" s="72">
        <v>9.4</v>
      </c>
      <c r="E1604" s="42" t="s">
        <v>79</v>
      </c>
      <c r="F1604" s="73">
        <v>8.6999999999999993</v>
      </c>
      <c r="G1604" s="74">
        <f t="shared" si="336"/>
        <v>54.809999999999995</v>
      </c>
      <c r="H1604" s="43">
        <v>24</v>
      </c>
      <c r="I1604" s="328">
        <f t="shared" si="337"/>
        <v>1315.4399999999998</v>
      </c>
      <c r="J1604" s="124">
        <v>1300</v>
      </c>
    </row>
    <row r="1605" spans="1:13" ht="18.75" x14ac:dyDescent="0.3">
      <c r="A1605" s="222"/>
      <c r="B1605" s="352"/>
      <c r="C1605" s="352"/>
      <c r="D1605" s="352"/>
      <c r="E1605" s="352"/>
      <c r="F1605" s="352"/>
      <c r="G1605" s="353"/>
      <c r="H1605" s="99" t="s">
        <v>171</v>
      </c>
      <c r="I1605" s="330">
        <f>SUM(I1599:I1604)</f>
        <v>5685.12</v>
      </c>
      <c r="J1605" s="33">
        <f>SUM(J1599:J1604)</f>
        <v>6700</v>
      </c>
      <c r="K1605" s="209" t="s">
        <v>370</v>
      </c>
      <c r="L1605" s="235"/>
      <c r="M1605" s="235"/>
    </row>
    <row r="1606" spans="1:13" x14ac:dyDescent="0.25">
      <c r="A1606" s="31" t="s">
        <v>373</v>
      </c>
      <c r="B1606" s="37" t="s">
        <v>322</v>
      </c>
      <c r="C1606" s="34" t="s">
        <v>114</v>
      </c>
      <c r="D1606" s="108">
        <v>30.2</v>
      </c>
      <c r="E1606" s="34" t="s">
        <v>79</v>
      </c>
      <c r="F1606" s="109">
        <v>5.7</v>
      </c>
      <c r="G1606" s="36">
        <f t="shared" ref="G1606:G1611" si="338">F1606*6.3</f>
        <v>35.909999999999997</v>
      </c>
      <c r="H1606" s="37">
        <v>24</v>
      </c>
      <c r="I1606" s="109">
        <f t="shared" ref="I1606:I1611" si="339">G1606*H1606</f>
        <v>861.83999999999992</v>
      </c>
      <c r="J1606" s="123">
        <v>900</v>
      </c>
    </row>
    <row r="1607" spans="1:13" x14ac:dyDescent="0.25">
      <c r="A1607" s="31" t="s">
        <v>373</v>
      </c>
      <c r="B1607" s="37" t="s">
        <v>323</v>
      </c>
      <c r="C1607" s="34" t="s">
        <v>86</v>
      </c>
      <c r="D1607" s="108">
        <v>58.63</v>
      </c>
      <c r="E1607" s="34" t="s">
        <v>79</v>
      </c>
      <c r="F1607" s="110">
        <v>9.1999999999999993</v>
      </c>
      <c r="G1607" s="36">
        <f t="shared" si="338"/>
        <v>57.959999999999994</v>
      </c>
      <c r="H1607" s="37">
        <v>24</v>
      </c>
      <c r="I1607" s="109">
        <f t="shared" si="339"/>
        <v>1391.04</v>
      </c>
      <c r="J1607" s="123">
        <v>1400</v>
      </c>
    </row>
    <row r="1608" spans="1:13" x14ac:dyDescent="0.25">
      <c r="A1608" s="31" t="s">
        <v>373</v>
      </c>
      <c r="B1608" s="50" t="s">
        <v>324</v>
      </c>
      <c r="C1608" s="34" t="s">
        <v>75</v>
      </c>
      <c r="D1608" s="108" t="s">
        <v>38</v>
      </c>
      <c r="E1608" s="34" t="s">
        <v>79</v>
      </c>
      <c r="F1608" s="36">
        <v>3.4</v>
      </c>
      <c r="G1608" s="36">
        <f t="shared" si="338"/>
        <v>21.419999999999998</v>
      </c>
      <c r="H1608" s="37">
        <v>24</v>
      </c>
      <c r="I1608" s="109">
        <f t="shared" si="339"/>
        <v>514.07999999999993</v>
      </c>
      <c r="J1608" s="123">
        <v>500</v>
      </c>
    </row>
    <row r="1609" spans="1:13" x14ac:dyDescent="0.25">
      <c r="A1609" s="31" t="s">
        <v>373</v>
      </c>
      <c r="B1609" s="75" t="s">
        <v>317</v>
      </c>
      <c r="C1609" s="111" t="s">
        <v>156</v>
      </c>
      <c r="D1609" s="111">
        <v>76.739999999999995</v>
      </c>
      <c r="E1609" s="42" t="s">
        <v>79</v>
      </c>
      <c r="F1609" s="74">
        <v>10.5</v>
      </c>
      <c r="G1609" s="36">
        <f t="shared" si="338"/>
        <v>66.149999999999991</v>
      </c>
      <c r="H1609" s="37">
        <v>24</v>
      </c>
      <c r="I1609" s="109">
        <f t="shared" si="339"/>
        <v>1587.6</v>
      </c>
      <c r="J1609" s="123">
        <v>1600</v>
      </c>
    </row>
    <row r="1610" spans="1:13" x14ac:dyDescent="0.25">
      <c r="A1610" s="31" t="s">
        <v>373</v>
      </c>
      <c r="B1610" s="37" t="s">
        <v>325</v>
      </c>
      <c r="C1610" s="34" t="s">
        <v>158</v>
      </c>
      <c r="D1610" s="46">
        <v>0</v>
      </c>
      <c r="E1610" s="34" t="s">
        <v>79</v>
      </c>
      <c r="F1610" s="74">
        <v>0</v>
      </c>
      <c r="G1610" s="36">
        <f t="shared" si="338"/>
        <v>0</v>
      </c>
      <c r="H1610" s="37">
        <v>0</v>
      </c>
      <c r="I1610" s="109">
        <f t="shared" si="339"/>
        <v>0</v>
      </c>
      <c r="J1610" s="123">
        <v>1000</v>
      </c>
    </row>
    <row r="1611" spans="1:13" ht="15.75" thickBot="1" x14ac:dyDescent="0.3">
      <c r="A1611" s="31" t="s">
        <v>373</v>
      </c>
      <c r="B1611" s="43" t="s">
        <v>326</v>
      </c>
      <c r="C1611" s="52" t="s">
        <v>152</v>
      </c>
      <c r="D1611" s="72">
        <v>9.4</v>
      </c>
      <c r="E1611" s="42" t="s">
        <v>79</v>
      </c>
      <c r="F1611" s="73">
        <v>8.5</v>
      </c>
      <c r="G1611" s="74">
        <f t="shared" si="338"/>
        <v>53.55</v>
      </c>
      <c r="H1611" s="43">
        <v>24</v>
      </c>
      <c r="I1611" s="328">
        <f t="shared" si="339"/>
        <v>1285.1999999999998</v>
      </c>
      <c r="J1611" s="124">
        <v>1300</v>
      </c>
    </row>
    <row r="1612" spans="1:13" ht="19.5" thickBot="1" x14ac:dyDescent="0.35">
      <c r="A1612" s="206"/>
      <c r="B1612" s="336"/>
      <c r="C1612" s="336"/>
      <c r="D1612" s="336"/>
      <c r="E1612" s="336"/>
      <c r="F1612" s="336"/>
      <c r="G1612" s="337"/>
      <c r="H1612" s="174" t="s">
        <v>171</v>
      </c>
      <c r="I1612" s="238">
        <f>SUM(I1606:I1611)</f>
        <v>5639.7599999999993</v>
      </c>
      <c r="J1612" s="104">
        <f>SUM(J1606:J1611)</f>
        <v>6700</v>
      </c>
      <c r="K1612" s="209" t="s">
        <v>370</v>
      </c>
      <c r="L1612" s="235"/>
      <c r="M1612" s="235"/>
    </row>
    <row r="1613" spans="1:13" x14ac:dyDescent="0.25">
      <c r="A1613" s="31" t="s">
        <v>374</v>
      </c>
      <c r="B1613" s="37" t="s">
        <v>322</v>
      </c>
      <c r="C1613" s="34" t="s">
        <v>114</v>
      </c>
      <c r="D1613" s="108">
        <v>30.2</v>
      </c>
      <c r="E1613" s="34" t="s">
        <v>79</v>
      </c>
      <c r="F1613" s="109">
        <v>5.8</v>
      </c>
      <c r="G1613" s="36">
        <f t="shared" ref="G1613:G1618" si="340">F1613*6.3</f>
        <v>36.54</v>
      </c>
      <c r="H1613" s="37">
        <v>24</v>
      </c>
      <c r="I1613" s="109">
        <f t="shared" ref="I1613:I1618" si="341">G1613*H1613</f>
        <v>876.96</v>
      </c>
      <c r="J1613" s="123">
        <v>900</v>
      </c>
    </row>
    <row r="1614" spans="1:13" x14ac:dyDescent="0.25">
      <c r="A1614" s="31" t="s">
        <v>374</v>
      </c>
      <c r="B1614" s="37" t="s">
        <v>323</v>
      </c>
      <c r="C1614" s="34" t="s">
        <v>86</v>
      </c>
      <c r="D1614" s="108">
        <v>57.77</v>
      </c>
      <c r="E1614" s="34" t="s">
        <v>79</v>
      </c>
      <c r="F1614" s="110">
        <v>9.1999999999999993</v>
      </c>
      <c r="G1614" s="36">
        <f t="shared" si="340"/>
        <v>57.959999999999994</v>
      </c>
      <c r="H1614" s="37">
        <v>24</v>
      </c>
      <c r="I1614" s="109">
        <f t="shared" si="341"/>
        <v>1391.04</v>
      </c>
      <c r="J1614" s="123">
        <v>1400</v>
      </c>
    </row>
    <row r="1615" spans="1:13" x14ac:dyDescent="0.25">
      <c r="A1615" s="31" t="s">
        <v>374</v>
      </c>
      <c r="B1615" s="50" t="s">
        <v>324</v>
      </c>
      <c r="C1615" s="34" t="s">
        <v>75</v>
      </c>
      <c r="D1615" s="108" t="s">
        <v>38</v>
      </c>
      <c r="E1615" s="34" t="s">
        <v>79</v>
      </c>
      <c r="F1615" s="36">
        <v>3.4</v>
      </c>
      <c r="G1615" s="36">
        <f t="shared" si="340"/>
        <v>21.419999999999998</v>
      </c>
      <c r="H1615" s="37">
        <v>24</v>
      </c>
      <c r="I1615" s="109">
        <f t="shared" si="341"/>
        <v>514.07999999999993</v>
      </c>
      <c r="J1615" s="123">
        <v>500</v>
      </c>
    </row>
    <row r="1616" spans="1:13" x14ac:dyDescent="0.25">
      <c r="A1616" s="31" t="s">
        <v>374</v>
      </c>
      <c r="B1616" s="75" t="s">
        <v>317</v>
      </c>
      <c r="C1616" s="111" t="s">
        <v>156</v>
      </c>
      <c r="D1616" s="111">
        <v>76.14</v>
      </c>
      <c r="E1616" s="42" t="s">
        <v>79</v>
      </c>
      <c r="F1616" s="74">
        <v>10.5</v>
      </c>
      <c r="G1616" s="36">
        <f t="shared" si="340"/>
        <v>66.149999999999991</v>
      </c>
      <c r="H1616" s="37">
        <v>24</v>
      </c>
      <c r="I1616" s="109">
        <f t="shared" si="341"/>
        <v>1587.6</v>
      </c>
      <c r="J1616" s="123">
        <v>1600</v>
      </c>
    </row>
    <row r="1617" spans="1:13" x14ac:dyDescent="0.25">
      <c r="A1617" s="31" t="s">
        <v>374</v>
      </c>
      <c r="B1617" s="37" t="s">
        <v>325</v>
      </c>
      <c r="C1617" s="34" t="s">
        <v>158</v>
      </c>
      <c r="D1617" s="46">
        <v>0</v>
      </c>
      <c r="E1617" s="34" t="s">
        <v>79</v>
      </c>
      <c r="F1617" s="74">
        <v>0</v>
      </c>
      <c r="G1617" s="36">
        <f t="shared" si="340"/>
        <v>0</v>
      </c>
      <c r="H1617" s="37">
        <v>0</v>
      </c>
      <c r="I1617" s="109">
        <f t="shared" si="341"/>
        <v>0</v>
      </c>
      <c r="J1617" s="123">
        <v>1000</v>
      </c>
    </row>
    <row r="1618" spans="1:13" x14ac:dyDescent="0.25">
      <c r="A1618" s="31" t="s">
        <v>374</v>
      </c>
      <c r="B1618" s="43" t="s">
        <v>326</v>
      </c>
      <c r="C1618" s="52" t="s">
        <v>152</v>
      </c>
      <c r="D1618" s="72">
        <v>9.4</v>
      </c>
      <c r="E1618" s="42" t="s">
        <v>79</v>
      </c>
      <c r="F1618" s="73">
        <v>8.5</v>
      </c>
      <c r="G1618" s="74">
        <f t="shared" si="340"/>
        <v>53.55</v>
      </c>
      <c r="H1618" s="43">
        <v>24</v>
      </c>
      <c r="I1618" s="328">
        <f t="shared" si="341"/>
        <v>1285.1999999999998</v>
      </c>
      <c r="J1618" s="124">
        <v>1300</v>
      </c>
    </row>
    <row r="1619" spans="1:13" ht="18.75" x14ac:dyDescent="0.3">
      <c r="A1619" s="222"/>
      <c r="B1619" s="352"/>
      <c r="C1619" s="352"/>
      <c r="D1619" s="352"/>
      <c r="E1619" s="352"/>
      <c r="F1619" s="352"/>
      <c r="G1619" s="353"/>
      <c r="H1619" s="99" t="s">
        <v>171</v>
      </c>
      <c r="I1619" s="330">
        <f>SUM(I1613:I1618)</f>
        <v>5654.88</v>
      </c>
      <c r="J1619" s="33">
        <f>SUM(J1613:J1618)</f>
        <v>6700</v>
      </c>
      <c r="K1619" s="209" t="s">
        <v>370</v>
      </c>
      <c r="L1619" s="235"/>
      <c r="M1619" s="235"/>
    </row>
    <row r="1620" spans="1:13" x14ac:dyDescent="0.25">
      <c r="A1620" s="31" t="s">
        <v>375</v>
      </c>
      <c r="B1620" s="37" t="s">
        <v>322</v>
      </c>
      <c r="C1620" s="34" t="s">
        <v>114</v>
      </c>
      <c r="D1620" s="108">
        <v>28.4</v>
      </c>
      <c r="E1620" s="34" t="s">
        <v>79</v>
      </c>
      <c r="F1620" s="109">
        <v>5.8</v>
      </c>
      <c r="G1620" s="36">
        <f t="shared" ref="G1620:G1625" si="342">F1620*6.3</f>
        <v>36.54</v>
      </c>
      <c r="H1620" s="37">
        <v>24</v>
      </c>
      <c r="I1620" s="109">
        <f t="shared" ref="I1620:I1625" si="343">G1620*H1620</f>
        <v>876.96</v>
      </c>
      <c r="J1620" s="123">
        <v>900</v>
      </c>
    </row>
    <row r="1621" spans="1:13" x14ac:dyDescent="0.25">
      <c r="A1621" s="31" t="s">
        <v>375</v>
      </c>
      <c r="B1621" s="37" t="s">
        <v>323</v>
      </c>
      <c r="C1621" s="34" t="s">
        <v>86</v>
      </c>
      <c r="D1621" s="108">
        <v>56.24</v>
      </c>
      <c r="E1621" s="34" t="s">
        <v>79</v>
      </c>
      <c r="F1621" s="110">
        <v>9.3000000000000007</v>
      </c>
      <c r="G1621" s="36">
        <f t="shared" si="342"/>
        <v>58.59</v>
      </c>
      <c r="H1621" s="37">
        <v>24</v>
      </c>
      <c r="I1621" s="109">
        <f t="shared" si="343"/>
        <v>1406.16</v>
      </c>
      <c r="J1621" s="123">
        <v>1400</v>
      </c>
    </row>
    <row r="1622" spans="1:13" x14ac:dyDescent="0.25">
      <c r="A1622" s="31" t="s">
        <v>375</v>
      </c>
      <c r="B1622" s="50" t="s">
        <v>324</v>
      </c>
      <c r="C1622" s="34" t="s">
        <v>75</v>
      </c>
      <c r="D1622" s="108" t="s">
        <v>38</v>
      </c>
      <c r="E1622" s="34" t="s">
        <v>79</v>
      </c>
      <c r="F1622" s="36">
        <v>3.4</v>
      </c>
      <c r="G1622" s="36">
        <f t="shared" si="342"/>
        <v>21.419999999999998</v>
      </c>
      <c r="H1622" s="37">
        <v>24</v>
      </c>
      <c r="I1622" s="109">
        <f t="shared" si="343"/>
        <v>514.07999999999993</v>
      </c>
      <c r="J1622" s="123">
        <v>500</v>
      </c>
    </row>
    <row r="1623" spans="1:13" x14ac:dyDescent="0.25">
      <c r="A1623" s="31" t="s">
        <v>375</v>
      </c>
      <c r="B1623" s="75" t="s">
        <v>317</v>
      </c>
      <c r="C1623" s="111" t="s">
        <v>156</v>
      </c>
      <c r="D1623" s="111">
        <v>76.040000000000006</v>
      </c>
      <c r="E1623" s="42" t="s">
        <v>79</v>
      </c>
      <c r="F1623" s="74">
        <v>10.5</v>
      </c>
      <c r="G1623" s="36">
        <f t="shared" si="342"/>
        <v>66.149999999999991</v>
      </c>
      <c r="H1623" s="37">
        <v>24</v>
      </c>
      <c r="I1623" s="109">
        <f t="shared" si="343"/>
        <v>1587.6</v>
      </c>
      <c r="J1623" s="123">
        <v>1600</v>
      </c>
    </row>
    <row r="1624" spans="1:13" x14ac:dyDescent="0.25">
      <c r="A1624" s="31" t="s">
        <v>375</v>
      </c>
      <c r="B1624" s="37" t="s">
        <v>325</v>
      </c>
      <c r="C1624" s="34" t="s">
        <v>158</v>
      </c>
      <c r="D1624" s="46">
        <v>14</v>
      </c>
      <c r="E1624" s="34" t="s">
        <v>79</v>
      </c>
      <c r="F1624" s="74">
        <v>7.2</v>
      </c>
      <c r="G1624" s="36">
        <f t="shared" si="342"/>
        <v>45.36</v>
      </c>
      <c r="H1624" s="37">
        <v>17.5</v>
      </c>
      <c r="I1624" s="109">
        <f t="shared" si="343"/>
        <v>793.8</v>
      </c>
      <c r="J1624" s="123">
        <v>1000</v>
      </c>
    </row>
    <row r="1625" spans="1:13" x14ac:dyDescent="0.25">
      <c r="A1625" s="31" t="s">
        <v>375</v>
      </c>
      <c r="B1625" s="37" t="s">
        <v>326</v>
      </c>
      <c r="C1625" s="46" t="s">
        <v>152</v>
      </c>
      <c r="D1625" s="72">
        <v>9.4</v>
      </c>
      <c r="E1625" s="34" t="s">
        <v>79</v>
      </c>
      <c r="F1625" s="73">
        <v>8.5</v>
      </c>
      <c r="G1625" s="36">
        <f t="shared" si="342"/>
        <v>53.55</v>
      </c>
      <c r="H1625" s="37">
        <v>24</v>
      </c>
      <c r="I1625" s="329">
        <f t="shared" si="343"/>
        <v>1285.1999999999998</v>
      </c>
      <c r="J1625" s="123">
        <v>1300</v>
      </c>
    </row>
    <row r="1626" spans="1:13" ht="18.75" x14ac:dyDescent="0.3">
      <c r="A1626" s="235"/>
      <c r="B1626" s="352"/>
      <c r="C1626" s="352"/>
      <c r="D1626" s="352"/>
      <c r="E1626" s="352"/>
      <c r="F1626" s="352"/>
      <c r="G1626" s="353"/>
      <c r="H1626" s="99" t="s">
        <v>171</v>
      </c>
      <c r="I1626" s="330">
        <f>SUM(I1620:I1625)</f>
        <v>6463.7999999999993</v>
      </c>
      <c r="J1626" s="359">
        <f>SUM(J1620:J1625)</f>
        <v>6700</v>
      </c>
      <c r="K1626" s="360" t="s">
        <v>376</v>
      </c>
    </row>
    <row r="1627" spans="1:13" x14ac:dyDescent="0.25">
      <c r="A1627" s="31" t="s">
        <v>378</v>
      </c>
      <c r="B1627" s="37" t="s">
        <v>322</v>
      </c>
      <c r="C1627" s="34" t="s">
        <v>114</v>
      </c>
      <c r="D1627" s="108">
        <v>25.4</v>
      </c>
      <c r="E1627" s="34" t="s">
        <v>79</v>
      </c>
      <c r="F1627" s="109">
        <v>5.3</v>
      </c>
      <c r="G1627" s="36">
        <f t="shared" ref="G1627:G1632" si="344">F1627*6.3</f>
        <v>33.39</v>
      </c>
      <c r="H1627" s="37">
        <v>24</v>
      </c>
      <c r="I1627" s="109">
        <f t="shared" ref="I1627:I1632" si="345">G1627*H1627</f>
        <v>801.36</v>
      </c>
      <c r="J1627" s="123">
        <v>900</v>
      </c>
    </row>
    <row r="1628" spans="1:13" x14ac:dyDescent="0.25">
      <c r="A1628" s="31" t="s">
        <v>378</v>
      </c>
      <c r="B1628" s="37" t="s">
        <v>323</v>
      </c>
      <c r="C1628" s="34" t="s">
        <v>86</v>
      </c>
      <c r="D1628" s="108">
        <v>54.46</v>
      </c>
      <c r="E1628" s="34" t="s">
        <v>79</v>
      </c>
      <c r="F1628" s="110">
        <v>9.25</v>
      </c>
      <c r="G1628" s="36">
        <f t="shared" si="344"/>
        <v>58.274999999999999</v>
      </c>
      <c r="H1628" s="37">
        <v>24</v>
      </c>
      <c r="I1628" s="109">
        <f t="shared" si="345"/>
        <v>1398.6</v>
      </c>
      <c r="J1628" s="123">
        <v>1400</v>
      </c>
    </row>
    <row r="1629" spans="1:13" x14ac:dyDescent="0.25">
      <c r="A1629" s="31" t="s">
        <v>378</v>
      </c>
      <c r="B1629" s="50" t="s">
        <v>324</v>
      </c>
      <c r="C1629" s="34" t="s">
        <v>75</v>
      </c>
      <c r="D1629" s="108" t="s">
        <v>38</v>
      </c>
      <c r="E1629" s="34" t="s">
        <v>79</v>
      </c>
      <c r="F1629" s="36">
        <v>3.3</v>
      </c>
      <c r="G1629" s="36">
        <f t="shared" si="344"/>
        <v>20.79</v>
      </c>
      <c r="H1629" s="37">
        <v>24</v>
      </c>
      <c r="I1629" s="109">
        <f t="shared" si="345"/>
        <v>498.96</v>
      </c>
      <c r="J1629" s="123">
        <v>500</v>
      </c>
    </row>
    <row r="1630" spans="1:13" x14ac:dyDescent="0.25">
      <c r="A1630" s="31" t="s">
        <v>378</v>
      </c>
      <c r="B1630" s="75" t="s">
        <v>317</v>
      </c>
      <c r="C1630" s="111" t="s">
        <v>156</v>
      </c>
      <c r="D1630" s="111">
        <v>76.81</v>
      </c>
      <c r="E1630" s="42" t="s">
        <v>79</v>
      </c>
      <c r="F1630" s="74">
        <v>10.5</v>
      </c>
      <c r="G1630" s="36">
        <f t="shared" si="344"/>
        <v>66.149999999999991</v>
      </c>
      <c r="H1630" s="37">
        <v>24</v>
      </c>
      <c r="I1630" s="109">
        <f t="shared" si="345"/>
        <v>1587.6</v>
      </c>
      <c r="J1630" s="123">
        <v>1600</v>
      </c>
    </row>
    <row r="1631" spans="1:13" x14ac:dyDescent="0.25">
      <c r="A1631" s="31" t="s">
        <v>378</v>
      </c>
      <c r="B1631" s="37" t="s">
        <v>325</v>
      </c>
      <c r="C1631" s="34" t="s">
        <v>158</v>
      </c>
      <c r="D1631" s="46">
        <v>15.79</v>
      </c>
      <c r="E1631" s="34" t="s">
        <v>79</v>
      </c>
      <c r="F1631" s="74">
        <v>7.05</v>
      </c>
      <c r="G1631" s="36">
        <f t="shared" si="344"/>
        <v>44.414999999999999</v>
      </c>
      <c r="H1631" s="37">
        <v>24</v>
      </c>
      <c r="I1631" s="109">
        <f t="shared" si="345"/>
        <v>1065.96</v>
      </c>
      <c r="J1631" s="123">
        <v>1000</v>
      </c>
    </row>
    <row r="1632" spans="1:13" ht="15.75" thickBot="1" x14ac:dyDescent="0.3">
      <c r="A1632" s="31" t="s">
        <v>378</v>
      </c>
      <c r="B1632" s="43" t="s">
        <v>326</v>
      </c>
      <c r="C1632" s="52" t="s">
        <v>152</v>
      </c>
      <c r="D1632" s="72">
        <v>9</v>
      </c>
      <c r="E1632" s="42" t="s">
        <v>79</v>
      </c>
      <c r="F1632" s="73">
        <v>8.8000000000000007</v>
      </c>
      <c r="G1632" s="74">
        <f t="shared" si="344"/>
        <v>55.440000000000005</v>
      </c>
      <c r="H1632" s="43">
        <v>3.5</v>
      </c>
      <c r="I1632" s="328">
        <f t="shared" si="345"/>
        <v>194.04000000000002</v>
      </c>
      <c r="J1632" s="124">
        <v>1300</v>
      </c>
    </row>
    <row r="1633" spans="1:13" ht="19.5" thickBot="1" x14ac:dyDescent="0.35">
      <c r="A1633" s="206"/>
      <c r="B1633" s="336"/>
      <c r="C1633" s="336"/>
      <c r="D1633" s="336"/>
      <c r="E1633" s="336"/>
      <c r="F1633" s="336"/>
      <c r="G1633" s="337"/>
      <c r="H1633" s="174" t="s">
        <v>171</v>
      </c>
      <c r="I1633" s="238">
        <f>SUM(I1627:I1632)</f>
        <v>5546.52</v>
      </c>
      <c r="J1633" s="104">
        <f>SUM(J1627:J1632)</f>
        <v>6700</v>
      </c>
      <c r="K1633" s="325" t="s">
        <v>377</v>
      </c>
      <c r="L1633" s="235"/>
      <c r="M1633" s="235"/>
    </row>
    <row r="1634" spans="1:13" x14ac:dyDescent="0.25">
      <c r="A1634" s="31" t="s">
        <v>379</v>
      </c>
      <c r="B1634" s="37" t="s">
        <v>322</v>
      </c>
      <c r="C1634" s="34" t="s">
        <v>114</v>
      </c>
      <c r="D1634" s="108">
        <v>11.64</v>
      </c>
      <c r="E1634" s="34" t="s">
        <v>79</v>
      </c>
      <c r="F1634" s="109">
        <v>5.3</v>
      </c>
      <c r="G1634" s="36">
        <f t="shared" ref="G1634:G1639" si="346">F1634*6.3</f>
        <v>33.39</v>
      </c>
      <c r="H1634" s="37">
        <v>24</v>
      </c>
      <c r="I1634" s="109">
        <f t="shared" ref="I1634:I1639" si="347">G1634*H1634</f>
        <v>801.36</v>
      </c>
      <c r="J1634" s="123">
        <v>900</v>
      </c>
    </row>
    <row r="1635" spans="1:13" x14ac:dyDescent="0.25">
      <c r="A1635" s="31" t="s">
        <v>379</v>
      </c>
      <c r="B1635" s="37" t="s">
        <v>323</v>
      </c>
      <c r="C1635" s="34" t="s">
        <v>86</v>
      </c>
      <c r="D1635" s="108">
        <v>52.82</v>
      </c>
      <c r="E1635" s="34" t="s">
        <v>79</v>
      </c>
      <c r="F1635" s="110">
        <v>9.25</v>
      </c>
      <c r="G1635" s="36">
        <f t="shared" si="346"/>
        <v>58.274999999999999</v>
      </c>
      <c r="H1635" s="37">
        <v>24</v>
      </c>
      <c r="I1635" s="109">
        <f t="shared" si="347"/>
        <v>1398.6</v>
      </c>
      <c r="J1635" s="123">
        <v>1400</v>
      </c>
    </row>
    <row r="1636" spans="1:13" x14ac:dyDescent="0.25">
      <c r="A1636" s="31" t="s">
        <v>379</v>
      </c>
      <c r="B1636" s="50" t="s">
        <v>324</v>
      </c>
      <c r="C1636" s="34" t="s">
        <v>75</v>
      </c>
      <c r="D1636" s="108" t="s">
        <v>38</v>
      </c>
      <c r="E1636" s="34" t="s">
        <v>79</v>
      </c>
      <c r="F1636" s="36">
        <v>3.3</v>
      </c>
      <c r="G1636" s="36">
        <f t="shared" si="346"/>
        <v>20.79</v>
      </c>
      <c r="H1636" s="37">
        <v>24</v>
      </c>
      <c r="I1636" s="109">
        <f t="shared" si="347"/>
        <v>498.96</v>
      </c>
      <c r="J1636" s="123">
        <v>500</v>
      </c>
    </row>
    <row r="1637" spans="1:13" x14ac:dyDescent="0.25">
      <c r="A1637" s="31" t="s">
        <v>379</v>
      </c>
      <c r="B1637" s="75" t="s">
        <v>317</v>
      </c>
      <c r="C1637" s="111" t="s">
        <v>156</v>
      </c>
      <c r="D1637" s="111">
        <v>76.81</v>
      </c>
      <c r="E1637" s="42" t="s">
        <v>79</v>
      </c>
      <c r="F1637" s="74">
        <v>10.5</v>
      </c>
      <c r="G1637" s="36">
        <f t="shared" si="346"/>
        <v>66.149999999999991</v>
      </c>
      <c r="H1637" s="37">
        <v>24</v>
      </c>
      <c r="I1637" s="109">
        <f t="shared" si="347"/>
        <v>1587.6</v>
      </c>
      <c r="J1637" s="123">
        <v>1600</v>
      </c>
    </row>
    <row r="1638" spans="1:13" x14ac:dyDescent="0.25">
      <c r="A1638" s="31" t="s">
        <v>379</v>
      </c>
      <c r="B1638" s="37" t="s">
        <v>325</v>
      </c>
      <c r="C1638" s="34" t="s">
        <v>158</v>
      </c>
      <c r="D1638" s="46">
        <v>15.79</v>
      </c>
      <c r="E1638" s="34" t="s">
        <v>79</v>
      </c>
      <c r="F1638" s="74">
        <v>7.05</v>
      </c>
      <c r="G1638" s="36">
        <f t="shared" si="346"/>
        <v>44.414999999999999</v>
      </c>
      <c r="H1638" s="37">
        <v>24</v>
      </c>
      <c r="I1638" s="109">
        <f t="shared" si="347"/>
        <v>1065.96</v>
      </c>
      <c r="J1638" s="123">
        <v>1000</v>
      </c>
    </row>
    <row r="1639" spans="1:13" ht="15.75" thickBot="1" x14ac:dyDescent="0.3">
      <c r="A1639" s="31" t="s">
        <v>379</v>
      </c>
      <c r="B1639" s="43" t="s">
        <v>326</v>
      </c>
      <c r="C1639" s="52" t="s">
        <v>152</v>
      </c>
      <c r="D1639" s="72">
        <v>0</v>
      </c>
      <c r="E1639" s="42" t="s">
        <v>79</v>
      </c>
      <c r="F1639" s="73">
        <v>0</v>
      </c>
      <c r="G1639" s="74">
        <f t="shared" si="346"/>
        <v>0</v>
      </c>
      <c r="H1639" s="43">
        <v>0</v>
      </c>
      <c r="I1639" s="328">
        <f t="shared" si="347"/>
        <v>0</v>
      </c>
      <c r="J1639" s="124">
        <v>1300</v>
      </c>
    </row>
    <row r="1640" spans="1:13" ht="19.5" thickBot="1" x14ac:dyDescent="0.35">
      <c r="A1640" s="206"/>
      <c r="B1640" s="336"/>
      <c r="C1640" s="336"/>
      <c r="D1640" s="336"/>
      <c r="E1640" s="336"/>
      <c r="F1640" s="336"/>
      <c r="G1640" s="337"/>
      <c r="H1640" s="174" t="s">
        <v>171</v>
      </c>
      <c r="I1640" s="238">
        <f>SUM(I1634:I1639)</f>
        <v>5352.4800000000005</v>
      </c>
      <c r="J1640" s="104">
        <f>SUM(J1634:J1639)</f>
        <v>6700</v>
      </c>
      <c r="K1640" s="209" t="s">
        <v>377</v>
      </c>
      <c r="L1640" s="235"/>
      <c r="M1640" s="235"/>
    </row>
    <row r="1641" spans="1:13" x14ac:dyDescent="0.25">
      <c r="A1641" s="31" t="s">
        <v>380</v>
      </c>
      <c r="B1641" s="37" t="s">
        <v>322</v>
      </c>
      <c r="C1641" s="34" t="s">
        <v>114</v>
      </c>
      <c r="D1641" s="108">
        <v>15.6</v>
      </c>
      <c r="E1641" s="34" t="s">
        <v>79</v>
      </c>
      <c r="F1641" s="109">
        <v>5.5</v>
      </c>
      <c r="G1641" s="36">
        <f t="shared" ref="G1641:G1646" si="348">F1641*6.3</f>
        <v>34.65</v>
      </c>
      <c r="H1641" s="37">
        <v>24</v>
      </c>
      <c r="I1641" s="109">
        <f t="shared" ref="I1641:I1646" si="349">G1641*H1641</f>
        <v>831.59999999999991</v>
      </c>
      <c r="J1641" s="123">
        <v>900</v>
      </c>
    </row>
    <row r="1642" spans="1:13" x14ac:dyDescent="0.25">
      <c r="A1642" s="31" t="s">
        <v>380</v>
      </c>
      <c r="B1642" s="37" t="s">
        <v>323</v>
      </c>
      <c r="C1642" s="34" t="s">
        <v>86</v>
      </c>
      <c r="D1642" s="108">
        <v>54.3</v>
      </c>
      <c r="E1642" s="34" t="s">
        <v>79</v>
      </c>
      <c r="F1642" s="110">
        <v>9.1999999999999993</v>
      </c>
      <c r="G1642" s="36">
        <f t="shared" si="348"/>
        <v>57.959999999999994</v>
      </c>
      <c r="H1642" s="37">
        <v>24</v>
      </c>
      <c r="I1642" s="109">
        <f t="shared" si="349"/>
        <v>1391.04</v>
      </c>
      <c r="J1642" s="123">
        <v>1400</v>
      </c>
    </row>
    <row r="1643" spans="1:13" x14ac:dyDescent="0.25">
      <c r="A1643" s="31" t="s">
        <v>380</v>
      </c>
      <c r="B1643" s="50" t="s">
        <v>324</v>
      </c>
      <c r="C1643" s="34" t="s">
        <v>75</v>
      </c>
      <c r="D1643" s="108" t="s">
        <v>38</v>
      </c>
      <c r="E1643" s="34" t="s">
        <v>79</v>
      </c>
      <c r="F1643" s="36">
        <v>3.3</v>
      </c>
      <c r="G1643" s="36">
        <f t="shared" si="348"/>
        <v>20.79</v>
      </c>
      <c r="H1643" s="37">
        <v>24</v>
      </c>
      <c r="I1643" s="109">
        <f t="shared" si="349"/>
        <v>498.96</v>
      </c>
      <c r="J1643" s="123">
        <v>500</v>
      </c>
    </row>
    <row r="1644" spans="1:13" x14ac:dyDescent="0.25">
      <c r="A1644" s="31" t="s">
        <v>380</v>
      </c>
      <c r="B1644" s="75" t="s">
        <v>317</v>
      </c>
      <c r="C1644" s="111" t="s">
        <v>156</v>
      </c>
      <c r="D1644" s="111">
        <v>77.5</v>
      </c>
      <c r="E1644" s="42" t="s">
        <v>79</v>
      </c>
      <c r="F1644" s="74">
        <v>10.5</v>
      </c>
      <c r="G1644" s="36">
        <f t="shared" si="348"/>
        <v>66.149999999999991</v>
      </c>
      <c r="H1644" s="37">
        <v>24</v>
      </c>
      <c r="I1644" s="109">
        <f t="shared" si="349"/>
        <v>1587.6</v>
      </c>
      <c r="J1644" s="123">
        <v>1600</v>
      </c>
    </row>
    <row r="1645" spans="1:13" x14ac:dyDescent="0.25">
      <c r="A1645" s="31" t="s">
        <v>380</v>
      </c>
      <c r="B1645" s="37" t="s">
        <v>325</v>
      </c>
      <c r="C1645" s="34" t="s">
        <v>158</v>
      </c>
      <c r="D1645" s="46">
        <v>24.4</v>
      </c>
      <c r="E1645" s="34" t="s">
        <v>79</v>
      </c>
      <c r="F1645" s="74">
        <v>7</v>
      </c>
      <c r="G1645" s="36">
        <f t="shared" si="348"/>
        <v>44.1</v>
      </c>
      <c r="H1645" s="37">
        <v>24</v>
      </c>
      <c r="I1645" s="109">
        <f t="shared" si="349"/>
        <v>1058.4000000000001</v>
      </c>
      <c r="J1645" s="123">
        <v>1000</v>
      </c>
    </row>
    <row r="1646" spans="1:13" x14ac:dyDescent="0.25">
      <c r="A1646" s="31" t="s">
        <v>380</v>
      </c>
      <c r="B1646" s="43" t="s">
        <v>326</v>
      </c>
      <c r="C1646" s="52" t="s">
        <v>152</v>
      </c>
      <c r="D1646" s="72">
        <v>0</v>
      </c>
      <c r="E1646" s="42" t="s">
        <v>79</v>
      </c>
      <c r="F1646" s="73">
        <v>0</v>
      </c>
      <c r="G1646" s="74">
        <f t="shared" si="348"/>
        <v>0</v>
      </c>
      <c r="H1646" s="43">
        <v>0</v>
      </c>
      <c r="I1646" s="328">
        <f t="shared" si="349"/>
        <v>0</v>
      </c>
      <c r="J1646" s="124">
        <v>1300</v>
      </c>
    </row>
    <row r="1647" spans="1:13" ht="18.75" x14ac:dyDescent="0.3">
      <c r="A1647" s="222"/>
      <c r="B1647" s="352"/>
      <c r="C1647" s="352"/>
      <c r="D1647" s="352"/>
      <c r="E1647" s="352"/>
      <c r="F1647" s="352"/>
      <c r="G1647" s="353"/>
      <c r="H1647" s="99" t="s">
        <v>171</v>
      </c>
      <c r="I1647" s="330">
        <f>SUM(I1641:I1646)</f>
        <v>5367.6</v>
      </c>
      <c r="J1647" s="33">
        <f>SUM(J1641:J1646)</f>
        <v>6700</v>
      </c>
      <c r="K1647" s="209" t="s">
        <v>377</v>
      </c>
      <c r="L1647" s="235"/>
      <c r="M1647" s="235"/>
    </row>
    <row r="1648" spans="1:13" x14ac:dyDescent="0.25">
      <c r="A1648" s="31" t="s">
        <v>381</v>
      </c>
      <c r="B1648" s="37" t="s">
        <v>322</v>
      </c>
      <c r="C1648" s="34" t="s">
        <v>114</v>
      </c>
      <c r="D1648" s="108">
        <v>20.399999999999999</v>
      </c>
      <c r="E1648" s="34" t="s">
        <v>79</v>
      </c>
      <c r="F1648" s="109">
        <v>5.8</v>
      </c>
      <c r="G1648" s="36">
        <f t="shared" ref="G1648:G1653" si="350">F1648*6.3</f>
        <v>36.54</v>
      </c>
      <c r="H1648" s="37">
        <v>24</v>
      </c>
      <c r="I1648" s="109">
        <f t="shared" ref="I1648:I1653" si="351">G1648*H1648</f>
        <v>876.96</v>
      </c>
      <c r="J1648" s="123">
        <v>900</v>
      </c>
    </row>
    <row r="1649" spans="1:13" x14ac:dyDescent="0.25">
      <c r="A1649" s="31" t="s">
        <v>381</v>
      </c>
      <c r="B1649" s="37" t="s">
        <v>323</v>
      </c>
      <c r="C1649" s="34" t="s">
        <v>86</v>
      </c>
      <c r="D1649" s="108">
        <v>56.26</v>
      </c>
      <c r="E1649" s="34" t="s">
        <v>79</v>
      </c>
      <c r="F1649" s="110">
        <v>9.1999999999999993</v>
      </c>
      <c r="G1649" s="36">
        <f t="shared" si="350"/>
        <v>57.959999999999994</v>
      </c>
      <c r="H1649" s="37">
        <v>24</v>
      </c>
      <c r="I1649" s="109">
        <f t="shared" si="351"/>
        <v>1391.04</v>
      </c>
      <c r="J1649" s="123">
        <v>1400</v>
      </c>
    </row>
    <row r="1650" spans="1:13" x14ac:dyDescent="0.25">
      <c r="A1650" s="31" t="s">
        <v>381</v>
      </c>
      <c r="B1650" s="50" t="s">
        <v>324</v>
      </c>
      <c r="C1650" s="34" t="s">
        <v>75</v>
      </c>
      <c r="D1650" s="108" t="s">
        <v>38</v>
      </c>
      <c r="E1650" s="34" t="s">
        <v>79</v>
      </c>
      <c r="F1650" s="36">
        <v>3.3</v>
      </c>
      <c r="G1650" s="36">
        <f t="shared" si="350"/>
        <v>20.79</v>
      </c>
      <c r="H1650" s="37">
        <v>24</v>
      </c>
      <c r="I1650" s="109">
        <f t="shared" si="351"/>
        <v>498.96</v>
      </c>
      <c r="J1650" s="123">
        <v>500</v>
      </c>
    </row>
    <row r="1651" spans="1:13" x14ac:dyDescent="0.25">
      <c r="A1651" s="31" t="s">
        <v>381</v>
      </c>
      <c r="B1651" s="75" t="s">
        <v>317</v>
      </c>
      <c r="C1651" s="111" t="s">
        <v>156</v>
      </c>
      <c r="D1651" s="111">
        <v>77.599999999999994</v>
      </c>
      <c r="E1651" s="42" t="s">
        <v>79</v>
      </c>
      <c r="F1651" s="74">
        <v>10.5</v>
      </c>
      <c r="G1651" s="36">
        <f t="shared" si="350"/>
        <v>66.149999999999991</v>
      </c>
      <c r="H1651" s="37">
        <v>24</v>
      </c>
      <c r="I1651" s="109">
        <f t="shared" si="351"/>
        <v>1587.6</v>
      </c>
      <c r="J1651" s="123">
        <v>1600</v>
      </c>
    </row>
    <row r="1652" spans="1:13" x14ac:dyDescent="0.25">
      <c r="A1652" s="31" t="s">
        <v>381</v>
      </c>
      <c r="B1652" s="37" t="s">
        <v>325</v>
      </c>
      <c r="C1652" s="34" t="s">
        <v>158</v>
      </c>
      <c r="D1652" s="46">
        <v>23.4</v>
      </c>
      <c r="E1652" s="34" t="s">
        <v>79</v>
      </c>
      <c r="F1652" s="74">
        <v>6.8</v>
      </c>
      <c r="G1652" s="36">
        <f t="shared" si="350"/>
        <v>42.839999999999996</v>
      </c>
      <c r="H1652" s="37">
        <v>24</v>
      </c>
      <c r="I1652" s="109">
        <f t="shared" si="351"/>
        <v>1028.1599999999999</v>
      </c>
      <c r="J1652" s="123">
        <v>1000</v>
      </c>
    </row>
    <row r="1653" spans="1:13" x14ac:dyDescent="0.25">
      <c r="A1653" s="31" t="s">
        <v>381</v>
      </c>
      <c r="B1653" s="43" t="s">
        <v>326</v>
      </c>
      <c r="C1653" s="52" t="s">
        <v>152</v>
      </c>
      <c r="D1653" s="72">
        <v>0</v>
      </c>
      <c r="E1653" s="42" t="s">
        <v>79</v>
      </c>
      <c r="F1653" s="73">
        <v>0</v>
      </c>
      <c r="G1653" s="74">
        <f t="shared" si="350"/>
        <v>0</v>
      </c>
      <c r="H1653" s="43">
        <v>0</v>
      </c>
      <c r="I1653" s="328">
        <f t="shared" si="351"/>
        <v>0</v>
      </c>
      <c r="J1653" s="124">
        <v>1300</v>
      </c>
    </row>
    <row r="1654" spans="1:13" ht="18.75" x14ac:dyDescent="0.3">
      <c r="A1654" s="233"/>
      <c r="B1654" s="334"/>
      <c r="C1654" s="334"/>
      <c r="D1654" s="334"/>
      <c r="E1654" s="334"/>
      <c r="F1654" s="334"/>
      <c r="G1654" s="334"/>
      <c r="H1654" s="99" t="s">
        <v>171</v>
      </c>
      <c r="I1654" s="330">
        <f>SUM(I1648:I1653)</f>
        <v>5382.7199999999993</v>
      </c>
      <c r="J1654" s="33">
        <f>SUM(J1648:J1653)</f>
        <v>6700</v>
      </c>
      <c r="K1654" s="640" t="s">
        <v>377</v>
      </c>
      <c r="L1654" s="640"/>
      <c r="M1654" s="640"/>
    </row>
    <row r="1655" spans="1:13" x14ac:dyDescent="0.25">
      <c r="A1655" s="31" t="s">
        <v>383</v>
      </c>
      <c r="B1655" s="37" t="s">
        <v>322</v>
      </c>
      <c r="C1655" s="34" t="s">
        <v>114</v>
      </c>
      <c r="D1655" s="108">
        <v>20.399999999999999</v>
      </c>
      <c r="E1655" s="34" t="s">
        <v>79</v>
      </c>
      <c r="F1655" s="109">
        <v>5.7</v>
      </c>
      <c r="G1655" s="36">
        <f t="shared" ref="G1655:G1660" si="352">F1655*6.3</f>
        <v>35.909999999999997</v>
      </c>
      <c r="H1655" s="37">
        <v>24</v>
      </c>
      <c r="I1655" s="109">
        <f t="shared" ref="I1655:I1660" si="353">G1655*H1655</f>
        <v>861.83999999999992</v>
      </c>
      <c r="J1655" s="123">
        <v>900</v>
      </c>
    </row>
    <row r="1656" spans="1:13" x14ac:dyDescent="0.25">
      <c r="A1656" s="31" t="s">
        <v>383</v>
      </c>
      <c r="B1656" s="37" t="s">
        <v>323</v>
      </c>
      <c r="C1656" s="34" t="s">
        <v>86</v>
      </c>
      <c r="D1656" s="108">
        <v>54.12</v>
      </c>
      <c r="E1656" s="34" t="s">
        <v>79</v>
      </c>
      <c r="F1656" s="110">
        <v>9.1</v>
      </c>
      <c r="G1656" s="36">
        <f t="shared" si="352"/>
        <v>57.33</v>
      </c>
      <c r="H1656" s="37">
        <v>24</v>
      </c>
      <c r="I1656" s="109">
        <f t="shared" si="353"/>
        <v>1375.92</v>
      </c>
      <c r="J1656" s="123">
        <v>1400</v>
      </c>
    </row>
    <row r="1657" spans="1:13" x14ac:dyDescent="0.25">
      <c r="A1657" s="31" t="s">
        <v>383</v>
      </c>
      <c r="B1657" s="50" t="s">
        <v>324</v>
      </c>
      <c r="C1657" s="34" t="s">
        <v>75</v>
      </c>
      <c r="D1657" s="108" t="s">
        <v>38</v>
      </c>
      <c r="E1657" s="34" t="s">
        <v>79</v>
      </c>
      <c r="F1657" s="36">
        <v>3.3</v>
      </c>
      <c r="G1657" s="36">
        <f t="shared" si="352"/>
        <v>20.79</v>
      </c>
      <c r="H1657" s="37">
        <v>24</v>
      </c>
      <c r="I1657" s="109">
        <f t="shared" si="353"/>
        <v>498.96</v>
      </c>
      <c r="J1657" s="123">
        <v>500</v>
      </c>
    </row>
    <row r="1658" spans="1:13" x14ac:dyDescent="0.25">
      <c r="A1658" s="31" t="s">
        <v>383</v>
      </c>
      <c r="B1658" s="75" t="s">
        <v>317</v>
      </c>
      <c r="C1658" s="111" t="s">
        <v>156</v>
      </c>
      <c r="D1658" s="111">
        <v>78.2</v>
      </c>
      <c r="E1658" s="42" t="s">
        <v>79</v>
      </c>
      <c r="F1658" s="74">
        <v>10.5</v>
      </c>
      <c r="G1658" s="36">
        <f t="shared" si="352"/>
        <v>66.149999999999991</v>
      </c>
      <c r="H1658" s="37">
        <v>24</v>
      </c>
      <c r="I1658" s="109">
        <f t="shared" si="353"/>
        <v>1587.6</v>
      </c>
      <c r="J1658" s="123">
        <v>1600</v>
      </c>
    </row>
    <row r="1659" spans="1:13" x14ac:dyDescent="0.25">
      <c r="A1659" s="31" t="s">
        <v>383</v>
      </c>
      <c r="B1659" s="37" t="s">
        <v>325</v>
      </c>
      <c r="C1659" s="34" t="s">
        <v>158</v>
      </c>
      <c r="D1659" s="46">
        <v>23.4</v>
      </c>
      <c r="E1659" s="34" t="s">
        <v>79</v>
      </c>
      <c r="F1659" s="74">
        <v>6.6</v>
      </c>
      <c r="G1659" s="36">
        <f t="shared" si="352"/>
        <v>41.58</v>
      </c>
      <c r="H1659" s="37">
        <v>24</v>
      </c>
      <c r="I1659" s="109">
        <f t="shared" si="353"/>
        <v>997.92</v>
      </c>
      <c r="J1659" s="123">
        <v>1000</v>
      </c>
    </row>
    <row r="1660" spans="1:13" x14ac:dyDescent="0.25">
      <c r="A1660" s="31" t="s">
        <v>383</v>
      </c>
      <c r="B1660" s="43" t="s">
        <v>326</v>
      </c>
      <c r="C1660" s="52" t="s">
        <v>152</v>
      </c>
      <c r="D1660" s="72">
        <v>10</v>
      </c>
      <c r="E1660" s="42" t="s">
        <v>79</v>
      </c>
      <c r="F1660" s="73">
        <v>8.1999999999999993</v>
      </c>
      <c r="G1660" s="74">
        <f t="shared" si="352"/>
        <v>51.66</v>
      </c>
      <c r="H1660" s="43">
        <v>18.5</v>
      </c>
      <c r="I1660" s="328">
        <f t="shared" si="353"/>
        <v>955.70999999999992</v>
      </c>
      <c r="J1660" s="124">
        <v>1300</v>
      </c>
    </row>
    <row r="1661" spans="1:13" ht="18.75" x14ac:dyDescent="0.3">
      <c r="A1661" s="222"/>
      <c r="B1661" s="352"/>
      <c r="C1661" s="352"/>
      <c r="D1661" s="352"/>
      <c r="E1661" s="352"/>
      <c r="F1661" s="352"/>
      <c r="G1661" s="353"/>
      <c r="H1661" s="99" t="s">
        <v>171</v>
      </c>
      <c r="I1661" s="330">
        <f>SUM(I1655:I1660)</f>
        <v>6277.95</v>
      </c>
      <c r="J1661" s="33">
        <f>SUM(J1655:J1660)</f>
        <v>6700</v>
      </c>
      <c r="K1661" s="360" t="s">
        <v>382</v>
      </c>
    </row>
    <row r="1662" spans="1:13" x14ac:dyDescent="0.25">
      <c r="A1662" s="31" t="s">
        <v>384</v>
      </c>
      <c r="B1662" s="37" t="s">
        <v>322</v>
      </c>
      <c r="C1662" s="34" t="s">
        <v>114</v>
      </c>
      <c r="D1662" s="108">
        <v>22.3</v>
      </c>
      <c r="E1662" s="34" t="s">
        <v>79</v>
      </c>
      <c r="F1662" s="109">
        <v>5.8</v>
      </c>
      <c r="G1662" s="36">
        <f t="shared" ref="G1662:G1667" si="354">F1662*6.3</f>
        <v>36.54</v>
      </c>
      <c r="H1662" s="37">
        <v>24</v>
      </c>
      <c r="I1662" s="109">
        <f t="shared" ref="I1662:I1667" si="355">G1662*H1662</f>
        <v>876.96</v>
      </c>
      <c r="J1662" s="123">
        <v>900</v>
      </c>
    </row>
    <row r="1663" spans="1:13" x14ac:dyDescent="0.25">
      <c r="A1663" s="31" t="s">
        <v>384</v>
      </c>
      <c r="B1663" s="37" t="s">
        <v>323</v>
      </c>
      <c r="C1663" s="34" t="s">
        <v>86</v>
      </c>
      <c r="D1663" s="108">
        <v>55.2</v>
      </c>
      <c r="E1663" s="34" t="s">
        <v>79</v>
      </c>
      <c r="F1663" s="110">
        <v>9.1</v>
      </c>
      <c r="G1663" s="36">
        <f t="shared" si="354"/>
        <v>57.33</v>
      </c>
      <c r="H1663" s="37">
        <v>24</v>
      </c>
      <c r="I1663" s="109">
        <f t="shared" si="355"/>
        <v>1375.92</v>
      </c>
      <c r="J1663" s="123">
        <v>1400</v>
      </c>
    </row>
    <row r="1664" spans="1:13" x14ac:dyDescent="0.25">
      <c r="A1664" s="31" t="s">
        <v>384</v>
      </c>
      <c r="B1664" s="50" t="s">
        <v>324</v>
      </c>
      <c r="C1664" s="34" t="s">
        <v>75</v>
      </c>
      <c r="D1664" s="108" t="s">
        <v>38</v>
      </c>
      <c r="E1664" s="34" t="s">
        <v>79</v>
      </c>
      <c r="F1664" s="36">
        <v>3.3</v>
      </c>
      <c r="G1664" s="36">
        <f t="shared" si="354"/>
        <v>20.79</v>
      </c>
      <c r="H1664" s="37">
        <v>24</v>
      </c>
      <c r="I1664" s="109">
        <f t="shared" si="355"/>
        <v>498.96</v>
      </c>
      <c r="J1664" s="123">
        <v>500</v>
      </c>
    </row>
    <row r="1665" spans="1:10" x14ac:dyDescent="0.25">
      <c r="A1665" s="31" t="s">
        <v>384</v>
      </c>
      <c r="B1665" s="75" t="s">
        <v>317</v>
      </c>
      <c r="C1665" s="111" t="s">
        <v>156</v>
      </c>
      <c r="D1665" s="111">
        <v>76.5</v>
      </c>
      <c r="E1665" s="42" t="s">
        <v>79</v>
      </c>
      <c r="F1665" s="74">
        <v>10.5</v>
      </c>
      <c r="G1665" s="36">
        <f t="shared" si="354"/>
        <v>66.149999999999991</v>
      </c>
      <c r="H1665" s="37">
        <v>24</v>
      </c>
      <c r="I1665" s="109">
        <f t="shared" si="355"/>
        <v>1587.6</v>
      </c>
      <c r="J1665" s="123">
        <v>1600</v>
      </c>
    </row>
    <row r="1666" spans="1:10" x14ac:dyDescent="0.25">
      <c r="A1666" s="31" t="s">
        <v>384</v>
      </c>
      <c r="B1666" s="37" t="s">
        <v>325</v>
      </c>
      <c r="C1666" s="34" t="s">
        <v>158</v>
      </c>
      <c r="D1666" s="46">
        <v>31.4</v>
      </c>
      <c r="E1666" s="34" t="s">
        <v>79</v>
      </c>
      <c r="F1666" s="74">
        <v>6.5</v>
      </c>
      <c r="G1666" s="36">
        <f t="shared" si="354"/>
        <v>40.949999999999996</v>
      </c>
      <c r="H1666" s="37">
        <v>24</v>
      </c>
      <c r="I1666" s="109">
        <f t="shared" si="355"/>
        <v>982.8</v>
      </c>
      <c r="J1666" s="123">
        <v>1000</v>
      </c>
    </row>
    <row r="1667" spans="1:10" x14ac:dyDescent="0.25">
      <c r="A1667" s="31" t="s">
        <v>384</v>
      </c>
      <c r="B1667" s="43" t="s">
        <v>326</v>
      </c>
      <c r="C1667" s="52" t="s">
        <v>152</v>
      </c>
      <c r="D1667" s="72">
        <v>11</v>
      </c>
      <c r="E1667" s="42" t="s">
        <v>79</v>
      </c>
      <c r="F1667" s="73">
        <v>8.3000000000000007</v>
      </c>
      <c r="G1667" s="74">
        <f t="shared" si="354"/>
        <v>52.290000000000006</v>
      </c>
      <c r="H1667" s="43">
        <v>24</v>
      </c>
      <c r="I1667" s="328">
        <f t="shared" si="355"/>
        <v>1254.96</v>
      </c>
      <c r="J1667" s="124">
        <v>1300</v>
      </c>
    </row>
    <row r="1668" spans="1:10" ht="18.75" x14ac:dyDescent="0.3">
      <c r="A1668" s="222"/>
      <c r="B1668" s="352"/>
      <c r="C1668" s="352"/>
      <c r="D1668" s="352"/>
      <c r="E1668" s="352"/>
      <c r="F1668" s="352"/>
      <c r="G1668" s="353"/>
      <c r="H1668" s="99" t="s">
        <v>171</v>
      </c>
      <c r="I1668" s="330">
        <f>SUM(I1662:I1667)</f>
        <v>6577.2000000000007</v>
      </c>
      <c r="J1668" s="33">
        <f>SUM(J1662:J1667)</f>
        <v>6700</v>
      </c>
    </row>
    <row r="1669" spans="1:10" x14ac:dyDescent="0.25">
      <c r="A1669" s="31" t="s">
        <v>385</v>
      </c>
      <c r="B1669" s="37" t="s">
        <v>322</v>
      </c>
      <c r="C1669" s="34" t="s">
        <v>114</v>
      </c>
      <c r="D1669" s="108">
        <v>23.4</v>
      </c>
      <c r="E1669" s="34" t="s">
        <v>79</v>
      </c>
      <c r="F1669" s="109">
        <v>5.9</v>
      </c>
      <c r="G1669" s="36">
        <f t="shared" ref="G1669:G1674" si="356">F1669*6.3</f>
        <v>37.17</v>
      </c>
      <c r="H1669" s="37">
        <v>24</v>
      </c>
      <c r="I1669" s="109">
        <f t="shared" ref="I1669:I1674" si="357">G1669*H1669</f>
        <v>892.08</v>
      </c>
      <c r="J1669" s="123">
        <v>900</v>
      </c>
    </row>
    <row r="1670" spans="1:10" x14ac:dyDescent="0.25">
      <c r="A1670" s="31" t="s">
        <v>385</v>
      </c>
      <c r="B1670" s="37" t="s">
        <v>323</v>
      </c>
      <c r="C1670" s="34" t="s">
        <v>86</v>
      </c>
      <c r="D1670" s="108">
        <v>56.12</v>
      </c>
      <c r="E1670" s="34" t="s">
        <v>79</v>
      </c>
      <c r="F1670" s="110">
        <v>9</v>
      </c>
      <c r="G1670" s="36">
        <f t="shared" si="356"/>
        <v>56.699999999999996</v>
      </c>
      <c r="H1670" s="37">
        <v>24</v>
      </c>
      <c r="I1670" s="109">
        <f t="shared" si="357"/>
        <v>1360.8</v>
      </c>
      <c r="J1670" s="123">
        <v>1400</v>
      </c>
    </row>
    <row r="1671" spans="1:10" x14ac:dyDescent="0.25">
      <c r="A1671" s="31" t="s">
        <v>385</v>
      </c>
      <c r="B1671" s="50" t="s">
        <v>324</v>
      </c>
      <c r="C1671" s="34" t="s">
        <v>75</v>
      </c>
      <c r="D1671" s="108" t="s">
        <v>38</v>
      </c>
      <c r="E1671" s="34" t="s">
        <v>79</v>
      </c>
      <c r="F1671" s="36">
        <v>3.3</v>
      </c>
      <c r="G1671" s="36">
        <f t="shared" si="356"/>
        <v>20.79</v>
      </c>
      <c r="H1671" s="37">
        <v>24</v>
      </c>
      <c r="I1671" s="109">
        <f t="shared" si="357"/>
        <v>498.96</v>
      </c>
      <c r="J1671" s="123">
        <v>500</v>
      </c>
    </row>
    <row r="1672" spans="1:10" x14ac:dyDescent="0.25">
      <c r="A1672" s="31" t="s">
        <v>385</v>
      </c>
      <c r="B1672" s="75" t="s">
        <v>317</v>
      </c>
      <c r="C1672" s="111" t="s">
        <v>156</v>
      </c>
      <c r="D1672" s="111">
        <v>76.5</v>
      </c>
      <c r="E1672" s="42" t="s">
        <v>79</v>
      </c>
      <c r="F1672" s="74">
        <v>10.4</v>
      </c>
      <c r="G1672" s="36">
        <f t="shared" si="356"/>
        <v>65.52</v>
      </c>
      <c r="H1672" s="37">
        <v>24</v>
      </c>
      <c r="I1672" s="109">
        <f t="shared" si="357"/>
        <v>1572.48</v>
      </c>
      <c r="J1672" s="123">
        <v>1600</v>
      </c>
    </row>
    <row r="1673" spans="1:10" x14ac:dyDescent="0.25">
      <c r="A1673" s="31" t="s">
        <v>385</v>
      </c>
      <c r="B1673" s="37" t="s">
        <v>325</v>
      </c>
      <c r="C1673" s="34" t="s">
        <v>158</v>
      </c>
      <c r="D1673" s="46">
        <v>30.4</v>
      </c>
      <c r="E1673" s="34" t="s">
        <v>79</v>
      </c>
      <c r="F1673" s="74">
        <v>6.6</v>
      </c>
      <c r="G1673" s="36">
        <f t="shared" si="356"/>
        <v>41.58</v>
      </c>
      <c r="H1673" s="37">
        <v>24</v>
      </c>
      <c r="I1673" s="109">
        <f t="shared" si="357"/>
        <v>997.92</v>
      </c>
      <c r="J1673" s="123">
        <v>1000</v>
      </c>
    </row>
    <row r="1674" spans="1:10" x14ac:dyDescent="0.25">
      <c r="A1674" s="31" t="s">
        <v>385</v>
      </c>
      <c r="B1674" s="43" t="s">
        <v>326</v>
      </c>
      <c r="C1674" s="52" t="s">
        <v>152</v>
      </c>
      <c r="D1674" s="72">
        <v>12</v>
      </c>
      <c r="E1674" s="42" t="s">
        <v>79</v>
      </c>
      <c r="F1674" s="73">
        <v>8.5</v>
      </c>
      <c r="G1674" s="74">
        <f t="shared" si="356"/>
        <v>53.55</v>
      </c>
      <c r="H1674" s="43">
        <v>24</v>
      </c>
      <c r="I1674" s="328">
        <f t="shared" si="357"/>
        <v>1285.1999999999998</v>
      </c>
      <c r="J1674" s="124">
        <v>1300</v>
      </c>
    </row>
    <row r="1675" spans="1:10" ht="18.75" x14ac:dyDescent="0.3">
      <c r="A1675" s="222"/>
      <c r="B1675" s="352"/>
      <c r="C1675" s="352"/>
      <c r="D1675" s="352"/>
      <c r="E1675" s="352"/>
      <c r="F1675" s="352"/>
      <c r="G1675" s="353"/>
      <c r="H1675" s="99" t="s">
        <v>171</v>
      </c>
      <c r="I1675" s="330">
        <f>SUM(I1669:I1674)</f>
        <v>6607.44</v>
      </c>
      <c r="J1675" s="33">
        <f>SUM(J1669:J1674)</f>
        <v>6700</v>
      </c>
    </row>
    <row r="1676" spans="1:10" x14ac:dyDescent="0.25">
      <c r="A1676" s="31" t="s">
        <v>386</v>
      </c>
      <c r="B1676" s="37" t="s">
        <v>322</v>
      </c>
      <c r="C1676" s="34" t="s">
        <v>114</v>
      </c>
      <c r="D1676" s="108">
        <v>26</v>
      </c>
      <c r="E1676" s="34" t="s">
        <v>79</v>
      </c>
      <c r="F1676" s="109">
        <v>5.8</v>
      </c>
      <c r="G1676" s="36">
        <f t="shared" ref="G1676:G1681" si="358">F1676*6.3</f>
        <v>36.54</v>
      </c>
      <c r="H1676" s="37">
        <v>24</v>
      </c>
      <c r="I1676" s="109">
        <f t="shared" ref="I1676:I1681" si="359">G1676*H1676</f>
        <v>876.96</v>
      </c>
      <c r="J1676" s="123">
        <v>900</v>
      </c>
    </row>
    <row r="1677" spans="1:10" x14ac:dyDescent="0.25">
      <c r="A1677" s="31" t="s">
        <v>386</v>
      </c>
      <c r="B1677" s="37" t="s">
        <v>323</v>
      </c>
      <c r="C1677" s="34" t="s">
        <v>86</v>
      </c>
      <c r="D1677" s="108">
        <v>53.8</v>
      </c>
      <c r="E1677" s="34" t="s">
        <v>79</v>
      </c>
      <c r="F1677" s="110">
        <v>9.1999999999999993</v>
      </c>
      <c r="G1677" s="36">
        <f t="shared" si="358"/>
        <v>57.959999999999994</v>
      </c>
      <c r="H1677" s="37">
        <v>24</v>
      </c>
      <c r="I1677" s="109">
        <f t="shared" si="359"/>
        <v>1391.04</v>
      </c>
      <c r="J1677" s="123">
        <v>1400</v>
      </c>
    </row>
    <row r="1678" spans="1:10" x14ac:dyDescent="0.25">
      <c r="A1678" s="31" t="s">
        <v>386</v>
      </c>
      <c r="B1678" s="50" t="s">
        <v>324</v>
      </c>
      <c r="C1678" s="34" t="s">
        <v>75</v>
      </c>
      <c r="D1678" s="108" t="s">
        <v>38</v>
      </c>
      <c r="E1678" s="34" t="s">
        <v>79</v>
      </c>
      <c r="F1678" s="36">
        <v>3.3</v>
      </c>
      <c r="G1678" s="36">
        <f t="shared" si="358"/>
        <v>20.79</v>
      </c>
      <c r="H1678" s="37">
        <v>24</v>
      </c>
      <c r="I1678" s="109">
        <f t="shared" si="359"/>
        <v>498.96</v>
      </c>
      <c r="J1678" s="123">
        <v>500</v>
      </c>
    </row>
    <row r="1679" spans="1:10" x14ac:dyDescent="0.25">
      <c r="A1679" s="31" t="s">
        <v>386</v>
      </c>
      <c r="B1679" s="75" t="s">
        <v>317</v>
      </c>
      <c r="C1679" s="111" t="s">
        <v>156</v>
      </c>
      <c r="D1679" s="111">
        <v>76.5</v>
      </c>
      <c r="E1679" s="42" t="s">
        <v>79</v>
      </c>
      <c r="F1679" s="74">
        <v>10.45</v>
      </c>
      <c r="G1679" s="36">
        <f t="shared" si="358"/>
        <v>65.834999999999994</v>
      </c>
      <c r="H1679" s="37">
        <v>24</v>
      </c>
      <c r="I1679" s="109">
        <f t="shared" si="359"/>
        <v>1580.04</v>
      </c>
      <c r="J1679" s="123">
        <v>1600</v>
      </c>
    </row>
    <row r="1680" spans="1:10" x14ac:dyDescent="0.25">
      <c r="A1680" s="31" t="s">
        <v>386</v>
      </c>
      <c r="B1680" s="37" t="s">
        <v>325</v>
      </c>
      <c r="C1680" s="34" t="s">
        <v>158</v>
      </c>
      <c r="D1680" s="46">
        <v>31.4</v>
      </c>
      <c r="E1680" s="34" t="s">
        <v>79</v>
      </c>
      <c r="F1680" s="74">
        <v>6.6</v>
      </c>
      <c r="G1680" s="36">
        <f t="shared" si="358"/>
        <v>41.58</v>
      </c>
      <c r="H1680" s="37">
        <v>24</v>
      </c>
      <c r="I1680" s="109">
        <f t="shared" si="359"/>
        <v>997.92</v>
      </c>
      <c r="J1680" s="123">
        <v>1000</v>
      </c>
    </row>
    <row r="1681" spans="1:11" x14ac:dyDescent="0.25">
      <c r="A1681" s="31" t="s">
        <v>386</v>
      </c>
      <c r="B1681" s="43" t="s">
        <v>326</v>
      </c>
      <c r="C1681" s="52" t="s">
        <v>152</v>
      </c>
      <c r="D1681" s="72">
        <v>11</v>
      </c>
      <c r="E1681" s="42" t="s">
        <v>79</v>
      </c>
      <c r="F1681" s="73">
        <v>8.4</v>
      </c>
      <c r="G1681" s="74">
        <f t="shared" si="358"/>
        <v>52.92</v>
      </c>
      <c r="H1681" s="43">
        <v>24</v>
      </c>
      <c r="I1681" s="328">
        <f t="shared" si="359"/>
        <v>1270.08</v>
      </c>
      <c r="J1681" s="124">
        <v>1300</v>
      </c>
    </row>
    <row r="1682" spans="1:11" ht="18.75" x14ac:dyDescent="0.3">
      <c r="A1682" s="222"/>
      <c r="B1682" s="352"/>
      <c r="C1682" s="352"/>
      <c r="D1682" s="352"/>
      <c r="E1682" s="352"/>
      <c r="F1682" s="352"/>
      <c r="G1682" s="353"/>
      <c r="H1682" s="99" t="s">
        <v>171</v>
      </c>
      <c r="I1682" s="330">
        <f>SUM(I1676:I1681)</f>
        <v>6615</v>
      </c>
      <c r="J1682" s="33">
        <f>SUM(J1676:J1681)</f>
        <v>6700</v>
      </c>
    </row>
    <row r="1683" spans="1:11" x14ac:dyDescent="0.25">
      <c r="A1683" s="31" t="s">
        <v>387</v>
      </c>
      <c r="B1683" s="37" t="s">
        <v>322</v>
      </c>
      <c r="C1683" s="34" t="s">
        <v>114</v>
      </c>
      <c r="D1683" s="108">
        <v>20.5</v>
      </c>
      <c r="E1683" s="34" t="s">
        <v>79</v>
      </c>
      <c r="F1683" s="109">
        <v>4.8</v>
      </c>
      <c r="G1683" s="36">
        <f t="shared" ref="G1683:G1688" si="360">F1683*6.3</f>
        <v>30.24</v>
      </c>
      <c r="H1683" s="37">
        <v>24</v>
      </c>
      <c r="I1683" s="109">
        <f t="shared" ref="I1683:I1688" si="361">G1683*H1683</f>
        <v>725.76</v>
      </c>
      <c r="J1683" s="123">
        <v>900</v>
      </c>
    </row>
    <row r="1684" spans="1:11" x14ac:dyDescent="0.25">
      <c r="A1684" s="31" t="s">
        <v>387</v>
      </c>
      <c r="B1684" s="37" t="s">
        <v>323</v>
      </c>
      <c r="C1684" s="34" t="s">
        <v>86</v>
      </c>
      <c r="D1684" s="108">
        <v>51.2</v>
      </c>
      <c r="E1684" s="34" t="s">
        <v>79</v>
      </c>
      <c r="F1684" s="110">
        <v>9.1999999999999993</v>
      </c>
      <c r="G1684" s="36">
        <f t="shared" si="360"/>
        <v>57.959999999999994</v>
      </c>
      <c r="H1684" s="37">
        <v>24</v>
      </c>
      <c r="I1684" s="109">
        <f t="shared" si="361"/>
        <v>1391.04</v>
      </c>
      <c r="J1684" s="123">
        <v>1400</v>
      </c>
    </row>
    <row r="1685" spans="1:11" x14ac:dyDescent="0.25">
      <c r="A1685" s="31" t="s">
        <v>387</v>
      </c>
      <c r="B1685" s="50" t="s">
        <v>324</v>
      </c>
      <c r="C1685" s="34" t="s">
        <v>75</v>
      </c>
      <c r="D1685" s="108" t="s">
        <v>38</v>
      </c>
      <c r="E1685" s="34" t="s">
        <v>79</v>
      </c>
      <c r="F1685" s="36">
        <v>3.3</v>
      </c>
      <c r="G1685" s="36">
        <f t="shared" si="360"/>
        <v>20.79</v>
      </c>
      <c r="H1685" s="37">
        <v>24</v>
      </c>
      <c r="I1685" s="109">
        <f t="shared" si="361"/>
        <v>498.96</v>
      </c>
      <c r="J1685" s="123">
        <v>500</v>
      </c>
    </row>
    <row r="1686" spans="1:11" x14ac:dyDescent="0.25">
      <c r="A1686" s="31" t="s">
        <v>387</v>
      </c>
      <c r="B1686" s="75" t="s">
        <v>317</v>
      </c>
      <c r="C1686" s="111" t="s">
        <v>156</v>
      </c>
      <c r="D1686" s="111">
        <v>71.8</v>
      </c>
      <c r="E1686" s="42" t="s">
        <v>79</v>
      </c>
      <c r="F1686" s="74">
        <v>10.45</v>
      </c>
      <c r="G1686" s="36">
        <f t="shared" si="360"/>
        <v>65.834999999999994</v>
      </c>
      <c r="H1686" s="37">
        <v>24</v>
      </c>
      <c r="I1686" s="109">
        <f t="shared" si="361"/>
        <v>1580.04</v>
      </c>
      <c r="J1686" s="123">
        <v>1600</v>
      </c>
    </row>
    <row r="1687" spans="1:11" x14ac:dyDescent="0.25">
      <c r="A1687" s="31" t="s">
        <v>387</v>
      </c>
      <c r="B1687" s="37" t="s">
        <v>325</v>
      </c>
      <c r="C1687" s="34" t="s">
        <v>158</v>
      </c>
      <c r="D1687" s="46">
        <v>26.4</v>
      </c>
      <c r="E1687" s="34" t="s">
        <v>79</v>
      </c>
      <c r="F1687" s="74">
        <v>6.6</v>
      </c>
      <c r="G1687" s="36">
        <f t="shared" si="360"/>
        <v>41.58</v>
      </c>
      <c r="H1687" s="37">
        <v>24</v>
      </c>
      <c r="I1687" s="109">
        <f t="shared" si="361"/>
        <v>997.92</v>
      </c>
      <c r="J1687" s="123">
        <v>1000</v>
      </c>
    </row>
    <row r="1688" spans="1:11" x14ac:dyDescent="0.25">
      <c r="A1688" s="31" t="s">
        <v>387</v>
      </c>
      <c r="B1688" s="43" t="s">
        <v>326</v>
      </c>
      <c r="C1688" s="52" t="s">
        <v>152</v>
      </c>
      <c r="D1688" s="72">
        <v>2</v>
      </c>
      <c r="E1688" s="42" t="s">
        <v>79</v>
      </c>
      <c r="F1688" s="73">
        <v>8.1999999999999993</v>
      </c>
      <c r="G1688" s="74">
        <f t="shared" si="360"/>
        <v>51.66</v>
      </c>
      <c r="H1688" s="43">
        <v>24</v>
      </c>
      <c r="I1688" s="328">
        <f t="shared" si="361"/>
        <v>1239.8399999999999</v>
      </c>
      <c r="J1688" s="124">
        <v>1300</v>
      </c>
    </row>
    <row r="1689" spans="1:11" ht="18.75" x14ac:dyDescent="0.3">
      <c r="A1689" s="222"/>
      <c r="B1689" s="352"/>
      <c r="C1689" s="352"/>
      <c r="D1689" s="352"/>
      <c r="E1689" s="352"/>
      <c r="F1689" s="352"/>
      <c r="G1689" s="353"/>
      <c r="H1689" s="99" t="s">
        <v>171</v>
      </c>
      <c r="I1689" s="330">
        <f>SUM(I1683:I1688)</f>
        <v>6433.56</v>
      </c>
      <c r="J1689" s="33">
        <f>SUM(J1683:J1688)</f>
        <v>6700</v>
      </c>
      <c r="K1689" s="209" t="s">
        <v>388</v>
      </c>
    </row>
    <row r="1690" spans="1:11" x14ac:dyDescent="0.25">
      <c r="A1690" s="31" t="s">
        <v>390</v>
      </c>
      <c r="B1690" s="37" t="s">
        <v>322</v>
      </c>
      <c r="C1690" s="34" t="s">
        <v>114</v>
      </c>
      <c r="D1690" s="108">
        <v>18</v>
      </c>
      <c r="E1690" s="34" t="s">
        <v>79</v>
      </c>
      <c r="F1690" s="109">
        <v>5.4</v>
      </c>
      <c r="G1690" s="36">
        <f t="shared" ref="G1690:G1695" si="362">F1690*6.3</f>
        <v>34.020000000000003</v>
      </c>
      <c r="H1690" s="37">
        <v>24</v>
      </c>
      <c r="I1690" s="109">
        <f t="shared" ref="I1690:I1695" si="363">G1690*H1690</f>
        <v>816.48</v>
      </c>
      <c r="J1690" s="123">
        <v>900</v>
      </c>
    </row>
    <row r="1691" spans="1:11" x14ac:dyDescent="0.25">
      <c r="A1691" s="31" t="s">
        <v>390</v>
      </c>
      <c r="B1691" s="37" t="s">
        <v>323</v>
      </c>
      <c r="C1691" s="34" t="s">
        <v>86</v>
      </c>
      <c r="D1691" s="108">
        <v>53.4</v>
      </c>
      <c r="E1691" s="34" t="s">
        <v>79</v>
      </c>
      <c r="F1691" s="110">
        <v>8</v>
      </c>
      <c r="G1691" s="36">
        <f t="shared" si="362"/>
        <v>50.4</v>
      </c>
      <c r="H1691" s="37">
        <v>24</v>
      </c>
      <c r="I1691" s="109">
        <f t="shared" si="363"/>
        <v>1209.5999999999999</v>
      </c>
      <c r="J1691" s="123">
        <v>1400</v>
      </c>
    </row>
    <row r="1692" spans="1:11" x14ac:dyDescent="0.25">
      <c r="A1692" s="31" t="s">
        <v>390</v>
      </c>
      <c r="B1692" s="50" t="s">
        <v>324</v>
      </c>
      <c r="C1692" s="34" t="s">
        <v>75</v>
      </c>
      <c r="D1692" s="108" t="s">
        <v>38</v>
      </c>
      <c r="E1692" s="34" t="s">
        <v>79</v>
      </c>
      <c r="F1692" s="36">
        <v>3.3</v>
      </c>
      <c r="G1692" s="36">
        <f t="shared" si="362"/>
        <v>20.79</v>
      </c>
      <c r="H1692" s="37">
        <v>24</v>
      </c>
      <c r="I1692" s="109">
        <f t="shared" si="363"/>
        <v>498.96</v>
      </c>
      <c r="J1692" s="123">
        <v>500</v>
      </c>
    </row>
    <row r="1693" spans="1:11" x14ac:dyDescent="0.25">
      <c r="A1693" s="31" t="s">
        <v>390</v>
      </c>
      <c r="B1693" s="75" t="s">
        <v>317</v>
      </c>
      <c r="C1693" s="111" t="s">
        <v>156</v>
      </c>
      <c r="D1693" s="111">
        <v>74</v>
      </c>
      <c r="E1693" s="42" t="s">
        <v>79</v>
      </c>
      <c r="F1693" s="74">
        <v>8.4</v>
      </c>
      <c r="G1693" s="36">
        <f t="shared" si="362"/>
        <v>52.92</v>
      </c>
      <c r="H1693" s="37">
        <v>24</v>
      </c>
      <c r="I1693" s="109">
        <f t="shared" si="363"/>
        <v>1270.08</v>
      </c>
      <c r="J1693" s="123">
        <v>1600</v>
      </c>
    </row>
    <row r="1694" spans="1:11" x14ac:dyDescent="0.25">
      <c r="A1694" s="31" t="s">
        <v>390</v>
      </c>
      <c r="B1694" s="37" t="s">
        <v>325</v>
      </c>
      <c r="C1694" s="34" t="s">
        <v>158</v>
      </c>
      <c r="D1694" s="46">
        <v>24.8</v>
      </c>
      <c r="E1694" s="34" t="s">
        <v>79</v>
      </c>
      <c r="F1694" s="74">
        <v>6.2</v>
      </c>
      <c r="G1694" s="36">
        <f t="shared" si="362"/>
        <v>39.06</v>
      </c>
      <c r="H1694" s="37">
        <v>24</v>
      </c>
      <c r="I1694" s="109">
        <f t="shared" si="363"/>
        <v>937.44</v>
      </c>
      <c r="J1694" s="123">
        <v>1000</v>
      </c>
    </row>
    <row r="1695" spans="1:11" x14ac:dyDescent="0.25">
      <c r="A1695" s="31" t="s">
        <v>390</v>
      </c>
      <c r="B1695" s="43" t="s">
        <v>326</v>
      </c>
      <c r="C1695" s="52" t="s">
        <v>152</v>
      </c>
      <c r="D1695" s="72">
        <v>4</v>
      </c>
      <c r="E1695" s="42" t="s">
        <v>79</v>
      </c>
      <c r="F1695" s="73">
        <v>8.4</v>
      </c>
      <c r="G1695" s="74">
        <f t="shared" si="362"/>
        <v>52.92</v>
      </c>
      <c r="H1695" s="43">
        <v>24</v>
      </c>
      <c r="I1695" s="328">
        <f t="shared" si="363"/>
        <v>1270.08</v>
      </c>
      <c r="J1695" s="124">
        <v>1300</v>
      </c>
    </row>
    <row r="1696" spans="1:11" ht="18.75" x14ac:dyDescent="0.3">
      <c r="A1696" s="222"/>
      <c r="B1696" s="352"/>
      <c r="C1696" s="352"/>
      <c r="D1696" s="352"/>
      <c r="E1696" s="352"/>
      <c r="F1696" s="352"/>
      <c r="G1696" s="353"/>
      <c r="H1696" s="99" t="s">
        <v>171</v>
      </c>
      <c r="I1696" s="330">
        <f>SUM(I1690:I1695)</f>
        <v>6002.6399999999994</v>
      </c>
      <c r="J1696" s="33">
        <f>SUM(J1690:J1695)</f>
        <v>6700</v>
      </c>
      <c r="K1696" s="360" t="s">
        <v>389</v>
      </c>
    </row>
    <row r="1697" spans="1:11" x14ac:dyDescent="0.25">
      <c r="A1697" s="31" t="s">
        <v>391</v>
      </c>
      <c r="B1697" s="37" t="s">
        <v>322</v>
      </c>
      <c r="C1697" s="34" t="s">
        <v>114</v>
      </c>
      <c r="D1697" s="108">
        <v>10</v>
      </c>
      <c r="E1697" s="34" t="s">
        <v>79</v>
      </c>
      <c r="F1697" s="109">
        <v>5.0999999999999996</v>
      </c>
      <c r="G1697" s="36">
        <f t="shared" ref="G1697:G1702" si="364">F1697*6.3</f>
        <v>32.129999999999995</v>
      </c>
      <c r="H1697" s="37">
        <v>24</v>
      </c>
      <c r="I1697" s="109">
        <f t="shared" ref="I1697:I1702" si="365">G1697*H1697</f>
        <v>771.11999999999989</v>
      </c>
      <c r="J1697" s="123">
        <v>900</v>
      </c>
    </row>
    <row r="1698" spans="1:11" x14ac:dyDescent="0.25">
      <c r="A1698" s="31" t="s">
        <v>391</v>
      </c>
      <c r="B1698" s="37" t="s">
        <v>323</v>
      </c>
      <c r="C1698" s="34" t="s">
        <v>86</v>
      </c>
      <c r="D1698" s="108">
        <v>41</v>
      </c>
      <c r="E1698" s="34" t="s">
        <v>79</v>
      </c>
      <c r="F1698" s="110">
        <v>6.8</v>
      </c>
      <c r="G1698" s="36">
        <f t="shared" si="364"/>
        <v>42.839999999999996</v>
      </c>
      <c r="H1698" s="37">
        <v>24</v>
      </c>
      <c r="I1698" s="109">
        <f t="shared" si="365"/>
        <v>1028.1599999999999</v>
      </c>
      <c r="J1698" s="123">
        <v>1400</v>
      </c>
    </row>
    <row r="1699" spans="1:11" x14ac:dyDescent="0.25">
      <c r="A1699" s="31" t="s">
        <v>391</v>
      </c>
      <c r="B1699" s="50" t="s">
        <v>324</v>
      </c>
      <c r="C1699" s="34" t="s">
        <v>75</v>
      </c>
      <c r="D1699" s="108" t="s">
        <v>38</v>
      </c>
      <c r="E1699" s="34" t="s">
        <v>79</v>
      </c>
      <c r="F1699" s="36">
        <v>3.3</v>
      </c>
      <c r="G1699" s="36">
        <f t="shared" si="364"/>
        <v>20.79</v>
      </c>
      <c r="H1699" s="37">
        <v>24</v>
      </c>
      <c r="I1699" s="109">
        <f t="shared" si="365"/>
        <v>498.96</v>
      </c>
      <c r="J1699" s="123">
        <v>500</v>
      </c>
    </row>
    <row r="1700" spans="1:11" x14ac:dyDescent="0.25">
      <c r="A1700" s="31" t="s">
        <v>391</v>
      </c>
      <c r="B1700" s="75" t="s">
        <v>317</v>
      </c>
      <c r="C1700" s="111" t="s">
        <v>156</v>
      </c>
      <c r="D1700" s="111">
        <v>69.400000000000006</v>
      </c>
      <c r="E1700" s="42" t="s">
        <v>79</v>
      </c>
      <c r="F1700" s="74">
        <v>7.4</v>
      </c>
      <c r="G1700" s="36">
        <f t="shared" si="364"/>
        <v>46.62</v>
      </c>
      <c r="H1700" s="37">
        <v>24</v>
      </c>
      <c r="I1700" s="109">
        <f t="shared" si="365"/>
        <v>1118.8799999999999</v>
      </c>
      <c r="J1700" s="123">
        <v>1600</v>
      </c>
    </row>
    <row r="1701" spans="1:11" x14ac:dyDescent="0.25">
      <c r="A1701" s="31" t="s">
        <v>391</v>
      </c>
      <c r="B1701" s="37" t="s">
        <v>325</v>
      </c>
      <c r="C1701" s="34" t="s">
        <v>158</v>
      </c>
      <c r="D1701" s="46">
        <v>30.35</v>
      </c>
      <c r="E1701" s="34" t="s">
        <v>79</v>
      </c>
      <c r="F1701" s="74">
        <v>6.4</v>
      </c>
      <c r="G1701" s="36">
        <f t="shared" si="364"/>
        <v>40.32</v>
      </c>
      <c r="H1701" s="37">
        <v>24</v>
      </c>
      <c r="I1701" s="109">
        <f t="shared" si="365"/>
        <v>967.68000000000006</v>
      </c>
      <c r="J1701" s="123">
        <v>1000</v>
      </c>
    </row>
    <row r="1702" spans="1:11" x14ac:dyDescent="0.25">
      <c r="A1702" s="31" t="s">
        <v>391</v>
      </c>
      <c r="B1702" s="43" t="s">
        <v>326</v>
      </c>
      <c r="C1702" s="52" t="s">
        <v>152</v>
      </c>
      <c r="D1702" s="72">
        <v>2</v>
      </c>
      <c r="E1702" s="42" t="s">
        <v>79</v>
      </c>
      <c r="F1702" s="73">
        <v>8.8000000000000007</v>
      </c>
      <c r="G1702" s="74">
        <f t="shared" si="364"/>
        <v>55.440000000000005</v>
      </c>
      <c r="H1702" s="43">
        <v>24</v>
      </c>
      <c r="I1702" s="328">
        <f t="shared" si="365"/>
        <v>1330.5600000000002</v>
      </c>
      <c r="J1702" s="124">
        <v>1300</v>
      </c>
    </row>
    <row r="1703" spans="1:11" ht="18.75" x14ac:dyDescent="0.3">
      <c r="A1703" s="222"/>
      <c r="B1703" s="352"/>
      <c r="C1703" s="352"/>
      <c r="D1703" s="352"/>
      <c r="E1703" s="352"/>
      <c r="F1703" s="352"/>
      <c r="G1703" s="353"/>
      <c r="H1703" s="99" t="s">
        <v>171</v>
      </c>
      <c r="I1703" s="330">
        <f>SUM(I1697:I1702)</f>
        <v>5715.3600000000006</v>
      </c>
      <c r="J1703" s="33">
        <f>SUM(J1697:J1702)</f>
        <v>6700</v>
      </c>
      <c r="K1703" s="360" t="s">
        <v>392</v>
      </c>
    </row>
    <row r="1704" spans="1:11" x14ac:dyDescent="0.25">
      <c r="A1704" s="31" t="s">
        <v>393</v>
      </c>
      <c r="B1704" s="37" t="s">
        <v>322</v>
      </c>
      <c r="C1704" s="34" t="s">
        <v>114</v>
      </c>
      <c r="D1704" s="108">
        <v>11.94</v>
      </c>
      <c r="E1704" s="34" t="s">
        <v>79</v>
      </c>
      <c r="F1704" s="109">
        <v>5.4</v>
      </c>
      <c r="G1704" s="36">
        <f t="shared" ref="G1704:G1709" si="366">F1704*6.3</f>
        <v>34.020000000000003</v>
      </c>
      <c r="H1704" s="37">
        <v>24</v>
      </c>
      <c r="I1704" s="109">
        <f t="shared" ref="I1704:I1709" si="367">G1704*H1704</f>
        <v>816.48</v>
      </c>
      <c r="J1704" s="123">
        <v>900</v>
      </c>
    </row>
    <row r="1705" spans="1:11" x14ac:dyDescent="0.25">
      <c r="A1705" s="31" t="s">
        <v>393</v>
      </c>
      <c r="B1705" s="37" t="s">
        <v>323</v>
      </c>
      <c r="C1705" s="34" t="s">
        <v>86</v>
      </c>
      <c r="D1705" s="108">
        <v>44</v>
      </c>
      <c r="E1705" s="34" t="s">
        <v>79</v>
      </c>
      <c r="F1705" s="110">
        <v>9</v>
      </c>
      <c r="G1705" s="36">
        <f t="shared" si="366"/>
        <v>56.699999999999996</v>
      </c>
      <c r="H1705" s="37">
        <v>24</v>
      </c>
      <c r="I1705" s="109">
        <f t="shared" si="367"/>
        <v>1360.8</v>
      </c>
      <c r="J1705" s="123">
        <v>1400</v>
      </c>
    </row>
    <row r="1706" spans="1:11" x14ac:dyDescent="0.25">
      <c r="A1706" s="31" t="s">
        <v>393</v>
      </c>
      <c r="B1706" s="50" t="s">
        <v>324</v>
      </c>
      <c r="C1706" s="34" t="s">
        <v>75</v>
      </c>
      <c r="D1706" s="108" t="s">
        <v>38</v>
      </c>
      <c r="E1706" s="34" t="s">
        <v>79</v>
      </c>
      <c r="F1706" s="36">
        <v>3.3</v>
      </c>
      <c r="G1706" s="36">
        <f t="shared" si="366"/>
        <v>20.79</v>
      </c>
      <c r="H1706" s="37">
        <v>24</v>
      </c>
      <c r="I1706" s="109">
        <f t="shared" si="367"/>
        <v>498.96</v>
      </c>
      <c r="J1706" s="123">
        <v>500</v>
      </c>
    </row>
    <row r="1707" spans="1:11" x14ac:dyDescent="0.25">
      <c r="A1707" s="31" t="s">
        <v>393</v>
      </c>
      <c r="B1707" s="75" t="s">
        <v>317</v>
      </c>
      <c r="C1707" s="111" t="s">
        <v>156</v>
      </c>
      <c r="D1707" s="111">
        <v>73</v>
      </c>
      <c r="E1707" s="42" t="s">
        <v>79</v>
      </c>
      <c r="F1707" s="74">
        <v>10</v>
      </c>
      <c r="G1707" s="36">
        <f t="shared" si="366"/>
        <v>63</v>
      </c>
      <c r="H1707" s="37">
        <v>24</v>
      </c>
      <c r="I1707" s="109">
        <f t="shared" si="367"/>
        <v>1512</v>
      </c>
      <c r="J1707" s="123">
        <v>1600</v>
      </c>
    </row>
    <row r="1708" spans="1:11" x14ac:dyDescent="0.25">
      <c r="A1708" s="31" t="s">
        <v>393</v>
      </c>
      <c r="B1708" s="37" t="s">
        <v>325</v>
      </c>
      <c r="C1708" s="34" t="s">
        <v>158</v>
      </c>
      <c r="D1708" s="46">
        <v>34.270000000000003</v>
      </c>
      <c r="E1708" s="34" t="s">
        <v>79</v>
      </c>
      <c r="F1708" s="74">
        <v>6.5</v>
      </c>
      <c r="G1708" s="36">
        <f t="shared" si="366"/>
        <v>40.949999999999996</v>
      </c>
      <c r="H1708" s="37">
        <v>24</v>
      </c>
      <c r="I1708" s="109">
        <f t="shared" si="367"/>
        <v>982.8</v>
      </c>
      <c r="J1708" s="123">
        <v>1000</v>
      </c>
    </row>
    <row r="1709" spans="1:11" x14ac:dyDescent="0.25">
      <c r="A1709" s="31" t="s">
        <v>393</v>
      </c>
      <c r="B1709" s="43" t="s">
        <v>326</v>
      </c>
      <c r="C1709" s="52" t="s">
        <v>152</v>
      </c>
      <c r="D1709" s="72">
        <v>4</v>
      </c>
      <c r="E1709" s="42" t="s">
        <v>79</v>
      </c>
      <c r="F1709" s="73">
        <v>8.1999999999999993</v>
      </c>
      <c r="G1709" s="74">
        <f t="shared" si="366"/>
        <v>51.66</v>
      </c>
      <c r="H1709" s="43">
        <v>24</v>
      </c>
      <c r="I1709" s="328">
        <f t="shared" si="367"/>
        <v>1239.8399999999999</v>
      </c>
      <c r="J1709" s="124">
        <v>1300</v>
      </c>
    </row>
    <row r="1710" spans="1:11" ht="18.75" x14ac:dyDescent="0.3">
      <c r="A1710" s="222"/>
      <c r="B1710" s="352"/>
      <c r="C1710" s="352"/>
      <c r="D1710" s="352"/>
      <c r="E1710" s="352"/>
      <c r="F1710" s="352"/>
      <c r="G1710" s="353"/>
      <c r="H1710" s="99" t="s">
        <v>171</v>
      </c>
      <c r="I1710" s="330">
        <f>SUM(I1704:I1709)</f>
        <v>6410.88</v>
      </c>
      <c r="J1710" s="33">
        <f>SUM(J1704:J1709)</f>
        <v>6700</v>
      </c>
    </row>
    <row r="1711" spans="1:11" x14ac:dyDescent="0.25">
      <c r="A1711" s="31" t="s">
        <v>394</v>
      </c>
      <c r="B1711" s="37" t="s">
        <v>322</v>
      </c>
      <c r="C1711" s="34" t="s">
        <v>114</v>
      </c>
      <c r="D1711" s="108">
        <v>12.4</v>
      </c>
      <c r="E1711" s="34" t="s">
        <v>79</v>
      </c>
      <c r="F1711" s="109">
        <v>5.5</v>
      </c>
      <c r="G1711" s="36">
        <f t="shared" ref="G1711:G1716" si="368">F1711*6.3</f>
        <v>34.65</v>
      </c>
      <c r="H1711" s="37">
        <v>24</v>
      </c>
      <c r="I1711" s="109">
        <f t="shared" ref="I1711:I1716" si="369">G1711*H1711</f>
        <v>831.59999999999991</v>
      </c>
      <c r="J1711" s="123">
        <v>900</v>
      </c>
    </row>
    <row r="1712" spans="1:11" x14ac:dyDescent="0.25">
      <c r="A1712" s="31" t="s">
        <v>394</v>
      </c>
      <c r="B1712" s="37" t="s">
        <v>323</v>
      </c>
      <c r="C1712" s="34" t="s">
        <v>86</v>
      </c>
      <c r="D1712" s="108">
        <v>43</v>
      </c>
      <c r="E1712" s="34" t="s">
        <v>79</v>
      </c>
      <c r="F1712" s="110">
        <v>9.1999999999999993</v>
      </c>
      <c r="G1712" s="36">
        <f t="shared" si="368"/>
        <v>57.959999999999994</v>
      </c>
      <c r="H1712" s="37">
        <v>24</v>
      </c>
      <c r="I1712" s="109">
        <f t="shared" si="369"/>
        <v>1391.04</v>
      </c>
      <c r="J1712" s="123">
        <v>1400</v>
      </c>
    </row>
    <row r="1713" spans="1:10" x14ac:dyDescent="0.25">
      <c r="A1713" s="31" t="s">
        <v>394</v>
      </c>
      <c r="B1713" s="50" t="s">
        <v>324</v>
      </c>
      <c r="C1713" s="34" t="s">
        <v>75</v>
      </c>
      <c r="D1713" s="108" t="s">
        <v>38</v>
      </c>
      <c r="E1713" s="34" t="s">
        <v>79</v>
      </c>
      <c r="F1713" s="36">
        <v>3.3</v>
      </c>
      <c r="G1713" s="36">
        <f t="shared" si="368"/>
        <v>20.79</v>
      </c>
      <c r="H1713" s="37">
        <v>24</v>
      </c>
      <c r="I1713" s="109">
        <f t="shared" si="369"/>
        <v>498.96</v>
      </c>
      <c r="J1713" s="123">
        <v>500</v>
      </c>
    </row>
    <row r="1714" spans="1:10" x14ac:dyDescent="0.25">
      <c r="A1714" s="31" t="s">
        <v>394</v>
      </c>
      <c r="B1714" s="75" t="s">
        <v>317</v>
      </c>
      <c r="C1714" s="111" t="s">
        <v>156</v>
      </c>
      <c r="D1714" s="111">
        <v>73</v>
      </c>
      <c r="E1714" s="42" t="s">
        <v>79</v>
      </c>
      <c r="F1714" s="74">
        <v>10.199999999999999</v>
      </c>
      <c r="G1714" s="36">
        <f t="shared" si="368"/>
        <v>64.259999999999991</v>
      </c>
      <c r="H1714" s="37">
        <v>24</v>
      </c>
      <c r="I1714" s="109">
        <f t="shared" si="369"/>
        <v>1542.2399999999998</v>
      </c>
      <c r="J1714" s="123">
        <v>1600</v>
      </c>
    </row>
    <row r="1715" spans="1:10" x14ac:dyDescent="0.25">
      <c r="A1715" s="31" t="s">
        <v>394</v>
      </c>
      <c r="B1715" s="37" t="s">
        <v>325</v>
      </c>
      <c r="C1715" s="34" t="s">
        <v>158</v>
      </c>
      <c r="D1715" s="46">
        <v>23.05</v>
      </c>
      <c r="E1715" s="34" t="s">
        <v>79</v>
      </c>
      <c r="F1715" s="74">
        <v>6.5</v>
      </c>
      <c r="G1715" s="36">
        <f t="shared" si="368"/>
        <v>40.949999999999996</v>
      </c>
      <c r="H1715" s="37">
        <v>24</v>
      </c>
      <c r="I1715" s="109">
        <f t="shared" si="369"/>
        <v>982.8</v>
      </c>
      <c r="J1715" s="123">
        <v>1000</v>
      </c>
    </row>
    <row r="1716" spans="1:10" x14ac:dyDescent="0.25">
      <c r="A1716" s="31" t="s">
        <v>394</v>
      </c>
      <c r="B1716" s="43" t="s">
        <v>326</v>
      </c>
      <c r="C1716" s="52" t="s">
        <v>152</v>
      </c>
      <c r="D1716" s="72">
        <v>4</v>
      </c>
      <c r="E1716" s="42" t="s">
        <v>79</v>
      </c>
      <c r="F1716" s="73">
        <v>8.4</v>
      </c>
      <c r="G1716" s="74">
        <f t="shared" si="368"/>
        <v>52.92</v>
      </c>
      <c r="H1716" s="43">
        <v>24</v>
      </c>
      <c r="I1716" s="328">
        <f t="shared" si="369"/>
        <v>1270.08</v>
      </c>
      <c r="J1716" s="124">
        <v>1300</v>
      </c>
    </row>
    <row r="1717" spans="1:10" ht="18.75" x14ac:dyDescent="0.3">
      <c r="A1717" s="222"/>
      <c r="B1717" s="352"/>
      <c r="C1717" s="352"/>
      <c r="D1717" s="352"/>
      <c r="E1717" s="352"/>
      <c r="F1717" s="352"/>
      <c r="G1717" s="353"/>
      <c r="H1717" s="99" t="s">
        <v>171</v>
      </c>
      <c r="I1717" s="330">
        <f>SUM(I1711:I1716)</f>
        <v>6516.72</v>
      </c>
      <c r="J1717" s="33">
        <f>SUM(J1711:J1716)</f>
        <v>6700</v>
      </c>
    </row>
    <row r="1718" spans="1:10" x14ac:dyDescent="0.25">
      <c r="A1718" s="31" t="s">
        <v>395</v>
      </c>
      <c r="B1718" s="37" t="s">
        <v>322</v>
      </c>
      <c r="C1718" s="34" t="s">
        <v>114</v>
      </c>
      <c r="D1718" s="108">
        <v>11.2</v>
      </c>
      <c r="E1718" s="34" t="s">
        <v>79</v>
      </c>
      <c r="F1718" s="109">
        <v>5.6</v>
      </c>
      <c r="G1718" s="36">
        <f t="shared" ref="G1718:G1723" si="370">F1718*6.3</f>
        <v>35.279999999999994</v>
      </c>
      <c r="H1718" s="37">
        <v>24</v>
      </c>
      <c r="I1718" s="109">
        <f t="shared" ref="I1718:I1723" si="371">G1718*H1718</f>
        <v>846.7199999999998</v>
      </c>
      <c r="J1718" s="123">
        <v>900</v>
      </c>
    </row>
    <row r="1719" spans="1:10" x14ac:dyDescent="0.25">
      <c r="A1719" s="31" t="s">
        <v>395</v>
      </c>
      <c r="B1719" s="37" t="s">
        <v>323</v>
      </c>
      <c r="C1719" s="34" t="s">
        <v>86</v>
      </c>
      <c r="D1719" s="108">
        <v>44.91</v>
      </c>
      <c r="E1719" s="34" t="s">
        <v>79</v>
      </c>
      <c r="F1719" s="110">
        <v>9.3000000000000007</v>
      </c>
      <c r="G1719" s="36">
        <f t="shared" si="370"/>
        <v>58.59</v>
      </c>
      <c r="H1719" s="37">
        <v>24</v>
      </c>
      <c r="I1719" s="109">
        <f t="shared" si="371"/>
        <v>1406.16</v>
      </c>
      <c r="J1719" s="123">
        <v>1400</v>
      </c>
    </row>
    <row r="1720" spans="1:10" x14ac:dyDescent="0.25">
      <c r="A1720" s="31" t="s">
        <v>395</v>
      </c>
      <c r="B1720" s="50" t="s">
        <v>324</v>
      </c>
      <c r="C1720" s="34" t="s">
        <v>75</v>
      </c>
      <c r="D1720" s="108" t="s">
        <v>38</v>
      </c>
      <c r="E1720" s="34" t="s">
        <v>79</v>
      </c>
      <c r="F1720" s="36">
        <v>3.3</v>
      </c>
      <c r="G1720" s="36">
        <f t="shared" si="370"/>
        <v>20.79</v>
      </c>
      <c r="H1720" s="37">
        <v>24</v>
      </c>
      <c r="I1720" s="109">
        <f t="shared" si="371"/>
        <v>498.96</v>
      </c>
      <c r="J1720" s="123">
        <v>500</v>
      </c>
    </row>
    <row r="1721" spans="1:10" x14ac:dyDescent="0.25">
      <c r="A1721" s="31" t="s">
        <v>395</v>
      </c>
      <c r="B1721" s="75" t="s">
        <v>317</v>
      </c>
      <c r="C1721" s="111" t="s">
        <v>156</v>
      </c>
      <c r="D1721" s="111">
        <v>75.17</v>
      </c>
      <c r="E1721" s="42" t="s">
        <v>79</v>
      </c>
      <c r="F1721" s="74">
        <v>10.3</v>
      </c>
      <c r="G1721" s="36">
        <f t="shared" si="370"/>
        <v>64.89</v>
      </c>
      <c r="H1721" s="37">
        <v>24</v>
      </c>
      <c r="I1721" s="109">
        <f t="shared" si="371"/>
        <v>1557.3600000000001</v>
      </c>
      <c r="J1721" s="123">
        <v>1600</v>
      </c>
    </row>
    <row r="1722" spans="1:10" x14ac:dyDescent="0.25">
      <c r="A1722" s="31" t="s">
        <v>395</v>
      </c>
      <c r="B1722" s="37" t="s">
        <v>325</v>
      </c>
      <c r="C1722" s="34" t="s">
        <v>158</v>
      </c>
      <c r="D1722" s="46">
        <v>23.05</v>
      </c>
      <c r="E1722" s="34" t="s">
        <v>79</v>
      </c>
      <c r="F1722" s="74">
        <v>6.5</v>
      </c>
      <c r="G1722" s="36">
        <f t="shared" si="370"/>
        <v>40.949999999999996</v>
      </c>
      <c r="H1722" s="37">
        <v>24</v>
      </c>
      <c r="I1722" s="109">
        <f t="shared" si="371"/>
        <v>982.8</v>
      </c>
      <c r="J1722" s="123">
        <v>1000</v>
      </c>
    </row>
    <row r="1723" spans="1:10" x14ac:dyDescent="0.25">
      <c r="A1723" s="31" t="s">
        <v>395</v>
      </c>
      <c r="B1723" s="43" t="s">
        <v>326</v>
      </c>
      <c r="C1723" s="52" t="s">
        <v>152</v>
      </c>
      <c r="D1723" s="72">
        <v>5</v>
      </c>
      <c r="E1723" s="42" t="s">
        <v>79</v>
      </c>
      <c r="F1723" s="73">
        <v>8.5</v>
      </c>
      <c r="G1723" s="74">
        <f t="shared" si="370"/>
        <v>53.55</v>
      </c>
      <c r="H1723" s="43">
        <v>24</v>
      </c>
      <c r="I1723" s="328">
        <f t="shared" si="371"/>
        <v>1285.1999999999998</v>
      </c>
      <c r="J1723" s="124">
        <v>1300</v>
      </c>
    </row>
    <row r="1724" spans="1:10" ht="18.75" x14ac:dyDescent="0.3">
      <c r="A1724" s="222"/>
      <c r="B1724" s="352"/>
      <c r="C1724" s="352"/>
      <c r="D1724" s="352"/>
      <c r="E1724" s="352"/>
      <c r="F1724" s="352"/>
      <c r="G1724" s="353"/>
      <c r="H1724" s="99" t="s">
        <v>171</v>
      </c>
      <c r="I1724" s="330">
        <f>SUM(I1718:I1723)</f>
        <v>6577.2000000000007</v>
      </c>
      <c r="J1724" s="33">
        <f>SUM(J1718:J1723)</f>
        <v>6700</v>
      </c>
    </row>
    <row r="1725" spans="1:10" x14ac:dyDescent="0.25">
      <c r="A1725" s="46" t="s">
        <v>396</v>
      </c>
      <c r="B1725" s="37" t="s">
        <v>322</v>
      </c>
      <c r="C1725" s="34" t="s">
        <v>114</v>
      </c>
      <c r="D1725" s="46">
        <v>9.86</v>
      </c>
      <c r="E1725" s="46" t="s">
        <v>79</v>
      </c>
      <c r="F1725" s="46">
        <v>5.6</v>
      </c>
      <c r="G1725" s="46">
        <v>35.28</v>
      </c>
      <c r="H1725" s="46">
        <v>24</v>
      </c>
      <c r="I1725" s="46">
        <v>846.72</v>
      </c>
      <c r="J1725" s="123">
        <v>900</v>
      </c>
    </row>
    <row r="1726" spans="1:10" x14ac:dyDescent="0.25">
      <c r="A1726" s="46" t="s">
        <v>396</v>
      </c>
      <c r="B1726" s="37" t="s">
        <v>323</v>
      </c>
      <c r="C1726" s="34" t="s">
        <v>86</v>
      </c>
      <c r="D1726" s="46">
        <v>41.48</v>
      </c>
      <c r="E1726" s="46" t="s">
        <v>79</v>
      </c>
      <c r="F1726" s="46">
        <v>9.2799999999999994</v>
      </c>
      <c r="G1726" s="46">
        <v>58.46</v>
      </c>
      <c r="H1726" s="46">
        <v>24</v>
      </c>
      <c r="I1726" s="46">
        <v>1403.14</v>
      </c>
      <c r="J1726" s="123">
        <v>1400</v>
      </c>
    </row>
    <row r="1727" spans="1:10" x14ac:dyDescent="0.25">
      <c r="A1727" s="46" t="s">
        <v>396</v>
      </c>
      <c r="B1727" s="34" t="s">
        <v>324</v>
      </c>
      <c r="C1727" s="34" t="s">
        <v>75</v>
      </c>
      <c r="D1727" s="46" t="s">
        <v>38</v>
      </c>
      <c r="E1727" s="46" t="s">
        <v>79</v>
      </c>
      <c r="F1727" s="46">
        <v>3.34</v>
      </c>
      <c r="G1727" s="46">
        <v>21.04</v>
      </c>
      <c r="H1727" s="46">
        <v>24</v>
      </c>
      <c r="I1727" s="46">
        <v>505.01</v>
      </c>
      <c r="J1727" s="123">
        <v>500</v>
      </c>
    </row>
    <row r="1728" spans="1:10" x14ac:dyDescent="0.25">
      <c r="A1728" s="46" t="s">
        <v>396</v>
      </c>
      <c r="B1728" s="34" t="s">
        <v>317</v>
      </c>
      <c r="C1728" s="108" t="s">
        <v>156</v>
      </c>
      <c r="D1728" s="46">
        <v>75.459999999999994</v>
      </c>
      <c r="E1728" s="46" t="s">
        <v>79</v>
      </c>
      <c r="F1728" s="46">
        <v>10.34</v>
      </c>
      <c r="G1728" s="46">
        <v>65.14</v>
      </c>
      <c r="H1728" s="46">
        <v>24</v>
      </c>
      <c r="I1728" s="46">
        <v>1563.41</v>
      </c>
      <c r="J1728" s="123">
        <v>1600</v>
      </c>
    </row>
    <row r="1729" spans="1:10" x14ac:dyDescent="0.25">
      <c r="A1729" s="46" t="s">
        <v>396</v>
      </c>
      <c r="B1729" s="37" t="s">
        <v>325</v>
      </c>
      <c r="C1729" s="34" t="s">
        <v>158</v>
      </c>
      <c r="D1729" s="46">
        <v>24.22</v>
      </c>
      <c r="E1729" s="46" t="s">
        <v>79</v>
      </c>
      <c r="F1729" s="46">
        <v>6.45</v>
      </c>
      <c r="G1729" s="46">
        <v>40.64</v>
      </c>
      <c r="H1729" s="46">
        <v>24</v>
      </c>
      <c r="I1729" s="46">
        <v>975.24</v>
      </c>
      <c r="J1729" s="123">
        <v>1000</v>
      </c>
    </row>
    <row r="1730" spans="1:10" x14ac:dyDescent="0.25">
      <c r="A1730" s="46" t="s">
        <v>396</v>
      </c>
      <c r="B1730" s="37" t="s">
        <v>326</v>
      </c>
      <c r="C1730" s="46" t="s">
        <v>152</v>
      </c>
      <c r="D1730" s="46">
        <v>5.1100000000000003</v>
      </c>
      <c r="E1730" s="46" t="s">
        <v>79</v>
      </c>
      <c r="F1730" s="46">
        <v>8.4499999999999993</v>
      </c>
      <c r="G1730" s="46">
        <v>53.24</v>
      </c>
      <c r="H1730" s="46">
        <v>24</v>
      </c>
      <c r="I1730" s="46">
        <v>1277.6400000000001</v>
      </c>
      <c r="J1730" s="124">
        <v>1300</v>
      </c>
    </row>
    <row r="1731" spans="1:10" ht="18.75" x14ac:dyDescent="0.3">
      <c r="A1731" s="361"/>
      <c r="B1731" s="362"/>
      <c r="C1731" s="362"/>
      <c r="D1731" s="362"/>
      <c r="E1731" s="362"/>
      <c r="F1731" s="362"/>
      <c r="G1731" s="362"/>
      <c r="H1731" s="363" t="s">
        <v>171</v>
      </c>
      <c r="I1731" s="362">
        <v>6571.15</v>
      </c>
      <c r="J1731" s="364">
        <v>6700</v>
      </c>
    </row>
    <row r="1732" spans="1:10" x14ac:dyDescent="0.25">
      <c r="A1732" s="46" t="s">
        <v>397</v>
      </c>
      <c r="B1732" s="46" t="s">
        <v>322</v>
      </c>
      <c r="C1732" s="46" t="s">
        <v>114</v>
      </c>
      <c r="D1732" s="46">
        <v>11.25</v>
      </c>
      <c r="E1732" s="46" t="s">
        <v>79</v>
      </c>
      <c r="F1732" s="46">
        <v>5.6</v>
      </c>
      <c r="G1732" s="46">
        <v>35.28</v>
      </c>
      <c r="H1732" s="46">
        <v>24</v>
      </c>
      <c r="I1732" s="46">
        <v>846.72</v>
      </c>
      <c r="J1732" s="46">
        <v>900</v>
      </c>
    </row>
    <row r="1733" spans="1:10" x14ac:dyDescent="0.25">
      <c r="A1733" s="46" t="s">
        <v>397</v>
      </c>
      <c r="B1733" s="46" t="s">
        <v>323</v>
      </c>
      <c r="C1733" s="46" t="s">
        <v>86</v>
      </c>
      <c r="D1733" s="46">
        <v>41.3</v>
      </c>
      <c r="E1733" s="46" t="s">
        <v>79</v>
      </c>
      <c r="F1733" s="46">
        <v>9.23</v>
      </c>
      <c r="G1733" s="46">
        <v>58.15</v>
      </c>
      <c r="H1733" s="46">
        <v>24</v>
      </c>
      <c r="I1733" s="46">
        <v>1395.58</v>
      </c>
      <c r="J1733" s="46">
        <v>1400</v>
      </c>
    </row>
    <row r="1734" spans="1:10" x14ac:dyDescent="0.25">
      <c r="A1734" s="46" t="s">
        <v>397</v>
      </c>
      <c r="B1734" s="46" t="s">
        <v>324</v>
      </c>
      <c r="C1734" s="46" t="s">
        <v>75</v>
      </c>
      <c r="D1734" s="46" t="s">
        <v>38</v>
      </c>
      <c r="E1734" s="46" t="s">
        <v>79</v>
      </c>
      <c r="F1734" s="46">
        <v>3.35</v>
      </c>
      <c r="G1734" s="46">
        <v>21.11</v>
      </c>
      <c r="H1734" s="46">
        <v>24</v>
      </c>
      <c r="I1734" s="46">
        <v>506.52</v>
      </c>
      <c r="J1734" s="46">
        <v>500</v>
      </c>
    </row>
    <row r="1735" spans="1:10" x14ac:dyDescent="0.25">
      <c r="A1735" s="46" t="s">
        <v>397</v>
      </c>
      <c r="B1735" s="46" t="s">
        <v>317</v>
      </c>
      <c r="C1735" s="46" t="s">
        <v>156</v>
      </c>
      <c r="D1735" s="46">
        <v>75.8</v>
      </c>
      <c r="E1735" s="46" t="s">
        <v>79</v>
      </c>
      <c r="F1735" s="46">
        <v>10.46</v>
      </c>
      <c r="G1735" s="46">
        <v>65.900000000000006</v>
      </c>
      <c r="H1735" s="46">
        <v>24</v>
      </c>
      <c r="I1735" s="46">
        <v>1581.55</v>
      </c>
      <c r="J1735" s="46">
        <v>1600</v>
      </c>
    </row>
    <row r="1736" spans="1:10" x14ac:dyDescent="0.25">
      <c r="A1736" s="46" t="s">
        <v>397</v>
      </c>
      <c r="B1736" s="46" t="s">
        <v>325</v>
      </c>
      <c r="C1736" s="46" t="s">
        <v>158</v>
      </c>
      <c r="D1736" s="46">
        <v>24.75</v>
      </c>
      <c r="E1736" s="46" t="s">
        <v>79</v>
      </c>
      <c r="F1736" s="46">
        <v>6.52</v>
      </c>
      <c r="G1736" s="46">
        <v>41.08</v>
      </c>
      <c r="H1736" s="46">
        <v>24</v>
      </c>
      <c r="I1736" s="46">
        <v>985.82</v>
      </c>
      <c r="J1736" s="46">
        <v>1000</v>
      </c>
    </row>
    <row r="1737" spans="1:10" x14ac:dyDescent="0.25">
      <c r="A1737" s="46" t="s">
        <v>397</v>
      </c>
      <c r="B1737" s="46" t="s">
        <v>326</v>
      </c>
      <c r="C1737" s="46" t="s">
        <v>152</v>
      </c>
      <c r="D1737" s="46">
        <v>5.07</v>
      </c>
      <c r="E1737" s="46" t="s">
        <v>79</v>
      </c>
      <c r="F1737" s="46">
        <v>8.57</v>
      </c>
      <c r="G1737" s="46">
        <v>53.99</v>
      </c>
      <c r="H1737" s="46">
        <v>24</v>
      </c>
      <c r="I1737" s="46">
        <v>1295.78</v>
      </c>
      <c r="J1737" s="46">
        <v>1300</v>
      </c>
    </row>
    <row r="1738" spans="1:10" ht="18.75" x14ac:dyDescent="0.3">
      <c r="A1738" s="365"/>
      <c r="B1738" s="235"/>
      <c r="C1738" s="235"/>
      <c r="D1738" s="362"/>
      <c r="E1738" s="235"/>
      <c r="F1738" s="235"/>
      <c r="G1738" s="235"/>
      <c r="H1738" s="366" t="s">
        <v>171</v>
      </c>
      <c r="I1738" s="235">
        <v>6611.98</v>
      </c>
      <c r="J1738" s="367">
        <v>6700</v>
      </c>
    </row>
    <row r="1739" spans="1:10" x14ac:dyDescent="0.25">
      <c r="A1739" s="46" t="s">
        <v>398</v>
      </c>
      <c r="B1739" s="37" t="s">
        <v>322</v>
      </c>
      <c r="C1739" s="34" t="s">
        <v>114</v>
      </c>
      <c r="D1739" s="108">
        <v>9.74</v>
      </c>
      <c r="E1739" s="34" t="s">
        <v>79</v>
      </c>
      <c r="F1739" s="109">
        <v>5.58</v>
      </c>
      <c r="G1739" s="36">
        <f t="shared" ref="G1739:G1744" si="372">F1739*6.3</f>
        <v>35.153999999999996</v>
      </c>
      <c r="H1739" s="37">
        <v>24</v>
      </c>
      <c r="I1739" s="109">
        <f t="shared" ref="I1739:I1744" si="373">G1739*H1739</f>
        <v>843.69599999999991</v>
      </c>
      <c r="J1739" s="36">
        <v>900</v>
      </c>
    </row>
    <row r="1740" spans="1:10" x14ac:dyDescent="0.25">
      <c r="A1740" s="46" t="s">
        <v>398</v>
      </c>
      <c r="B1740" s="37" t="s">
        <v>323</v>
      </c>
      <c r="C1740" s="34" t="s">
        <v>86</v>
      </c>
      <c r="D1740" s="108">
        <v>35.67</v>
      </c>
      <c r="E1740" s="34" t="s">
        <v>79</v>
      </c>
      <c r="F1740" s="36">
        <v>9.1999999999999993</v>
      </c>
      <c r="G1740" s="36">
        <f t="shared" si="372"/>
        <v>57.959999999999994</v>
      </c>
      <c r="H1740" s="37">
        <v>24</v>
      </c>
      <c r="I1740" s="109">
        <f t="shared" si="373"/>
        <v>1391.04</v>
      </c>
      <c r="J1740" s="36">
        <v>1400</v>
      </c>
    </row>
    <row r="1741" spans="1:10" x14ac:dyDescent="0.25">
      <c r="A1741" s="46" t="s">
        <v>398</v>
      </c>
      <c r="B1741" s="34" t="s">
        <v>324</v>
      </c>
      <c r="C1741" s="34" t="s">
        <v>75</v>
      </c>
      <c r="D1741" s="108" t="s">
        <v>38</v>
      </c>
      <c r="E1741" s="34" t="s">
        <v>79</v>
      </c>
      <c r="F1741" s="36">
        <v>3.35</v>
      </c>
      <c r="G1741" s="36">
        <f t="shared" si="372"/>
        <v>21.105</v>
      </c>
      <c r="H1741" s="37">
        <v>24</v>
      </c>
      <c r="I1741" s="109">
        <f t="shared" si="373"/>
        <v>506.52</v>
      </c>
      <c r="J1741" s="36">
        <v>500</v>
      </c>
    </row>
    <row r="1742" spans="1:10" x14ac:dyDescent="0.25">
      <c r="A1742" s="46" t="s">
        <v>398</v>
      </c>
      <c r="B1742" s="34" t="s">
        <v>317</v>
      </c>
      <c r="C1742" s="108" t="s">
        <v>156</v>
      </c>
      <c r="D1742" s="108">
        <v>72.42</v>
      </c>
      <c r="E1742" s="34" t="s">
        <v>79</v>
      </c>
      <c r="F1742" s="36">
        <v>10.45</v>
      </c>
      <c r="G1742" s="36">
        <f t="shared" si="372"/>
        <v>65.834999999999994</v>
      </c>
      <c r="H1742" s="37">
        <v>24</v>
      </c>
      <c r="I1742" s="109">
        <f t="shared" si="373"/>
        <v>1580.04</v>
      </c>
      <c r="J1742" s="36">
        <v>1600</v>
      </c>
    </row>
    <row r="1743" spans="1:10" x14ac:dyDescent="0.25">
      <c r="A1743" s="46" t="s">
        <v>398</v>
      </c>
      <c r="B1743" s="37" t="s">
        <v>325</v>
      </c>
      <c r="C1743" s="34" t="s">
        <v>158</v>
      </c>
      <c r="D1743" s="46">
        <v>30.17</v>
      </c>
      <c r="E1743" s="34" t="s">
        <v>79</v>
      </c>
      <c r="F1743" s="36">
        <v>6.53</v>
      </c>
      <c r="G1743" s="36">
        <f t="shared" si="372"/>
        <v>41.139000000000003</v>
      </c>
      <c r="H1743" s="37">
        <v>24</v>
      </c>
      <c r="I1743" s="109">
        <f t="shared" si="373"/>
        <v>987.33600000000001</v>
      </c>
      <c r="J1743" s="36">
        <v>1000</v>
      </c>
    </row>
    <row r="1744" spans="1:10" x14ac:dyDescent="0.25">
      <c r="A1744" s="46" t="s">
        <v>398</v>
      </c>
      <c r="B1744" s="37" t="s">
        <v>326</v>
      </c>
      <c r="C1744" s="46" t="s">
        <v>152</v>
      </c>
      <c r="D1744" s="34">
        <v>4.25</v>
      </c>
      <c r="E1744" s="34" t="s">
        <v>79</v>
      </c>
      <c r="F1744" s="37">
        <v>8.5399999999999991</v>
      </c>
      <c r="G1744" s="36">
        <f t="shared" si="372"/>
        <v>53.801999999999992</v>
      </c>
      <c r="H1744" s="37">
        <v>24</v>
      </c>
      <c r="I1744" s="109">
        <f t="shared" si="373"/>
        <v>1291.2479999999998</v>
      </c>
      <c r="J1744" s="36">
        <v>1300</v>
      </c>
    </row>
    <row r="1745" spans="1:10" ht="18.75" x14ac:dyDescent="0.3">
      <c r="A1745" s="233"/>
      <c r="B1745" s="334"/>
      <c r="C1745" s="334"/>
      <c r="D1745" s="334"/>
      <c r="E1745" s="334"/>
      <c r="F1745" s="334"/>
      <c r="G1745" s="334"/>
      <c r="H1745" s="99" t="s">
        <v>171</v>
      </c>
      <c r="I1745" s="330">
        <f>SUM(I1739:I1744)</f>
        <v>6599.88</v>
      </c>
      <c r="J1745" s="33">
        <f>SUM(J1739:J1744)</f>
        <v>6700</v>
      </c>
    </row>
    <row r="1746" spans="1:10" x14ac:dyDescent="0.25">
      <c r="A1746" s="37" t="s">
        <v>400</v>
      </c>
      <c r="B1746" s="37" t="s">
        <v>322</v>
      </c>
      <c r="C1746" s="37" t="s">
        <v>114</v>
      </c>
      <c r="D1746" s="37">
        <v>10.79</v>
      </c>
      <c r="E1746" s="37" t="s">
        <v>79</v>
      </c>
      <c r="F1746" s="37">
        <v>5.65</v>
      </c>
      <c r="G1746" s="368">
        <v>35.6</v>
      </c>
      <c r="H1746" s="56">
        <v>24</v>
      </c>
      <c r="I1746" s="109">
        <v>854.28</v>
      </c>
      <c r="J1746" s="36">
        <v>900</v>
      </c>
    </row>
    <row r="1747" spans="1:10" x14ac:dyDescent="0.25">
      <c r="A1747" s="37" t="s">
        <v>400</v>
      </c>
      <c r="B1747" s="37" t="s">
        <v>323</v>
      </c>
      <c r="C1747" s="37" t="s">
        <v>86</v>
      </c>
      <c r="D1747" s="37">
        <v>38.11</v>
      </c>
      <c r="E1747" s="37" t="s">
        <v>79</v>
      </c>
      <c r="F1747" s="37">
        <v>9.26</v>
      </c>
      <c r="G1747" s="368">
        <v>58.34</v>
      </c>
      <c r="H1747" s="56">
        <v>24</v>
      </c>
      <c r="I1747" s="109">
        <v>1400.11</v>
      </c>
      <c r="J1747" s="36">
        <v>1400</v>
      </c>
    </row>
    <row r="1748" spans="1:10" x14ac:dyDescent="0.25">
      <c r="A1748" s="37" t="s">
        <v>400</v>
      </c>
      <c r="B1748" s="37" t="s">
        <v>324</v>
      </c>
      <c r="C1748" s="37" t="s">
        <v>75</v>
      </c>
      <c r="D1748" s="37" t="s">
        <v>38</v>
      </c>
      <c r="E1748" s="37" t="s">
        <v>79</v>
      </c>
      <c r="F1748" s="37">
        <v>3.38</v>
      </c>
      <c r="G1748" s="368">
        <v>21.29</v>
      </c>
      <c r="H1748" s="56">
        <v>24</v>
      </c>
      <c r="I1748" s="109">
        <v>511.06</v>
      </c>
      <c r="J1748" s="36">
        <v>500</v>
      </c>
    </row>
    <row r="1749" spans="1:10" x14ac:dyDescent="0.25">
      <c r="A1749" s="37" t="s">
        <v>400</v>
      </c>
      <c r="B1749" s="37" t="s">
        <v>317</v>
      </c>
      <c r="C1749" s="37" t="s">
        <v>156</v>
      </c>
      <c r="D1749" s="37">
        <v>74.12</v>
      </c>
      <c r="E1749" s="37" t="s">
        <v>79</v>
      </c>
      <c r="F1749" s="37">
        <v>10.49</v>
      </c>
      <c r="G1749" s="368">
        <v>66.09</v>
      </c>
      <c r="H1749" s="56">
        <v>24</v>
      </c>
      <c r="I1749" s="109">
        <v>1586.09</v>
      </c>
      <c r="J1749" s="36">
        <v>1600</v>
      </c>
    </row>
    <row r="1750" spans="1:10" x14ac:dyDescent="0.25">
      <c r="A1750" s="37" t="s">
        <v>400</v>
      </c>
      <c r="B1750" s="37" t="s">
        <v>325</v>
      </c>
      <c r="C1750" s="37" t="s">
        <v>158</v>
      </c>
      <c r="D1750" s="37">
        <v>30.22</v>
      </c>
      <c r="E1750" s="37" t="s">
        <v>79</v>
      </c>
      <c r="F1750" s="37">
        <v>6.51</v>
      </c>
      <c r="G1750" s="368">
        <v>41.01</v>
      </c>
      <c r="H1750" s="56">
        <v>24</v>
      </c>
      <c r="I1750" s="109">
        <v>984.31</v>
      </c>
      <c r="J1750" s="36">
        <v>1000</v>
      </c>
    </row>
    <row r="1751" spans="1:10" x14ac:dyDescent="0.25">
      <c r="A1751" s="37" t="s">
        <v>400</v>
      </c>
      <c r="B1751" s="37" t="s">
        <v>326</v>
      </c>
      <c r="C1751" s="37" t="s">
        <v>152</v>
      </c>
      <c r="D1751" s="37">
        <v>4.8099999999999996</v>
      </c>
      <c r="E1751" s="37" t="s">
        <v>79</v>
      </c>
      <c r="F1751" s="37">
        <v>8.5399999999999991</v>
      </c>
      <c r="G1751" s="368">
        <v>53.8</v>
      </c>
      <c r="H1751" s="56">
        <v>24</v>
      </c>
      <c r="I1751" s="109">
        <v>1291.25</v>
      </c>
      <c r="J1751" s="36">
        <v>1300</v>
      </c>
    </row>
    <row r="1752" spans="1:10" ht="18.75" x14ac:dyDescent="0.3">
      <c r="A1752" s="233"/>
      <c r="B1752" s="334"/>
      <c r="C1752" s="334"/>
      <c r="D1752" s="334"/>
      <c r="E1752" s="334"/>
      <c r="F1752" s="334"/>
      <c r="G1752" s="334"/>
      <c r="H1752" s="99" t="s">
        <v>171</v>
      </c>
      <c r="I1752" s="330">
        <v>6627.1</v>
      </c>
      <c r="J1752" s="33">
        <v>6700</v>
      </c>
    </row>
    <row r="1753" spans="1:10" x14ac:dyDescent="0.25">
      <c r="A1753" s="31" t="s">
        <v>399</v>
      </c>
      <c r="B1753" s="151" t="s">
        <v>322</v>
      </c>
      <c r="C1753" s="50" t="s">
        <v>114</v>
      </c>
      <c r="D1753" s="152">
        <v>9.86</v>
      </c>
      <c r="E1753" s="50" t="s">
        <v>79</v>
      </c>
      <c r="F1753" s="153">
        <v>5.65</v>
      </c>
      <c r="G1753" s="51">
        <f t="shared" ref="G1753:G1758" si="374">F1753*6.3</f>
        <v>35.594999999999999</v>
      </c>
      <c r="H1753" s="151">
        <v>24</v>
      </c>
      <c r="I1753" s="153">
        <f t="shared" ref="I1753:I1758" si="375">G1753*H1753</f>
        <v>854.28</v>
      </c>
      <c r="J1753" s="154">
        <v>900</v>
      </c>
    </row>
    <row r="1754" spans="1:10" x14ac:dyDescent="0.25">
      <c r="A1754" s="31" t="s">
        <v>399</v>
      </c>
      <c r="B1754" s="37" t="s">
        <v>323</v>
      </c>
      <c r="C1754" s="34" t="s">
        <v>86</v>
      </c>
      <c r="D1754" s="108">
        <v>38.11</v>
      </c>
      <c r="E1754" s="34" t="s">
        <v>79</v>
      </c>
      <c r="F1754" s="110">
        <v>9.18</v>
      </c>
      <c r="G1754" s="36">
        <f t="shared" si="374"/>
        <v>57.833999999999996</v>
      </c>
      <c r="H1754" s="37">
        <v>24</v>
      </c>
      <c r="I1754" s="109">
        <f t="shared" si="375"/>
        <v>1388.0159999999998</v>
      </c>
      <c r="J1754" s="123">
        <v>1400</v>
      </c>
    </row>
    <row r="1755" spans="1:10" x14ac:dyDescent="0.25">
      <c r="A1755" s="31" t="s">
        <v>399</v>
      </c>
      <c r="B1755" s="50" t="s">
        <v>324</v>
      </c>
      <c r="C1755" s="34" t="s">
        <v>75</v>
      </c>
      <c r="D1755" s="108" t="s">
        <v>38</v>
      </c>
      <c r="E1755" s="34" t="s">
        <v>79</v>
      </c>
      <c r="F1755" s="36">
        <v>3.35</v>
      </c>
      <c r="G1755" s="36">
        <f t="shared" si="374"/>
        <v>21.105</v>
      </c>
      <c r="H1755" s="37">
        <v>24</v>
      </c>
      <c r="I1755" s="109">
        <f t="shared" si="375"/>
        <v>506.52</v>
      </c>
      <c r="J1755" s="123">
        <v>500</v>
      </c>
    </row>
    <row r="1756" spans="1:10" x14ac:dyDescent="0.25">
      <c r="A1756" s="31" t="s">
        <v>399</v>
      </c>
      <c r="B1756" s="75" t="s">
        <v>317</v>
      </c>
      <c r="C1756" s="111" t="s">
        <v>156</v>
      </c>
      <c r="D1756" s="111">
        <v>75.260000000000005</v>
      </c>
      <c r="E1756" s="42" t="s">
        <v>79</v>
      </c>
      <c r="F1756" s="74">
        <v>10.5</v>
      </c>
      <c r="G1756" s="36">
        <f t="shared" si="374"/>
        <v>66.149999999999991</v>
      </c>
      <c r="H1756" s="37">
        <v>24</v>
      </c>
      <c r="I1756" s="109">
        <f t="shared" si="375"/>
        <v>1587.6</v>
      </c>
      <c r="J1756" s="123">
        <v>1600</v>
      </c>
    </row>
    <row r="1757" spans="1:10" x14ac:dyDescent="0.25">
      <c r="A1757" s="31" t="s">
        <v>399</v>
      </c>
      <c r="B1757" s="37" t="s">
        <v>325</v>
      </c>
      <c r="C1757" s="34" t="s">
        <v>158</v>
      </c>
      <c r="D1757" s="46">
        <v>31.02</v>
      </c>
      <c r="E1757" s="34" t="s">
        <v>79</v>
      </c>
      <c r="F1757" s="74">
        <v>6.52</v>
      </c>
      <c r="G1757" s="36">
        <f t="shared" si="374"/>
        <v>41.075999999999993</v>
      </c>
      <c r="H1757" s="37">
        <v>24</v>
      </c>
      <c r="I1757" s="109">
        <f t="shared" si="375"/>
        <v>985.82399999999984</v>
      </c>
      <c r="J1757" s="123">
        <v>1000</v>
      </c>
    </row>
    <row r="1758" spans="1:10" ht="15.75" thickBot="1" x14ac:dyDescent="0.3">
      <c r="A1758" s="31" t="s">
        <v>399</v>
      </c>
      <c r="B1758" s="43" t="s">
        <v>326</v>
      </c>
      <c r="C1758" s="52" t="s">
        <v>152</v>
      </c>
      <c r="D1758" s="72">
        <v>5.36</v>
      </c>
      <c r="E1758" s="42" t="s">
        <v>79</v>
      </c>
      <c r="F1758" s="73">
        <v>8.56</v>
      </c>
      <c r="G1758" s="74">
        <f t="shared" si="374"/>
        <v>53.928000000000004</v>
      </c>
      <c r="H1758" s="43">
        <v>24</v>
      </c>
      <c r="I1758" s="328">
        <f t="shared" si="375"/>
        <v>1294.2720000000002</v>
      </c>
      <c r="J1758" s="124">
        <v>1300</v>
      </c>
    </row>
    <row r="1759" spans="1:10" ht="19.5" thickBot="1" x14ac:dyDescent="0.35">
      <c r="A1759" s="220"/>
      <c r="B1759" s="335"/>
      <c r="C1759" s="335"/>
      <c r="D1759" s="335"/>
      <c r="E1759" s="335"/>
      <c r="F1759" s="335"/>
      <c r="G1759" s="335"/>
      <c r="H1759" s="174" t="s">
        <v>171</v>
      </c>
      <c r="I1759" s="238">
        <f>SUM(I1753:I1758)</f>
        <v>6616.5119999999988</v>
      </c>
      <c r="J1759" s="104">
        <f>SUM(J1753:J1758)</f>
        <v>6700</v>
      </c>
    </row>
    <row r="1760" spans="1:10" x14ac:dyDescent="0.25">
      <c r="A1760" s="31" t="s">
        <v>401</v>
      </c>
      <c r="B1760" s="37" t="s">
        <v>322</v>
      </c>
      <c r="C1760" s="34" t="s">
        <v>114</v>
      </c>
      <c r="D1760" s="108">
        <v>9.07</v>
      </c>
      <c r="E1760" s="34" t="s">
        <v>79</v>
      </c>
      <c r="F1760" s="109">
        <v>5.6</v>
      </c>
      <c r="G1760" s="36">
        <f t="shared" ref="G1760:G1765" si="376">F1760*6.3</f>
        <v>35.279999999999994</v>
      </c>
      <c r="H1760" s="37">
        <v>24</v>
      </c>
      <c r="I1760" s="109">
        <f t="shared" ref="I1760:I1765" si="377">G1760*H1760</f>
        <v>846.7199999999998</v>
      </c>
      <c r="J1760" s="123">
        <v>900</v>
      </c>
    </row>
    <row r="1761" spans="1:10" x14ac:dyDescent="0.25">
      <c r="A1761" s="31" t="s">
        <v>401</v>
      </c>
      <c r="B1761" s="37" t="s">
        <v>323</v>
      </c>
      <c r="C1761" s="34" t="s">
        <v>86</v>
      </c>
      <c r="D1761" s="108">
        <v>35.25</v>
      </c>
      <c r="E1761" s="34" t="s">
        <v>79</v>
      </c>
      <c r="F1761" s="110">
        <v>9.25</v>
      </c>
      <c r="G1761" s="36">
        <f t="shared" si="376"/>
        <v>58.274999999999999</v>
      </c>
      <c r="H1761" s="37">
        <v>24</v>
      </c>
      <c r="I1761" s="109">
        <f t="shared" si="377"/>
        <v>1398.6</v>
      </c>
      <c r="J1761" s="123">
        <v>1400</v>
      </c>
    </row>
    <row r="1762" spans="1:10" x14ac:dyDescent="0.25">
      <c r="A1762" s="31" t="s">
        <v>401</v>
      </c>
      <c r="B1762" s="50" t="s">
        <v>324</v>
      </c>
      <c r="C1762" s="34" t="s">
        <v>75</v>
      </c>
      <c r="D1762" s="108" t="s">
        <v>38</v>
      </c>
      <c r="E1762" s="34" t="s">
        <v>79</v>
      </c>
      <c r="F1762" s="36">
        <v>3.34</v>
      </c>
      <c r="G1762" s="36">
        <f t="shared" si="376"/>
        <v>21.041999999999998</v>
      </c>
      <c r="H1762" s="37">
        <v>24</v>
      </c>
      <c r="I1762" s="109">
        <f t="shared" si="377"/>
        <v>505.00799999999992</v>
      </c>
      <c r="J1762" s="123">
        <v>500</v>
      </c>
    </row>
    <row r="1763" spans="1:10" x14ac:dyDescent="0.25">
      <c r="A1763" s="31" t="s">
        <v>401</v>
      </c>
      <c r="B1763" s="75" t="s">
        <v>317</v>
      </c>
      <c r="C1763" s="111" t="s">
        <v>156</v>
      </c>
      <c r="D1763" s="111">
        <v>73.47</v>
      </c>
      <c r="E1763" s="42" t="s">
        <v>79</v>
      </c>
      <c r="F1763" s="74">
        <v>10.51</v>
      </c>
      <c r="G1763" s="36">
        <f t="shared" si="376"/>
        <v>66.212999999999994</v>
      </c>
      <c r="H1763" s="37">
        <v>24</v>
      </c>
      <c r="I1763" s="109">
        <f t="shared" si="377"/>
        <v>1589.1119999999999</v>
      </c>
      <c r="J1763" s="123">
        <v>1600</v>
      </c>
    </row>
    <row r="1764" spans="1:10" x14ac:dyDescent="0.25">
      <c r="A1764" s="31" t="s">
        <v>401</v>
      </c>
      <c r="B1764" s="37" t="s">
        <v>325</v>
      </c>
      <c r="C1764" s="34" t="s">
        <v>158</v>
      </c>
      <c r="D1764" s="46">
        <v>30.9</v>
      </c>
      <c r="E1764" s="34" t="s">
        <v>79</v>
      </c>
      <c r="F1764" s="74">
        <v>6.54</v>
      </c>
      <c r="G1764" s="36">
        <f t="shared" si="376"/>
        <v>41.201999999999998</v>
      </c>
      <c r="H1764" s="37">
        <v>24</v>
      </c>
      <c r="I1764" s="109">
        <f t="shared" si="377"/>
        <v>988.84799999999996</v>
      </c>
      <c r="J1764" s="123">
        <v>1000</v>
      </c>
    </row>
    <row r="1765" spans="1:10" ht="15.75" thickBot="1" x14ac:dyDescent="0.3">
      <c r="A1765" s="31" t="s">
        <v>401</v>
      </c>
      <c r="B1765" s="43" t="s">
        <v>326</v>
      </c>
      <c r="C1765" s="52" t="s">
        <v>152</v>
      </c>
      <c r="D1765" s="72">
        <v>5.23</v>
      </c>
      <c r="E1765" s="42" t="s">
        <v>79</v>
      </c>
      <c r="F1765" s="73">
        <v>8.56</v>
      </c>
      <c r="G1765" s="74">
        <f t="shared" si="376"/>
        <v>53.928000000000004</v>
      </c>
      <c r="H1765" s="43">
        <v>24</v>
      </c>
      <c r="I1765" s="328">
        <f t="shared" si="377"/>
        <v>1294.2720000000002</v>
      </c>
      <c r="J1765" s="124">
        <v>1300</v>
      </c>
    </row>
    <row r="1766" spans="1:10" ht="19.5" thickBot="1" x14ac:dyDescent="0.35">
      <c r="A1766" s="206"/>
      <c r="B1766" s="100"/>
      <c r="C1766" s="100"/>
      <c r="D1766" s="221"/>
      <c r="E1766" s="100"/>
      <c r="F1766" s="100"/>
      <c r="G1766" s="100"/>
      <c r="H1766" s="174" t="s">
        <v>171</v>
      </c>
      <c r="I1766" s="238">
        <f>SUM(I1760:I1765)</f>
        <v>6622.5599999999995</v>
      </c>
      <c r="J1766" s="104">
        <f>SUM(J1760:J1765)</f>
        <v>6700</v>
      </c>
    </row>
    <row r="1767" spans="1:10" x14ac:dyDescent="0.25">
      <c r="A1767" s="31" t="s">
        <v>402</v>
      </c>
      <c r="B1767" s="37" t="s">
        <v>322</v>
      </c>
      <c r="C1767" s="34" t="s">
        <v>114</v>
      </c>
      <c r="D1767" s="108">
        <v>8.27</v>
      </c>
      <c r="E1767" s="34" t="s">
        <v>79</v>
      </c>
      <c r="F1767" s="109">
        <v>5.63</v>
      </c>
      <c r="G1767" s="36">
        <f t="shared" ref="G1767:G1772" si="378">F1767*6.3</f>
        <v>35.469000000000001</v>
      </c>
      <c r="H1767" s="37">
        <v>24</v>
      </c>
      <c r="I1767" s="109">
        <f t="shared" ref="I1767:I1772" si="379">G1767*H1767</f>
        <v>851.25600000000009</v>
      </c>
      <c r="J1767" s="123">
        <v>900</v>
      </c>
    </row>
    <row r="1768" spans="1:10" x14ac:dyDescent="0.25">
      <c r="A1768" s="31" t="s">
        <v>402</v>
      </c>
      <c r="B1768" s="37" t="s">
        <v>323</v>
      </c>
      <c r="C1768" s="34" t="s">
        <v>86</v>
      </c>
      <c r="D1768" s="108">
        <v>31.2</v>
      </c>
      <c r="E1768" s="34" t="s">
        <v>79</v>
      </c>
      <c r="F1768" s="110">
        <v>9.23</v>
      </c>
      <c r="G1768" s="36">
        <f t="shared" si="378"/>
        <v>58.149000000000001</v>
      </c>
      <c r="H1768" s="37">
        <v>24</v>
      </c>
      <c r="I1768" s="109">
        <f t="shared" si="379"/>
        <v>1395.576</v>
      </c>
      <c r="J1768" s="123">
        <v>1400</v>
      </c>
    </row>
    <row r="1769" spans="1:10" x14ac:dyDescent="0.25">
      <c r="A1769" s="31" t="s">
        <v>402</v>
      </c>
      <c r="B1769" s="50" t="s">
        <v>324</v>
      </c>
      <c r="C1769" s="34" t="s">
        <v>75</v>
      </c>
      <c r="D1769" s="108" t="s">
        <v>38</v>
      </c>
      <c r="E1769" s="34" t="s">
        <v>79</v>
      </c>
      <c r="F1769" s="36">
        <v>3.29</v>
      </c>
      <c r="G1769" s="36">
        <f t="shared" si="378"/>
        <v>20.727</v>
      </c>
      <c r="H1769" s="37">
        <v>24</v>
      </c>
      <c r="I1769" s="109">
        <f t="shared" si="379"/>
        <v>497.44799999999998</v>
      </c>
      <c r="J1769" s="123">
        <v>500</v>
      </c>
    </row>
    <row r="1770" spans="1:10" x14ac:dyDescent="0.25">
      <c r="A1770" s="31" t="s">
        <v>402</v>
      </c>
      <c r="B1770" s="75" t="s">
        <v>317</v>
      </c>
      <c r="C1770" s="111" t="s">
        <v>156</v>
      </c>
      <c r="D1770" s="111">
        <v>74.97</v>
      </c>
      <c r="E1770" s="42" t="s">
        <v>79</v>
      </c>
      <c r="F1770" s="74">
        <v>10.56</v>
      </c>
      <c r="G1770" s="36">
        <f t="shared" si="378"/>
        <v>66.528000000000006</v>
      </c>
      <c r="H1770" s="37">
        <v>24</v>
      </c>
      <c r="I1770" s="109">
        <f t="shared" si="379"/>
        <v>1596.672</v>
      </c>
      <c r="J1770" s="123">
        <v>1600</v>
      </c>
    </row>
    <row r="1771" spans="1:10" x14ac:dyDescent="0.25">
      <c r="A1771" s="31" t="s">
        <v>402</v>
      </c>
      <c r="B1771" s="37" t="s">
        <v>325</v>
      </c>
      <c r="C1771" s="34" t="s">
        <v>158</v>
      </c>
      <c r="D1771" s="46">
        <v>30.95</v>
      </c>
      <c r="E1771" s="34" t="s">
        <v>79</v>
      </c>
      <c r="F1771" s="74">
        <v>6.56</v>
      </c>
      <c r="G1771" s="36">
        <f t="shared" si="378"/>
        <v>41.327999999999996</v>
      </c>
      <c r="H1771" s="37">
        <v>24</v>
      </c>
      <c r="I1771" s="109">
        <f t="shared" si="379"/>
        <v>991.87199999999984</v>
      </c>
      <c r="J1771" s="123">
        <v>1000</v>
      </c>
    </row>
    <row r="1772" spans="1:10" ht="15.75" thickBot="1" x14ac:dyDescent="0.3">
      <c r="A1772" s="31" t="s">
        <v>402</v>
      </c>
      <c r="B1772" s="43" t="s">
        <v>326</v>
      </c>
      <c r="C1772" s="52" t="s">
        <v>152</v>
      </c>
      <c r="D1772" s="72">
        <v>5.29</v>
      </c>
      <c r="E1772" s="42" t="s">
        <v>79</v>
      </c>
      <c r="F1772" s="73">
        <v>8.58</v>
      </c>
      <c r="G1772" s="74">
        <f t="shared" si="378"/>
        <v>54.054000000000002</v>
      </c>
      <c r="H1772" s="43">
        <v>24</v>
      </c>
      <c r="I1772" s="328">
        <f t="shared" si="379"/>
        <v>1297.296</v>
      </c>
      <c r="J1772" s="124">
        <v>1300</v>
      </c>
    </row>
    <row r="1773" spans="1:10" ht="19.5" thickBot="1" x14ac:dyDescent="0.35">
      <c r="A1773" s="253"/>
      <c r="B1773" s="372"/>
      <c r="C1773" s="372"/>
      <c r="D1773" s="372"/>
      <c r="E1773" s="372"/>
      <c r="F1773" s="372"/>
      <c r="G1773" s="372"/>
      <c r="H1773" s="369" t="s">
        <v>171</v>
      </c>
      <c r="I1773" s="370">
        <f>SUM(I1767:I1772)</f>
        <v>6630.1200000000008</v>
      </c>
      <c r="J1773" s="371">
        <f>SUM(J1767:J1772)</f>
        <v>6700</v>
      </c>
    </row>
    <row r="1774" spans="1:10" x14ac:dyDescent="0.25">
      <c r="A1774" s="31" t="s">
        <v>403</v>
      </c>
      <c r="B1774" s="37" t="s">
        <v>322</v>
      </c>
      <c r="C1774" s="34" t="s">
        <v>114</v>
      </c>
      <c r="D1774" s="108">
        <v>11.76</v>
      </c>
      <c r="E1774" s="34" t="s">
        <v>79</v>
      </c>
      <c r="F1774" s="109">
        <v>5.62</v>
      </c>
      <c r="G1774" s="36">
        <f t="shared" ref="G1774:G1779" si="380">F1774*6.3</f>
        <v>35.405999999999999</v>
      </c>
      <c r="H1774" s="37">
        <v>24</v>
      </c>
      <c r="I1774" s="109">
        <f t="shared" ref="I1774:I1779" si="381">G1774*H1774</f>
        <v>849.74399999999991</v>
      </c>
      <c r="J1774" s="123">
        <v>900</v>
      </c>
    </row>
    <row r="1775" spans="1:10" x14ac:dyDescent="0.25">
      <c r="A1775" s="31" t="s">
        <v>403</v>
      </c>
      <c r="B1775" s="37" t="s">
        <v>323</v>
      </c>
      <c r="C1775" s="34" t="s">
        <v>86</v>
      </c>
      <c r="D1775" s="108">
        <v>44.67</v>
      </c>
      <c r="E1775" s="34" t="s">
        <v>79</v>
      </c>
      <c r="F1775" s="110">
        <v>9.23</v>
      </c>
      <c r="G1775" s="36">
        <f t="shared" si="380"/>
        <v>58.149000000000001</v>
      </c>
      <c r="H1775" s="37">
        <v>24</v>
      </c>
      <c r="I1775" s="109">
        <f t="shared" si="381"/>
        <v>1395.576</v>
      </c>
      <c r="J1775" s="123">
        <v>1400</v>
      </c>
    </row>
    <row r="1776" spans="1:10" x14ac:dyDescent="0.25">
      <c r="A1776" s="31" t="s">
        <v>403</v>
      </c>
      <c r="B1776" s="50" t="s">
        <v>324</v>
      </c>
      <c r="C1776" s="34" t="s">
        <v>75</v>
      </c>
      <c r="D1776" s="108" t="s">
        <v>38</v>
      </c>
      <c r="E1776" s="34" t="s">
        <v>79</v>
      </c>
      <c r="F1776" s="36">
        <v>3.3</v>
      </c>
      <c r="G1776" s="36">
        <f t="shared" si="380"/>
        <v>20.79</v>
      </c>
      <c r="H1776" s="37">
        <v>24</v>
      </c>
      <c r="I1776" s="109">
        <f t="shared" si="381"/>
        <v>498.96</v>
      </c>
      <c r="J1776" s="123">
        <v>500</v>
      </c>
    </row>
    <row r="1777" spans="1:10" x14ac:dyDescent="0.25">
      <c r="A1777" s="31" t="s">
        <v>403</v>
      </c>
      <c r="B1777" s="75" t="s">
        <v>317</v>
      </c>
      <c r="C1777" s="111" t="s">
        <v>156</v>
      </c>
      <c r="D1777" s="111">
        <v>75.459999999999994</v>
      </c>
      <c r="E1777" s="42" t="s">
        <v>79</v>
      </c>
      <c r="F1777" s="74">
        <v>10.58</v>
      </c>
      <c r="G1777" s="36">
        <f t="shared" si="380"/>
        <v>66.653999999999996</v>
      </c>
      <c r="H1777" s="37">
        <v>24</v>
      </c>
      <c r="I1777" s="109">
        <f t="shared" si="381"/>
        <v>1599.6959999999999</v>
      </c>
      <c r="J1777" s="123">
        <v>1600</v>
      </c>
    </row>
    <row r="1778" spans="1:10" x14ac:dyDescent="0.25">
      <c r="A1778" s="31" t="s">
        <v>403</v>
      </c>
      <c r="B1778" s="37" t="s">
        <v>325</v>
      </c>
      <c r="C1778" s="34" t="s">
        <v>158</v>
      </c>
      <c r="D1778" s="46">
        <v>31.69</v>
      </c>
      <c r="E1778" s="34" t="s">
        <v>79</v>
      </c>
      <c r="F1778" s="74">
        <v>6.54</v>
      </c>
      <c r="G1778" s="36">
        <f t="shared" si="380"/>
        <v>41.201999999999998</v>
      </c>
      <c r="H1778" s="37">
        <v>24</v>
      </c>
      <c r="I1778" s="109">
        <f t="shared" si="381"/>
        <v>988.84799999999996</v>
      </c>
      <c r="J1778" s="123">
        <v>1000</v>
      </c>
    </row>
    <row r="1779" spans="1:10" ht="15.75" thickBot="1" x14ac:dyDescent="0.3">
      <c r="A1779" s="31" t="s">
        <v>403</v>
      </c>
      <c r="B1779" s="43" t="s">
        <v>326</v>
      </c>
      <c r="C1779" s="52" t="s">
        <v>152</v>
      </c>
      <c r="D1779" s="72">
        <v>5.47</v>
      </c>
      <c r="E1779" s="42" t="s">
        <v>79</v>
      </c>
      <c r="F1779" s="73">
        <v>8.6199999999999992</v>
      </c>
      <c r="G1779" s="74">
        <f t="shared" si="380"/>
        <v>54.30599999999999</v>
      </c>
      <c r="H1779" s="43">
        <v>24</v>
      </c>
      <c r="I1779" s="328">
        <f t="shared" si="381"/>
        <v>1303.3439999999998</v>
      </c>
      <c r="J1779" s="124">
        <v>1300</v>
      </c>
    </row>
    <row r="1780" spans="1:10" ht="19.5" thickBot="1" x14ac:dyDescent="0.35">
      <c r="A1780" s="253"/>
      <c r="B1780" s="372"/>
      <c r="C1780" s="372"/>
      <c r="D1780" s="372"/>
      <c r="E1780" s="372"/>
      <c r="F1780" s="372"/>
      <c r="G1780" s="372"/>
      <c r="H1780" s="369" t="s">
        <v>171</v>
      </c>
      <c r="I1780" s="370">
        <f>SUM(I1774:I1779)</f>
        <v>6636.1679999999997</v>
      </c>
      <c r="J1780" s="371">
        <f>SUM(J1774:J1779)</f>
        <v>6700</v>
      </c>
    </row>
    <row r="1781" spans="1:10" x14ac:dyDescent="0.25">
      <c r="A1781" s="31" t="s">
        <v>404</v>
      </c>
      <c r="B1781" s="37" t="s">
        <v>322</v>
      </c>
      <c r="C1781" s="34" t="s">
        <v>114</v>
      </c>
      <c r="D1781" s="108">
        <v>12</v>
      </c>
      <c r="E1781" s="34" t="s">
        <v>79</v>
      </c>
      <c r="F1781" s="109">
        <v>5.97</v>
      </c>
      <c r="G1781" s="36">
        <f t="shared" ref="G1781:G1786" si="382">F1781*6.3</f>
        <v>37.610999999999997</v>
      </c>
      <c r="H1781" s="37">
        <v>24</v>
      </c>
      <c r="I1781" s="109">
        <f t="shared" ref="I1781:I1786" si="383">G1781*H1781</f>
        <v>902.66399999999999</v>
      </c>
      <c r="J1781" s="123">
        <v>900</v>
      </c>
    </row>
    <row r="1782" spans="1:10" x14ac:dyDescent="0.25">
      <c r="A1782" s="31" t="s">
        <v>404</v>
      </c>
      <c r="B1782" s="37" t="s">
        <v>323</v>
      </c>
      <c r="C1782" s="34" t="s">
        <v>86</v>
      </c>
      <c r="D1782" s="108">
        <v>50.43</v>
      </c>
      <c r="E1782" s="34" t="s">
        <v>79</v>
      </c>
      <c r="F1782" s="110">
        <v>9.3000000000000007</v>
      </c>
      <c r="G1782" s="36">
        <f t="shared" si="382"/>
        <v>58.59</v>
      </c>
      <c r="H1782" s="37">
        <v>24</v>
      </c>
      <c r="I1782" s="109">
        <f t="shared" si="383"/>
        <v>1406.16</v>
      </c>
      <c r="J1782" s="123">
        <v>1400</v>
      </c>
    </row>
    <row r="1783" spans="1:10" x14ac:dyDescent="0.25">
      <c r="A1783" s="31" t="s">
        <v>404</v>
      </c>
      <c r="B1783" s="50" t="s">
        <v>324</v>
      </c>
      <c r="C1783" s="34" t="s">
        <v>75</v>
      </c>
      <c r="D1783" s="108" t="s">
        <v>38</v>
      </c>
      <c r="E1783" s="34" t="s">
        <v>79</v>
      </c>
      <c r="F1783" s="36">
        <v>3.36</v>
      </c>
      <c r="G1783" s="36">
        <f t="shared" si="382"/>
        <v>21.167999999999999</v>
      </c>
      <c r="H1783" s="37">
        <v>24</v>
      </c>
      <c r="I1783" s="109">
        <f t="shared" si="383"/>
        <v>508.03199999999998</v>
      </c>
      <c r="J1783" s="123">
        <v>500</v>
      </c>
    </row>
    <row r="1784" spans="1:10" x14ac:dyDescent="0.25">
      <c r="A1784" s="31" t="s">
        <v>404</v>
      </c>
      <c r="B1784" s="75" t="s">
        <v>317</v>
      </c>
      <c r="C1784" s="111" t="s">
        <v>156</v>
      </c>
      <c r="D1784" s="111">
        <v>75.67</v>
      </c>
      <c r="E1784" s="42" t="s">
        <v>79</v>
      </c>
      <c r="F1784" s="74">
        <v>10.62</v>
      </c>
      <c r="G1784" s="36">
        <f t="shared" si="382"/>
        <v>66.905999999999992</v>
      </c>
      <c r="H1784" s="37">
        <v>24</v>
      </c>
      <c r="I1784" s="109">
        <f t="shared" si="383"/>
        <v>1605.7439999999997</v>
      </c>
      <c r="J1784" s="123">
        <v>1600</v>
      </c>
    </row>
    <row r="1785" spans="1:10" x14ac:dyDescent="0.25">
      <c r="A1785" s="31" t="s">
        <v>404</v>
      </c>
      <c r="B1785" s="37" t="s">
        <v>325</v>
      </c>
      <c r="C1785" s="34" t="s">
        <v>158</v>
      </c>
      <c r="D1785" s="46">
        <v>31.81</v>
      </c>
      <c r="E1785" s="34" t="s">
        <v>79</v>
      </c>
      <c r="F1785" s="74">
        <v>6.67</v>
      </c>
      <c r="G1785" s="36">
        <f t="shared" si="382"/>
        <v>42.021000000000001</v>
      </c>
      <c r="H1785" s="37">
        <v>24</v>
      </c>
      <c r="I1785" s="109">
        <f t="shared" si="383"/>
        <v>1008.504</v>
      </c>
      <c r="J1785" s="123">
        <v>1000</v>
      </c>
    </row>
    <row r="1786" spans="1:10" x14ac:dyDescent="0.25">
      <c r="A1786" s="31" t="s">
        <v>404</v>
      </c>
      <c r="B1786" s="43" t="s">
        <v>326</v>
      </c>
      <c r="C1786" s="52" t="s">
        <v>152</v>
      </c>
      <c r="D1786" s="72">
        <v>5.59</v>
      </c>
      <c r="E1786" s="42" t="s">
        <v>79</v>
      </c>
      <c r="F1786" s="73">
        <v>8.6199999999999992</v>
      </c>
      <c r="G1786" s="74">
        <f t="shared" si="382"/>
        <v>54.30599999999999</v>
      </c>
      <c r="H1786" s="43">
        <v>24</v>
      </c>
      <c r="I1786" s="328">
        <f t="shared" si="383"/>
        <v>1303.3439999999998</v>
      </c>
      <c r="J1786" s="124">
        <v>1300</v>
      </c>
    </row>
    <row r="1787" spans="1:10" ht="18.75" x14ac:dyDescent="0.3">
      <c r="A1787" s="228"/>
      <c r="B1787" s="378"/>
      <c r="C1787" s="378"/>
      <c r="D1787" s="378"/>
      <c r="E1787" s="378"/>
      <c r="F1787" s="378"/>
      <c r="G1787" s="378"/>
      <c r="H1787" s="230" t="s">
        <v>171</v>
      </c>
      <c r="I1787" s="377">
        <f>SUM(I1781:I1786)</f>
        <v>6734.4480000000003</v>
      </c>
      <c r="J1787" s="231">
        <f>SUM(J1781:J1786)</f>
        <v>6700</v>
      </c>
    </row>
    <row r="1788" spans="1:10" x14ac:dyDescent="0.25">
      <c r="A1788" s="31" t="s">
        <v>405</v>
      </c>
      <c r="B1788" s="37" t="s">
        <v>322</v>
      </c>
      <c r="C1788" s="34" t="s">
        <v>114</v>
      </c>
      <c r="D1788" s="108">
        <v>12.81</v>
      </c>
      <c r="E1788" s="34" t="s">
        <v>79</v>
      </c>
      <c r="F1788" s="109">
        <v>5.98</v>
      </c>
      <c r="G1788" s="36">
        <f t="shared" ref="G1788:G1793" si="384">F1788*6.3</f>
        <v>37.673999999999999</v>
      </c>
      <c r="H1788" s="37">
        <v>24</v>
      </c>
      <c r="I1788" s="109">
        <f t="shared" ref="I1788:I1793" si="385">G1788*H1788</f>
        <v>904.17599999999993</v>
      </c>
      <c r="J1788" s="123">
        <v>900</v>
      </c>
    </row>
    <row r="1789" spans="1:10" x14ac:dyDescent="0.25">
      <c r="A1789" s="31" t="s">
        <v>405</v>
      </c>
      <c r="B1789" s="37" t="s">
        <v>323</v>
      </c>
      <c r="C1789" s="34" t="s">
        <v>86</v>
      </c>
      <c r="D1789" s="108">
        <v>45.32</v>
      </c>
      <c r="E1789" s="34" t="s">
        <v>79</v>
      </c>
      <c r="F1789" s="110">
        <v>9.3000000000000007</v>
      </c>
      <c r="G1789" s="36">
        <f t="shared" si="384"/>
        <v>58.59</v>
      </c>
      <c r="H1789" s="37">
        <v>24</v>
      </c>
      <c r="I1789" s="109">
        <f t="shared" si="385"/>
        <v>1406.16</v>
      </c>
      <c r="J1789" s="123">
        <v>1400</v>
      </c>
    </row>
    <row r="1790" spans="1:10" x14ac:dyDescent="0.25">
      <c r="A1790" s="31" t="s">
        <v>405</v>
      </c>
      <c r="B1790" s="50" t="s">
        <v>324</v>
      </c>
      <c r="C1790" s="34" t="s">
        <v>75</v>
      </c>
      <c r="D1790" s="108" t="s">
        <v>38</v>
      </c>
      <c r="E1790" s="34" t="s">
        <v>79</v>
      </c>
      <c r="F1790" s="36">
        <v>3.38</v>
      </c>
      <c r="G1790" s="36">
        <f t="shared" si="384"/>
        <v>21.294</v>
      </c>
      <c r="H1790" s="37">
        <v>24</v>
      </c>
      <c r="I1790" s="109">
        <f t="shared" si="385"/>
        <v>511.05600000000004</v>
      </c>
      <c r="J1790" s="123">
        <v>500</v>
      </c>
    </row>
    <row r="1791" spans="1:10" x14ac:dyDescent="0.25">
      <c r="A1791" s="31" t="s">
        <v>405</v>
      </c>
      <c r="B1791" s="75" t="s">
        <v>317</v>
      </c>
      <c r="C1791" s="111" t="s">
        <v>156</v>
      </c>
      <c r="D1791" s="111">
        <v>75.08</v>
      </c>
      <c r="E1791" s="42" t="s">
        <v>79</v>
      </c>
      <c r="F1791" s="74">
        <v>10.6</v>
      </c>
      <c r="G1791" s="36">
        <f t="shared" si="384"/>
        <v>66.78</v>
      </c>
      <c r="H1791" s="37">
        <v>24</v>
      </c>
      <c r="I1791" s="109">
        <f t="shared" si="385"/>
        <v>1602.72</v>
      </c>
      <c r="J1791" s="123">
        <v>1600</v>
      </c>
    </row>
    <row r="1792" spans="1:10" x14ac:dyDescent="0.25">
      <c r="A1792" s="31" t="s">
        <v>405</v>
      </c>
      <c r="B1792" s="37" t="s">
        <v>325</v>
      </c>
      <c r="C1792" s="34" t="s">
        <v>158</v>
      </c>
      <c r="D1792" s="46">
        <v>31.57</v>
      </c>
      <c r="E1792" s="34" t="s">
        <v>79</v>
      </c>
      <c r="F1792" s="74">
        <v>6.61</v>
      </c>
      <c r="G1792" s="36">
        <f t="shared" si="384"/>
        <v>41.643000000000001</v>
      </c>
      <c r="H1792" s="37">
        <v>24</v>
      </c>
      <c r="I1792" s="109">
        <f t="shared" si="385"/>
        <v>999.43200000000002</v>
      </c>
      <c r="J1792" s="123">
        <v>1000</v>
      </c>
    </row>
    <row r="1793" spans="1:10" ht="15.75" thickBot="1" x14ac:dyDescent="0.3">
      <c r="A1793" s="31" t="s">
        <v>405</v>
      </c>
      <c r="B1793" s="43" t="s">
        <v>326</v>
      </c>
      <c r="C1793" s="52" t="s">
        <v>152</v>
      </c>
      <c r="D1793" s="72">
        <v>5.42</v>
      </c>
      <c r="E1793" s="42" t="s">
        <v>79</v>
      </c>
      <c r="F1793" s="73">
        <v>8.6199999999999992</v>
      </c>
      <c r="G1793" s="74">
        <f t="shared" si="384"/>
        <v>54.30599999999999</v>
      </c>
      <c r="H1793" s="43">
        <v>24</v>
      </c>
      <c r="I1793" s="328">
        <f t="shared" si="385"/>
        <v>1303.3439999999998</v>
      </c>
      <c r="J1793" s="124">
        <v>1300</v>
      </c>
    </row>
    <row r="1794" spans="1:10" ht="19.5" thickBot="1" x14ac:dyDescent="0.35">
      <c r="A1794" s="206"/>
      <c r="B1794" s="336"/>
      <c r="C1794" s="336"/>
      <c r="D1794" s="336"/>
      <c r="E1794" s="336"/>
      <c r="F1794" s="336"/>
      <c r="G1794" s="337"/>
      <c r="H1794" s="174" t="s">
        <v>171</v>
      </c>
      <c r="I1794" s="238">
        <f>SUM(I1788:I1793)</f>
        <v>6726.8879999999999</v>
      </c>
      <c r="J1794" s="104">
        <f>SUM(J1788:J1793)</f>
        <v>6700</v>
      </c>
    </row>
    <row r="1795" spans="1:10" x14ac:dyDescent="0.25">
      <c r="A1795" s="31" t="s">
        <v>406</v>
      </c>
      <c r="B1795" s="37" t="s">
        <v>322</v>
      </c>
      <c r="C1795" s="34" t="s">
        <v>114</v>
      </c>
      <c r="D1795" s="108">
        <v>13.11</v>
      </c>
      <c r="E1795" s="34" t="s">
        <v>79</v>
      </c>
      <c r="F1795" s="109">
        <v>5.97</v>
      </c>
      <c r="G1795" s="36">
        <f t="shared" ref="G1795:G1800" si="386">F1795*6.3</f>
        <v>37.610999999999997</v>
      </c>
      <c r="H1795" s="37">
        <v>24</v>
      </c>
      <c r="I1795" s="109">
        <f t="shared" ref="I1795:I1800" si="387">G1795*H1795</f>
        <v>902.66399999999999</v>
      </c>
      <c r="J1795" s="123">
        <v>900</v>
      </c>
    </row>
    <row r="1796" spans="1:10" x14ac:dyDescent="0.25">
      <c r="A1796" s="31" t="s">
        <v>406</v>
      </c>
      <c r="B1796" s="37" t="s">
        <v>323</v>
      </c>
      <c r="C1796" s="34" t="s">
        <v>86</v>
      </c>
      <c r="D1796" s="108">
        <v>42.95</v>
      </c>
      <c r="E1796" s="34" t="s">
        <v>79</v>
      </c>
      <c r="F1796" s="110">
        <v>9.2899999999999991</v>
      </c>
      <c r="G1796" s="36">
        <f t="shared" si="386"/>
        <v>58.526999999999994</v>
      </c>
      <c r="H1796" s="37">
        <v>24</v>
      </c>
      <c r="I1796" s="109">
        <f t="shared" si="387"/>
        <v>1404.6479999999999</v>
      </c>
      <c r="J1796" s="123">
        <v>1400</v>
      </c>
    </row>
    <row r="1797" spans="1:10" x14ac:dyDescent="0.25">
      <c r="A1797" s="31" t="s">
        <v>406</v>
      </c>
      <c r="B1797" s="50" t="s">
        <v>324</v>
      </c>
      <c r="C1797" s="34" t="s">
        <v>75</v>
      </c>
      <c r="D1797" s="108" t="s">
        <v>38</v>
      </c>
      <c r="E1797" s="34" t="s">
        <v>79</v>
      </c>
      <c r="F1797" s="36">
        <v>3.37</v>
      </c>
      <c r="G1797" s="36">
        <f t="shared" si="386"/>
        <v>21.231000000000002</v>
      </c>
      <c r="H1797" s="37">
        <v>24</v>
      </c>
      <c r="I1797" s="109">
        <f t="shared" si="387"/>
        <v>509.54400000000004</v>
      </c>
      <c r="J1797" s="123">
        <v>500</v>
      </c>
    </row>
    <row r="1798" spans="1:10" x14ac:dyDescent="0.25">
      <c r="A1798" s="31" t="s">
        <v>406</v>
      </c>
      <c r="B1798" s="75" t="s">
        <v>317</v>
      </c>
      <c r="C1798" s="111" t="s">
        <v>156</v>
      </c>
      <c r="D1798" s="111">
        <v>75.09</v>
      </c>
      <c r="E1798" s="42" t="s">
        <v>79</v>
      </c>
      <c r="F1798" s="74">
        <v>10.62</v>
      </c>
      <c r="G1798" s="36">
        <f t="shared" si="386"/>
        <v>66.905999999999992</v>
      </c>
      <c r="H1798" s="37">
        <v>24</v>
      </c>
      <c r="I1798" s="109">
        <f t="shared" si="387"/>
        <v>1605.7439999999997</v>
      </c>
      <c r="J1798" s="123">
        <v>1600</v>
      </c>
    </row>
    <row r="1799" spans="1:10" x14ac:dyDescent="0.25">
      <c r="A1799" s="31" t="s">
        <v>406</v>
      </c>
      <c r="B1799" s="37" t="s">
        <v>325</v>
      </c>
      <c r="C1799" s="34" t="s">
        <v>158</v>
      </c>
      <c r="D1799" s="46">
        <v>32.06</v>
      </c>
      <c r="E1799" s="34" t="s">
        <v>79</v>
      </c>
      <c r="F1799" s="74">
        <v>6.63</v>
      </c>
      <c r="G1799" s="36">
        <f t="shared" si="386"/>
        <v>41.768999999999998</v>
      </c>
      <c r="H1799" s="37">
        <v>24</v>
      </c>
      <c r="I1799" s="109">
        <f t="shared" si="387"/>
        <v>1002.4559999999999</v>
      </c>
      <c r="J1799" s="123">
        <v>1000</v>
      </c>
    </row>
    <row r="1800" spans="1:10" ht="15.75" thickBot="1" x14ac:dyDescent="0.3">
      <c r="A1800" s="31" t="s">
        <v>406</v>
      </c>
      <c r="B1800" s="43" t="s">
        <v>326</v>
      </c>
      <c r="C1800" s="52" t="s">
        <v>152</v>
      </c>
      <c r="D1800" s="72">
        <v>5.47</v>
      </c>
      <c r="E1800" s="42" t="s">
        <v>79</v>
      </c>
      <c r="F1800" s="73">
        <v>8.64</v>
      </c>
      <c r="G1800" s="74">
        <f t="shared" si="386"/>
        <v>54.432000000000002</v>
      </c>
      <c r="H1800" s="43">
        <v>24</v>
      </c>
      <c r="I1800" s="328">
        <f t="shared" si="387"/>
        <v>1306.3679999999999</v>
      </c>
      <c r="J1800" s="124">
        <v>1300</v>
      </c>
    </row>
    <row r="1801" spans="1:10" ht="19.5" thickBot="1" x14ac:dyDescent="0.35">
      <c r="A1801" s="251"/>
      <c r="B1801" s="336"/>
      <c r="C1801" s="336"/>
      <c r="D1801" s="336"/>
      <c r="E1801" s="336"/>
      <c r="F1801" s="336"/>
      <c r="G1801" s="337"/>
      <c r="H1801" s="174" t="s">
        <v>171</v>
      </c>
      <c r="I1801" s="238">
        <f>SUM(I1795:I1800)</f>
        <v>6731.4239999999991</v>
      </c>
      <c r="J1801" s="104">
        <f>SUM(J1795:J1800)</f>
        <v>6700</v>
      </c>
    </row>
    <row r="1802" spans="1:10" x14ac:dyDescent="0.25">
      <c r="A1802" s="37" t="s">
        <v>408</v>
      </c>
      <c r="B1802" s="350" t="s">
        <v>322</v>
      </c>
      <c r="C1802" s="34" t="s">
        <v>114</v>
      </c>
      <c r="D1802" s="108">
        <v>13.9</v>
      </c>
      <c r="E1802" s="34" t="s">
        <v>79</v>
      </c>
      <c r="F1802" s="109">
        <v>5.3</v>
      </c>
      <c r="G1802" s="36">
        <f t="shared" ref="G1802:G1807" si="388">F1802*6.3</f>
        <v>33.39</v>
      </c>
      <c r="H1802" s="37">
        <v>17.75</v>
      </c>
      <c r="I1802" s="109">
        <f t="shared" ref="I1802:I1807" si="389">G1802*H1802</f>
        <v>592.67250000000001</v>
      </c>
      <c r="J1802" s="123">
        <v>900</v>
      </c>
    </row>
    <row r="1803" spans="1:10" x14ac:dyDescent="0.25">
      <c r="A1803" s="37" t="s">
        <v>408</v>
      </c>
      <c r="B1803" s="350" t="s">
        <v>323</v>
      </c>
      <c r="C1803" s="34" t="s">
        <v>86</v>
      </c>
      <c r="D1803" s="108">
        <v>37.82</v>
      </c>
      <c r="E1803" s="34" t="s">
        <v>79</v>
      </c>
      <c r="F1803" s="110">
        <v>7.9</v>
      </c>
      <c r="G1803" s="36">
        <f t="shared" si="388"/>
        <v>49.77</v>
      </c>
      <c r="H1803" s="37">
        <v>17.75</v>
      </c>
      <c r="I1803" s="109">
        <f t="shared" si="389"/>
        <v>883.41750000000002</v>
      </c>
      <c r="J1803" s="123">
        <v>1400</v>
      </c>
    </row>
    <row r="1804" spans="1:10" x14ac:dyDescent="0.25">
      <c r="A1804" s="37" t="s">
        <v>408</v>
      </c>
      <c r="B1804" s="291" t="s">
        <v>324</v>
      </c>
      <c r="C1804" s="34" t="s">
        <v>75</v>
      </c>
      <c r="D1804" s="108" t="s">
        <v>38</v>
      </c>
      <c r="E1804" s="34" t="s">
        <v>79</v>
      </c>
      <c r="F1804" s="36">
        <v>3.34</v>
      </c>
      <c r="G1804" s="36">
        <f t="shared" si="388"/>
        <v>21.041999999999998</v>
      </c>
      <c r="H1804" s="37">
        <v>17.75</v>
      </c>
      <c r="I1804" s="109">
        <f t="shared" si="389"/>
        <v>373.49549999999999</v>
      </c>
      <c r="J1804" s="123">
        <v>500</v>
      </c>
    </row>
    <row r="1805" spans="1:10" x14ac:dyDescent="0.25">
      <c r="A1805" s="37" t="s">
        <v>408</v>
      </c>
      <c r="B1805" s="289" t="s">
        <v>317</v>
      </c>
      <c r="C1805" s="111" t="s">
        <v>156</v>
      </c>
      <c r="D1805" s="111">
        <v>72.790000000000006</v>
      </c>
      <c r="E1805" s="42" t="s">
        <v>79</v>
      </c>
      <c r="F1805" s="74">
        <v>10.58</v>
      </c>
      <c r="G1805" s="36">
        <f t="shared" si="388"/>
        <v>66.653999999999996</v>
      </c>
      <c r="H1805" s="37">
        <v>17.75</v>
      </c>
      <c r="I1805" s="109">
        <f t="shared" si="389"/>
        <v>1183.1084999999998</v>
      </c>
      <c r="J1805" s="123">
        <v>1600</v>
      </c>
    </row>
    <row r="1806" spans="1:10" x14ac:dyDescent="0.25">
      <c r="A1806" s="37" t="s">
        <v>408</v>
      </c>
      <c r="B1806" s="350" t="s">
        <v>325</v>
      </c>
      <c r="C1806" s="34" t="s">
        <v>158</v>
      </c>
      <c r="D1806" s="46">
        <v>45.39</v>
      </c>
      <c r="E1806" s="34" t="s">
        <v>79</v>
      </c>
      <c r="F1806" s="74">
        <v>6</v>
      </c>
      <c r="G1806" s="36">
        <f t="shared" si="388"/>
        <v>37.799999999999997</v>
      </c>
      <c r="H1806" s="37">
        <v>17.75</v>
      </c>
      <c r="I1806" s="109">
        <f t="shared" si="389"/>
        <v>670.94999999999993</v>
      </c>
      <c r="J1806" s="123">
        <v>1000</v>
      </c>
    </row>
    <row r="1807" spans="1:10" x14ac:dyDescent="0.25">
      <c r="A1807" s="37" t="s">
        <v>408</v>
      </c>
      <c r="B1807" s="350" t="s">
        <v>326</v>
      </c>
      <c r="C1807" s="46" t="s">
        <v>152</v>
      </c>
      <c r="D1807" s="72">
        <v>4.62</v>
      </c>
      <c r="E1807" s="34" t="s">
        <v>79</v>
      </c>
      <c r="F1807" s="73">
        <v>7.85</v>
      </c>
      <c r="G1807" s="36">
        <f t="shared" si="388"/>
        <v>49.454999999999998</v>
      </c>
      <c r="H1807" s="37">
        <v>17.75</v>
      </c>
      <c r="I1807" s="329">
        <f t="shared" si="389"/>
        <v>877.82624999999996</v>
      </c>
      <c r="J1807" s="123">
        <v>1300</v>
      </c>
    </row>
    <row r="1808" spans="1:10" ht="18.75" x14ac:dyDescent="0.3">
      <c r="A1808" s="233"/>
      <c r="B1808" s="352"/>
      <c r="C1808" s="352"/>
      <c r="D1808" s="352"/>
      <c r="E1808" s="352"/>
      <c r="F1808" s="352"/>
      <c r="G1808" s="353"/>
      <c r="H1808" s="99" t="s">
        <v>171</v>
      </c>
      <c r="I1808" s="330">
        <f>SUM(I1802:I1807)</f>
        <v>4581.4702499999994</v>
      </c>
      <c r="J1808" s="169">
        <f>SUM(J1802:J1807)</f>
        <v>6700</v>
      </c>
    </row>
    <row r="1809" spans="1:10" x14ac:dyDescent="0.25">
      <c r="A1809" s="31" t="s">
        <v>407</v>
      </c>
      <c r="B1809" s="37" t="s">
        <v>322</v>
      </c>
      <c r="C1809" s="34" t="s">
        <v>114</v>
      </c>
      <c r="D1809" s="108">
        <v>14.45</v>
      </c>
      <c r="E1809" s="34" t="s">
        <v>79</v>
      </c>
      <c r="F1809" s="109">
        <v>5.96</v>
      </c>
      <c r="G1809" s="36">
        <f t="shared" ref="G1809:G1814" si="390">F1809*6.3</f>
        <v>37.548000000000002</v>
      </c>
      <c r="H1809" s="37">
        <v>24</v>
      </c>
      <c r="I1809" s="109">
        <f t="shared" ref="I1809:I1814" si="391">G1809*H1809</f>
        <v>901.15200000000004</v>
      </c>
      <c r="J1809" s="123">
        <v>900</v>
      </c>
    </row>
    <row r="1810" spans="1:10" x14ac:dyDescent="0.25">
      <c r="A1810" s="31" t="s">
        <v>407</v>
      </c>
      <c r="B1810" s="37" t="s">
        <v>323</v>
      </c>
      <c r="C1810" s="34" t="s">
        <v>86</v>
      </c>
      <c r="D1810" s="108">
        <v>38</v>
      </c>
      <c r="E1810" s="34" t="s">
        <v>79</v>
      </c>
      <c r="F1810" s="110">
        <v>9.3000000000000007</v>
      </c>
      <c r="G1810" s="36">
        <f t="shared" si="390"/>
        <v>58.59</v>
      </c>
      <c r="H1810" s="37">
        <v>24</v>
      </c>
      <c r="I1810" s="109">
        <f t="shared" si="391"/>
        <v>1406.16</v>
      </c>
      <c r="J1810" s="123">
        <v>1400</v>
      </c>
    </row>
    <row r="1811" spans="1:10" x14ac:dyDescent="0.25">
      <c r="A1811" s="31" t="s">
        <v>407</v>
      </c>
      <c r="B1811" s="50" t="s">
        <v>324</v>
      </c>
      <c r="C1811" s="34" t="s">
        <v>75</v>
      </c>
      <c r="D1811" s="108" t="s">
        <v>38</v>
      </c>
      <c r="E1811" s="34" t="s">
        <v>79</v>
      </c>
      <c r="F1811" s="36">
        <v>3.31</v>
      </c>
      <c r="G1811" s="36">
        <f t="shared" si="390"/>
        <v>20.852999999999998</v>
      </c>
      <c r="H1811" s="37">
        <v>24</v>
      </c>
      <c r="I1811" s="109">
        <f t="shared" si="391"/>
        <v>500.47199999999998</v>
      </c>
      <c r="J1811" s="123">
        <v>500</v>
      </c>
    </row>
    <row r="1812" spans="1:10" x14ac:dyDescent="0.25">
      <c r="A1812" s="31" t="s">
        <v>407</v>
      </c>
      <c r="B1812" s="75" t="s">
        <v>317</v>
      </c>
      <c r="C1812" s="111" t="s">
        <v>156</v>
      </c>
      <c r="D1812" s="111">
        <v>72.39</v>
      </c>
      <c r="E1812" s="42" t="s">
        <v>79</v>
      </c>
      <c r="F1812" s="74">
        <v>10.6</v>
      </c>
      <c r="G1812" s="36">
        <f t="shared" si="390"/>
        <v>66.78</v>
      </c>
      <c r="H1812" s="37">
        <v>24</v>
      </c>
      <c r="I1812" s="109">
        <f t="shared" si="391"/>
        <v>1602.72</v>
      </c>
      <c r="J1812" s="123">
        <v>1600</v>
      </c>
    </row>
    <row r="1813" spans="1:10" x14ac:dyDescent="0.25">
      <c r="A1813" s="31" t="s">
        <v>407</v>
      </c>
      <c r="B1813" s="37" t="s">
        <v>325</v>
      </c>
      <c r="C1813" s="34" t="s">
        <v>158</v>
      </c>
      <c r="D1813" s="46">
        <v>28.33</v>
      </c>
      <c r="E1813" s="34" t="s">
        <v>79</v>
      </c>
      <c r="F1813" s="74">
        <v>6.67</v>
      </c>
      <c r="G1813" s="36">
        <f t="shared" si="390"/>
        <v>42.021000000000001</v>
      </c>
      <c r="H1813" s="37">
        <v>24</v>
      </c>
      <c r="I1813" s="109">
        <f t="shared" si="391"/>
        <v>1008.504</v>
      </c>
      <c r="J1813" s="123">
        <v>1000</v>
      </c>
    </row>
    <row r="1814" spans="1:10" ht="15.75" thickBot="1" x14ac:dyDescent="0.3">
      <c r="A1814" s="31" t="s">
        <v>407</v>
      </c>
      <c r="B1814" s="43" t="s">
        <v>326</v>
      </c>
      <c r="C1814" s="52" t="s">
        <v>152</v>
      </c>
      <c r="D1814" s="72">
        <v>3.52</v>
      </c>
      <c r="E1814" s="42" t="s">
        <v>79</v>
      </c>
      <c r="F1814" s="73">
        <v>8.6199999999999992</v>
      </c>
      <c r="G1814" s="74">
        <f t="shared" si="390"/>
        <v>54.30599999999999</v>
      </c>
      <c r="H1814" s="43">
        <v>24</v>
      </c>
      <c r="I1814" s="328">
        <f t="shared" si="391"/>
        <v>1303.3439999999998</v>
      </c>
      <c r="J1814" s="124">
        <v>1300</v>
      </c>
    </row>
    <row r="1815" spans="1:10" ht="19.5" thickBot="1" x14ac:dyDescent="0.35">
      <c r="A1815" s="206"/>
      <c r="B1815" s="336"/>
      <c r="C1815" s="336"/>
      <c r="D1815" s="336"/>
      <c r="E1815" s="336"/>
      <c r="F1815" s="336"/>
      <c r="G1815" s="337"/>
      <c r="H1815" s="174" t="s">
        <v>171</v>
      </c>
      <c r="I1815" s="238">
        <f>SUM(I1809:I1814)</f>
        <v>6722.3519999999999</v>
      </c>
      <c r="J1815" s="104">
        <f>SUM(J1809:J1814)</f>
        <v>6700</v>
      </c>
    </row>
    <row r="1816" spans="1:10" x14ac:dyDescent="0.25">
      <c r="A1816" s="31" t="s">
        <v>409</v>
      </c>
      <c r="B1816" s="37" t="s">
        <v>322</v>
      </c>
      <c r="C1816" s="34" t="s">
        <v>114</v>
      </c>
      <c r="D1816" s="108">
        <v>15.3</v>
      </c>
      <c r="E1816" s="34" t="s">
        <v>79</v>
      </c>
      <c r="F1816" s="109">
        <v>5.98</v>
      </c>
      <c r="G1816" s="36">
        <f t="shared" ref="G1816:G1821" si="392">F1816*6.3</f>
        <v>37.673999999999999</v>
      </c>
      <c r="H1816" s="37">
        <v>24</v>
      </c>
      <c r="I1816" s="109">
        <f t="shared" ref="I1816:I1821" si="393">G1816*H1816</f>
        <v>904.17599999999993</v>
      </c>
      <c r="J1816" s="123">
        <v>900</v>
      </c>
    </row>
    <row r="1817" spans="1:10" x14ac:dyDescent="0.25">
      <c r="A1817" s="31" t="s">
        <v>409</v>
      </c>
      <c r="B1817" s="37" t="s">
        <v>323</v>
      </c>
      <c r="C1817" s="34" t="s">
        <v>86</v>
      </c>
      <c r="D1817" s="108">
        <v>37.26</v>
      </c>
      <c r="E1817" s="34" t="s">
        <v>79</v>
      </c>
      <c r="F1817" s="110">
        <v>9.32</v>
      </c>
      <c r="G1817" s="36">
        <f t="shared" si="392"/>
        <v>58.716000000000001</v>
      </c>
      <c r="H1817" s="37">
        <v>24</v>
      </c>
      <c r="I1817" s="109">
        <f t="shared" si="393"/>
        <v>1409.184</v>
      </c>
      <c r="J1817" s="123">
        <v>1400</v>
      </c>
    </row>
    <row r="1818" spans="1:10" x14ac:dyDescent="0.25">
      <c r="A1818" s="31" t="s">
        <v>409</v>
      </c>
      <c r="B1818" s="50" t="s">
        <v>324</v>
      </c>
      <c r="C1818" s="34" t="s">
        <v>75</v>
      </c>
      <c r="D1818" s="108" t="s">
        <v>38</v>
      </c>
      <c r="E1818" s="34" t="s">
        <v>79</v>
      </c>
      <c r="F1818" s="36">
        <v>3.31</v>
      </c>
      <c r="G1818" s="36">
        <f t="shared" si="392"/>
        <v>20.852999999999998</v>
      </c>
      <c r="H1818" s="37">
        <v>24</v>
      </c>
      <c r="I1818" s="109">
        <f t="shared" si="393"/>
        <v>500.47199999999998</v>
      </c>
      <c r="J1818" s="123">
        <v>500</v>
      </c>
    </row>
    <row r="1819" spans="1:10" x14ac:dyDescent="0.25">
      <c r="A1819" s="31" t="s">
        <v>409</v>
      </c>
      <c r="B1819" s="75" t="s">
        <v>317</v>
      </c>
      <c r="C1819" s="111" t="s">
        <v>156</v>
      </c>
      <c r="D1819" s="111">
        <v>74.53</v>
      </c>
      <c r="E1819" s="42" t="s">
        <v>79</v>
      </c>
      <c r="F1819" s="74">
        <v>10.62</v>
      </c>
      <c r="G1819" s="36">
        <f t="shared" si="392"/>
        <v>66.905999999999992</v>
      </c>
      <c r="H1819" s="37">
        <v>24</v>
      </c>
      <c r="I1819" s="109">
        <f t="shared" si="393"/>
        <v>1605.7439999999997</v>
      </c>
      <c r="J1819" s="123">
        <v>1600</v>
      </c>
    </row>
    <row r="1820" spans="1:10" x14ac:dyDescent="0.25">
      <c r="A1820" s="31" t="s">
        <v>409</v>
      </c>
      <c r="B1820" s="37" t="s">
        <v>325</v>
      </c>
      <c r="C1820" s="34" t="s">
        <v>158</v>
      </c>
      <c r="D1820" s="46">
        <v>29.12</v>
      </c>
      <c r="E1820" s="34" t="s">
        <v>79</v>
      </c>
      <c r="F1820" s="74">
        <v>6.67</v>
      </c>
      <c r="G1820" s="36">
        <f t="shared" si="392"/>
        <v>42.021000000000001</v>
      </c>
      <c r="H1820" s="37">
        <v>24</v>
      </c>
      <c r="I1820" s="109">
        <f t="shared" si="393"/>
        <v>1008.504</v>
      </c>
      <c r="J1820" s="123">
        <v>1000</v>
      </c>
    </row>
    <row r="1821" spans="1:10" ht="15.75" thickBot="1" x14ac:dyDescent="0.3">
      <c r="A1821" s="31" t="s">
        <v>409</v>
      </c>
      <c r="B1821" s="43" t="s">
        <v>326</v>
      </c>
      <c r="C1821" s="52" t="s">
        <v>152</v>
      </c>
      <c r="D1821" s="72">
        <v>3.79</v>
      </c>
      <c r="E1821" s="42" t="s">
        <v>79</v>
      </c>
      <c r="F1821" s="73">
        <v>8.66</v>
      </c>
      <c r="G1821" s="74">
        <f t="shared" si="392"/>
        <v>54.558</v>
      </c>
      <c r="H1821" s="43">
        <v>24</v>
      </c>
      <c r="I1821" s="328">
        <f t="shared" si="393"/>
        <v>1309.3920000000001</v>
      </c>
      <c r="J1821" s="124">
        <v>1300</v>
      </c>
    </row>
    <row r="1822" spans="1:10" ht="19.5" thickBot="1" x14ac:dyDescent="0.35">
      <c r="A1822" s="206"/>
      <c r="B1822" s="336"/>
      <c r="C1822" s="336"/>
      <c r="D1822" s="336"/>
      <c r="E1822" s="336"/>
      <c r="F1822" s="336"/>
      <c r="G1822" s="337"/>
      <c r="H1822" s="174" t="s">
        <v>171</v>
      </c>
      <c r="I1822" s="238">
        <f>SUM(I1816:I1821)</f>
        <v>6737.4719999999988</v>
      </c>
      <c r="J1822" s="104">
        <f>SUM(J1816:J1821)</f>
        <v>6700</v>
      </c>
    </row>
    <row r="1823" spans="1:10" x14ac:dyDescent="0.25">
      <c r="A1823" s="31" t="s">
        <v>410</v>
      </c>
      <c r="B1823" s="37" t="s">
        <v>322</v>
      </c>
      <c r="C1823" s="34" t="s">
        <v>114</v>
      </c>
      <c r="D1823" s="108">
        <v>15.98</v>
      </c>
      <c r="E1823" s="34" t="s">
        <v>79</v>
      </c>
      <c r="F1823" s="109">
        <v>5.98</v>
      </c>
      <c r="G1823" s="36">
        <f t="shared" ref="G1823:G1828" si="394">F1823*6.3</f>
        <v>37.673999999999999</v>
      </c>
      <c r="H1823" s="37">
        <v>24</v>
      </c>
      <c r="I1823" s="109">
        <f t="shared" ref="I1823:I1828" si="395">G1823*H1823</f>
        <v>904.17599999999993</v>
      </c>
      <c r="J1823" s="123">
        <v>900</v>
      </c>
    </row>
    <row r="1824" spans="1:10" x14ac:dyDescent="0.25">
      <c r="A1824" s="31" t="s">
        <v>410</v>
      </c>
      <c r="B1824" s="37" t="s">
        <v>323</v>
      </c>
      <c r="C1824" s="34" t="s">
        <v>86</v>
      </c>
      <c r="D1824" s="108">
        <v>35.67</v>
      </c>
      <c r="E1824" s="34" t="s">
        <v>79</v>
      </c>
      <c r="F1824" s="110">
        <v>9.32</v>
      </c>
      <c r="G1824" s="36">
        <f t="shared" si="394"/>
        <v>58.716000000000001</v>
      </c>
      <c r="H1824" s="37">
        <v>24</v>
      </c>
      <c r="I1824" s="109">
        <f t="shared" si="395"/>
        <v>1409.184</v>
      </c>
      <c r="J1824" s="123">
        <v>1400</v>
      </c>
    </row>
    <row r="1825" spans="1:10" x14ac:dyDescent="0.25">
      <c r="A1825" s="31" t="s">
        <v>410</v>
      </c>
      <c r="B1825" s="50" t="s">
        <v>324</v>
      </c>
      <c r="C1825" s="34" t="s">
        <v>75</v>
      </c>
      <c r="D1825" s="108" t="s">
        <v>38</v>
      </c>
      <c r="E1825" s="34" t="s">
        <v>79</v>
      </c>
      <c r="F1825" s="36">
        <v>3.31</v>
      </c>
      <c r="G1825" s="36">
        <f t="shared" si="394"/>
        <v>20.852999999999998</v>
      </c>
      <c r="H1825" s="37">
        <v>24</v>
      </c>
      <c r="I1825" s="109">
        <f t="shared" si="395"/>
        <v>500.47199999999998</v>
      </c>
      <c r="J1825" s="123">
        <v>500</v>
      </c>
    </row>
    <row r="1826" spans="1:10" x14ac:dyDescent="0.25">
      <c r="A1826" s="31" t="s">
        <v>410</v>
      </c>
      <c r="B1826" s="75" t="s">
        <v>317</v>
      </c>
      <c r="C1826" s="111" t="s">
        <v>156</v>
      </c>
      <c r="D1826" s="111">
        <v>74.400000000000006</v>
      </c>
      <c r="E1826" s="42" t="s">
        <v>79</v>
      </c>
      <c r="F1826" s="74">
        <v>10.61</v>
      </c>
      <c r="G1826" s="36">
        <f t="shared" si="394"/>
        <v>66.842999999999989</v>
      </c>
      <c r="H1826" s="37">
        <v>24</v>
      </c>
      <c r="I1826" s="109">
        <f t="shared" si="395"/>
        <v>1604.2319999999997</v>
      </c>
      <c r="J1826" s="123">
        <v>1600</v>
      </c>
    </row>
    <row r="1827" spans="1:10" x14ac:dyDescent="0.25">
      <c r="A1827" s="31" t="s">
        <v>410</v>
      </c>
      <c r="B1827" s="37" t="s">
        <v>325</v>
      </c>
      <c r="C1827" s="34" t="s">
        <v>158</v>
      </c>
      <c r="D1827" s="46">
        <v>29.44</v>
      </c>
      <c r="E1827" s="34" t="s">
        <v>79</v>
      </c>
      <c r="F1827" s="74">
        <v>6.62</v>
      </c>
      <c r="G1827" s="36">
        <f t="shared" si="394"/>
        <v>41.705999999999996</v>
      </c>
      <c r="H1827" s="37">
        <v>24</v>
      </c>
      <c r="I1827" s="109">
        <f t="shared" si="395"/>
        <v>1000.944</v>
      </c>
      <c r="J1827" s="123">
        <v>1000</v>
      </c>
    </row>
    <row r="1828" spans="1:10" ht="15.75" thickBot="1" x14ac:dyDescent="0.3">
      <c r="A1828" s="31" t="s">
        <v>410</v>
      </c>
      <c r="B1828" s="43" t="s">
        <v>326</v>
      </c>
      <c r="C1828" s="52" t="s">
        <v>152</v>
      </c>
      <c r="D1828" s="72">
        <v>3.65</v>
      </c>
      <c r="E1828" s="42" t="s">
        <v>79</v>
      </c>
      <c r="F1828" s="73">
        <v>8.67</v>
      </c>
      <c r="G1828" s="74">
        <f t="shared" si="394"/>
        <v>54.620999999999995</v>
      </c>
      <c r="H1828" s="43">
        <v>24</v>
      </c>
      <c r="I1828" s="328">
        <f t="shared" si="395"/>
        <v>1310.904</v>
      </c>
      <c r="J1828" s="124">
        <v>1300</v>
      </c>
    </row>
    <row r="1829" spans="1:10" ht="19.5" thickBot="1" x14ac:dyDescent="0.35">
      <c r="A1829" s="220"/>
      <c r="B1829" s="335"/>
      <c r="C1829" s="335"/>
      <c r="D1829" s="335"/>
      <c r="E1829" s="335"/>
      <c r="F1829" s="335"/>
      <c r="G1829" s="335"/>
      <c r="H1829" s="174" t="s">
        <v>171</v>
      </c>
      <c r="I1829" s="238">
        <f>SUM(I1823:I1828)</f>
        <v>6729.9120000000003</v>
      </c>
      <c r="J1829" s="104">
        <f>SUM(J1823:J1828)</f>
        <v>6700</v>
      </c>
    </row>
    <row r="1830" spans="1:10" x14ac:dyDescent="0.25">
      <c r="A1830" s="31" t="s">
        <v>411</v>
      </c>
      <c r="B1830" s="37" t="s">
        <v>322</v>
      </c>
      <c r="C1830" s="34" t="s">
        <v>114</v>
      </c>
      <c r="D1830" s="108">
        <v>25.09</v>
      </c>
      <c r="E1830" s="34" t="s">
        <v>79</v>
      </c>
      <c r="F1830" s="109">
        <v>5.96</v>
      </c>
      <c r="G1830" s="36">
        <f t="shared" ref="G1830:G1835" si="396">F1830*6.3</f>
        <v>37.548000000000002</v>
      </c>
      <c r="H1830" s="37">
        <v>23.16</v>
      </c>
      <c r="I1830" s="109">
        <f t="shared" ref="I1830:I1835" si="397">G1830*H1830</f>
        <v>869.61168000000009</v>
      </c>
      <c r="J1830" s="123">
        <v>900</v>
      </c>
    </row>
    <row r="1831" spans="1:10" x14ac:dyDescent="0.25">
      <c r="A1831" s="31" t="s">
        <v>411</v>
      </c>
      <c r="B1831" s="37" t="s">
        <v>323</v>
      </c>
      <c r="C1831" s="34" t="s">
        <v>86</v>
      </c>
      <c r="D1831" s="108">
        <v>36.9</v>
      </c>
      <c r="E1831" s="34" t="s">
        <v>79</v>
      </c>
      <c r="F1831" s="110">
        <v>9.25</v>
      </c>
      <c r="G1831" s="36">
        <f t="shared" si="396"/>
        <v>58.274999999999999</v>
      </c>
      <c r="H1831" s="37">
        <v>23.16</v>
      </c>
      <c r="I1831" s="109">
        <f t="shared" si="397"/>
        <v>1349.6489999999999</v>
      </c>
      <c r="J1831" s="123">
        <v>1400</v>
      </c>
    </row>
    <row r="1832" spans="1:10" x14ac:dyDescent="0.25">
      <c r="A1832" s="31" t="s">
        <v>411</v>
      </c>
      <c r="B1832" s="50" t="s">
        <v>324</v>
      </c>
      <c r="C1832" s="34" t="s">
        <v>75</v>
      </c>
      <c r="D1832" s="108" t="s">
        <v>38</v>
      </c>
      <c r="E1832" s="34" t="s">
        <v>79</v>
      </c>
      <c r="F1832" s="36">
        <v>3.31</v>
      </c>
      <c r="G1832" s="36">
        <f t="shared" si="396"/>
        <v>20.852999999999998</v>
      </c>
      <c r="H1832" s="37">
        <v>23.16</v>
      </c>
      <c r="I1832" s="109">
        <f t="shared" si="397"/>
        <v>482.95547999999997</v>
      </c>
      <c r="J1832" s="123">
        <v>500</v>
      </c>
    </row>
    <row r="1833" spans="1:10" x14ac:dyDescent="0.25">
      <c r="A1833" s="31" t="s">
        <v>411</v>
      </c>
      <c r="B1833" s="75" t="s">
        <v>317</v>
      </c>
      <c r="C1833" s="111" t="s">
        <v>156</v>
      </c>
      <c r="D1833" s="111">
        <v>74.319999999999993</v>
      </c>
      <c r="E1833" s="42" t="s">
        <v>79</v>
      </c>
      <c r="F1833" s="74">
        <v>10.61</v>
      </c>
      <c r="G1833" s="36">
        <f t="shared" si="396"/>
        <v>66.842999999999989</v>
      </c>
      <c r="H1833" s="37">
        <v>23.16</v>
      </c>
      <c r="I1833" s="109">
        <f t="shared" si="397"/>
        <v>1548.0838799999997</v>
      </c>
      <c r="J1833" s="123">
        <v>1600</v>
      </c>
    </row>
    <row r="1834" spans="1:10" x14ac:dyDescent="0.25">
      <c r="A1834" s="31" t="s">
        <v>411</v>
      </c>
      <c r="B1834" s="37" t="s">
        <v>325</v>
      </c>
      <c r="C1834" s="34" t="s">
        <v>158</v>
      </c>
      <c r="D1834" s="46">
        <v>29.85</v>
      </c>
      <c r="E1834" s="34" t="s">
        <v>79</v>
      </c>
      <c r="F1834" s="74">
        <v>6.91</v>
      </c>
      <c r="G1834" s="36">
        <f t="shared" si="396"/>
        <v>43.533000000000001</v>
      </c>
      <c r="H1834" s="37">
        <v>23.16</v>
      </c>
      <c r="I1834" s="109">
        <f t="shared" si="397"/>
        <v>1008.22428</v>
      </c>
      <c r="J1834" s="123">
        <v>1000</v>
      </c>
    </row>
    <row r="1835" spans="1:10" ht="15.75" thickBot="1" x14ac:dyDescent="0.3">
      <c r="A1835" s="31" t="s">
        <v>411</v>
      </c>
      <c r="B1835" s="43" t="s">
        <v>326</v>
      </c>
      <c r="C1835" s="52" t="s">
        <v>152</v>
      </c>
      <c r="D1835" s="72">
        <v>3.34</v>
      </c>
      <c r="E1835" s="42" t="s">
        <v>79</v>
      </c>
      <c r="F1835" s="73">
        <v>8.86</v>
      </c>
      <c r="G1835" s="74">
        <f t="shared" si="396"/>
        <v>55.817999999999998</v>
      </c>
      <c r="H1835" s="43">
        <v>23.16</v>
      </c>
      <c r="I1835" s="328">
        <f t="shared" si="397"/>
        <v>1292.74488</v>
      </c>
      <c r="J1835" s="124">
        <v>1300</v>
      </c>
    </row>
    <row r="1836" spans="1:10" ht="19.5" thickBot="1" x14ac:dyDescent="0.35">
      <c r="A1836" s="253"/>
      <c r="B1836" s="372"/>
      <c r="C1836" s="372"/>
      <c r="D1836" s="372"/>
      <c r="E1836" s="372"/>
      <c r="F1836" s="372"/>
      <c r="G1836" s="372"/>
      <c r="H1836" s="369" t="s">
        <v>171</v>
      </c>
      <c r="I1836" s="370">
        <f>SUM(I1830:I1835)</f>
        <v>6551.2692000000006</v>
      </c>
      <c r="J1836" s="371">
        <f>SUM(J1830:J1835)</f>
        <v>6700</v>
      </c>
    </row>
    <row r="1837" spans="1:10" x14ac:dyDescent="0.25">
      <c r="A1837" s="31" t="s">
        <v>412</v>
      </c>
      <c r="B1837" s="37" t="s">
        <v>322</v>
      </c>
      <c r="C1837" s="34" t="s">
        <v>114</v>
      </c>
      <c r="D1837" s="108">
        <v>21.55</v>
      </c>
      <c r="E1837" s="34" t="s">
        <v>79</v>
      </c>
      <c r="F1837" s="109">
        <v>6.17</v>
      </c>
      <c r="G1837" s="36">
        <f t="shared" ref="G1837:G1842" si="398">F1837*6.3</f>
        <v>38.870999999999995</v>
      </c>
      <c r="H1837" s="37">
        <v>24</v>
      </c>
      <c r="I1837" s="109">
        <f t="shared" ref="I1837:I1842" si="399">G1837*H1837</f>
        <v>932.90399999999988</v>
      </c>
      <c r="J1837" s="123">
        <v>900</v>
      </c>
    </row>
    <row r="1838" spans="1:10" x14ac:dyDescent="0.25">
      <c r="A1838" s="31" t="s">
        <v>412</v>
      </c>
      <c r="B1838" s="37" t="s">
        <v>323</v>
      </c>
      <c r="C1838" s="34" t="s">
        <v>86</v>
      </c>
      <c r="D1838" s="108">
        <v>37.08</v>
      </c>
      <c r="E1838" s="34" t="s">
        <v>79</v>
      </c>
      <c r="F1838" s="110">
        <v>10.32</v>
      </c>
      <c r="G1838" s="36">
        <f t="shared" si="398"/>
        <v>65.016000000000005</v>
      </c>
      <c r="H1838" s="37">
        <v>24</v>
      </c>
      <c r="I1838" s="109">
        <f t="shared" si="399"/>
        <v>1560.384</v>
      </c>
      <c r="J1838" s="123">
        <v>1400</v>
      </c>
    </row>
    <row r="1839" spans="1:10" x14ac:dyDescent="0.25">
      <c r="A1839" s="31" t="s">
        <v>412</v>
      </c>
      <c r="B1839" s="50" t="s">
        <v>324</v>
      </c>
      <c r="C1839" s="34" t="s">
        <v>75</v>
      </c>
      <c r="D1839" s="108" t="s">
        <v>38</v>
      </c>
      <c r="E1839" s="34" t="s">
        <v>79</v>
      </c>
      <c r="F1839" s="36">
        <v>3.31</v>
      </c>
      <c r="G1839" s="36">
        <f t="shared" si="398"/>
        <v>20.852999999999998</v>
      </c>
      <c r="H1839" s="37">
        <v>24</v>
      </c>
      <c r="I1839" s="109">
        <f t="shared" si="399"/>
        <v>500.47199999999998</v>
      </c>
      <c r="J1839" s="123">
        <v>500</v>
      </c>
    </row>
    <row r="1840" spans="1:10" x14ac:dyDescent="0.25">
      <c r="A1840" s="31" t="s">
        <v>412</v>
      </c>
      <c r="B1840" s="75" t="s">
        <v>317</v>
      </c>
      <c r="C1840" s="111" t="s">
        <v>156</v>
      </c>
      <c r="D1840" s="111">
        <v>74.12</v>
      </c>
      <c r="E1840" s="42" t="s">
        <v>79</v>
      </c>
      <c r="F1840" s="74">
        <v>10.6</v>
      </c>
      <c r="G1840" s="36">
        <f t="shared" si="398"/>
        <v>66.78</v>
      </c>
      <c r="H1840" s="37">
        <v>24</v>
      </c>
      <c r="I1840" s="109">
        <f t="shared" si="399"/>
        <v>1602.72</v>
      </c>
      <c r="J1840" s="123">
        <v>1600</v>
      </c>
    </row>
    <row r="1841" spans="1:10" x14ac:dyDescent="0.25">
      <c r="A1841" s="31" t="s">
        <v>412</v>
      </c>
      <c r="B1841" s="37" t="s">
        <v>325</v>
      </c>
      <c r="C1841" s="34" t="s">
        <v>158</v>
      </c>
      <c r="D1841" s="46">
        <v>30.03</v>
      </c>
      <c r="E1841" s="34" t="s">
        <v>79</v>
      </c>
      <c r="F1841" s="74">
        <v>6.83</v>
      </c>
      <c r="G1841" s="36">
        <f t="shared" si="398"/>
        <v>43.028999999999996</v>
      </c>
      <c r="H1841" s="37">
        <v>24</v>
      </c>
      <c r="I1841" s="109">
        <f t="shared" si="399"/>
        <v>1032.6959999999999</v>
      </c>
      <c r="J1841" s="123">
        <v>1000</v>
      </c>
    </row>
    <row r="1842" spans="1:10" ht="15.75" thickBot="1" x14ac:dyDescent="0.3">
      <c r="A1842" s="31" t="s">
        <v>412</v>
      </c>
      <c r="B1842" s="43" t="s">
        <v>326</v>
      </c>
      <c r="C1842" s="52" t="s">
        <v>152</v>
      </c>
      <c r="D1842" s="72">
        <v>3.28</v>
      </c>
      <c r="E1842" s="42" t="s">
        <v>79</v>
      </c>
      <c r="F1842" s="73">
        <v>8.91</v>
      </c>
      <c r="G1842" s="74">
        <f t="shared" si="398"/>
        <v>56.133000000000003</v>
      </c>
      <c r="H1842" s="43">
        <v>24</v>
      </c>
      <c r="I1842" s="328">
        <f t="shared" si="399"/>
        <v>1347.192</v>
      </c>
      <c r="J1842" s="124">
        <v>1300</v>
      </c>
    </row>
    <row r="1843" spans="1:10" ht="19.5" thickBot="1" x14ac:dyDescent="0.35">
      <c r="A1843" s="220"/>
      <c r="B1843" s="221"/>
      <c r="C1843" s="221"/>
      <c r="D1843" s="221"/>
      <c r="E1843" s="221"/>
      <c r="F1843" s="221"/>
      <c r="G1843" s="221"/>
      <c r="H1843" s="174" t="s">
        <v>171</v>
      </c>
      <c r="I1843" s="238">
        <f>SUM(I1837:I1842)</f>
        <v>6976.3680000000004</v>
      </c>
      <c r="J1843" s="104">
        <f>SUM(J1837:J1842)</f>
        <v>6700</v>
      </c>
    </row>
    <row r="1844" spans="1:10" x14ac:dyDescent="0.25">
      <c r="A1844" s="31" t="s">
        <v>414</v>
      </c>
      <c r="B1844" s="31" t="s">
        <v>322</v>
      </c>
      <c r="C1844" s="31" t="s">
        <v>114</v>
      </c>
      <c r="D1844" s="46">
        <v>20.02</v>
      </c>
      <c r="E1844" s="31" t="s">
        <v>79</v>
      </c>
      <c r="F1844" s="31">
        <v>5.96</v>
      </c>
      <c r="G1844" s="31">
        <v>37.549999999999997</v>
      </c>
      <c r="H1844" s="31">
        <v>20</v>
      </c>
      <c r="I1844" s="31">
        <v>750.96</v>
      </c>
      <c r="J1844" s="31">
        <v>900</v>
      </c>
    </row>
    <row r="1845" spans="1:10" x14ac:dyDescent="0.25">
      <c r="A1845" s="31" t="s">
        <v>414</v>
      </c>
      <c r="B1845" s="31" t="s">
        <v>323</v>
      </c>
      <c r="C1845" s="31" t="s">
        <v>86</v>
      </c>
      <c r="D1845" s="46">
        <v>44.38</v>
      </c>
      <c r="E1845" s="31" t="s">
        <v>79</v>
      </c>
      <c r="F1845" s="31">
        <v>10.3</v>
      </c>
      <c r="G1845" s="31">
        <v>64.89</v>
      </c>
      <c r="H1845" s="31">
        <v>20</v>
      </c>
      <c r="I1845" s="31">
        <v>1297.8</v>
      </c>
      <c r="J1845" s="31">
        <v>1400</v>
      </c>
    </row>
    <row r="1846" spans="1:10" x14ac:dyDescent="0.25">
      <c r="A1846" s="31" t="s">
        <v>414</v>
      </c>
      <c r="B1846" s="31" t="s">
        <v>324</v>
      </c>
      <c r="C1846" s="31" t="s">
        <v>75</v>
      </c>
      <c r="D1846" s="46" t="s">
        <v>38</v>
      </c>
      <c r="E1846" s="31" t="s">
        <v>79</v>
      </c>
      <c r="F1846" s="31">
        <v>3.32</v>
      </c>
      <c r="G1846" s="31">
        <v>20.92</v>
      </c>
      <c r="H1846" s="31">
        <v>24</v>
      </c>
      <c r="I1846" s="31">
        <v>501.98</v>
      </c>
      <c r="J1846" s="31">
        <v>500</v>
      </c>
    </row>
    <row r="1847" spans="1:10" x14ac:dyDescent="0.25">
      <c r="A1847" s="31" t="s">
        <v>414</v>
      </c>
      <c r="B1847" s="31" t="s">
        <v>317</v>
      </c>
      <c r="C1847" s="31" t="s">
        <v>156</v>
      </c>
      <c r="D1847" s="46">
        <v>73.56</v>
      </c>
      <c r="E1847" s="31" t="s">
        <v>79</v>
      </c>
      <c r="F1847" s="31">
        <v>10.61</v>
      </c>
      <c r="G1847" s="31">
        <v>66.84</v>
      </c>
      <c r="H1847" s="31">
        <v>24</v>
      </c>
      <c r="I1847" s="31">
        <v>1604.23</v>
      </c>
      <c r="J1847" s="31">
        <v>1600</v>
      </c>
    </row>
    <row r="1848" spans="1:10" x14ac:dyDescent="0.25">
      <c r="A1848" s="31" t="s">
        <v>414</v>
      </c>
      <c r="B1848" s="31" t="s">
        <v>325</v>
      </c>
      <c r="C1848" s="31" t="s">
        <v>158</v>
      </c>
      <c r="D1848" s="46">
        <v>29.06</v>
      </c>
      <c r="E1848" s="31" t="s">
        <v>79</v>
      </c>
      <c r="F1848" s="31">
        <v>6.82</v>
      </c>
      <c r="G1848" s="31">
        <v>42.97</v>
      </c>
      <c r="H1848" s="31">
        <v>24</v>
      </c>
      <c r="I1848" s="31">
        <v>1031.18</v>
      </c>
      <c r="J1848" s="31">
        <v>1000</v>
      </c>
    </row>
    <row r="1849" spans="1:10" ht="15.75" thickBot="1" x14ac:dyDescent="0.3">
      <c r="A1849" s="31" t="s">
        <v>414</v>
      </c>
      <c r="B1849" s="31" t="s">
        <v>326</v>
      </c>
      <c r="C1849" s="31" t="s">
        <v>152</v>
      </c>
      <c r="D1849" s="52">
        <v>2.36</v>
      </c>
      <c r="E1849" s="31" t="s">
        <v>79</v>
      </c>
      <c r="F1849" s="31">
        <v>8.89</v>
      </c>
      <c r="G1849" s="31">
        <v>56.01</v>
      </c>
      <c r="H1849" s="31">
        <v>24</v>
      </c>
      <c r="I1849" s="31">
        <v>1344.17</v>
      </c>
      <c r="J1849" s="31">
        <v>1300</v>
      </c>
    </row>
    <row r="1850" spans="1:10" ht="19.5" thickBot="1" x14ac:dyDescent="0.35">
      <c r="A1850" s="220"/>
      <c r="B1850" s="221"/>
      <c r="C1850" s="221"/>
      <c r="D1850" s="221"/>
      <c r="E1850" s="221"/>
      <c r="F1850" s="221"/>
      <c r="G1850" s="221"/>
      <c r="H1850" s="259" t="s">
        <v>171</v>
      </c>
      <c r="I1850" s="221">
        <v>6530.33</v>
      </c>
      <c r="J1850" s="258">
        <v>6700</v>
      </c>
    </row>
    <row r="1851" spans="1:10" x14ac:dyDescent="0.25">
      <c r="A1851" s="31" t="s">
        <v>413</v>
      </c>
      <c r="B1851" s="151" t="s">
        <v>322</v>
      </c>
      <c r="C1851" s="50" t="s">
        <v>114</v>
      </c>
      <c r="D1851" s="152">
        <v>20.14</v>
      </c>
      <c r="E1851" s="50" t="s">
        <v>79</v>
      </c>
      <c r="F1851" s="153">
        <v>5.85</v>
      </c>
      <c r="G1851" s="51">
        <f t="shared" ref="G1851:G1856" si="400">F1851*6.3</f>
        <v>36.854999999999997</v>
      </c>
      <c r="H1851" s="151">
        <v>22</v>
      </c>
      <c r="I1851" s="153">
        <f t="shared" ref="I1851:I1856" si="401">G1851*H1851</f>
        <v>810.81</v>
      </c>
      <c r="J1851" s="154">
        <v>900</v>
      </c>
    </row>
    <row r="1852" spans="1:10" x14ac:dyDescent="0.25">
      <c r="A1852" s="31" t="s">
        <v>413</v>
      </c>
      <c r="B1852" s="37" t="s">
        <v>323</v>
      </c>
      <c r="C1852" s="34" t="s">
        <v>86</v>
      </c>
      <c r="D1852" s="108">
        <v>60.22</v>
      </c>
      <c r="E1852" s="34" t="s">
        <v>79</v>
      </c>
      <c r="F1852" s="110">
        <v>10.26</v>
      </c>
      <c r="G1852" s="36">
        <f t="shared" si="400"/>
        <v>64.637999999999991</v>
      </c>
      <c r="H1852" s="37">
        <v>22</v>
      </c>
      <c r="I1852" s="109">
        <f t="shared" si="401"/>
        <v>1422.0359999999998</v>
      </c>
      <c r="J1852" s="123">
        <v>1400</v>
      </c>
    </row>
    <row r="1853" spans="1:10" x14ac:dyDescent="0.25">
      <c r="A1853" s="31" t="s">
        <v>413</v>
      </c>
      <c r="B1853" s="50" t="s">
        <v>324</v>
      </c>
      <c r="C1853" s="34" t="s">
        <v>75</v>
      </c>
      <c r="D1853" s="108" t="s">
        <v>38</v>
      </c>
      <c r="E1853" s="34" t="s">
        <v>79</v>
      </c>
      <c r="F1853" s="36">
        <v>3.32</v>
      </c>
      <c r="G1853" s="36">
        <f t="shared" si="400"/>
        <v>20.915999999999997</v>
      </c>
      <c r="H1853" s="37">
        <v>22</v>
      </c>
      <c r="I1853" s="109">
        <f t="shared" si="401"/>
        <v>460.15199999999993</v>
      </c>
      <c r="J1853" s="123">
        <v>500</v>
      </c>
    </row>
    <row r="1854" spans="1:10" x14ac:dyDescent="0.25">
      <c r="A1854" s="31" t="s">
        <v>413</v>
      </c>
      <c r="B1854" s="75" t="s">
        <v>317</v>
      </c>
      <c r="C1854" s="111" t="s">
        <v>156</v>
      </c>
      <c r="D1854" s="111">
        <v>74.12</v>
      </c>
      <c r="E1854" s="42" t="s">
        <v>79</v>
      </c>
      <c r="F1854" s="74">
        <v>10.61</v>
      </c>
      <c r="G1854" s="36">
        <f t="shared" si="400"/>
        <v>66.842999999999989</v>
      </c>
      <c r="H1854" s="37">
        <v>22</v>
      </c>
      <c r="I1854" s="109">
        <f t="shared" si="401"/>
        <v>1470.5459999999998</v>
      </c>
      <c r="J1854" s="123">
        <v>1600</v>
      </c>
    </row>
    <row r="1855" spans="1:10" x14ac:dyDescent="0.25">
      <c r="A1855" s="31" t="s">
        <v>413</v>
      </c>
      <c r="B1855" s="37" t="s">
        <v>325</v>
      </c>
      <c r="C1855" s="34" t="s">
        <v>158</v>
      </c>
      <c r="D1855" s="46">
        <v>28.82</v>
      </c>
      <c r="E1855" s="34" t="s">
        <v>79</v>
      </c>
      <c r="F1855" s="74">
        <v>6.61</v>
      </c>
      <c r="G1855" s="36">
        <f t="shared" si="400"/>
        <v>41.643000000000001</v>
      </c>
      <c r="H1855" s="37">
        <v>22</v>
      </c>
      <c r="I1855" s="109">
        <f t="shared" si="401"/>
        <v>916.14599999999996</v>
      </c>
      <c r="J1855" s="123">
        <v>1000</v>
      </c>
    </row>
    <row r="1856" spans="1:10" ht="15.75" thickBot="1" x14ac:dyDescent="0.3">
      <c r="A1856" s="31" t="s">
        <v>413</v>
      </c>
      <c r="B1856" s="43" t="s">
        <v>326</v>
      </c>
      <c r="C1856" s="52" t="s">
        <v>152</v>
      </c>
      <c r="D1856" s="72">
        <v>2.17</v>
      </c>
      <c r="E1856" s="42" t="s">
        <v>79</v>
      </c>
      <c r="F1856" s="73">
        <v>8.8000000000000007</v>
      </c>
      <c r="G1856" s="74">
        <f t="shared" si="400"/>
        <v>55.440000000000005</v>
      </c>
      <c r="H1856" s="43">
        <v>22</v>
      </c>
      <c r="I1856" s="328">
        <f t="shared" si="401"/>
        <v>1219.68</v>
      </c>
      <c r="J1856" s="124">
        <v>1300</v>
      </c>
    </row>
    <row r="1857" spans="1:10" ht="19.5" thickBot="1" x14ac:dyDescent="0.35">
      <c r="A1857" s="206"/>
      <c r="B1857" s="336"/>
      <c r="C1857" s="336"/>
      <c r="D1857" s="336"/>
      <c r="E1857" s="336"/>
      <c r="F1857" s="336"/>
      <c r="G1857" s="337"/>
      <c r="H1857" s="174" t="s">
        <v>171</v>
      </c>
      <c r="I1857" s="238">
        <f>SUM(I1851:I1856)</f>
        <v>6299.37</v>
      </c>
      <c r="J1857" s="104">
        <f>SUM(J1851:J1856)</f>
        <v>6700</v>
      </c>
    </row>
    <row r="1858" spans="1:10" x14ac:dyDescent="0.25">
      <c r="A1858" s="31" t="s">
        <v>415</v>
      </c>
      <c r="B1858" s="151" t="s">
        <v>322</v>
      </c>
      <c r="C1858" s="50" t="s">
        <v>114</v>
      </c>
      <c r="D1858" s="152">
        <v>20.02</v>
      </c>
      <c r="E1858" s="50" t="s">
        <v>79</v>
      </c>
      <c r="F1858" s="153">
        <v>5.95</v>
      </c>
      <c r="G1858" s="51">
        <f t="shared" ref="G1858:G1863" si="402">F1858*6.3</f>
        <v>37.484999999999999</v>
      </c>
      <c r="H1858" s="151">
        <v>24</v>
      </c>
      <c r="I1858" s="153">
        <f t="shared" ref="I1858:I1863" si="403">G1858*H1858</f>
        <v>899.64</v>
      </c>
      <c r="J1858" s="154">
        <v>900</v>
      </c>
    </row>
    <row r="1859" spans="1:10" x14ac:dyDescent="0.25">
      <c r="A1859" s="31" t="s">
        <v>415</v>
      </c>
      <c r="B1859" s="37" t="s">
        <v>323</v>
      </c>
      <c r="C1859" s="34" t="s">
        <v>86</v>
      </c>
      <c r="D1859" s="108">
        <v>65.12</v>
      </c>
      <c r="E1859" s="34" t="s">
        <v>79</v>
      </c>
      <c r="F1859" s="110">
        <v>10.31</v>
      </c>
      <c r="G1859" s="36">
        <f t="shared" si="402"/>
        <v>64.953000000000003</v>
      </c>
      <c r="H1859" s="37">
        <v>24</v>
      </c>
      <c r="I1859" s="109">
        <f t="shared" si="403"/>
        <v>1558.8720000000001</v>
      </c>
      <c r="J1859" s="123">
        <v>1400</v>
      </c>
    </row>
    <row r="1860" spans="1:10" x14ac:dyDescent="0.25">
      <c r="A1860" s="31" t="s">
        <v>415</v>
      </c>
      <c r="B1860" s="50" t="s">
        <v>324</v>
      </c>
      <c r="C1860" s="34" t="s">
        <v>75</v>
      </c>
      <c r="D1860" s="108" t="s">
        <v>38</v>
      </c>
      <c r="E1860" s="34" t="s">
        <v>79</v>
      </c>
      <c r="F1860" s="36">
        <v>3.32</v>
      </c>
      <c r="G1860" s="36">
        <f t="shared" si="402"/>
        <v>20.915999999999997</v>
      </c>
      <c r="H1860" s="37">
        <v>24</v>
      </c>
      <c r="I1860" s="109">
        <f t="shared" si="403"/>
        <v>501.98399999999992</v>
      </c>
      <c r="J1860" s="123">
        <v>500</v>
      </c>
    </row>
    <row r="1861" spans="1:10" x14ac:dyDescent="0.25">
      <c r="A1861" s="31" t="s">
        <v>415</v>
      </c>
      <c r="B1861" s="75" t="s">
        <v>317</v>
      </c>
      <c r="C1861" s="111" t="s">
        <v>156</v>
      </c>
      <c r="D1861" s="111">
        <v>73.56</v>
      </c>
      <c r="E1861" s="42" t="s">
        <v>79</v>
      </c>
      <c r="F1861" s="74">
        <v>10.6</v>
      </c>
      <c r="G1861" s="36">
        <f t="shared" si="402"/>
        <v>66.78</v>
      </c>
      <c r="H1861" s="37">
        <v>24</v>
      </c>
      <c r="I1861" s="109">
        <f t="shared" si="403"/>
        <v>1602.72</v>
      </c>
      <c r="J1861" s="123">
        <v>1600</v>
      </c>
    </row>
    <row r="1862" spans="1:10" x14ac:dyDescent="0.25">
      <c r="A1862" s="31" t="s">
        <v>415</v>
      </c>
      <c r="B1862" s="37" t="s">
        <v>325</v>
      </c>
      <c r="C1862" s="34" t="s">
        <v>158</v>
      </c>
      <c r="D1862" s="46">
        <v>28.63</v>
      </c>
      <c r="E1862" s="34" t="s">
        <v>79</v>
      </c>
      <c r="F1862" s="74">
        <v>6.4</v>
      </c>
      <c r="G1862" s="36">
        <f t="shared" si="402"/>
        <v>40.32</v>
      </c>
      <c r="H1862" s="37">
        <v>24</v>
      </c>
      <c r="I1862" s="109">
        <f t="shared" si="403"/>
        <v>967.68000000000006</v>
      </c>
      <c r="J1862" s="123">
        <v>1000</v>
      </c>
    </row>
    <row r="1863" spans="1:10" ht="15.75" thickBot="1" x14ac:dyDescent="0.3">
      <c r="A1863" s="31" t="s">
        <v>415</v>
      </c>
      <c r="B1863" s="43" t="s">
        <v>326</v>
      </c>
      <c r="C1863" s="52" t="s">
        <v>152</v>
      </c>
      <c r="D1863" s="72">
        <v>1.75</v>
      </c>
      <c r="E1863" s="42" t="s">
        <v>79</v>
      </c>
      <c r="F1863" s="73">
        <v>8.66</v>
      </c>
      <c r="G1863" s="74">
        <f t="shared" si="402"/>
        <v>54.558</v>
      </c>
      <c r="H1863" s="43">
        <v>24</v>
      </c>
      <c r="I1863" s="328">
        <f t="shared" si="403"/>
        <v>1309.3920000000001</v>
      </c>
      <c r="J1863" s="124">
        <v>1300</v>
      </c>
    </row>
    <row r="1864" spans="1:10" ht="19.5" thickBot="1" x14ac:dyDescent="0.35">
      <c r="A1864" s="206"/>
      <c r="B1864" s="336"/>
      <c r="C1864" s="336"/>
      <c r="D1864" s="336"/>
      <c r="E1864" s="336"/>
      <c r="F1864" s="336"/>
      <c r="G1864" s="337"/>
      <c r="H1864" s="174" t="s">
        <v>171</v>
      </c>
      <c r="I1864" s="238">
        <f>SUM(I1858:I1863)</f>
        <v>6840.2880000000005</v>
      </c>
      <c r="J1864" s="104">
        <f>SUM(J1858:J1863)</f>
        <v>6700</v>
      </c>
    </row>
    <row r="1865" spans="1:10" x14ac:dyDescent="0.25">
      <c r="A1865" s="31" t="s">
        <v>416</v>
      </c>
      <c r="B1865" s="37" t="s">
        <v>322</v>
      </c>
      <c r="C1865" s="34" t="s">
        <v>114</v>
      </c>
      <c r="D1865" s="108">
        <v>20.02</v>
      </c>
      <c r="E1865" s="34" t="s">
        <v>79</v>
      </c>
      <c r="F1865" s="109">
        <v>5.97</v>
      </c>
      <c r="G1865" s="36">
        <f t="shared" ref="G1865:G1870" si="404">F1865*6.3</f>
        <v>37.610999999999997</v>
      </c>
      <c r="H1865" s="37">
        <v>24</v>
      </c>
      <c r="I1865" s="109">
        <f t="shared" ref="I1865:I1870" si="405">G1865*H1865</f>
        <v>902.66399999999999</v>
      </c>
      <c r="J1865" s="123">
        <v>900</v>
      </c>
    </row>
    <row r="1866" spans="1:10" x14ac:dyDescent="0.25">
      <c r="A1866" s="31" t="s">
        <v>416</v>
      </c>
      <c r="B1866" s="37" t="s">
        <v>323</v>
      </c>
      <c r="C1866" s="34" t="s">
        <v>86</v>
      </c>
      <c r="D1866" s="108">
        <v>67.81</v>
      </c>
      <c r="E1866" s="34" t="s">
        <v>79</v>
      </c>
      <c r="F1866" s="110">
        <v>10.32</v>
      </c>
      <c r="G1866" s="36">
        <f t="shared" si="404"/>
        <v>65.016000000000005</v>
      </c>
      <c r="H1866" s="37">
        <v>24</v>
      </c>
      <c r="I1866" s="109">
        <f t="shared" si="405"/>
        <v>1560.384</v>
      </c>
      <c r="J1866" s="123">
        <v>1400</v>
      </c>
    </row>
    <row r="1867" spans="1:10" x14ac:dyDescent="0.25">
      <c r="A1867" s="31" t="s">
        <v>416</v>
      </c>
      <c r="B1867" s="50" t="s">
        <v>324</v>
      </c>
      <c r="C1867" s="34" t="s">
        <v>75</v>
      </c>
      <c r="D1867" s="108" t="s">
        <v>38</v>
      </c>
      <c r="E1867" s="34" t="s">
        <v>79</v>
      </c>
      <c r="F1867" s="36">
        <v>3.3</v>
      </c>
      <c r="G1867" s="36">
        <f t="shared" si="404"/>
        <v>20.79</v>
      </c>
      <c r="H1867" s="37">
        <v>24</v>
      </c>
      <c r="I1867" s="109">
        <f t="shared" si="405"/>
        <v>498.96</v>
      </c>
      <c r="J1867" s="123">
        <v>500</v>
      </c>
    </row>
    <row r="1868" spans="1:10" x14ac:dyDescent="0.25">
      <c r="A1868" s="31" t="s">
        <v>416</v>
      </c>
      <c r="B1868" s="75" t="s">
        <v>317</v>
      </c>
      <c r="C1868" s="111" t="s">
        <v>156</v>
      </c>
      <c r="D1868" s="111">
        <v>73.349999999999994</v>
      </c>
      <c r="E1868" s="42" t="s">
        <v>79</v>
      </c>
      <c r="F1868" s="74">
        <v>10.26</v>
      </c>
      <c r="G1868" s="36">
        <f t="shared" si="404"/>
        <v>64.637999999999991</v>
      </c>
      <c r="H1868" s="37">
        <v>24</v>
      </c>
      <c r="I1868" s="109">
        <f t="shared" si="405"/>
        <v>1551.3119999999999</v>
      </c>
      <c r="J1868" s="123">
        <v>1600</v>
      </c>
    </row>
    <row r="1869" spans="1:10" x14ac:dyDescent="0.25">
      <c r="A1869" s="31" t="s">
        <v>416</v>
      </c>
      <c r="B1869" s="37" t="s">
        <v>325</v>
      </c>
      <c r="C1869" s="34" t="s">
        <v>158</v>
      </c>
      <c r="D1869" s="46">
        <v>28.68</v>
      </c>
      <c r="E1869" s="34" t="s">
        <v>79</v>
      </c>
      <c r="F1869" s="74">
        <v>6.7</v>
      </c>
      <c r="G1869" s="36">
        <f t="shared" si="404"/>
        <v>42.21</v>
      </c>
      <c r="H1869" s="37">
        <v>24</v>
      </c>
      <c r="I1869" s="109">
        <f t="shared" si="405"/>
        <v>1013.04</v>
      </c>
      <c r="J1869" s="123">
        <v>1000</v>
      </c>
    </row>
    <row r="1870" spans="1:10" ht="15.75" thickBot="1" x14ac:dyDescent="0.3">
      <c r="A1870" s="31" t="s">
        <v>416</v>
      </c>
      <c r="B1870" s="43" t="s">
        <v>326</v>
      </c>
      <c r="C1870" s="52" t="s">
        <v>152</v>
      </c>
      <c r="D1870" s="72">
        <v>1.69</v>
      </c>
      <c r="E1870" s="42" t="s">
        <v>79</v>
      </c>
      <c r="F1870" s="73">
        <v>8.73</v>
      </c>
      <c r="G1870" s="74">
        <f t="shared" si="404"/>
        <v>54.999000000000002</v>
      </c>
      <c r="H1870" s="43">
        <v>24</v>
      </c>
      <c r="I1870" s="328">
        <f t="shared" si="405"/>
        <v>1319.9760000000001</v>
      </c>
      <c r="J1870" s="124">
        <v>1300</v>
      </c>
    </row>
    <row r="1871" spans="1:10" ht="19.5" thickBot="1" x14ac:dyDescent="0.35">
      <c r="A1871" s="206"/>
      <c r="B1871" s="336"/>
      <c r="C1871" s="336"/>
      <c r="D1871" s="336"/>
      <c r="E1871" s="336"/>
      <c r="F1871" s="336"/>
      <c r="G1871" s="337"/>
      <c r="H1871" s="174" t="s">
        <v>171</v>
      </c>
      <c r="I1871" s="238">
        <f>SUM(I1865:I1870)</f>
        <v>6846.3359999999993</v>
      </c>
      <c r="J1871" s="104">
        <f>SUM(J1865:J1870)</f>
        <v>6700</v>
      </c>
    </row>
    <row r="1872" spans="1:10" x14ac:dyDescent="0.25">
      <c r="A1872" s="31" t="s">
        <v>417</v>
      </c>
      <c r="B1872" s="37" t="s">
        <v>322</v>
      </c>
      <c r="C1872" s="34" t="s">
        <v>114</v>
      </c>
      <c r="D1872" s="108">
        <v>19.97</v>
      </c>
      <c r="E1872" s="34" t="s">
        <v>79</v>
      </c>
      <c r="F1872" s="109">
        <v>5.3</v>
      </c>
      <c r="G1872" s="36">
        <f t="shared" ref="G1872:G1877" si="406">F1872*6.3</f>
        <v>33.39</v>
      </c>
      <c r="H1872" s="37">
        <v>24</v>
      </c>
      <c r="I1872" s="109">
        <f t="shared" ref="I1872:I1877" si="407">G1872*H1872</f>
        <v>801.36</v>
      </c>
      <c r="J1872" s="123">
        <v>900</v>
      </c>
    </row>
    <row r="1873" spans="1:10" x14ac:dyDescent="0.25">
      <c r="A1873" s="31" t="s">
        <v>417</v>
      </c>
      <c r="B1873" s="37" t="s">
        <v>323</v>
      </c>
      <c r="C1873" s="34" t="s">
        <v>86</v>
      </c>
      <c r="D1873" s="108">
        <v>69.22</v>
      </c>
      <c r="E1873" s="34" t="s">
        <v>79</v>
      </c>
      <c r="F1873" s="110">
        <v>9.8000000000000007</v>
      </c>
      <c r="G1873" s="36">
        <f t="shared" si="406"/>
        <v>61.74</v>
      </c>
      <c r="H1873" s="37">
        <v>24</v>
      </c>
      <c r="I1873" s="109">
        <f t="shared" si="407"/>
        <v>1481.76</v>
      </c>
      <c r="J1873" s="123">
        <v>1400</v>
      </c>
    </row>
    <row r="1874" spans="1:10" x14ac:dyDescent="0.25">
      <c r="A1874" s="31" t="s">
        <v>417</v>
      </c>
      <c r="B1874" s="50" t="s">
        <v>324</v>
      </c>
      <c r="C1874" s="34" t="s">
        <v>75</v>
      </c>
      <c r="D1874" s="108" t="s">
        <v>38</v>
      </c>
      <c r="E1874" s="34" t="s">
        <v>79</v>
      </c>
      <c r="F1874" s="36">
        <v>3.4</v>
      </c>
      <c r="G1874" s="36">
        <f t="shared" si="406"/>
        <v>21.419999999999998</v>
      </c>
      <c r="H1874" s="37">
        <v>24</v>
      </c>
      <c r="I1874" s="109">
        <f t="shared" si="407"/>
        <v>514.07999999999993</v>
      </c>
      <c r="J1874" s="123">
        <v>500</v>
      </c>
    </row>
    <row r="1875" spans="1:10" x14ac:dyDescent="0.25">
      <c r="A1875" s="31" t="s">
        <v>417</v>
      </c>
      <c r="B1875" s="75" t="s">
        <v>317</v>
      </c>
      <c r="C1875" s="111" t="s">
        <v>156</v>
      </c>
      <c r="D1875" s="111">
        <v>73.47</v>
      </c>
      <c r="E1875" s="42" t="s">
        <v>79</v>
      </c>
      <c r="F1875" s="74">
        <v>10.3</v>
      </c>
      <c r="G1875" s="36">
        <f t="shared" si="406"/>
        <v>64.89</v>
      </c>
      <c r="H1875" s="37">
        <v>24</v>
      </c>
      <c r="I1875" s="109">
        <f t="shared" si="407"/>
        <v>1557.3600000000001</v>
      </c>
      <c r="J1875" s="123">
        <v>1600</v>
      </c>
    </row>
    <row r="1876" spans="1:10" x14ac:dyDescent="0.25">
      <c r="A1876" s="31" t="s">
        <v>417</v>
      </c>
      <c r="B1876" s="37" t="s">
        <v>325</v>
      </c>
      <c r="C1876" s="34" t="s">
        <v>158</v>
      </c>
      <c r="D1876" s="46">
        <v>28.76</v>
      </c>
      <c r="E1876" s="34" t="s">
        <v>79</v>
      </c>
      <c r="F1876" s="74">
        <v>6.5</v>
      </c>
      <c r="G1876" s="36">
        <f t="shared" si="406"/>
        <v>40.949999999999996</v>
      </c>
      <c r="H1876" s="37">
        <v>24</v>
      </c>
      <c r="I1876" s="109">
        <f t="shared" si="407"/>
        <v>982.8</v>
      </c>
      <c r="J1876" s="123">
        <v>1000</v>
      </c>
    </row>
    <row r="1877" spans="1:10" ht="15.75" thickBot="1" x14ac:dyDescent="0.3">
      <c r="A1877" s="31" t="s">
        <v>417</v>
      </c>
      <c r="B1877" s="43" t="s">
        <v>326</v>
      </c>
      <c r="C1877" s="52" t="s">
        <v>152</v>
      </c>
      <c r="D1877" s="72">
        <v>1.69</v>
      </c>
      <c r="E1877" s="42" t="s">
        <v>79</v>
      </c>
      <c r="F1877" s="73">
        <v>8.6999999999999993</v>
      </c>
      <c r="G1877" s="74">
        <f t="shared" si="406"/>
        <v>54.809999999999995</v>
      </c>
      <c r="H1877" s="43">
        <v>24</v>
      </c>
      <c r="I1877" s="328">
        <f t="shared" si="407"/>
        <v>1315.4399999999998</v>
      </c>
      <c r="J1877" s="124">
        <v>1300</v>
      </c>
    </row>
    <row r="1878" spans="1:10" ht="19.5" thickBot="1" x14ac:dyDescent="0.35">
      <c r="A1878" s="206"/>
      <c r="B1878" s="336"/>
      <c r="C1878" s="336"/>
      <c r="D1878" s="336"/>
      <c r="E1878" s="336"/>
      <c r="F1878" s="336"/>
      <c r="G1878" s="337"/>
      <c r="H1878" s="174" t="s">
        <v>171</v>
      </c>
      <c r="I1878" s="238">
        <f>SUM(I1872:I1877)</f>
        <v>6652.7999999999993</v>
      </c>
      <c r="J1878" s="104">
        <f>SUM(J1872:J1877)</f>
        <v>6700</v>
      </c>
    </row>
    <row r="1879" spans="1:10" x14ac:dyDescent="0.25">
      <c r="A1879" s="31" t="s">
        <v>418</v>
      </c>
      <c r="B1879" s="37" t="s">
        <v>322</v>
      </c>
      <c r="C1879" s="34" t="s">
        <v>114</v>
      </c>
      <c r="D1879" s="108">
        <v>20.02</v>
      </c>
      <c r="E1879" s="34" t="s">
        <v>79</v>
      </c>
      <c r="F1879" s="109">
        <v>5.3</v>
      </c>
      <c r="G1879" s="36">
        <f t="shared" ref="G1879:G1884" si="408">F1879*6.3</f>
        <v>33.39</v>
      </c>
      <c r="H1879" s="37">
        <v>24</v>
      </c>
      <c r="I1879" s="109">
        <f t="shared" ref="I1879:I1884" si="409">G1879*H1879</f>
        <v>801.36</v>
      </c>
      <c r="J1879" s="123">
        <v>900</v>
      </c>
    </row>
    <row r="1880" spans="1:10" x14ac:dyDescent="0.25">
      <c r="A1880" s="31" t="s">
        <v>418</v>
      </c>
      <c r="B1880" s="37" t="s">
        <v>323</v>
      </c>
      <c r="C1880" s="34" t="s">
        <v>86</v>
      </c>
      <c r="D1880" s="108">
        <v>69.5</v>
      </c>
      <c r="E1880" s="34" t="s">
        <v>79</v>
      </c>
      <c r="F1880" s="110">
        <v>9.6</v>
      </c>
      <c r="G1880" s="36">
        <f t="shared" si="408"/>
        <v>60.48</v>
      </c>
      <c r="H1880" s="37">
        <v>24</v>
      </c>
      <c r="I1880" s="109">
        <f t="shared" si="409"/>
        <v>1451.52</v>
      </c>
      <c r="J1880" s="123">
        <v>1400</v>
      </c>
    </row>
    <row r="1881" spans="1:10" x14ac:dyDescent="0.25">
      <c r="A1881" s="31" t="s">
        <v>418</v>
      </c>
      <c r="B1881" s="50" t="s">
        <v>324</v>
      </c>
      <c r="C1881" s="34" t="s">
        <v>75</v>
      </c>
      <c r="D1881" s="108" t="s">
        <v>38</v>
      </c>
      <c r="E1881" s="34" t="s">
        <v>79</v>
      </c>
      <c r="F1881" s="36">
        <v>3.3</v>
      </c>
      <c r="G1881" s="36">
        <f t="shared" si="408"/>
        <v>20.79</v>
      </c>
      <c r="H1881" s="37">
        <v>24</v>
      </c>
      <c r="I1881" s="109">
        <f t="shared" si="409"/>
        <v>498.96</v>
      </c>
      <c r="J1881" s="123">
        <v>500</v>
      </c>
    </row>
    <row r="1882" spans="1:10" x14ac:dyDescent="0.25">
      <c r="A1882" s="31" t="s">
        <v>418</v>
      </c>
      <c r="B1882" s="75" t="s">
        <v>317</v>
      </c>
      <c r="C1882" s="111" t="s">
        <v>156</v>
      </c>
      <c r="D1882" s="111">
        <v>73.55</v>
      </c>
      <c r="E1882" s="42" t="s">
        <v>79</v>
      </c>
      <c r="F1882" s="74">
        <v>10.4</v>
      </c>
      <c r="G1882" s="36">
        <f t="shared" si="408"/>
        <v>65.52</v>
      </c>
      <c r="H1882" s="37">
        <v>24</v>
      </c>
      <c r="I1882" s="109">
        <f t="shared" si="409"/>
        <v>1572.48</v>
      </c>
      <c r="J1882" s="123">
        <v>1600</v>
      </c>
    </row>
    <row r="1883" spans="1:10" x14ac:dyDescent="0.25">
      <c r="A1883" s="31" t="s">
        <v>418</v>
      </c>
      <c r="B1883" s="37" t="s">
        <v>325</v>
      </c>
      <c r="C1883" s="34" t="s">
        <v>158</v>
      </c>
      <c r="D1883" s="46">
        <v>28.7</v>
      </c>
      <c r="E1883" s="34" t="s">
        <v>79</v>
      </c>
      <c r="F1883" s="74">
        <v>6.6</v>
      </c>
      <c r="G1883" s="36">
        <f t="shared" si="408"/>
        <v>41.58</v>
      </c>
      <c r="H1883" s="37">
        <v>24</v>
      </c>
      <c r="I1883" s="109">
        <f t="shared" si="409"/>
        <v>997.92</v>
      </c>
      <c r="J1883" s="123">
        <v>1000</v>
      </c>
    </row>
    <row r="1884" spans="1:10" ht="15.75" thickBot="1" x14ac:dyDescent="0.3">
      <c r="A1884" s="31" t="s">
        <v>418</v>
      </c>
      <c r="B1884" s="43" t="s">
        <v>326</v>
      </c>
      <c r="C1884" s="52" t="s">
        <v>152</v>
      </c>
      <c r="D1884" s="72">
        <v>1.75</v>
      </c>
      <c r="E1884" s="42" t="s">
        <v>79</v>
      </c>
      <c r="F1884" s="73">
        <v>8.65</v>
      </c>
      <c r="G1884" s="74">
        <f t="shared" si="408"/>
        <v>54.494999999999997</v>
      </c>
      <c r="H1884" s="43">
        <v>24</v>
      </c>
      <c r="I1884" s="328">
        <f t="shared" si="409"/>
        <v>1307.8799999999999</v>
      </c>
      <c r="J1884" s="124">
        <v>1300</v>
      </c>
    </row>
    <row r="1885" spans="1:10" ht="19.5" thickBot="1" x14ac:dyDescent="0.35">
      <c r="A1885" s="206"/>
      <c r="B1885" s="336"/>
      <c r="C1885" s="336"/>
      <c r="D1885" s="336"/>
      <c r="E1885" s="336"/>
      <c r="F1885" s="336"/>
      <c r="G1885" s="337"/>
      <c r="H1885" s="174" t="s">
        <v>171</v>
      </c>
      <c r="I1885" s="238">
        <f>SUM(I1879:I1884)</f>
        <v>6630.12</v>
      </c>
      <c r="J1885" s="104">
        <f>SUM(J1879:J1884)</f>
        <v>6700</v>
      </c>
    </row>
    <row r="1886" spans="1:10" x14ac:dyDescent="0.25">
      <c r="A1886" s="31" t="s">
        <v>419</v>
      </c>
      <c r="B1886" s="37" t="s">
        <v>322</v>
      </c>
      <c r="C1886" s="34" t="s">
        <v>114</v>
      </c>
      <c r="D1886" s="108">
        <v>19.2</v>
      </c>
      <c r="E1886" s="34" t="s">
        <v>79</v>
      </c>
      <c r="F1886" s="109">
        <v>5.4</v>
      </c>
      <c r="G1886" s="36">
        <f t="shared" ref="G1886:G1891" si="410">F1886*6.3</f>
        <v>34.020000000000003</v>
      </c>
      <c r="H1886" s="37">
        <v>24</v>
      </c>
      <c r="I1886" s="109">
        <f t="shared" ref="I1886:I1891" si="411">G1886*H1886</f>
        <v>816.48</v>
      </c>
      <c r="J1886" s="123">
        <v>900</v>
      </c>
    </row>
    <row r="1887" spans="1:10" x14ac:dyDescent="0.25">
      <c r="A1887" s="31" t="s">
        <v>419</v>
      </c>
      <c r="B1887" s="37" t="s">
        <v>323</v>
      </c>
      <c r="C1887" s="34" t="s">
        <v>86</v>
      </c>
      <c r="D1887" s="108">
        <v>70.400000000000006</v>
      </c>
      <c r="E1887" s="34" t="s">
        <v>79</v>
      </c>
      <c r="F1887" s="110">
        <v>9.6</v>
      </c>
      <c r="G1887" s="36">
        <f t="shared" si="410"/>
        <v>60.48</v>
      </c>
      <c r="H1887" s="37">
        <v>24</v>
      </c>
      <c r="I1887" s="109">
        <f t="shared" si="411"/>
        <v>1451.52</v>
      </c>
      <c r="J1887" s="123">
        <v>1400</v>
      </c>
    </row>
    <row r="1888" spans="1:10" x14ac:dyDescent="0.25">
      <c r="A1888" s="31" t="s">
        <v>419</v>
      </c>
      <c r="B1888" s="50" t="s">
        <v>324</v>
      </c>
      <c r="C1888" s="34" t="s">
        <v>75</v>
      </c>
      <c r="D1888" s="108" t="s">
        <v>38</v>
      </c>
      <c r="E1888" s="34" t="s">
        <v>79</v>
      </c>
      <c r="F1888" s="36">
        <v>3.3</v>
      </c>
      <c r="G1888" s="36">
        <f t="shared" si="410"/>
        <v>20.79</v>
      </c>
      <c r="H1888" s="37">
        <v>24</v>
      </c>
      <c r="I1888" s="109">
        <f t="shared" si="411"/>
        <v>498.96</v>
      </c>
      <c r="J1888" s="123">
        <v>500</v>
      </c>
    </row>
    <row r="1889" spans="1:10" x14ac:dyDescent="0.25">
      <c r="A1889" s="31" t="s">
        <v>419</v>
      </c>
      <c r="B1889" s="75" t="s">
        <v>317</v>
      </c>
      <c r="C1889" s="111" t="s">
        <v>156</v>
      </c>
      <c r="D1889" s="111">
        <v>73.599999999999994</v>
      </c>
      <c r="E1889" s="42" t="s">
        <v>79</v>
      </c>
      <c r="F1889" s="74">
        <v>10.45</v>
      </c>
      <c r="G1889" s="36">
        <f t="shared" si="410"/>
        <v>65.834999999999994</v>
      </c>
      <c r="H1889" s="37">
        <v>24</v>
      </c>
      <c r="I1889" s="109">
        <f t="shared" si="411"/>
        <v>1580.04</v>
      </c>
      <c r="J1889" s="123">
        <v>1600</v>
      </c>
    </row>
    <row r="1890" spans="1:10" x14ac:dyDescent="0.25">
      <c r="A1890" s="31" t="s">
        <v>419</v>
      </c>
      <c r="B1890" s="37" t="s">
        <v>325</v>
      </c>
      <c r="C1890" s="34" t="s">
        <v>158</v>
      </c>
      <c r="D1890" s="46">
        <v>29</v>
      </c>
      <c r="E1890" s="34" t="s">
        <v>79</v>
      </c>
      <c r="F1890" s="74">
        <v>6.6</v>
      </c>
      <c r="G1890" s="36">
        <f t="shared" si="410"/>
        <v>41.58</v>
      </c>
      <c r="H1890" s="37">
        <v>24</v>
      </c>
      <c r="I1890" s="109">
        <f t="shared" si="411"/>
        <v>997.92</v>
      </c>
      <c r="J1890" s="123">
        <v>1000</v>
      </c>
    </row>
    <row r="1891" spans="1:10" ht="15.75" thickBot="1" x14ac:dyDescent="0.3">
      <c r="A1891" s="31" t="s">
        <v>419</v>
      </c>
      <c r="B1891" s="43" t="s">
        <v>326</v>
      </c>
      <c r="C1891" s="52" t="s">
        <v>152</v>
      </c>
      <c r="D1891" s="72">
        <v>1.8</v>
      </c>
      <c r="E1891" s="42" t="s">
        <v>79</v>
      </c>
      <c r="F1891" s="73">
        <v>8.6999999999999993</v>
      </c>
      <c r="G1891" s="74">
        <f t="shared" si="410"/>
        <v>54.809999999999995</v>
      </c>
      <c r="H1891" s="43">
        <v>24</v>
      </c>
      <c r="I1891" s="328">
        <f t="shared" si="411"/>
        <v>1315.4399999999998</v>
      </c>
      <c r="J1891" s="124">
        <v>1300</v>
      </c>
    </row>
    <row r="1892" spans="1:10" ht="19.5" thickBot="1" x14ac:dyDescent="0.35">
      <c r="A1892" s="206"/>
      <c r="B1892" s="336"/>
      <c r="C1892" s="336"/>
      <c r="D1892" s="336"/>
      <c r="E1892" s="336"/>
      <c r="F1892" s="336"/>
      <c r="G1892" s="337"/>
      <c r="H1892" s="174" t="s">
        <v>171</v>
      </c>
      <c r="I1892" s="238">
        <f>SUM(I1886:I1891)</f>
        <v>6660.36</v>
      </c>
      <c r="J1892" s="104">
        <f>SUM(J1886:J1891)</f>
        <v>6700</v>
      </c>
    </row>
    <row r="1893" spans="1:10" x14ac:dyDescent="0.25">
      <c r="A1893" s="31" t="s">
        <v>420</v>
      </c>
      <c r="B1893" s="37" t="s">
        <v>322</v>
      </c>
      <c r="C1893" s="34" t="s">
        <v>114</v>
      </c>
      <c r="D1893" s="108">
        <v>20.079999999999998</v>
      </c>
      <c r="E1893" s="34" t="s">
        <v>79</v>
      </c>
      <c r="F1893" s="109">
        <v>5.4</v>
      </c>
      <c r="G1893" s="36">
        <f t="shared" ref="G1893:G1898" si="412">F1893*6.3</f>
        <v>34.020000000000003</v>
      </c>
      <c r="H1893" s="37">
        <v>24</v>
      </c>
      <c r="I1893" s="109">
        <f t="shared" ref="I1893:I1898" si="413">G1893*H1893</f>
        <v>816.48</v>
      </c>
      <c r="J1893" s="123">
        <v>900</v>
      </c>
    </row>
    <row r="1894" spans="1:10" x14ac:dyDescent="0.25">
      <c r="A1894" s="31" t="s">
        <v>420</v>
      </c>
      <c r="B1894" s="37" t="s">
        <v>323</v>
      </c>
      <c r="C1894" s="34" t="s">
        <v>86</v>
      </c>
      <c r="D1894" s="108">
        <v>60.64</v>
      </c>
      <c r="E1894" s="34" t="s">
        <v>79</v>
      </c>
      <c r="F1894" s="110">
        <v>9.4</v>
      </c>
      <c r="G1894" s="36">
        <f t="shared" si="412"/>
        <v>59.22</v>
      </c>
      <c r="H1894" s="37">
        <v>24</v>
      </c>
      <c r="I1894" s="109">
        <f t="shared" si="413"/>
        <v>1421.28</v>
      </c>
      <c r="J1894" s="123">
        <v>1400</v>
      </c>
    </row>
    <row r="1895" spans="1:10" x14ac:dyDescent="0.25">
      <c r="A1895" s="31" t="s">
        <v>420</v>
      </c>
      <c r="B1895" s="50" t="s">
        <v>324</v>
      </c>
      <c r="C1895" s="34" t="s">
        <v>75</v>
      </c>
      <c r="D1895" s="108" t="s">
        <v>38</v>
      </c>
      <c r="E1895" s="34" t="s">
        <v>79</v>
      </c>
      <c r="F1895" s="36">
        <v>3.3</v>
      </c>
      <c r="G1895" s="36">
        <f t="shared" si="412"/>
        <v>20.79</v>
      </c>
      <c r="H1895" s="37">
        <v>24</v>
      </c>
      <c r="I1895" s="109">
        <f t="shared" si="413"/>
        <v>498.96</v>
      </c>
      <c r="J1895" s="123">
        <v>500</v>
      </c>
    </row>
    <row r="1896" spans="1:10" x14ac:dyDescent="0.25">
      <c r="A1896" s="31" t="s">
        <v>420</v>
      </c>
      <c r="B1896" s="75" t="s">
        <v>317</v>
      </c>
      <c r="C1896" s="111" t="s">
        <v>156</v>
      </c>
      <c r="D1896" s="111">
        <v>73.8</v>
      </c>
      <c r="E1896" s="42" t="s">
        <v>79</v>
      </c>
      <c r="F1896" s="74">
        <v>10.6</v>
      </c>
      <c r="G1896" s="36">
        <f t="shared" si="412"/>
        <v>66.78</v>
      </c>
      <c r="H1896" s="37">
        <v>24</v>
      </c>
      <c r="I1896" s="109">
        <f t="shared" si="413"/>
        <v>1602.72</v>
      </c>
      <c r="J1896" s="123">
        <v>1600</v>
      </c>
    </row>
    <row r="1897" spans="1:10" x14ac:dyDescent="0.25">
      <c r="A1897" s="31" t="s">
        <v>420</v>
      </c>
      <c r="B1897" s="37" t="s">
        <v>325</v>
      </c>
      <c r="C1897" s="34" t="s">
        <v>158</v>
      </c>
      <c r="D1897" s="46">
        <v>29.2</v>
      </c>
      <c r="E1897" s="34" t="s">
        <v>79</v>
      </c>
      <c r="F1897" s="74">
        <v>6.62</v>
      </c>
      <c r="G1897" s="36">
        <f t="shared" si="412"/>
        <v>41.705999999999996</v>
      </c>
      <c r="H1897" s="37">
        <v>24</v>
      </c>
      <c r="I1897" s="109">
        <f t="shared" si="413"/>
        <v>1000.944</v>
      </c>
      <c r="J1897" s="123">
        <v>1000</v>
      </c>
    </row>
    <row r="1898" spans="1:10" ht="15.75" thickBot="1" x14ac:dyDescent="0.3">
      <c r="A1898" s="31" t="s">
        <v>420</v>
      </c>
      <c r="B1898" s="43" t="s">
        <v>326</v>
      </c>
      <c r="C1898" s="52" t="s">
        <v>152</v>
      </c>
      <c r="D1898" s="72">
        <v>2</v>
      </c>
      <c r="E1898" s="42" t="s">
        <v>79</v>
      </c>
      <c r="F1898" s="73">
        <v>8.5</v>
      </c>
      <c r="G1898" s="74">
        <f t="shared" si="412"/>
        <v>53.55</v>
      </c>
      <c r="H1898" s="43">
        <v>24</v>
      </c>
      <c r="I1898" s="328">
        <f t="shared" si="413"/>
        <v>1285.1999999999998</v>
      </c>
      <c r="J1898" s="124">
        <v>1300</v>
      </c>
    </row>
    <row r="1899" spans="1:10" ht="19.5" thickBot="1" x14ac:dyDescent="0.35">
      <c r="A1899" s="206"/>
      <c r="B1899" s="336"/>
      <c r="C1899" s="336"/>
      <c r="D1899" s="336"/>
      <c r="E1899" s="336"/>
      <c r="F1899" s="336"/>
      <c r="G1899" s="337"/>
      <c r="H1899" s="174" t="s">
        <v>171</v>
      </c>
      <c r="I1899" s="238">
        <f>SUM(I1893:I1898)</f>
        <v>6625.5839999999998</v>
      </c>
      <c r="J1899" s="104">
        <f>SUM(J1893:J1898)</f>
        <v>6700</v>
      </c>
    </row>
    <row r="1900" spans="1:10" x14ac:dyDescent="0.25">
      <c r="A1900" s="31" t="s">
        <v>421</v>
      </c>
      <c r="B1900" s="37" t="s">
        <v>322</v>
      </c>
      <c r="C1900" s="34" t="s">
        <v>114</v>
      </c>
      <c r="D1900" s="108">
        <v>19.579999999999998</v>
      </c>
      <c r="E1900" s="34" t="s">
        <v>79</v>
      </c>
      <c r="F1900" s="109">
        <v>5.2</v>
      </c>
      <c r="G1900" s="36">
        <f t="shared" ref="G1900:G1905" si="414">F1900*6.3</f>
        <v>32.76</v>
      </c>
      <c r="H1900" s="37">
        <v>24</v>
      </c>
      <c r="I1900" s="109">
        <f t="shared" ref="I1900:I1905" si="415">G1900*H1900</f>
        <v>786.24</v>
      </c>
      <c r="J1900" s="123">
        <v>900</v>
      </c>
    </row>
    <row r="1901" spans="1:10" x14ac:dyDescent="0.25">
      <c r="A1901" s="31" t="s">
        <v>421</v>
      </c>
      <c r="B1901" s="37" t="s">
        <v>323</v>
      </c>
      <c r="C1901" s="34" t="s">
        <v>86</v>
      </c>
      <c r="D1901" s="108">
        <v>58.56</v>
      </c>
      <c r="E1901" s="34" t="s">
        <v>79</v>
      </c>
      <c r="F1901" s="110">
        <v>9.35</v>
      </c>
      <c r="G1901" s="36">
        <f t="shared" si="414"/>
        <v>58.904999999999994</v>
      </c>
      <c r="H1901" s="37">
        <v>24</v>
      </c>
      <c r="I1901" s="109">
        <f t="shared" si="415"/>
        <v>1413.7199999999998</v>
      </c>
      <c r="J1901" s="123">
        <v>1400</v>
      </c>
    </row>
    <row r="1902" spans="1:10" x14ac:dyDescent="0.25">
      <c r="A1902" s="31" t="s">
        <v>421</v>
      </c>
      <c r="B1902" s="50" t="s">
        <v>324</v>
      </c>
      <c r="C1902" s="34" t="s">
        <v>75</v>
      </c>
      <c r="D1902" s="108" t="s">
        <v>38</v>
      </c>
      <c r="E1902" s="34" t="s">
        <v>79</v>
      </c>
      <c r="F1902" s="36">
        <v>3.4</v>
      </c>
      <c r="G1902" s="36">
        <f t="shared" si="414"/>
        <v>21.419999999999998</v>
      </c>
      <c r="H1902" s="37">
        <v>24</v>
      </c>
      <c r="I1902" s="109">
        <f t="shared" si="415"/>
        <v>514.07999999999993</v>
      </c>
      <c r="J1902" s="123">
        <v>500</v>
      </c>
    </row>
    <row r="1903" spans="1:10" x14ac:dyDescent="0.25">
      <c r="A1903" s="31" t="s">
        <v>421</v>
      </c>
      <c r="B1903" s="75" t="s">
        <v>317</v>
      </c>
      <c r="C1903" s="111" t="s">
        <v>156</v>
      </c>
      <c r="D1903" s="111">
        <v>70.739999999999995</v>
      </c>
      <c r="E1903" s="42" t="s">
        <v>79</v>
      </c>
      <c r="F1903" s="74">
        <v>10.6</v>
      </c>
      <c r="G1903" s="36">
        <f t="shared" si="414"/>
        <v>66.78</v>
      </c>
      <c r="H1903" s="37">
        <v>24</v>
      </c>
      <c r="I1903" s="109">
        <f t="shared" si="415"/>
        <v>1602.72</v>
      </c>
      <c r="J1903" s="123">
        <v>1600</v>
      </c>
    </row>
    <row r="1904" spans="1:10" x14ac:dyDescent="0.25">
      <c r="A1904" s="31" t="s">
        <v>421</v>
      </c>
      <c r="B1904" s="37" t="s">
        <v>325</v>
      </c>
      <c r="C1904" s="34" t="s">
        <v>158</v>
      </c>
      <c r="D1904" s="46">
        <v>30.05</v>
      </c>
      <c r="E1904" s="34" t="s">
        <v>79</v>
      </c>
      <c r="F1904" s="74">
        <v>6.5</v>
      </c>
      <c r="G1904" s="36">
        <f t="shared" si="414"/>
        <v>40.949999999999996</v>
      </c>
      <c r="H1904" s="37">
        <v>24</v>
      </c>
      <c r="I1904" s="109">
        <f t="shared" si="415"/>
        <v>982.8</v>
      </c>
      <c r="J1904" s="123">
        <v>1000</v>
      </c>
    </row>
    <row r="1905" spans="1:10" ht="15.75" thickBot="1" x14ac:dyDescent="0.3">
      <c r="A1905" s="31" t="s">
        <v>421</v>
      </c>
      <c r="B1905" s="43" t="s">
        <v>326</v>
      </c>
      <c r="C1905" s="52" t="s">
        <v>152</v>
      </c>
      <c r="D1905" s="72">
        <v>2</v>
      </c>
      <c r="E1905" s="42" t="s">
        <v>79</v>
      </c>
      <c r="F1905" s="73">
        <v>8.6999999999999993</v>
      </c>
      <c r="G1905" s="74">
        <f t="shared" si="414"/>
        <v>54.809999999999995</v>
      </c>
      <c r="H1905" s="43">
        <v>24</v>
      </c>
      <c r="I1905" s="328">
        <f t="shared" si="415"/>
        <v>1315.4399999999998</v>
      </c>
      <c r="J1905" s="124">
        <v>1300</v>
      </c>
    </row>
    <row r="1906" spans="1:10" ht="19.5" thickBot="1" x14ac:dyDescent="0.35">
      <c r="A1906" s="206"/>
      <c r="B1906" s="336"/>
      <c r="C1906" s="336"/>
      <c r="D1906" s="336"/>
      <c r="E1906" s="336"/>
      <c r="F1906" s="336"/>
      <c r="G1906" s="337"/>
      <c r="H1906" s="174" t="s">
        <v>171</v>
      </c>
      <c r="I1906" s="238">
        <f>SUM(I1900:I1905)</f>
        <v>6615</v>
      </c>
      <c r="J1906" s="104">
        <f>SUM(J1900:J1905)</f>
        <v>6700</v>
      </c>
    </row>
    <row r="1907" spans="1:10" x14ac:dyDescent="0.25">
      <c r="A1907" s="31" t="s">
        <v>422</v>
      </c>
      <c r="B1907" s="37" t="s">
        <v>322</v>
      </c>
      <c r="C1907" s="34" t="s">
        <v>114</v>
      </c>
      <c r="D1907" s="108">
        <v>16.100000000000001</v>
      </c>
      <c r="E1907" s="34" t="s">
        <v>79</v>
      </c>
      <c r="F1907" s="109">
        <v>4.8</v>
      </c>
      <c r="G1907" s="36">
        <f t="shared" ref="G1907:G1912" si="416">F1907*6.3</f>
        <v>30.24</v>
      </c>
      <c r="H1907" s="37">
        <v>24</v>
      </c>
      <c r="I1907" s="109">
        <f t="shared" ref="I1907:I1912" si="417">G1907*H1907</f>
        <v>725.76</v>
      </c>
      <c r="J1907" s="123">
        <v>900</v>
      </c>
    </row>
    <row r="1908" spans="1:10" x14ac:dyDescent="0.25">
      <c r="A1908" s="31" t="s">
        <v>422</v>
      </c>
      <c r="B1908" s="37" t="s">
        <v>323</v>
      </c>
      <c r="C1908" s="34" t="s">
        <v>86</v>
      </c>
      <c r="D1908" s="108">
        <v>53.6</v>
      </c>
      <c r="E1908" s="34" t="s">
        <v>79</v>
      </c>
      <c r="F1908" s="110">
        <v>9.1999999999999993</v>
      </c>
      <c r="G1908" s="36">
        <f t="shared" si="416"/>
        <v>57.959999999999994</v>
      </c>
      <c r="H1908" s="37">
        <v>24</v>
      </c>
      <c r="I1908" s="109">
        <f t="shared" si="417"/>
        <v>1391.04</v>
      </c>
      <c r="J1908" s="123">
        <v>1400</v>
      </c>
    </row>
    <row r="1909" spans="1:10" x14ac:dyDescent="0.25">
      <c r="A1909" s="31" t="s">
        <v>422</v>
      </c>
      <c r="B1909" s="50" t="s">
        <v>324</v>
      </c>
      <c r="C1909" s="34" t="s">
        <v>75</v>
      </c>
      <c r="D1909" s="108" t="s">
        <v>38</v>
      </c>
      <c r="E1909" s="34" t="s">
        <v>79</v>
      </c>
      <c r="F1909" s="36">
        <v>3.2</v>
      </c>
      <c r="G1909" s="36">
        <f t="shared" si="416"/>
        <v>20.16</v>
      </c>
      <c r="H1909" s="37">
        <v>24</v>
      </c>
      <c r="I1909" s="109">
        <f t="shared" si="417"/>
        <v>483.84000000000003</v>
      </c>
      <c r="J1909" s="123">
        <v>500</v>
      </c>
    </row>
    <row r="1910" spans="1:10" x14ac:dyDescent="0.25">
      <c r="A1910" s="31" t="s">
        <v>422</v>
      </c>
      <c r="B1910" s="75" t="s">
        <v>317</v>
      </c>
      <c r="C1910" s="111" t="s">
        <v>156</v>
      </c>
      <c r="D1910" s="111">
        <v>69.73</v>
      </c>
      <c r="E1910" s="42" t="s">
        <v>79</v>
      </c>
      <c r="F1910" s="74">
        <v>10.38</v>
      </c>
      <c r="G1910" s="36">
        <f t="shared" si="416"/>
        <v>65.394000000000005</v>
      </c>
      <c r="H1910" s="37">
        <v>24</v>
      </c>
      <c r="I1910" s="109">
        <f t="shared" si="417"/>
        <v>1569.4560000000001</v>
      </c>
      <c r="J1910" s="123">
        <v>1600</v>
      </c>
    </row>
    <row r="1911" spans="1:10" x14ac:dyDescent="0.25">
      <c r="A1911" s="31" t="s">
        <v>422</v>
      </c>
      <c r="B1911" s="37" t="s">
        <v>325</v>
      </c>
      <c r="C1911" s="34" t="s">
        <v>158</v>
      </c>
      <c r="D1911" s="46">
        <v>26</v>
      </c>
      <c r="E1911" s="34" t="s">
        <v>79</v>
      </c>
      <c r="F1911" s="74">
        <v>6.4</v>
      </c>
      <c r="G1911" s="36">
        <f t="shared" si="416"/>
        <v>40.32</v>
      </c>
      <c r="H1911" s="37">
        <v>24</v>
      </c>
      <c r="I1911" s="109">
        <f t="shared" si="417"/>
        <v>967.68000000000006</v>
      </c>
      <c r="J1911" s="123">
        <v>1000</v>
      </c>
    </row>
    <row r="1912" spans="1:10" ht="15.75" thickBot="1" x14ac:dyDescent="0.3">
      <c r="A1912" s="31" t="s">
        <v>422</v>
      </c>
      <c r="B1912" s="43" t="s">
        <v>326</v>
      </c>
      <c r="C1912" s="52" t="s">
        <v>152</v>
      </c>
      <c r="D1912" s="72">
        <v>2</v>
      </c>
      <c r="E1912" s="42" t="s">
        <v>79</v>
      </c>
      <c r="F1912" s="73">
        <v>8.4499999999999993</v>
      </c>
      <c r="G1912" s="74">
        <f t="shared" si="416"/>
        <v>53.234999999999992</v>
      </c>
      <c r="H1912" s="43">
        <v>24</v>
      </c>
      <c r="I1912" s="328">
        <f t="shared" si="417"/>
        <v>1277.6399999999999</v>
      </c>
      <c r="J1912" s="124">
        <v>1300</v>
      </c>
    </row>
    <row r="1913" spans="1:10" ht="19.5" thickBot="1" x14ac:dyDescent="0.35">
      <c r="A1913" s="206"/>
      <c r="B1913" s="336"/>
      <c r="C1913" s="336"/>
      <c r="D1913" s="336"/>
      <c r="E1913" s="336"/>
      <c r="F1913" s="336"/>
      <c r="G1913" s="337"/>
      <c r="H1913" s="174" t="s">
        <v>171</v>
      </c>
      <c r="I1913" s="238">
        <f>SUM(I1907:I1912)</f>
        <v>6415.4160000000011</v>
      </c>
      <c r="J1913" s="104">
        <f>SUM(J1907:J1912)</f>
        <v>6700</v>
      </c>
    </row>
    <row r="1914" spans="1:10" x14ac:dyDescent="0.25">
      <c r="A1914" s="31" t="s">
        <v>423</v>
      </c>
      <c r="B1914" s="37" t="s">
        <v>322</v>
      </c>
      <c r="C1914" s="34" t="s">
        <v>114</v>
      </c>
      <c r="D1914" s="108">
        <v>15.2</v>
      </c>
      <c r="E1914" s="34" t="s">
        <v>79</v>
      </c>
      <c r="F1914" s="109">
        <v>4.8</v>
      </c>
      <c r="G1914" s="36">
        <f t="shared" ref="G1914:G1919" si="418">F1914*6.3</f>
        <v>30.24</v>
      </c>
      <c r="H1914" s="37">
        <v>24</v>
      </c>
      <c r="I1914" s="109">
        <f t="shared" ref="I1914:I1919" si="419">G1914*H1914</f>
        <v>725.76</v>
      </c>
      <c r="J1914" s="123">
        <v>900</v>
      </c>
    </row>
    <row r="1915" spans="1:10" x14ac:dyDescent="0.25">
      <c r="A1915" s="31" t="s">
        <v>423</v>
      </c>
      <c r="B1915" s="37" t="s">
        <v>323</v>
      </c>
      <c r="C1915" s="34" t="s">
        <v>86</v>
      </c>
      <c r="D1915" s="108">
        <v>53.6</v>
      </c>
      <c r="E1915" s="34" t="s">
        <v>79</v>
      </c>
      <c r="F1915" s="110">
        <v>9.3000000000000007</v>
      </c>
      <c r="G1915" s="36">
        <f t="shared" si="418"/>
        <v>58.59</v>
      </c>
      <c r="H1915" s="37">
        <v>24</v>
      </c>
      <c r="I1915" s="109">
        <f t="shared" si="419"/>
        <v>1406.16</v>
      </c>
      <c r="J1915" s="123">
        <v>1400</v>
      </c>
    </row>
    <row r="1916" spans="1:10" x14ac:dyDescent="0.25">
      <c r="A1916" s="31" t="s">
        <v>423</v>
      </c>
      <c r="B1916" s="50" t="s">
        <v>324</v>
      </c>
      <c r="C1916" s="34" t="s">
        <v>75</v>
      </c>
      <c r="D1916" s="108" t="s">
        <v>38</v>
      </c>
      <c r="E1916" s="34" t="s">
        <v>79</v>
      </c>
      <c r="F1916" s="36">
        <v>3.2</v>
      </c>
      <c r="G1916" s="36">
        <f t="shared" si="418"/>
        <v>20.16</v>
      </c>
      <c r="H1916" s="37">
        <v>24</v>
      </c>
      <c r="I1916" s="109">
        <f t="shared" si="419"/>
        <v>483.84000000000003</v>
      </c>
      <c r="J1916" s="123">
        <v>500</v>
      </c>
    </row>
    <row r="1917" spans="1:10" x14ac:dyDescent="0.25">
      <c r="A1917" s="31" t="s">
        <v>423</v>
      </c>
      <c r="B1917" s="75" t="s">
        <v>317</v>
      </c>
      <c r="C1917" s="111" t="s">
        <v>156</v>
      </c>
      <c r="D1917" s="111">
        <v>69.73</v>
      </c>
      <c r="E1917" s="42" t="s">
        <v>79</v>
      </c>
      <c r="F1917" s="74">
        <v>10.199999999999999</v>
      </c>
      <c r="G1917" s="36">
        <f t="shared" si="418"/>
        <v>64.259999999999991</v>
      </c>
      <c r="H1917" s="37">
        <v>24</v>
      </c>
      <c r="I1917" s="109">
        <f t="shared" si="419"/>
        <v>1542.2399999999998</v>
      </c>
      <c r="J1917" s="123">
        <v>1600</v>
      </c>
    </row>
    <row r="1918" spans="1:10" x14ac:dyDescent="0.25">
      <c r="A1918" s="31" t="s">
        <v>423</v>
      </c>
      <c r="B1918" s="37" t="s">
        <v>325</v>
      </c>
      <c r="C1918" s="34" t="s">
        <v>158</v>
      </c>
      <c r="D1918" s="46">
        <v>26.92</v>
      </c>
      <c r="E1918" s="34" t="s">
        <v>79</v>
      </c>
      <c r="F1918" s="74">
        <v>6.5</v>
      </c>
      <c r="G1918" s="36">
        <f t="shared" si="418"/>
        <v>40.949999999999996</v>
      </c>
      <c r="H1918" s="37">
        <v>24</v>
      </c>
      <c r="I1918" s="109">
        <f t="shared" si="419"/>
        <v>982.8</v>
      </c>
      <c r="J1918" s="123">
        <v>1000</v>
      </c>
    </row>
    <row r="1919" spans="1:10" ht="15.75" thickBot="1" x14ac:dyDescent="0.3">
      <c r="A1919" s="31" t="s">
        <v>423</v>
      </c>
      <c r="B1919" s="43" t="s">
        <v>326</v>
      </c>
      <c r="C1919" s="52" t="s">
        <v>152</v>
      </c>
      <c r="D1919" s="72">
        <v>1.6</v>
      </c>
      <c r="E1919" s="42" t="s">
        <v>79</v>
      </c>
      <c r="F1919" s="73">
        <v>8.5</v>
      </c>
      <c r="G1919" s="74">
        <f t="shared" si="418"/>
        <v>53.55</v>
      </c>
      <c r="H1919" s="43">
        <v>24</v>
      </c>
      <c r="I1919" s="328">
        <f t="shared" si="419"/>
        <v>1285.1999999999998</v>
      </c>
      <c r="J1919" s="124">
        <v>1300</v>
      </c>
    </row>
    <row r="1920" spans="1:10" ht="19.5" thickBot="1" x14ac:dyDescent="0.35">
      <c r="A1920" s="206"/>
      <c r="B1920" s="336"/>
      <c r="C1920" s="336"/>
      <c r="D1920" s="336"/>
      <c r="E1920" s="336"/>
      <c r="F1920" s="336"/>
      <c r="G1920" s="337"/>
      <c r="H1920" s="174" t="s">
        <v>171</v>
      </c>
      <c r="I1920" s="238">
        <f>SUM(I1914:I1919)</f>
        <v>6426</v>
      </c>
      <c r="J1920" s="104">
        <f>SUM(J1914:J1919)</f>
        <v>6700</v>
      </c>
    </row>
    <row r="1921" spans="1:10" x14ac:dyDescent="0.25">
      <c r="A1921" s="31" t="s">
        <v>424</v>
      </c>
      <c r="B1921" s="37" t="s">
        <v>322</v>
      </c>
      <c r="C1921" s="34" t="s">
        <v>114</v>
      </c>
      <c r="D1921" s="108">
        <v>21.42</v>
      </c>
      <c r="E1921" s="34" t="s">
        <v>79</v>
      </c>
      <c r="F1921" s="109">
        <v>5.7</v>
      </c>
      <c r="G1921" s="36">
        <f t="shared" ref="G1921:G1926" si="420">F1921*6.3</f>
        <v>35.909999999999997</v>
      </c>
      <c r="H1921" s="37">
        <v>24</v>
      </c>
      <c r="I1921" s="109">
        <f t="shared" ref="I1921:I1926" si="421">G1921*H1921</f>
        <v>861.83999999999992</v>
      </c>
      <c r="J1921" s="123">
        <v>900</v>
      </c>
    </row>
    <row r="1922" spans="1:10" x14ac:dyDescent="0.25">
      <c r="A1922" s="31" t="s">
        <v>424</v>
      </c>
      <c r="B1922" s="37" t="s">
        <v>323</v>
      </c>
      <c r="C1922" s="34" t="s">
        <v>86</v>
      </c>
      <c r="D1922" s="108">
        <v>45</v>
      </c>
      <c r="E1922" s="34" t="s">
        <v>79</v>
      </c>
      <c r="F1922" s="110">
        <v>9.1999999999999993</v>
      </c>
      <c r="G1922" s="36">
        <f t="shared" si="420"/>
        <v>57.959999999999994</v>
      </c>
      <c r="H1922" s="37">
        <v>24</v>
      </c>
      <c r="I1922" s="109">
        <f t="shared" si="421"/>
        <v>1391.04</v>
      </c>
      <c r="J1922" s="123">
        <v>1400</v>
      </c>
    </row>
    <row r="1923" spans="1:10" x14ac:dyDescent="0.25">
      <c r="A1923" s="31" t="s">
        <v>424</v>
      </c>
      <c r="B1923" s="50" t="s">
        <v>324</v>
      </c>
      <c r="C1923" s="34" t="s">
        <v>75</v>
      </c>
      <c r="D1923" s="108" t="s">
        <v>38</v>
      </c>
      <c r="E1923" s="34" t="s">
        <v>79</v>
      </c>
      <c r="F1923" s="36">
        <v>3.4</v>
      </c>
      <c r="G1923" s="36">
        <f t="shared" si="420"/>
        <v>21.419999999999998</v>
      </c>
      <c r="H1923" s="37">
        <v>24</v>
      </c>
      <c r="I1923" s="109">
        <f t="shared" si="421"/>
        <v>514.07999999999993</v>
      </c>
      <c r="J1923" s="123">
        <v>500</v>
      </c>
    </row>
    <row r="1924" spans="1:10" x14ac:dyDescent="0.25">
      <c r="A1924" s="31" t="s">
        <v>424</v>
      </c>
      <c r="B1924" s="75" t="s">
        <v>317</v>
      </c>
      <c r="C1924" s="111" t="s">
        <v>156</v>
      </c>
      <c r="D1924" s="111">
        <v>74</v>
      </c>
      <c r="E1924" s="42" t="s">
        <v>79</v>
      </c>
      <c r="F1924" s="74">
        <v>10.5</v>
      </c>
      <c r="G1924" s="36">
        <f t="shared" si="420"/>
        <v>66.149999999999991</v>
      </c>
      <c r="H1924" s="37">
        <v>24</v>
      </c>
      <c r="I1924" s="109">
        <f t="shared" si="421"/>
        <v>1587.6</v>
      </c>
      <c r="J1924" s="123">
        <v>1600</v>
      </c>
    </row>
    <row r="1925" spans="1:10" x14ac:dyDescent="0.25">
      <c r="A1925" s="31" t="s">
        <v>424</v>
      </c>
      <c r="B1925" s="37" t="s">
        <v>325</v>
      </c>
      <c r="C1925" s="34" t="s">
        <v>158</v>
      </c>
      <c r="D1925" s="46">
        <v>30.28</v>
      </c>
      <c r="E1925" s="34" t="s">
        <v>79</v>
      </c>
      <c r="F1925" s="74">
        <v>6.5</v>
      </c>
      <c r="G1925" s="36">
        <f t="shared" si="420"/>
        <v>40.949999999999996</v>
      </c>
      <c r="H1925" s="37">
        <v>24</v>
      </c>
      <c r="I1925" s="109">
        <f t="shared" si="421"/>
        <v>982.8</v>
      </c>
      <c r="J1925" s="123">
        <v>1000</v>
      </c>
    </row>
    <row r="1926" spans="1:10" ht="15.75" thickBot="1" x14ac:dyDescent="0.3">
      <c r="A1926" s="31" t="s">
        <v>424</v>
      </c>
      <c r="B1926" s="43" t="s">
        <v>326</v>
      </c>
      <c r="C1926" s="52" t="s">
        <v>152</v>
      </c>
      <c r="D1926" s="72">
        <v>2</v>
      </c>
      <c r="E1926" s="42" t="s">
        <v>79</v>
      </c>
      <c r="F1926" s="73">
        <v>8.6</v>
      </c>
      <c r="G1926" s="74">
        <f t="shared" si="420"/>
        <v>54.18</v>
      </c>
      <c r="H1926" s="43">
        <v>24</v>
      </c>
      <c r="I1926" s="328">
        <f t="shared" si="421"/>
        <v>1300.32</v>
      </c>
      <c r="J1926" s="124">
        <v>1300</v>
      </c>
    </row>
    <row r="1927" spans="1:10" ht="19.5" thickBot="1" x14ac:dyDescent="0.35">
      <c r="A1927" s="206"/>
      <c r="B1927" s="336"/>
      <c r="C1927" s="336"/>
      <c r="D1927" s="336"/>
      <c r="E1927" s="336"/>
      <c r="F1927" s="336"/>
      <c r="G1927" s="337"/>
      <c r="H1927" s="174" t="s">
        <v>171</v>
      </c>
      <c r="I1927" s="238">
        <f>SUM(I1921:I1926)</f>
        <v>6637.6799999999994</v>
      </c>
      <c r="J1927" s="104">
        <f>SUM(J1921:J1926)</f>
        <v>6700</v>
      </c>
    </row>
    <row r="1928" spans="1:10" x14ac:dyDescent="0.25">
      <c r="A1928" s="31" t="s">
        <v>425</v>
      </c>
      <c r="B1928" s="37" t="s">
        <v>322</v>
      </c>
      <c r="C1928" s="34" t="s">
        <v>114</v>
      </c>
      <c r="D1928" s="108">
        <v>19</v>
      </c>
      <c r="E1928" s="34" t="s">
        <v>79</v>
      </c>
      <c r="F1928" s="109">
        <v>5.5</v>
      </c>
      <c r="G1928" s="36">
        <f t="shared" ref="G1928:G1933" si="422">F1928*6.3</f>
        <v>34.65</v>
      </c>
      <c r="H1928" s="37">
        <v>24</v>
      </c>
      <c r="I1928" s="109">
        <f t="shared" ref="I1928:I1933" si="423">G1928*H1928</f>
        <v>831.59999999999991</v>
      </c>
      <c r="J1928" s="123">
        <v>900</v>
      </c>
    </row>
    <row r="1929" spans="1:10" x14ac:dyDescent="0.25">
      <c r="A1929" s="31" t="s">
        <v>425</v>
      </c>
      <c r="B1929" s="37" t="s">
        <v>323</v>
      </c>
      <c r="C1929" s="34" t="s">
        <v>86</v>
      </c>
      <c r="D1929" s="108">
        <v>40</v>
      </c>
      <c r="E1929" s="34" t="s">
        <v>79</v>
      </c>
      <c r="F1929" s="110">
        <v>8.4</v>
      </c>
      <c r="G1929" s="36">
        <f t="shared" si="422"/>
        <v>52.92</v>
      </c>
      <c r="H1929" s="37">
        <v>24</v>
      </c>
      <c r="I1929" s="109">
        <f t="shared" si="423"/>
        <v>1270.08</v>
      </c>
      <c r="J1929" s="123">
        <v>1400</v>
      </c>
    </row>
    <row r="1930" spans="1:10" x14ac:dyDescent="0.25">
      <c r="A1930" s="31" t="s">
        <v>425</v>
      </c>
      <c r="B1930" s="50" t="s">
        <v>324</v>
      </c>
      <c r="C1930" s="34" t="s">
        <v>75</v>
      </c>
      <c r="D1930" s="108" t="s">
        <v>38</v>
      </c>
      <c r="E1930" s="34" t="s">
        <v>79</v>
      </c>
      <c r="F1930" s="36">
        <v>3.4</v>
      </c>
      <c r="G1930" s="36">
        <f t="shared" si="422"/>
        <v>21.419999999999998</v>
      </c>
      <c r="H1930" s="37">
        <v>24</v>
      </c>
      <c r="I1930" s="109">
        <f t="shared" si="423"/>
        <v>514.07999999999993</v>
      </c>
      <c r="J1930" s="123">
        <v>500</v>
      </c>
    </row>
    <row r="1931" spans="1:10" x14ac:dyDescent="0.25">
      <c r="A1931" s="31" t="s">
        <v>425</v>
      </c>
      <c r="B1931" s="75" t="s">
        <v>317</v>
      </c>
      <c r="C1931" s="111" t="s">
        <v>156</v>
      </c>
      <c r="D1931" s="111">
        <v>74.599999999999994</v>
      </c>
      <c r="E1931" s="42" t="s">
        <v>79</v>
      </c>
      <c r="F1931" s="74">
        <v>10.6</v>
      </c>
      <c r="G1931" s="36">
        <f t="shared" si="422"/>
        <v>66.78</v>
      </c>
      <c r="H1931" s="37">
        <v>24</v>
      </c>
      <c r="I1931" s="109">
        <f t="shared" si="423"/>
        <v>1602.72</v>
      </c>
      <c r="J1931" s="123">
        <v>1600</v>
      </c>
    </row>
    <row r="1932" spans="1:10" x14ac:dyDescent="0.25">
      <c r="A1932" s="31" t="s">
        <v>425</v>
      </c>
      <c r="B1932" s="37" t="s">
        <v>325</v>
      </c>
      <c r="C1932" s="34" t="s">
        <v>158</v>
      </c>
      <c r="D1932" s="46">
        <v>30</v>
      </c>
      <c r="E1932" s="34" t="s">
        <v>79</v>
      </c>
      <c r="F1932" s="74">
        <v>6.7</v>
      </c>
      <c r="G1932" s="36">
        <f t="shared" si="422"/>
        <v>42.21</v>
      </c>
      <c r="H1932" s="37">
        <v>24</v>
      </c>
      <c r="I1932" s="109">
        <f t="shared" si="423"/>
        <v>1013.04</v>
      </c>
      <c r="J1932" s="123">
        <v>1000</v>
      </c>
    </row>
    <row r="1933" spans="1:10" ht="15.75" thickBot="1" x14ac:dyDescent="0.3">
      <c r="A1933" s="31" t="s">
        <v>425</v>
      </c>
      <c r="B1933" s="43" t="s">
        <v>326</v>
      </c>
      <c r="C1933" s="52" t="s">
        <v>152</v>
      </c>
      <c r="D1933" s="72">
        <v>2</v>
      </c>
      <c r="E1933" s="42" t="s">
        <v>79</v>
      </c>
      <c r="F1933" s="73">
        <v>8.6</v>
      </c>
      <c r="G1933" s="74">
        <f t="shared" si="422"/>
        <v>54.18</v>
      </c>
      <c r="H1933" s="43">
        <v>24</v>
      </c>
      <c r="I1933" s="328">
        <f t="shared" si="423"/>
        <v>1300.32</v>
      </c>
      <c r="J1933" s="124">
        <v>1300</v>
      </c>
    </row>
    <row r="1934" spans="1:10" ht="19.5" thickBot="1" x14ac:dyDescent="0.35">
      <c r="A1934" s="206"/>
      <c r="B1934" s="336"/>
      <c r="C1934" s="336"/>
      <c r="D1934" s="336"/>
      <c r="E1934" s="336"/>
      <c r="F1934" s="336"/>
      <c r="G1934" s="337"/>
      <c r="H1934" s="174" t="s">
        <v>171</v>
      </c>
      <c r="I1934" s="238">
        <f>SUM(I1928:I1933)</f>
        <v>6531.8399999999992</v>
      </c>
      <c r="J1934" s="104">
        <f>SUM(J1928:J1933)</f>
        <v>6700</v>
      </c>
    </row>
    <row r="1935" spans="1:10" x14ac:dyDescent="0.25">
      <c r="A1935" s="31" t="s">
        <v>426</v>
      </c>
      <c r="B1935" s="37" t="s">
        <v>322</v>
      </c>
      <c r="C1935" s="34" t="s">
        <v>114</v>
      </c>
      <c r="D1935" s="108">
        <v>19.5</v>
      </c>
      <c r="E1935" s="34" t="s">
        <v>79</v>
      </c>
      <c r="F1935" s="109">
        <v>5.6</v>
      </c>
      <c r="G1935" s="36">
        <f t="shared" ref="G1935:G1940" si="424">F1935*6.3</f>
        <v>35.279999999999994</v>
      </c>
      <c r="H1935" s="37">
        <v>24</v>
      </c>
      <c r="I1935" s="109">
        <f t="shared" ref="I1935:I1940" si="425">G1935*H1935</f>
        <v>846.7199999999998</v>
      </c>
      <c r="J1935" s="123">
        <v>900</v>
      </c>
    </row>
    <row r="1936" spans="1:10" x14ac:dyDescent="0.25">
      <c r="A1936" s="31" t="s">
        <v>426</v>
      </c>
      <c r="B1936" s="37" t="s">
        <v>323</v>
      </c>
      <c r="C1936" s="34" t="s">
        <v>86</v>
      </c>
      <c r="D1936" s="108">
        <v>42</v>
      </c>
      <c r="E1936" s="34" t="s">
        <v>79</v>
      </c>
      <c r="F1936" s="110">
        <v>8.5</v>
      </c>
      <c r="G1936" s="36">
        <f t="shared" si="424"/>
        <v>53.55</v>
      </c>
      <c r="H1936" s="37">
        <v>24</v>
      </c>
      <c r="I1936" s="109">
        <f t="shared" si="425"/>
        <v>1285.1999999999998</v>
      </c>
      <c r="J1936" s="123">
        <v>1400</v>
      </c>
    </row>
    <row r="1937" spans="1:11" x14ac:dyDescent="0.25">
      <c r="A1937" s="31" t="s">
        <v>426</v>
      </c>
      <c r="B1937" s="50" t="s">
        <v>324</v>
      </c>
      <c r="C1937" s="34" t="s">
        <v>75</v>
      </c>
      <c r="D1937" s="108" t="s">
        <v>38</v>
      </c>
      <c r="E1937" s="34" t="s">
        <v>79</v>
      </c>
      <c r="F1937" s="36">
        <v>3.4</v>
      </c>
      <c r="G1937" s="36">
        <f t="shared" si="424"/>
        <v>21.419999999999998</v>
      </c>
      <c r="H1937" s="37">
        <v>24</v>
      </c>
      <c r="I1937" s="109">
        <f t="shared" si="425"/>
        <v>514.07999999999993</v>
      </c>
      <c r="J1937" s="123">
        <v>500</v>
      </c>
    </row>
    <row r="1938" spans="1:11" x14ac:dyDescent="0.25">
      <c r="A1938" s="31" t="s">
        <v>426</v>
      </c>
      <c r="B1938" s="75" t="s">
        <v>317</v>
      </c>
      <c r="C1938" s="111" t="s">
        <v>156</v>
      </c>
      <c r="D1938" s="111">
        <v>74.599999999999994</v>
      </c>
      <c r="E1938" s="42" t="s">
        <v>79</v>
      </c>
      <c r="F1938" s="74">
        <v>10.5</v>
      </c>
      <c r="G1938" s="36">
        <f t="shared" si="424"/>
        <v>66.149999999999991</v>
      </c>
      <c r="H1938" s="37">
        <v>24</v>
      </c>
      <c r="I1938" s="109">
        <f t="shared" si="425"/>
        <v>1587.6</v>
      </c>
      <c r="J1938" s="123">
        <v>1600</v>
      </c>
    </row>
    <row r="1939" spans="1:11" x14ac:dyDescent="0.25">
      <c r="A1939" s="31" t="s">
        <v>426</v>
      </c>
      <c r="B1939" s="37" t="s">
        <v>325</v>
      </c>
      <c r="C1939" s="34" t="s">
        <v>158</v>
      </c>
      <c r="D1939" s="46">
        <v>30.8</v>
      </c>
      <c r="E1939" s="34" t="s">
        <v>79</v>
      </c>
      <c r="F1939" s="74">
        <v>6.65</v>
      </c>
      <c r="G1939" s="36">
        <f t="shared" si="424"/>
        <v>41.895000000000003</v>
      </c>
      <c r="H1939" s="37">
        <v>24</v>
      </c>
      <c r="I1939" s="109">
        <f t="shared" si="425"/>
        <v>1005.48</v>
      </c>
      <c r="J1939" s="123">
        <v>1000</v>
      </c>
    </row>
    <row r="1940" spans="1:11" ht="15.75" thickBot="1" x14ac:dyDescent="0.3">
      <c r="A1940" s="31" t="s">
        <v>426</v>
      </c>
      <c r="B1940" s="43" t="s">
        <v>326</v>
      </c>
      <c r="C1940" s="52" t="s">
        <v>152</v>
      </c>
      <c r="D1940" s="72">
        <v>2</v>
      </c>
      <c r="E1940" s="42" t="s">
        <v>79</v>
      </c>
      <c r="F1940" s="73">
        <v>8.6999999999999993</v>
      </c>
      <c r="G1940" s="74">
        <f t="shared" si="424"/>
        <v>54.809999999999995</v>
      </c>
      <c r="H1940" s="43">
        <v>24</v>
      </c>
      <c r="I1940" s="328">
        <f t="shared" si="425"/>
        <v>1315.4399999999998</v>
      </c>
      <c r="J1940" s="124">
        <v>1300</v>
      </c>
    </row>
    <row r="1941" spans="1:11" ht="19.5" thickBot="1" x14ac:dyDescent="0.35">
      <c r="A1941" s="206"/>
      <c r="B1941" s="336"/>
      <c r="C1941" s="336"/>
      <c r="D1941" s="336"/>
      <c r="E1941" s="336"/>
      <c r="F1941" s="336"/>
      <c r="G1941" s="337"/>
      <c r="H1941" s="174" t="s">
        <v>171</v>
      </c>
      <c r="I1941" s="238">
        <f>SUM(I1935:I1940)</f>
        <v>6554.5199999999995</v>
      </c>
      <c r="J1941" s="104">
        <f>SUM(J1935:J1940)</f>
        <v>6700</v>
      </c>
    </row>
    <row r="1942" spans="1:11" x14ac:dyDescent="0.25">
      <c r="A1942" s="31" t="s">
        <v>427</v>
      </c>
      <c r="B1942" s="37" t="s">
        <v>322</v>
      </c>
      <c r="C1942" s="34" t="s">
        <v>114</v>
      </c>
      <c r="D1942" s="108">
        <v>20.399999999999999</v>
      </c>
      <c r="E1942" s="34" t="s">
        <v>79</v>
      </c>
      <c r="F1942" s="109">
        <v>5.4</v>
      </c>
      <c r="G1942" s="36">
        <f t="shared" ref="G1942:G1947" si="426">F1942*6.3</f>
        <v>34.020000000000003</v>
      </c>
      <c r="H1942" s="37">
        <v>24</v>
      </c>
      <c r="I1942" s="109">
        <f t="shared" ref="I1942:I1947" si="427">G1942*H1942</f>
        <v>816.48</v>
      </c>
      <c r="J1942" s="123">
        <v>900</v>
      </c>
    </row>
    <row r="1943" spans="1:11" x14ac:dyDescent="0.25">
      <c r="A1943" s="31" t="s">
        <v>427</v>
      </c>
      <c r="B1943" s="37" t="s">
        <v>323</v>
      </c>
      <c r="C1943" s="34" t="s">
        <v>86</v>
      </c>
      <c r="D1943" s="108">
        <v>33</v>
      </c>
      <c r="E1943" s="34" t="s">
        <v>79</v>
      </c>
      <c r="F1943" s="110">
        <v>8.6</v>
      </c>
      <c r="G1943" s="36">
        <f t="shared" si="426"/>
        <v>54.18</v>
      </c>
      <c r="H1943" s="37">
        <v>24</v>
      </c>
      <c r="I1943" s="109">
        <f t="shared" si="427"/>
        <v>1300.32</v>
      </c>
      <c r="J1943" s="123">
        <v>1400</v>
      </c>
    </row>
    <row r="1944" spans="1:11" x14ac:dyDescent="0.25">
      <c r="A1944" s="31" t="s">
        <v>427</v>
      </c>
      <c r="B1944" s="50" t="s">
        <v>324</v>
      </c>
      <c r="C1944" s="34" t="s">
        <v>75</v>
      </c>
      <c r="D1944" s="108" t="s">
        <v>38</v>
      </c>
      <c r="E1944" s="34" t="s">
        <v>79</v>
      </c>
      <c r="F1944" s="36">
        <v>3.3</v>
      </c>
      <c r="G1944" s="36">
        <f t="shared" si="426"/>
        <v>20.79</v>
      </c>
      <c r="H1944" s="37">
        <v>24</v>
      </c>
      <c r="I1944" s="109">
        <f t="shared" si="427"/>
        <v>498.96</v>
      </c>
      <c r="J1944" s="123">
        <v>500</v>
      </c>
    </row>
    <row r="1945" spans="1:11" x14ac:dyDescent="0.25">
      <c r="A1945" s="31" t="s">
        <v>427</v>
      </c>
      <c r="B1945" s="75" t="s">
        <v>317</v>
      </c>
      <c r="C1945" s="111" t="s">
        <v>156</v>
      </c>
      <c r="D1945" s="111">
        <v>68</v>
      </c>
      <c r="E1945" s="42" t="s">
        <v>79</v>
      </c>
      <c r="F1945" s="74">
        <v>10.199999999999999</v>
      </c>
      <c r="G1945" s="36">
        <f t="shared" si="426"/>
        <v>64.259999999999991</v>
      </c>
      <c r="H1945" s="37">
        <v>24</v>
      </c>
      <c r="I1945" s="109">
        <f t="shared" si="427"/>
        <v>1542.2399999999998</v>
      </c>
      <c r="J1945" s="123">
        <v>1600</v>
      </c>
    </row>
    <row r="1946" spans="1:11" x14ac:dyDescent="0.25">
      <c r="A1946" s="31" t="s">
        <v>427</v>
      </c>
      <c r="B1946" s="37" t="s">
        <v>325</v>
      </c>
      <c r="C1946" s="34" t="s">
        <v>158</v>
      </c>
      <c r="D1946" s="46">
        <v>26.6</v>
      </c>
      <c r="E1946" s="34" t="s">
        <v>79</v>
      </c>
      <c r="F1946" s="74">
        <v>6.4</v>
      </c>
      <c r="G1946" s="36">
        <f t="shared" si="426"/>
        <v>40.32</v>
      </c>
      <c r="H1946" s="37">
        <v>24</v>
      </c>
      <c r="I1946" s="109">
        <f t="shared" si="427"/>
        <v>967.68000000000006</v>
      </c>
      <c r="J1946" s="123">
        <v>1000</v>
      </c>
    </row>
    <row r="1947" spans="1:11" ht="15.75" thickBot="1" x14ac:dyDescent="0.3">
      <c r="A1947" s="31" t="s">
        <v>427</v>
      </c>
      <c r="B1947" s="43" t="s">
        <v>326</v>
      </c>
      <c r="C1947" s="52" t="s">
        <v>152</v>
      </c>
      <c r="D1947" s="72">
        <v>1.5</v>
      </c>
      <c r="E1947" s="42" t="s">
        <v>79</v>
      </c>
      <c r="F1947" s="73">
        <v>8.1999999999999993</v>
      </c>
      <c r="G1947" s="74">
        <f t="shared" si="426"/>
        <v>51.66</v>
      </c>
      <c r="H1947" s="43">
        <v>24</v>
      </c>
      <c r="I1947" s="328">
        <f t="shared" si="427"/>
        <v>1239.8399999999999</v>
      </c>
      <c r="J1947" s="124">
        <v>1300</v>
      </c>
    </row>
    <row r="1948" spans="1:11" ht="19.5" thickBot="1" x14ac:dyDescent="0.35">
      <c r="A1948" s="206"/>
      <c r="B1948" s="336"/>
      <c r="C1948" s="336"/>
      <c r="D1948" s="336"/>
      <c r="E1948" s="336"/>
      <c r="F1948" s="336"/>
      <c r="G1948" s="337"/>
      <c r="H1948" s="174" t="s">
        <v>171</v>
      </c>
      <c r="I1948" s="238">
        <f>SUM(I1942:I1947)</f>
        <v>6365.52</v>
      </c>
      <c r="J1948" s="104">
        <f>SUM(J1942:J1947)</f>
        <v>6700</v>
      </c>
      <c r="K1948" s="325" t="s">
        <v>428</v>
      </c>
    </row>
    <row r="1949" spans="1:11" x14ac:dyDescent="0.25">
      <c r="A1949" s="31" t="s">
        <v>429</v>
      </c>
      <c r="B1949" s="37" t="s">
        <v>322</v>
      </c>
      <c r="C1949" s="34" t="s">
        <v>114</v>
      </c>
      <c r="D1949" s="108">
        <v>17</v>
      </c>
      <c r="E1949" s="34" t="s">
        <v>79</v>
      </c>
      <c r="F1949" s="109">
        <v>5.8</v>
      </c>
      <c r="G1949" s="36">
        <f t="shared" ref="G1949:G1954" si="428">F1949*6.3</f>
        <v>36.54</v>
      </c>
      <c r="H1949" s="37">
        <v>24</v>
      </c>
      <c r="I1949" s="109">
        <f t="shared" ref="I1949:I1954" si="429">G1949*H1949</f>
        <v>876.96</v>
      </c>
      <c r="J1949" s="123">
        <v>900</v>
      </c>
    </row>
    <row r="1950" spans="1:11" x14ac:dyDescent="0.25">
      <c r="A1950" s="31" t="s">
        <v>429</v>
      </c>
      <c r="B1950" s="37" t="s">
        <v>323</v>
      </c>
      <c r="C1950" s="34" t="s">
        <v>86</v>
      </c>
      <c r="D1950" s="108">
        <v>35</v>
      </c>
      <c r="E1950" s="34" t="s">
        <v>79</v>
      </c>
      <c r="F1950" s="110">
        <v>8.8000000000000007</v>
      </c>
      <c r="G1950" s="36">
        <f t="shared" si="428"/>
        <v>55.440000000000005</v>
      </c>
      <c r="H1950" s="37">
        <v>24</v>
      </c>
      <c r="I1950" s="109">
        <f t="shared" si="429"/>
        <v>1330.5600000000002</v>
      </c>
      <c r="J1950" s="123">
        <v>1400</v>
      </c>
    </row>
    <row r="1951" spans="1:11" x14ac:dyDescent="0.25">
      <c r="A1951" s="31" t="s">
        <v>429</v>
      </c>
      <c r="B1951" s="50" t="s">
        <v>324</v>
      </c>
      <c r="C1951" s="34" t="s">
        <v>75</v>
      </c>
      <c r="D1951" s="108" t="s">
        <v>38</v>
      </c>
      <c r="E1951" s="34" t="s">
        <v>79</v>
      </c>
      <c r="F1951" s="36">
        <v>3.4</v>
      </c>
      <c r="G1951" s="36">
        <f t="shared" si="428"/>
        <v>21.419999999999998</v>
      </c>
      <c r="H1951" s="37">
        <v>24</v>
      </c>
      <c r="I1951" s="109">
        <f t="shared" si="429"/>
        <v>514.07999999999993</v>
      </c>
      <c r="J1951" s="123">
        <v>500</v>
      </c>
    </row>
    <row r="1952" spans="1:11" x14ac:dyDescent="0.25">
      <c r="A1952" s="31" t="s">
        <v>429</v>
      </c>
      <c r="B1952" s="75" t="s">
        <v>317</v>
      </c>
      <c r="C1952" s="111" t="s">
        <v>156</v>
      </c>
      <c r="D1952" s="111">
        <v>71</v>
      </c>
      <c r="E1952" s="42" t="s">
        <v>79</v>
      </c>
      <c r="F1952" s="74">
        <v>10.6</v>
      </c>
      <c r="G1952" s="36">
        <f t="shared" si="428"/>
        <v>66.78</v>
      </c>
      <c r="H1952" s="37">
        <v>24</v>
      </c>
      <c r="I1952" s="109">
        <f t="shared" si="429"/>
        <v>1602.72</v>
      </c>
      <c r="J1952" s="123">
        <v>1600</v>
      </c>
    </row>
    <row r="1953" spans="1:10" x14ac:dyDescent="0.25">
      <c r="A1953" s="31" t="s">
        <v>429</v>
      </c>
      <c r="B1953" s="37" t="s">
        <v>325</v>
      </c>
      <c r="C1953" s="34" t="s">
        <v>158</v>
      </c>
      <c r="D1953" s="46">
        <v>27</v>
      </c>
      <c r="E1953" s="34" t="s">
        <v>79</v>
      </c>
      <c r="F1953" s="74">
        <v>6.4</v>
      </c>
      <c r="G1953" s="36">
        <f t="shared" si="428"/>
        <v>40.32</v>
      </c>
      <c r="H1953" s="37">
        <v>24</v>
      </c>
      <c r="I1953" s="109">
        <f t="shared" si="429"/>
        <v>967.68000000000006</v>
      </c>
      <c r="J1953" s="123">
        <v>1000</v>
      </c>
    </row>
    <row r="1954" spans="1:10" ht="15.75" thickBot="1" x14ac:dyDescent="0.3">
      <c r="A1954" s="31" t="s">
        <v>429</v>
      </c>
      <c r="B1954" s="43" t="s">
        <v>326</v>
      </c>
      <c r="C1954" s="52" t="s">
        <v>152</v>
      </c>
      <c r="D1954" s="72">
        <v>1.2</v>
      </c>
      <c r="E1954" s="42" t="s">
        <v>79</v>
      </c>
      <c r="F1954" s="73">
        <v>8.6</v>
      </c>
      <c r="G1954" s="74">
        <f t="shared" si="428"/>
        <v>54.18</v>
      </c>
      <c r="H1954" s="43">
        <v>24</v>
      </c>
      <c r="I1954" s="328">
        <f t="shared" si="429"/>
        <v>1300.32</v>
      </c>
      <c r="J1954" s="124">
        <v>1300</v>
      </c>
    </row>
    <row r="1955" spans="1:10" ht="19.5" thickBot="1" x14ac:dyDescent="0.35">
      <c r="A1955" s="206"/>
      <c r="B1955" s="336"/>
      <c r="C1955" s="336"/>
      <c r="D1955" s="336"/>
      <c r="E1955" s="336"/>
      <c r="F1955" s="336"/>
      <c r="G1955" s="337"/>
      <c r="H1955" s="174" t="s">
        <v>171</v>
      </c>
      <c r="I1955" s="238">
        <f>SUM(I1949:I1954)</f>
        <v>6592.3200000000006</v>
      </c>
      <c r="J1955" s="104">
        <f>SUM(J1949:J1954)</f>
        <v>6700</v>
      </c>
    </row>
    <row r="1956" spans="1:10" x14ac:dyDescent="0.25">
      <c r="A1956" s="31" t="s">
        <v>430</v>
      </c>
      <c r="B1956" s="37" t="s">
        <v>322</v>
      </c>
      <c r="C1956" s="34" t="s">
        <v>114</v>
      </c>
      <c r="D1956" s="108">
        <v>18.100000000000001</v>
      </c>
      <c r="E1956" s="34" t="s">
        <v>79</v>
      </c>
      <c r="F1956" s="109">
        <v>5.7</v>
      </c>
      <c r="G1956" s="36">
        <f t="shared" ref="G1956:G1961" si="430">F1956*6.3</f>
        <v>35.909999999999997</v>
      </c>
      <c r="H1956" s="37">
        <v>24</v>
      </c>
      <c r="I1956" s="109">
        <f t="shared" ref="I1956:I1961" si="431">G1956*H1956</f>
        <v>861.83999999999992</v>
      </c>
      <c r="J1956" s="123">
        <v>900</v>
      </c>
    </row>
    <row r="1957" spans="1:10" x14ac:dyDescent="0.25">
      <c r="A1957" s="31" t="s">
        <v>430</v>
      </c>
      <c r="B1957" s="37" t="s">
        <v>323</v>
      </c>
      <c r="C1957" s="34" t="s">
        <v>86</v>
      </c>
      <c r="D1957" s="108">
        <v>36</v>
      </c>
      <c r="E1957" s="34" t="s">
        <v>79</v>
      </c>
      <c r="F1957" s="110">
        <v>8.9</v>
      </c>
      <c r="G1957" s="36">
        <f t="shared" si="430"/>
        <v>56.07</v>
      </c>
      <c r="H1957" s="37">
        <v>24</v>
      </c>
      <c r="I1957" s="109">
        <f t="shared" si="431"/>
        <v>1345.68</v>
      </c>
      <c r="J1957" s="123">
        <v>1400</v>
      </c>
    </row>
    <row r="1958" spans="1:10" x14ac:dyDescent="0.25">
      <c r="A1958" s="31" t="s">
        <v>430</v>
      </c>
      <c r="B1958" s="50" t="s">
        <v>324</v>
      </c>
      <c r="C1958" s="34" t="s">
        <v>75</v>
      </c>
      <c r="D1958" s="108" t="s">
        <v>38</v>
      </c>
      <c r="E1958" s="34" t="s">
        <v>79</v>
      </c>
      <c r="F1958" s="36">
        <v>3.3</v>
      </c>
      <c r="G1958" s="36">
        <f t="shared" si="430"/>
        <v>20.79</v>
      </c>
      <c r="H1958" s="37">
        <v>24</v>
      </c>
      <c r="I1958" s="109">
        <f t="shared" si="431"/>
        <v>498.96</v>
      </c>
      <c r="J1958" s="123">
        <v>500</v>
      </c>
    </row>
    <row r="1959" spans="1:10" x14ac:dyDescent="0.25">
      <c r="A1959" s="31" t="s">
        <v>430</v>
      </c>
      <c r="B1959" s="75" t="s">
        <v>317</v>
      </c>
      <c r="C1959" s="111" t="s">
        <v>156</v>
      </c>
      <c r="D1959" s="111">
        <v>74</v>
      </c>
      <c r="E1959" s="42" t="s">
        <v>79</v>
      </c>
      <c r="F1959" s="74">
        <v>10.6</v>
      </c>
      <c r="G1959" s="36">
        <f t="shared" si="430"/>
        <v>66.78</v>
      </c>
      <c r="H1959" s="37">
        <v>24</v>
      </c>
      <c r="I1959" s="109">
        <f t="shared" si="431"/>
        <v>1602.72</v>
      </c>
      <c r="J1959" s="123">
        <v>1600</v>
      </c>
    </row>
    <row r="1960" spans="1:10" x14ac:dyDescent="0.25">
      <c r="A1960" s="31" t="s">
        <v>430</v>
      </c>
      <c r="B1960" s="37" t="s">
        <v>325</v>
      </c>
      <c r="C1960" s="34" t="s">
        <v>158</v>
      </c>
      <c r="D1960" s="46">
        <v>30.8</v>
      </c>
      <c r="E1960" s="34" t="s">
        <v>79</v>
      </c>
      <c r="F1960" s="74">
        <v>6.6</v>
      </c>
      <c r="G1960" s="36">
        <f t="shared" si="430"/>
        <v>41.58</v>
      </c>
      <c r="H1960" s="37">
        <v>24</v>
      </c>
      <c r="I1960" s="109">
        <f t="shared" si="431"/>
        <v>997.92</v>
      </c>
      <c r="J1960" s="123">
        <v>1000</v>
      </c>
    </row>
    <row r="1961" spans="1:10" ht="15.75" thickBot="1" x14ac:dyDescent="0.3">
      <c r="A1961" s="31" t="s">
        <v>430</v>
      </c>
      <c r="B1961" s="43" t="s">
        <v>326</v>
      </c>
      <c r="C1961" s="52" t="s">
        <v>152</v>
      </c>
      <c r="D1961" s="72">
        <v>2</v>
      </c>
      <c r="E1961" s="42" t="s">
        <v>79</v>
      </c>
      <c r="F1961" s="73">
        <v>8.6999999999999993</v>
      </c>
      <c r="G1961" s="74">
        <f t="shared" si="430"/>
        <v>54.809999999999995</v>
      </c>
      <c r="H1961" s="43">
        <v>24</v>
      </c>
      <c r="I1961" s="328">
        <f t="shared" si="431"/>
        <v>1315.4399999999998</v>
      </c>
      <c r="J1961" s="124">
        <v>1300</v>
      </c>
    </row>
    <row r="1962" spans="1:10" ht="19.5" thickBot="1" x14ac:dyDescent="0.35">
      <c r="A1962" s="206"/>
      <c r="B1962" s="336"/>
      <c r="C1962" s="336"/>
      <c r="D1962" s="336"/>
      <c r="E1962" s="336"/>
      <c r="F1962" s="336"/>
      <c r="G1962" s="337"/>
      <c r="H1962" s="174" t="s">
        <v>171</v>
      </c>
      <c r="I1962" s="238">
        <f>SUM(I1956:I1961)</f>
        <v>6622.5599999999995</v>
      </c>
      <c r="J1962" s="104">
        <f>SUM(J1956:J1961)</f>
        <v>6700</v>
      </c>
    </row>
    <row r="1963" spans="1:10" x14ac:dyDescent="0.25">
      <c r="A1963" s="31" t="s">
        <v>431</v>
      </c>
      <c r="B1963" s="37" t="s">
        <v>322</v>
      </c>
      <c r="C1963" s="34" t="s">
        <v>114</v>
      </c>
      <c r="D1963" s="108">
        <v>17</v>
      </c>
      <c r="E1963" s="34" t="s">
        <v>79</v>
      </c>
      <c r="F1963" s="109">
        <v>5.7</v>
      </c>
      <c r="G1963" s="36">
        <f t="shared" ref="G1963:G1968" si="432">F1963*6.3</f>
        <v>35.909999999999997</v>
      </c>
      <c r="H1963" s="37">
        <v>24</v>
      </c>
      <c r="I1963" s="109">
        <f t="shared" ref="I1963:I1968" si="433">G1963*H1963</f>
        <v>861.83999999999992</v>
      </c>
      <c r="J1963" s="123">
        <v>900</v>
      </c>
    </row>
    <row r="1964" spans="1:10" x14ac:dyDescent="0.25">
      <c r="A1964" s="31" t="s">
        <v>431</v>
      </c>
      <c r="B1964" s="37" t="s">
        <v>323</v>
      </c>
      <c r="C1964" s="34" t="s">
        <v>86</v>
      </c>
      <c r="D1964" s="108">
        <v>33</v>
      </c>
      <c r="E1964" s="34" t="s">
        <v>79</v>
      </c>
      <c r="F1964" s="110">
        <v>8.9</v>
      </c>
      <c r="G1964" s="36">
        <f t="shared" si="432"/>
        <v>56.07</v>
      </c>
      <c r="H1964" s="37">
        <v>24</v>
      </c>
      <c r="I1964" s="109">
        <f t="shared" si="433"/>
        <v>1345.68</v>
      </c>
      <c r="J1964" s="123">
        <v>1400</v>
      </c>
    </row>
    <row r="1965" spans="1:10" x14ac:dyDescent="0.25">
      <c r="A1965" s="31" t="s">
        <v>431</v>
      </c>
      <c r="B1965" s="50" t="s">
        <v>324</v>
      </c>
      <c r="C1965" s="34" t="s">
        <v>75</v>
      </c>
      <c r="D1965" s="108" t="s">
        <v>38</v>
      </c>
      <c r="E1965" s="34" t="s">
        <v>79</v>
      </c>
      <c r="F1965" s="36">
        <v>3.3</v>
      </c>
      <c r="G1965" s="36">
        <f t="shared" si="432"/>
        <v>20.79</v>
      </c>
      <c r="H1965" s="37">
        <v>24</v>
      </c>
      <c r="I1965" s="109">
        <f t="shared" si="433"/>
        <v>498.96</v>
      </c>
      <c r="J1965" s="123">
        <v>500</v>
      </c>
    </row>
    <row r="1966" spans="1:10" x14ac:dyDescent="0.25">
      <c r="A1966" s="31" t="s">
        <v>431</v>
      </c>
      <c r="B1966" s="75" t="s">
        <v>317</v>
      </c>
      <c r="C1966" s="111" t="s">
        <v>156</v>
      </c>
      <c r="D1966" s="111">
        <v>73</v>
      </c>
      <c r="E1966" s="42" t="s">
        <v>79</v>
      </c>
      <c r="F1966" s="74">
        <v>10.55</v>
      </c>
      <c r="G1966" s="36">
        <f t="shared" si="432"/>
        <v>66.465000000000003</v>
      </c>
      <c r="H1966" s="37">
        <v>24</v>
      </c>
      <c r="I1966" s="109">
        <f t="shared" si="433"/>
        <v>1595.16</v>
      </c>
      <c r="J1966" s="123">
        <v>1600</v>
      </c>
    </row>
    <row r="1967" spans="1:10" x14ac:dyDescent="0.25">
      <c r="A1967" s="31" t="s">
        <v>431</v>
      </c>
      <c r="B1967" s="37" t="s">
        <v>325</v>
      </c>
      <c r="C1967" s="34" t="s">
        <v>158</v>
      </c>
      <c r="D1967" s="46">
        <v>28.2</v>
      </c>
      <c r="E1967" s="34" t="s">
        <v>79</v>
      </c>
      <c r="F1967" s="74">
        <v>6.7</v>
      </c>
      <c r="G1967" s="36">
        <f t="shared" si="432"/>
        <v>42.21</v>
      </c>
      <c r="H1967" s="37">
        <v>24</v>
      </c>
      <c r="I1967" s="109">
        <f t="shared" si="433"/>
        <v>1013.04</v>
      </c>
      <c r="J1967" s="123">
        <v>1000</v>
      </c>
    </row>
    <row r="1968" spans="1:10" ht="15.75" thickBot="1" x14ac:dyDescent="0.3">
      <c r="A1968" s="31" t="s">
        <v>431</v>
      </c>
      <c r="B1968" s="43" t="s">
        <v>326</v>
      </c>
      <c r="C1968" s="52" t="s">
        <v>152</v>
      </c>
      <c r="D1968" s="72">
        <v>1.8</v>
      </c>
      <c r="E1968" s="42" t="s">
        <v>79</v>
      </c>
      <c r="F1968" s="73">
        <v>8.6</v>
      </c>
      <c r="G1968" s="74">
        <f t="shared" si="432"/>
        <v>54.18</v>
      </c>
      <c r="H1968" s="43">
        <v>24</v>
      </c>
      <c r="I1968" s="328">
        <f t="shared" si="433"/>
        <v>1300.32</v>
      </c>
      <c r="J1968" s="124">
        <v>1300</v>
      </c>
    </row>
    <row r="1969" spans="1:11" ht="19.5" thickBot="1" x14ac:dyDescent="0.35">
      <c r="A1969" s="206"/>
      <c r="B1969" s="336"/>
      <c r="C1969" s="336"/>
      <c r="D1969" s="336"/>
      <c r="E1969" s="336"/>
      <c r="F1969" s="336"/>
      <c r="G1969" s="337"/>
      <c r="H1969" s="174" t="s">
        <v>171</v>
      </c>
      <c r="I1969" s="238">
        <f>SUM(I1963:I1968)</f>
        <v>6615</v>
      </c>
      <c r="J1969" s="104">
        <f>SUM(J1963:J1968)</f>
        <v>6700</v>
      </c>
    </row>
    <row r="1970" spans="1:11" x14ac:dyDescent="0.25">
      <c r="A1970" s="31" t="s">
        <v>432</v>
      </c>
      <c r="B1970" s="37" t="s">
        <v>322</v>
      </c>
      <c r="C1970" s="34" t="s">
        <v>114</v>
      </c>
      <c r="D1970" s="108">
        <v>15.4</v>
      </c>
      <c r="E1970" s="34" t="s">
        <v>79</v>
      </c>
      <c r="F1970" s="109">
        <v>5.6</v>
      </c>
      <c r="G1970" s="36">
        <f t="shared" ref="G1970:G1975" si="434">F1970*6.3</f>
        <v>35.279999999999994</v>
      </c>
      <c r="H1970" s="37">
        <v>24</v>
      </c>
      <c r="I1970" s="109">
        <f t="shared" ref="I1970:I1975" si="435">G1970*H1970</f>
        <v>846.7199999999998</v>
      </c>
      <c r="J1970" s="123">
        <v>900</v>
      </c>
    </row>
    <row r="1971" spans="1:11" x14ac:dyDescent="0.25">
      <c r="A1971" s="31" t="s">
        <v>432</v>
      </c>
      <c r="B1971" s="37" t="s">
        <v>323</v>
      </c>
      <c r="C1971" s="34" t="s">
        <v>86</v>
      </c>
      <c r="D1971" s="108">
        <v>33</v>
      </c>
      <c r="E1971" s="34" t="s">
        <v>79</v>
      </c>
      <c r="F1971" s="110">
        <v>8.9</v>
      </c>
      <c r="G1971" s="36">
        <f t="shared" si="434"/>
        <v>56.07</v>
      </c>
      <c r="H1971" s="37">
        <v>24</v>
      </c>
      <c r="I1971" s="109">
        <f t="shared" si="435"/>
        <v>1345.68</v>
      </c>
      <c r="J1971" s="123">
        <v>1400</v>
      </c>
    </row>
    <row r="1972" spans="1:11" x14ac:dyDescent="0.25">
      <c r="A1972" s="31" t="s">
        <v>432</v>
      </c>
      <c r="B1972" s="50" t="s">
        <v>324</v>
      </c>
      <c r="C1972" s="34" t="s">
        <v>75</v>
      </c>
      <c r="D1972" s="108" t="s">
        <v>38</v>
      </c>
      <c r="E1972" s="34" t="s">
        <v>79</v>
      </c>
      <c r="F1972" s="36">
        <v>3.3</v>
      </c>
      <c r="G1972" s="36">
        <f t="shared" si="434"/>
        <v>20.79</v>
      </c>
      <c r="H1972" s="37">
        <v>24</v>
      </c>
      <c r="I1972" s="109">
        <f t="shared" si="435"/>
        <v>498.96</v>
      </c>
      <c r="J1972" s="123">
        <v>500</v>
      </c>
    </row>
    <row r="1973" spans="1:11" x14ac:dyDescent="0.25">
      <c r="A1973" s="31" t="s">
        <v>432</v>
      </c>
      <c r="B1973" s="75" t="s">
        <v>317</v>
      </c>
      <c r="C1973" s="111" t="s">
        <v>156</v>
      </c>
      <c r="D1973" s="111">
        <v>73</v>
      </c>
      <c r="E1973" s="42" t="s">
        <v>79</v>
      </c>
      <c r="F1973" s="74">
        <v>10.5</v>
      </c>
      <c r="G1973" s="36">
        <f t="shared" si="434"/>
        <v>66.149999999999991</v>
      </c>
      <c r="H1973" s="37">
        <v>24</v>
      </c>
      <c r="I1973" s="109">
        <f t="shared" si="435"/>
        <v>1587.6</v>
      </c>
      <c r="J1973" s="123">
        <v>1600</v>
      </c>
    </row>
    <row r="1974" spans="1:11" x14ac:dyDescent="0.25">
      <c r="A1974" s="31" t="s">
        <v>432</v>
      </c>
      <c r="B1974" s="37" t="s">
        <v>325</v>
      </c>
      <c r="C1974" s="34" t="s">
        <v>158</v>
      </c>
      <c r="D1974" s="46">
        <v>27.6</v>
      </c>
      <c r="E1974" s="34" t="s">
        <v>79</v>
      </c>
      <c r="F1974" s="74">
        <v>6.65</v>
      </c>
      <c r="G1974" s="36">
        <f t="shared" si="434"/>
        <v>41.895000000000003</v>
      </c>
      <c r="H1974" s="37">
        <v>24</v>
      </c>
      <c r="I1974" s="109">
        <f t="shared" si="435"/>
        <v>1005.48</v>
      </c>
      <c r="J1974" s="123">
        <v>1000</v>
      </c>
    </row>
    <row r="1975" spans="1:11" ht="15.75" thickBot="1" x14ac:dyDescent="0.3">
      <c r="A1975" s="31" t="s">
        <v>432</v>
      </c>
      <c r="B1975" s="43" t="s">
        <v>326</v>
      </c>
      <c r="C1975" s="52" t="s">
        <v>152</v>
      </c>
      <c r="D1975" s="72">
        <v>1.8</v>
      </c>
      <c r="E1975" s="42" t="s">
        <v>79</v>
      </c>
      <c r="F1975" s="73">
        <v>8.6</v>
      </c>
      <c r="G1975" s="74">
        <f t="shared" si="434"/>
        <v>54.18</v>
      </c>
      <c r="H1975" s="43">
        <v>24</v>
      </c>
      <c r="I1975" s="328">
        <f t="shared" si="435"/>
        <v>1300.32</v>
      </c>
      <c r="J1975" s="124">
        <v>1300</v>
      </c>
    </row>
    <row r="1976" spans="1:11" ht="19.5" thickBot="1" x14ac:dyDescent="0.35">
      <c r="A1976" s="206"/>
      <c r="B1976" s="336"/>
      <c r="C1976" s="336"/>
      <c r="D1976" s="336"/>
      <c r="E1976" s="336"/>
      <c r="F1976" s="336"/>
      <c r="G1976" s="337"/>
      <c r="H1976" s="174" t="s">
        <v>171</v>
      </c>
      <c r="I1976" s="238">
        <f>SUM(I1970:I1975)</f>
        <v>6584.7599999999984</v>
      </c>
      <c r="J1976" s="104">
        <f>SUM(J1970:J1975)</f>
        <v>6700</v>
      </c>
    </row>
    <row r="1977" spans="1:11" x14ac:dyDescent="0.25">
      <c r="A1977" s="31" t="s">
        <v>433</v>
      </c>
      <c r="B1977" s="37" t="s">
        <v>322</v>
      </c>
      <c r="C1977" s="34" t="s">
        <v>114</v>
      </c>
      <c r="D1977" s="108">
        <v>13.5</v>
      </c>
      <c r="E1977" s="34" t="s">
        <v>79</v>
      </c>
      <c r="F1977" s="109">
        <v>5.2</v>
      </c>
      <c r="G1977" s="36">
        <f t="shared" ref="G1977:G1982" si="436">F1977*6.3</f>
        <v>32.76</v>
      </c>
      <c r="H1977" s="37">
        <v>24</v>
      </c>
      <c r="I1977" s="109">
        <f t="shared" ref="I1977:I1982" si="437">G1977*H1977</f>
        <v>786.24</v>
      </c>
      <c r="J1977" s="123">
        <v>900</v>
      </c>
    </row>
    <row r="1978" spans="1:11" x14ac:dyDescent="0.25">
      <c r="A1978" s="31" t="s">
        <v>433</v>
      </c>
      <c r="B1978" s="37" t="s">
        <v>323</v>
      </c>
      <c r="C1978" s="34" t="s">
        <v>86</v>
      </c>
      <c r="D1978" s="108">
        <v>27.5</v>
      </c>
      <c r="E1978" s="34" t="s">
        <v>79</v>
      </c>
      <c r="F1978" s="110">
        <v>8.6</v>
      </c>
      <c r="G1978" s="36">
        <f t="shared" si="436"/>
        <v>54.18</v>
      </c>
      <c r="H1978" s="37">
        <v>24</v>
      </c>
      <c r="I1978" s="109">
        <f t="shared" si="437"/>
        <v>1300.32</v>
      </c>
      <c r="J1978" s="123">
        <v>1400</v>
      </c>
    </row>
    <row r="1979" spans="1:11" x14ac:dyDescent="0.25">
      <c r="A1979" s="31" t="s">
        <v>433</v>
      </c>
      <c r="B1979" s="50" t="s">
        <v>324</v>
      </c>
      <c r="C1979" s="34" t="s">
        <v>75</v>
      </c>
      <c r="D1979" s="108" t="s">
        <v>38</v>
      </c>
      <c r="E1979" s="34" t="s">
        <v>79</v>
      </c>
      <c r="F1979" s="36">
        <v>3.3</v>
      </c>
      <c r="G1979" s="36">
        <f t="shared" si="436"/>
        <v>20.79</v>
      </c>
      <c r="H1979" s="37">
        <v>24</v>
      </c>
      <c r="I1979" s="109">
        <f t="shared" si="437"/>
        <v>498.96</v>
      </c>
      <c r="J1979" s="123">
        <v>500</v>
      </c>
    </row>
    <row r="1980" spans="1:11" x14ac:dyDescent="0.25">
      <c r="A1980" s="31" t="s">
        <v>433</v>
      </c>
      <c r="B1980" s="75" t="s">
        <v>317</v>
      </c>
      <c r="C1980" s="111" t="s">
        <v>156</v>
      </c>
      <c r="D1980" s="111">
        <v>68</v>
      </c>
      <c r="E1980" s="42" t="s">
        <v>79</v>
      </c>
      <c r="F1980" s="74">
        <v>10.4</v>
      </c>
      <c r="G1980" s="36">
        <f t="shared" si="436"/>
        <v>65.52</v>
      </c>
      <c r="H1980" s="37">
        <v>24</v>
      </c>
      <c r="I1980" s="109">
        <f t="shared" si="437"/>
        <v>1572.48</v>
      </c>
      <c r="J1980" s="123">
        <v>1600</v>
      </c>
    </row>
    <row r="1981" spans="1:11" x14ac:dyDescent="0.25">
      <c r="A1981" s="31" t="s">
        <v>433</v>
      </c>
      <c r="B1981" s="37" t="s">
        <v>325</v>
      </c>
      <c r="C1981" s="34" t="s">
        <v>158</v>
      </c>
      <c r="D1981" s="46">
        <v>24.4</v>
      </c>
      <c r="E1981" s="34" t="s">
        <v>79</v>
      </c>
      <c r="F1981" s="74">
        <v>6.5</v>
      </c>
      <c r="G1981" s="36">
        <f t="shared" si="436"/>
        <v>40.949999999999996</v>
      </c>
      <c r="H1981" s="37">
        <v>24</v>
      </c>
      <c r="I1981" s="109">
        <f t="shared" si="437"/>
        <v>982.8</v>
      </c>
      <c r="J1981" s="123">
        <v>1000</v>
      </c>
    </row>
    <row r="1982" spans="1:11" ht="15.75" thickBot="1" x14ac:dyDescent="0.3">
      <c r="A1982" s="31" t="s">
        <v>433</v>
      </c>
      <c r="B1982" s="43" t="s">
        <v>326</v>
      </c>
      <c r="C1982" s="52" t="s">
        <v>152</v>
      </c>
      <c r="D1982" s="72">
        <v>1.5</v>
      </c>
      <c r="E1982" s="42" t="s">
        <v>79</v>
      </c>
      <c r="F1982" s="73">
        <v>8.6</v>
      </c>
      <c r="G1982" s="74">
        <f t="shared" si="436"/>
        <v>54.18</v>
      </c>
      <c r="H1982" s="43">
        <v>24</v>
      </c>
      <c r="I1982" s="328">
        <f t="shared" si="437"/>
        <v>1300.32</v>
      </c>
      <c r="J1982" s="124">
        <v>1300</v>
      </c>
    </row>
    <row r="1983" spans="1:11" ht="19.5" thickBot="1" x14ac:dyDescent="0.35">
      <c r="A1983" s="206"/>
      <c r="B1983" s="336"/>
      <c r="C1983" s="336"/>
      <c r="D1983" s="336"/>
      <c r="E1983" s="336"/>
      <c r="F1983" s="336"/>
      <c r="G1983" s="337"/>
      <c r="H1983" s="174" t="s">
        <v>171</v>
      </c>
      <c r="I1983" s="238">
        <f>SUM(I1977:I1982)</f>
        <v>6441.12</v>
      </c>
      <c r="J1983" s="104">
        <f>SUM(J1977:J1982)</f>
        <v>6700</v>
      </c>
      <c r="K1983" s="325" t="s">
        <v>434</v>
      </c>
    </row>
    <row r="1984" spans="1:11" x14ac:dyDescent="0.25">
      <c r="A1984" s="31" t="s">
        <v>435</v>
      </c>
      <c r="B1984" s="37" t="s">
        <v>322</v>
      </c>
      <c r="C1984" s="34" t="s">
        <v>114</v>
      </c>
      <c r="D1984" s="108">
        <v>13.8</v>
      </c>
      <c r="E1984" s="34" t="s">
        <v>79</v>
      </c>
      <c r="F1984" s="109">
        <v>5.8</v>
      </c>
      <c r="G1984" s="36">
        <f t="shared" ref="G1984:G1989" si="438">F1984*6.3</f>
        <v>36.54</v>
      </c>
      <c r="H1984" s="37">
        <v>24</v>
      </c>
      <c r="I1984" s="109">
        <f t="shared" ref="I1984:I1989" si="439">G1984*H1984</f>
        <v>876.96</v>
      </c>
      <c r="J1984" s="123">
        <v>900</v>
      </c>
    </row>
    <row r="1985" spans="1:10" x14ac:dyDescent="0.25">
      <c r="A1985" s="31" t="s">
        <v>435</v>
      </c>
      <c r="B1985" s="37" t="s">
        <v>323</v>
      </c>
      <c r="C1985" s="34" t="s">
        <v>86</v>
      </c>
      <c r="D1985" s="108">
        <v>29.6</v>
      </c>
      <c r="E1985" s="34" t="s">
        <v>79</v>
      </c>
      <c r="F1985" s="110">
        <v>9.1</v>
      </c>
      <c r="G1985" s="36">
        <f t="shared" si="438"/>
        <v>57.33</v>
      </c>
      <c r="H1985" s="37">
        <v>24</v>
      </c>
      <c r="I1985" s="109">
        <f t="shared" si="439"/>
        <v>1375.92</v>
      </c>
      <c r="J1985" s="123">
        <v>1400</v>
      </c>
    </row>
    <row r="1986" spans="1:10" x14ac:dyDescent="0.25">
      <c r="A1986" s="31" t="s">
        <v>435</v>
      </c>
      <c r="B1986" s="50" t="s">
        <v>324</v>
      </c>
      <c r="C1986" s="34" t="s">
        <v>75</v>
      </c>
      <c r="D1986" s="108" t="s">
        <v>38</v>
      </c>
      <c r="E1986" s="34" t="s">
        <v>79</v>
      </c>
      <c r="F1986" s="36">
        <v>3.3</v>
      </c>
      <c r="G1986" s="36">
        <f t="shared" si="438"/>
        <v>20.79</v>
      </c>
      <c r="H1986" s="37">
        <v>24</v>
      </c>
      <c r="I1986" s="109">
        <f t="shared" si="439"/>
        <v>498.96</v>
      </c>
      <c r="J1986" s="123">
        <v>500</v>
      </c>
    </row>
    <row r="1987" spans="1:10" x14ac:dyDescent="0.25">
      <c r="A1987" s="31" t="s">
        <v>435</v>
      </c>
      <c r="B1987" s="75" t="s">
        <v>317</v>
      </c>
      <c r="C1987" s="111" t="s">
        <v>156</v>
      </c>
      <c r="D1987" s="111">
        <v>73</v>
      </c>
      <c r="E1987" s="42" t="s">
        <v>79</v>
      </c>
      <c r="F1987" s="74">
        <v>10.6</v>
      </c>
      <c r="G1987" s="36">
        <f t="shared" si="438"/>
        <v>66.78</v>
      </c>
      <c r="H1987" s="37">
        <v>24</v>
      </c>
      <c r="I1987" s="109">
        <f t="shared" si="439"/>
        <v>1602.72</v>
      </c>
      <c r="J1987" s="123">
        <v>1600</v>
      </c>
    </row>
    <row r="1988" spans="1:10" x14ac:dyDescent="0.25">
      <c r="A1988" s="31" t="s">
        <v>435</v>
      </c>
      <c r="B1988" s="37" t="s">
        <v>325</v>
      </c>
      <c r="C1988" s="34" t="s">
        <v>158</v>
      </c>
      <c r="D1988" s="46">
        <v>24.4</v>
      </c>
      <c r="E1988" s="34" t="s">
        <v>79</v>
      </c>
      <c r="F1988" s="74">
        <v>6.6</v>
      </c>
      <c r="G1988" s="36">
        <f t="shared" si="438"/>
        <v>41.58</v>
      </c>
      <c r="H1988" s="37">
        <v>24</v>
      </c>
      <c r="I1988" s="109">
        <f t="shared" si="439"/>
        <v>997.92</v>
      </c>
      <c r="J1988" s="123">
        <v>1000</v>
      </c>
    </row>
    <row r="1989" spans="1:10" ht="15.75" thickBot="1" x14ac:dyDescent="0.3">
      <c r="A1989" s="31" t="s">
        <v>435</v>
      </c>
      <c r="B1989" s="43" t="s">
        <v>326</v>
      </c>
      <c r="C1989" s="52" t="s">
        <v>152</v>
      </c>
      <c r="D1989" s="72">
        <v>1.5</v>
      </c>
      <c r="E1989" s="42" t="s">
        <v>79</v>
      </c>
      <c r="F1989" s="73">
        <v>8.5500000000000007</v>
      </c>
      <c r="G1989" s="74">
        <f t="shared" si="438"/>
        <v>53.865000000000002</v>
      </c>
      <c r="H1989" s="43">
        <v>24</v>
      </c>
      <c r="I1989" s="328">
        <f t="shared" si="439"/>
        <v>1292.76</v>
      </c>
      <c r="J1989" s="124">
        <v>1300</v>
      </c>
    </row>
    <row r="1990" spans="1:10" ht="19.5" thickBot="1" x14ac:dyDescent="0.35">
      <c r="A1990" s="206"/>
      <c r="B1990" s="336"/>
      <c r="C1990" s="336"/>
      <c r="D1990" s="336"/>
      <c r="E1990" s="336"/>
      <c r="F1990" s="336"/>
      <c r="G1990" s="337"/>
      <c r="H1990" s="174" t="s">
        <v>171</v>
      </c>
      <c r="I1990" s="238">
        <f>SUM(I1984:I1989)</f>
        <v>6645.2400000000007</v>
      </c>
      <c r="J1990" s="104">
        <f>SUM(J1984:J1989)</f>
        <v>6700</v>
      </c>
    </row>
    <row r="1991" spans="1:10" x14ac:dyDescent="0.25">
      <c r="A1991" s="31" t="s">
        <v>436</v>
      </c>
      <c r="B1991" s="37" t="s">
        <v>322</v>
      </c>
      <c r="C1991" s="34" t="s">
        <v>114</v>
      </c>
      <c r="D1991" s="108">
        <v>13.2</v>
      </c>
      <c r="E1991" s="34" t="s">
        <v>79</v>
      </c>
      <c r="F1991" s="109">
        <v>5.7</v>
      </c>
      <c r="G1991" s="36">
        <f t="shared" ref="G1991:G1996" si="440">F1991*6.3</f>
        <v>35.909999999999997</v>
      </c>
      <c r="H1991" s="37">
        <v>24</v>
      </c>
      <c r="I1991" s="109">
        <f t="shared" ref="I1991:I1996" si="441">G1991*H1991</f>
        <v>861.83999999999992</v>
      </c>
      <c r="J1991" s="123">
        <v>900</v>
      </c>
    </row>
    <row r="1992" spans="1:10" x14ac:dyDescent="0.25">
      <c r="A1992" s="31" t="s">
        <v>436</v>
      </c>
      <c r="B1992" s="37" t="s">
        <v>323</v>
      </c>
      <c r="C1992" s="34" t="s">
        <v>86</v>
      </c>
      <c r="D1992" s="108">
        <v>28.6</v>
      </c>
      <c r="E1992" s="34" t="s">
        <v>79</v>
      </c>
      <c r="F1992" s="110">
        <v>9.1999999999999993</v>
      </c>
      <c r="G1992" s="36">
        <f t="shared" si="440"/>
        <v>57.959999999999994</v>
      </c>
      <c r="H1992" s="37">
        <v>24</v>
      </c>
      <c r="I1992" s="109">
        <f t="shared" si="441"/>
        <v>1391.04</v>
      </c>
      <c r="J1992" s="123">
        <v>1400</v>
      </c>
    </row>
    <row r="1993" spans="1:10" x14ac:dyDescent="0.25">
      <c r="A1993" s="31" t="s">
        <v>436</v>
      </c>
      <c r="B1993" s="50" t="s">
        <v>324</v>
      </c>
      <c r="C1993" s="34" t="s">
        <v>75</v>
      </c>
      <c r="D1993" s="108" t="s">
        <v>38</v>
      </c>
      <c r="E1993" s="34" t="s">
        <v>79</v>
      </c>
      <c r="F1993" s="36">
        <v>3.3</v>
      </c>
      <c r="G1993" s="36">
        <f t="shared" si="440"/>
        <v>20.79</v>
      </c>
      <c r="H1993" s="37">
        <v>24</v>
      </c>
      <c r="I1993" s="109">
        <f t="shared" si="441"/>
        <v>498.96</v>
      </c>
      <c r="J1993" s="123">
        <v>500</v>
      </c>
    </row>
    <row r="1994" spans="1:10" x14ac:dyDescent="0.25">
      <c r="A1994" s="31" t="s">
        <v>436</v>
      </c>
      <c r="B1994" s="75" t="s">
        <v>317</v>
      </c>
      <c r="C1994" s="111" t="s">
        <v>156</v>
      </c>
      <c r="D1994" s="111">
        <v>73</v>
      </c>
      <c r="E1994" s="42" t="s">
        <v>79</v>
      </c>
      <c r="F1994" s="74">
        <v>10.6</v>
      </c>
      <c r="G1994" s="36">
        <f t="shared" si="440"/>
        <v>66.78</v>
      </c>
      <c r="H1994" s="37">
        <v>24</v>
      </c>
      <c r="I1994" s="109">
        <f t="shared" si="441"/>
        <v>1602.72</v>
      </c>
      <c r="J1994" s="123">
        <v>1600</v>
      </c>
    </row>
    <row r="1995" spans="1:10" x14ac:dyDescent="0.25">
      <c r="A1995" s="31" t="s">
        <v>436</v>
      </c>
      <c r="B1995" s="37" t="s">
        <v>325</v>
      </c>
      <c r="C1995" s="34" t="s">
        <v>158</v>
      </c>
      <c r="D1995" s="46">
        <v>24.8</v>
      </c>
      <c r="E1995" s="34" t="s">
        <v>79</v>
      </c>
      <c r="F1995" s="74">
        <v>6.5</v>
      </c>
      <c r="G1995" s="36">
        <f t="shared" si="440"/>
        <v>40.949999999999996</v>
      </c>
      <c r="H1995" s="37">
        <v>24</v>
      </c>
      <c r="I1995" s="109">
        <f t="shared" si="441"/>
        <v>982.8</v>
      </c>
      <c r="J1995" s="123">
        <v>1000</v>
      </c>
    </row>
    <row r="1996" spans="1:10" ht="15.75" thickBot="1" x14ac:dyDescent="0.3">
      <c r="A1996" s="31" t="s">
        <v>436</v>
      </c>
      <c r="B1996" s="43" t="s">
        <v>326</v>
      </c>
      <c r="C1996" s="52" t="s">
        <v>152</v>
      </c>
      <c r="D1996" s="72">
        <v>1.8</v>
      </c>
      <c r="E1996" s="42" t="s">
        <v>79</v>
      </c>
      <c r="F1996" s="73">
        <v>8.5</v>
      </c>
      <c r="G1996" s="74">
        <f t="shared" si="440"/>
        <v>53.55</v>
      </c>
      <c r="H1996" s="43">
        <v>24</v>
      </c>
      <c r="I1996" s="328">
        <f t="shared" si="441"/>
        <v>1285.1999999999998</v>
      </c>
      <c r="J1996" s="124">
        <v>1300</v>
      </c>
    </row>
    <row r="1997" spans="1:10" ht="19.5" thickBot="1" x14ac:dyDescent="0.35">
      <c r="A1997" s="206"/>
      <c r="B1997" s="336"/>
      <c r="C1997" s="336"/>
      <c r="D1997" s="336"/>
      <c r="E1997" s="336"/>
      <c r="F1997" s="336"/>
      <c r="G1997" s="337"/>
      <c r="H1997" s="174" t="s">
        <v>171</v>
      </c>
      <c r="I1997" s="238">
        <f>SUM(I1991:I1996)</f>
        <v>6622.56</v>
      </c>
      <c r="J1997" s="104">
        <f>SUM(J1991:J1996)</f>
        <v>6700</v>
      </c>
    </row>
    <row r="1998" spans="1:10" x14ac:dyDescent="0.25">
      <c r="A1998" s="31" t="s">
        <v>437</v>
      </c>
      <c r="B1998" s="37" t="s">
        <v>322</v>
      </c>
      <c r="C1998" s="34" t="s">
        <v>114</v>
      </c>
      <c r="D1998" s="108">
        <v>18</v>
      </c>
      <c r="E1998" s="34" t="s">
        <v>79</v>
      </c>
      <c r="F1998" s="109">
        <v>5.85</v>
      </c>
      <c r="G1998" s="36">
        <f t="shared" ref="G1998:G2003" si="442">F1998*6.3</f>
        <v>36.854999999999997</v>
      </c>
      <c r="H1998" s="37">
        <v>24</v>
      </c>
      <c r="I1998" s="109">
        <f t="shared" ref="I1998:I2003" si="443">G1998*H1998</f>
        <v>884.52</v>
      </c>
      <c r="J1998" s="123">
        <v>900</v>
      </c>
    </row>
    <row r="1999" spans="1:10" x14ac:dyDescent="0.25">
      <c r="A1999" s="31" t="s">
        <v>437</v>
      </c>
      <c r="B1999" s="37" t="s">
        <v>323</v>
      </c>
      <c r="C1999" s="34" t="s">
        <v>86</v>
      </c>
      <c r="D1999" s="108">
        <v>34.200000000000003</v>
      </c>
      <c r="E1999" s="34" t="s">
        <v>79</v>
      </c>
      <c r="F1999" s="110">
        <v>9.1999999999999993</v>
      </c>
      <c r="G1999" s="36">
        <f t="shared" si="442"/>
        <v>57.959999999999994</v>
      </c>
      <c r="H1999" s="37">
        <v>24</v>
      </c>
      <c r="I1999" s="109">
        <f t="shared" si="443"/>
        <v>1391.04</v>
      </c>
      <c r="J1999" s="123">
        <v>1400</v>
      </c>
    </row>
    <row r="2000" spans="1:10" x14ac:dyDescent="0.25">
      <c r="A2000" s="31" t="s">
        <v>437</v>
      </c>
      <c r="B2000" s="50" t="s">
        <v>324</v>
      </c>
      <c r="C2000" s="34" t="s">
        <v>75</v>
      </c>
      <c r="D2000" s="108" t="s">
        <v>38</v>
      </c>
      <c r="E2000" s="34" t="s">
        <v>79</v>
      </c>
      <c r="F2000" s="36">
        <v>3.3</v>
      </c>
      <c r="G2000" s="36">
        <f t="shared" si="442"/>
        <v>20.79</v>
      </c>
      <c r="H2000" s="37">
        <v>24</v>
      </c>
      <c r="I2000" s="109">
        <f t="shared" si="443"/>
        <v>498.96</v>
      </c>
      <c r="J2000" s="123">
        <v>500</v>
      </c>
    </row>
    <row r="2001" spans="1:10" x14ac:dyDescent="0.25">
      <c r="A2001" s="31" t="s">
        <v>437</v>
      </c>
      <c r="B2001" s="75" t="s">
        <v>317</v>
      </c>
      <c r="C2001" s="111" t="s">
        <v>156</v>
      </c>
      <c r="D2001" s="111">
        <v>73</v>
      </c>
      <c r="E2001" s="42" t="s">
        <v>79</v>
      </c>
      <c r="F2001" s="74">
        <v>10.4</v>
      </c>
      <c r="G2001" s="36">
        <f t="shared" si="442"/>
        <v>65.52</v>
      </c>
      <c r="H2001" s="37">
        <v>24</v>
      </c>
      <c r="I2001" s="109">
        <f t="shared" si="443"/>
        <v>1572.48</v>
      </c>
      <c r="J2001" s="123">
        <v>1600</v>
      </c>
    </row>
    <row r="2002" spans="1:10" x14ac:dyDescent="0.25">
      <c r="A2002" s="31" t="s">
        <v>437</v>
      </c>
      <c r="B2002" s="37" t="s">
        <v>325</v>
      </c>
      <c r="C2002" s="34" t="s">
        <v>158</v>
      </c>
      <c r="D2002" s="46">
        <v>28</v>
      </c>
      <c r="E2002" s="34" t="s">
        <v>79</v>
      </c>
      <c r="F2002" s="74">
        <v>6.5</v>
      </c>
      <c r="G2002" s="36">
        <f t="shared" si="442"/>
        <v>40.949999999999996</v>
      </c>
      <c r="H2002" s="37">
        <v>24</v>
      </c>
      <c r="I2002" s="109">
        <f t="shared" si="443"/>
        <v>982.8</v>
      </c>
      <c r="J2002" s="123">
        <v>1000</v>
      </c>
    </row>
    <row r="2003" spans="1:10" x14ac:dyDescent="0.25">
      <c r="A2003" s="31" t="s">
        <v>437</v>
      </c>
      <c r="B2003" s="43" t="s">
        <v>326</v>
      </c>
      <c r="C2003" s="52" t="s">
        <v>152</v>
      </c>
      <c r="D2003" s="72">
        <v>2</v>
      </c>
      <c r="E2003" s="42" t="s">
        <v>79</v>
      </c>
      <c r="F2003" s="73">
        <v>8.6</v>
      </c>
      <c r="G2003" s="74">
        <f t="shared" si="442"/>
        <v>54.18</v>
      </c>
      <c r="H2003" s="43">
        <v>24</v>
      </c>
      <c r="I2003" s="328">
        <f t="shared" si="443"/>
        <v>1300.32</v>
      </c>
      <c r="J2003" s="124">
        <v>1300</v>
      </c>
    </row>
    <row r="2004" spans="1:10" ht="18.75" x14ac:dyDescent="0.3">
      <c r="A2004" s="222"/>
      <c r="B2004" s="352"/>
      <c r="C2004" s="352"/>
      <c r="D2004" s="352"/>
      <c r="E2004" s="352"/>
      <c r="F2004" s="352"/>
      <c r="G2004" s="353"/>
      <c r="H2004" s="99" t="s">
        <v>171</v>
      </c>
      <c r="I2004" s="330">
        <f>SUM(I1998:I2003)</f>
        <v>6630.12</v>
      </c>
      <c r="J2004" s="33">
        <f>SUM(J1998:J2003)</f>
        <v>6700</v>
      </c>
    </row>
    <row r="2005" spans="1:10" x14ac:dyDescent="0.25">
      <c r="A2005" s="31" t="s">
        <v>438</v>
      </c>
      <c r="B2005" s="37" t="s">
        <v>322</v>
      </c>
      <c r="C2005" s="34" t="s">
        <v>114</v>
      </c>
      <c r="D2005" s="108">
        <v>20</v>
      </c>
      <c r="E2005" s="34" t="s">
        <v>79</v>
      </c>
      <c r="F2005" s="109">
        <v>5.95</v>
      </c>
      <c r="G2005" s="36">
        <f t="shared" ref="G2005:G2010" si="444">F2005*6.3</f>
        <v>37.484999999999999</v>
      </c>
      <c r="H2005" s="37">
        <v>24</v>
      </c>
      <c r="I2005" s="109">
        <f t="shared" ref="I2005:I2010" si="445">G2005*H2005</f>
        <v>899.64</v>
      </c>
      <c r="J2005" s="123">
        <v>900</v>
      </c>
    </row>
    <row r="2006" spans="1:10" x14ac:dyDescent="0.25">
      <c r="A2006" s="31" t="s">
        <v>438</v>
      </c>
      <c r="B2006" s="37" t="s">
        <v>323</v>
      </c>
      <c r="C2006" s="34" t="s">
        <v>86</v>
      </c>
      <c r="D2006" s="108">
        <v>32</v>
      </c>
      <c r="E2006" s="34" t="s">
        <v>79</v>
      </c>
      <c r="F2006" s="110">
        <v>9</v>
      </c>
      <c r="G2006" s="36">
        <f t="shared" si="444"/>
        <v>56.699999999999996</v>
      </c>
      <c r="H2006" s="37">
        <v>24</v>
      </c>
      <c r="I2006" s="109">
        <f t="shared" si="445"/>
        <v>1360.8</v>
      </c>
      <c r="J2006" s="123">
        <v>1400</v>
      </c>
    </row>
    <row r="2007" spans="1:10" x14ac:dyDescent="0.25">
      <c r="A2007" s="31" t="s">
        <v>438</v>
      </c>
      <c r="B2007" s="50" t="s">
        <v>324</v>
      </c>
      <c r="C2007" s="34" t="s">
        <v>75</v>
      </c>
      <c r="D2007" s="108" t="s">
        <v>38</v>
      </c>
      <c r="E2007" s="34" t="s">
        <v>79</v>
      </c>
      <c r="F2007" s="36">
        <v>3.3</v>
      </c>
      <c r="G2007" s="36">
        <f t="shared" si="444"/>
        <v>20.79</v>
      </c>
      <c r="H2007" s="37">
        <v>24</v>
      </c>
      <c r="I2007" s="109">
        <f t="shared" si="445"/>
        <v>498.96</v>
      </c>
      <c r="J2007" s="123">
        <v>500</v>
      </c>
    </row>
    <row r="2008" spans="1:10" x14ac:dyDescent="0.25">
      <c r="A2008" s="31" t="s">
        <v>438</v>
      </c>
      <c r="B2008" s="75" t="s">
        <v>317</v>
      </c>
      <c r="C2008" s="111" t="s">
        <v>156</v>
      </c>
      <c r="D2008" s="111">
        <v>73</v>
      </c>
      <c r="E2008" s="42" t="s">
        <v>79</v>
      </c>
      <c r="F2008" s="74">
        <v>10.6</v>
      </c>
      <c r="G2008" s="36">
        <f t="shared" si="444"/>
        <v>66.78</v>
      </c>
      <c r="H2008" s="37">
        <v>24</v>
      </c>
      <c r="I2008" s="109">
        <f t="shared" si="445"/>
        <v>1602.72</v>
      </c>
      <c r="J2008" s="123">
        <v>1600</v>
      </c>
    </row>
    <row r="2009" spans="1:10" x14ac:dyDescent="0.25">
      <c r="A2009" s="31" t="s">
        <v>438</v>
      </c>
      <c r="B2009" s="37" t="s">
        <v>325</v>
      </c>
      <c r="C2009" s="34" t="s">
        <v>158</v>
      </c>
      <c r="D2009" s="46">
        <v>25</v>
      </c>
      <c r="E2009" s="34" t="s">
        <v>79</v>
      </c>
      <c r="F2009" s="74">
        <v>6.5</v>
      </c>
      <c r="G2009" s="36">
        <f t="shared" si="444"/>
        <v>40.949999999999996</v>
      </c>
      <c r="H2009" s="37">
        <v>24</v>
      </c>
      <c r="I2009" s="109">
        <f t="shared" si="445"/>
        <v>982.8</v>
      </c>
      <c r="J2009" s="123">
        <v>1000</v>
      </c>
    </row>
    <row r="2010" spans="1:10" ht="15.75" thickBot="1" x14ac:dyDescent="0.3">
      <c r="A2010" s="31" t="s">
        <v>438</v>
      </c>
      <c r="B2010" s="43" t="s">
        <v>326</v>
      </c>
      <c r="C2010" s="52" t="s">
        <v>152</v>
      </c>
      <c r="D2010" s="72">
        <v>2.2000000000000002</v>
      </c>
      <c r="E2010" s="42" t="s">
        <v>79</v>
      </c>
      <c r="F2010" s="73">
        <v>8.5</v>
      </c>
      <c r="G2010" s="74">
        <f t="shared" si="444"/>
        <v>53.55</v>
      </c>
      <c r="H2010" s="43">
        <v>24</v>
      </c>
      <c r="I2010" s="328">
        <f t="shared" si="445"/>
        <v>1285.1999999999998</v>
      </c>
      <c r="J2010" s="124">
        <v>1300</v>
      </c>
    </row>
    <row r="2011" spans="1:10" ht="19.5" thickBot="1" x14ac:dyDescent="0.35">
      <c r="A2011" s="206"/>
      <c r="B2011" s="336"/>
      <c r="C2011" s="336"/>
      <c r="D2011" s="336"/>
      <c r="E2011" s="336"/>
      <c r="F2011" s="336"/>
      <c r="G2011" s="337"/>
      <c r="H2011" s="174" t="s">
        <v>171</v>
      </c>
      <c r="I2011" s="238">
        <f>SUM(I2005:I2010)</f>
        <v>6630.12</v>
      </c>
      <c r="J2011" s="104">
        <f>SUM(J2005:J2010)</f>
        <v>6700</v>
      </c>
    </row>
    <row r="2012" spans="1:10" x14ac:dyDescent="0.25">
      <c r="A2012" s="31" t="s">
        <v>439</v>
      </c>
      <c r="B2012" s="37" t="s">
        <v>322</v>
      </c>
      <c r="C2012" s="34" t="s">
        <v>114</v>
      </c>
      <c r="D2012" s="108">
        <v>21.8</v>
      </c>
      <c r="E2012" s="34" t="s">
        <v>79</v>
      </c>
      <c r="F2012" s="109">
        <v>6</v>
      </c>
      <c r="G2012" s="36">
        <f t="shared" ref="G2012:G2017" si="446">F2012*6.3</f>
        <v>37.799999999999997</v>
      </c>
      <c r="H2012" s="37">
        <v>24</v>
      </c>
      <c r="I2012" s="109">
        <f t="shared" ref="I2012:I2017" si="447">G2012*H2012</f>
        <v>907.19999999999993</v>
      </c>
      <c r="J2012" s="123">
        <v>900</v>
      </c>
    </row>
    <row r="2013" spans="1:10" x14ac:dyDescent="0.25">
      <c r="A2013" s="31" t="s">
        <v>439</v>
      </c>
      <c r="B2013" s="37" t="s">
        <v>323</v>
      </c>
      <c r="C2013" s="34" t="s">
        <v>86</v>
      </c>
      <c r="D2013" s="108">
        <v>45.2</v>
      </c>
      <c r="E2013" s="34" t="s">
        <v>79</v>
      </c>
      <c r="F2013" s="110">
        <v>9.1</v>
      </c>
      <c r="G2013" s="36">
        <f t="shared" si="446"/>
        <v>57.33</v>
      </c>
      <c r="H2013" s="37">
        <v>24</v>
      </c>
      <c r="I2013" s="109">
        <f t="shared" si="447"/>
        <v>1375.92</v>
      </c>
      <c r="J2013" s="123">
        <v>1400</v>
      </c>
    </row>
    <row r="2014" spans="1:10" x14ac:dyDescent="0.25">
      <c r="A2014" s="31" t="s">
        <v>439</v>
      </c>
      <c r="B2014" s="50" t="s">
        <v>324</v>
      </c>
      <c r="C2014" s="34" t="s">
        <v>75</v>
      </c>
      <c r="D2014" s="108" t="s">
        <v>38</v>
      </c>
      <c r="E2014" s="34" t="s">
        <v>79</v>
      </c>
      <c r="F2014" s="36">
        <v>3.4</v>
      </c>
      <c r="G2014" s="36">
        <f t="shared" si="446"/>
        <v>21.419999999999998</v>
      </c>
      <c r="H2014" s="37">
        <v>24</v>
      </c>
      <c r="I2014" s="109">
        <f t="shared" si="447"/>
        <v>514.07999999999993</v>
      </c>
      <c r="J2014" s="123">
        <v>500</v>
      </c>
    </row>
    <row r="2015" spans="1:10" x14ac:dyDescent="0.25">
      <c r="A2015" s="31" t="s">
        <v>439</v>
      </c>
      <c r="B2015" s="75" t="s">
        <v>317</v>
      </c>
      <c r="C2015" s="111" t="s">
        <v>156</v>
      </c>
      <c r="D2015" s="111">
        <v>73</v>
      </c>
      <c r="E2015" s="42" t="s">
        <v>79</v>
      </c>
      <c r="F2015" s="74">
        <v>10.6</v>
      </c>
      <c r="G2015" s="36">
        <f t="shared" si="446"/>
        <v>66.78</v>
      </c>
      <c r="H2015" s="37">
        <v>24</v>
      </c>
      <c r="I2015" s="109">
        <f t="shared" si="447"/>
        <v>1602.72</v>
      </c>
      <c r="J2015" s="123">
        <v>1600</v>
      </c>
    </row>
    <row r="2016" spans="1:10" x14ac:dyDescent="0.25">
      <c r="A2016" s="31" t="s">
        <v>439</v>
      </c>
      <c r="B2016" s="37" t="s">
        <v>325</v>
      </c>
      <c r="C2016" s="34" t="s">
        <v>158</v>
      </c>
      <c r="D2016" s="46">
        <v>32</v>
      </c>
      <c r="E2016" s="34" t="s">
        <v>79</v>
      </c>
      <c r="F2016" s="74">
        <v>6.6</v>
      </c>
      <c r="G2016" s="36">
        <f t="shared" si="446"/>
        <v>41.58</v>
      </c>
      <c r="H2016" s="37">
        <v>24</v>
      </c>
      <c r="I2016" s="109">
        <f t="shared" si="447"/>
        <v>997.92</v>
      </c>
      <c r="J2016" s="123">
        <v>1000</v>
      </c>
    </row>
    <row r="2017" spans="1:10" ht="15.75" thickBot="1" x14ac:dyDescent="0.3">
      <c r="A2017" s="31" t="s">
        <v>439</v>
      </c>
      <c r="B2017" s="43" t="s">
        <v>326</v>
      </c>
      <c r="C2017" s="52" t="s">
        <v>152</v>
      </c>
      <c r="D2017" s="72">
        <v>2.4</v>
      </c>
      <c r="E2017" s="42" t="s">
        <v>79</v>
      </c>
      <c r="F2017" s="73">
        <v>8.5</v>
      </c>
      <c r="G2017" s="74">
        <f t="shared" si="446"/>
        <v>53.55</v>
      </c>
      <c r="H2017" s="43">
        <v>24</v>
      </c>
      <c r="I2017" s="328">
        <f t="shared" si="447"/>
        <v>1285.1999999999998</v>
      </c>
      <c r="J2017" s="124">
        <v>1300</v>
      </c>
    </row>
    <row r="2018" spans="1:10" ht="19.5" thickBot="1" x14ac:dyDescent="0.35">
      <c r="A2018" s="206"/>
      <c r="B2018" s="336"/>
      <c r="C2018" s="336"/>
      <c r="D2018" s="336"/>
      <c r="E2018" s="336"/>
      <c r="F2018" s="336"/>
      <c r="G2018" s="337"/>
      <c r="H2018" s="174" t="s">
        <v>171</v>
      </c>
      <c r="I2018" s="238">
        <f>SUM(I2012:I2017)</f>
        <v>6683.04</v>
      </c>
      <c r="J2018" s="104">
        <f>SUM(J2012:J2017)</f>
        <v>6700</v>
      </c>
    </row>
    <row r="2019" spans="1:10" x14ac:dyDescent="0.25">
      <c r="A2019" s="31" t="s">
        <v>440</v>
      </c>
      <c r="B2019" s="37" t="s">
        <v>322</v>
      </c>
      <c r="C2019" s="34" t="s">
        <v>114</v>
      </c>
      <c r="D2019" s="108">
        <v>22.5</v>
      </c>
      <c r="E2019" s="34" t="s">
        <v>79</v>
      </c>
      <c r="F2019" s="109">
        <v>5.6</v>
      </c>
      <c r="G2019" s="36">
        <f t="shared" ref="G2019:G2024" si="448">F2019*6.3</f>
        <v>35.279999999999994</v>
      </c>
      <c r="H2019" s="37">
        <v>24</v>
      </c>
      <c r="I2019" s="109">
        <f t="shared" ref="I2019:I2024" si="449">G2019*H2019</f>
        <v>846.7199999999998</v>
      </c>
      <c r="J2019" s="123">
        <v>900</v>
      </c>
    </row>
    <row r="2020" spans="1:10" x14ac:dyDescent="0.25">
      <c r="A2020" s="31" t="s">
        <v>440</v>
      </c>
      <c r="B2020" s="37" t="s">
        <v>323</v>
      </c>
      <c r="C2020" s="34" t="s">
        <v>86</v>
      </c>
      <c r="D2020" s="108">
        <v>40</v>
      </c>
      <c r="E2020" s="34" t="s">
        <v>79</v>
      </c>
      <c r="F2020" s="110">
        <v>9.8000000000000007</v>
      </c>
      <c r="G2020" s="36">
        <f t="shared" si="448"/>
        <v>61.74</v>
      </c>
      <c r="H2020" s="37">
        <v>24</v>
      </c>
      <c r="I2020" s="109">
        <f t="shared" si="449"/>
        <v>1481.76</v>
      </c>
      <c r="J2020" s="123">
        <v>1400</v>
      </c>
    </row>
    <row r="2021" spans="1:10" x14ac:dyDescent="0.25">
      <c r="A2021" s="31" t="s">
        <v>440</v>
      </c>
      <c r="B2021" s="50" t="s">
        <v>324</v>
      </c>
      <c r="C2021" s="34" t="s">
        <v>75</v>
      </c>
      <c r="D2021" s="108" t="s">
        <v>38</v>
      </c>
      <c r="E2021" s="34" t="s">
        <v>79</v>
      </c>
      <c r="F2021" s="36">
        <v>3.4</v>
      </c>
      <c r="G2021" s="36">
        <f t="shared" si="448"/>
        <v>21.419999999999998</v>
      </c>
      <c r="H2021" s="37">
        <v>24</v>
      </c>
      <c r="I2021" s="109">
        <f t="shared" si="449"/>
        <v>514.07999999999993</v>
      </c>
      <c r="J2021" s="123">
        <v>500</v>
      </c>
    </row>
    <row r="2022" spans="1:10" x14ac:dyDescent="0.25">
      <c r="A2022" s="31" t="s">
        <v>440</v>
      </c>
      <c r="B2022" s="75" t="s">
        <v>317</v>
      </c>
      <c r="C2022" s="111" t="s">
        <v>156</v>
      </c>
      <c r="D2022" s="111">
        <v>73</v>
      </c>
      <c r="E2022" s="42" t="s">
        <v>79</v>
      </c>
      <c r="F2022" s="74">
        <v>10.6</v>
      </c>
      <c r="G2022" s="36">
        <f t="shared" si="448"/>
        <v>66.78</v>
      </c>
      <c r="H2022" s="37">
        <v>24</v>
      </c>
      <c r="I2022" s="109">
        <f t="shared" si="449"/>
        <v>1602.72</v>
      </c>
      <c r="J2022" s="123">
        <v>1600</v>
      </c>
    </row>
    <row r="2023" spans="1:10" x14ac:dyDescent="0.25">
      <c r="A2023" s="31" t="s">
        <v>440</v>
      </c>
      <c r="B2023" s="37" t="s">
        <v>325</v>
      </c>
      <c r="C2023" s="34" t="s">
        <v>158</v>
      </c>
      <c r="D2023" s="46">
        <v>31.69</v>
      </c>
      <c r="E2023" s="34" t="s">
        <v>79</v>
      </c>
      <c r="F2023" s="74">
        <v>6.6</v>
      </c>
      <c r="G2023" s="36">
        <f t="shared" si="448"/>
        <v>41.58</v>
      </c>
      <c r="H2023" s="37">
        <v>24</v>
      </c>
      <c r="I2023" s="109">
        <f t="shared" si="449"/>
        <v>997.92</v>
      </c>
      <c r="J2023" s="123">
        <v>1000</v>
      </c>
    </row>
    <row r="2024" spans="1:10" ht="15.75" thickBot="1" x14ac:dyDescent="0.3">
      <c r="A2024" s="31" t="s">
        <v>440</v>
      </c>
      <c r="B2024" s="43" t="s">
        <v>326</v>
      </c>
      <c r="C2024" s="52" t="s">
        <v>152</v>
      </c>
      <c r="D2024" s="72">
        <v>2.1</v>
      </c>
      <c r="E2024" s="42" t="s">
        <v>79</v>
      </c>
      <c r="F2024" s="73">
        <v>9.0299999999999994</v>
      </c>
      <c r="G2024" s="74">
        <f t="shared" si="448"/>
        <v>56.888999999999996</v>
      </c>
      <c r="H2024" s="43">
        <v>24</v>
      </c>
      <c r="I2024" s="328">
        <f t="shared" si="449"/>
        <v>1365.3359999999998</v>
      </c>
      <c r="J2024" s="124">
        <v>1300</v>
      </c>
    </row>
    <row r="2025" spans="1:10" ht="19.5" thickBot="1" x14ac:dyDescent="0.35">
      <c r="A2025" s="220"/>
      <c r="B2025" s="221"/>
      <c r="C2025" s="221"/>
      <c r="D2025" s="221"/>
      <c r="E2025" s="221"/>
      <c r="F2025" s="221"/>
      <c r="G2025" s="221"/>
      <c r="H2025" s="174" t="s">
        <v>171</v>
      </c>
      <c r="I2025" s="238">
        <f>SUM(I2019:I2024)</f>
        <v>6808.5360000000001</v>
      </c>
      <c r="J2025" s="104">
        <f>SUM(J2019:J2024)</f>
        <v>6700</v>
      </c>
    </row>
    <row r="2026" spans="1:10" x14ac:dyDescent="0.25">
      <c r="A2026" s="31" t="s">
        <v>441</v>
      </c>
      <c r="B2026" s="151" t="s">
        <v>322</v>
      </c>
      <c r="C2026" s="50" t="s">
        <v>114</v>
      </c>
      <c r="D2026" s="152">
        <v>21.6</v>
      </c>
      <c r="E2026" s="50" t="s">
        <v>79</v>
      </c>
      <c r="F2026" s="153">
        <v>5.8</v>
      </c>
      <c r="G2026" s="51">
        <f t="shared" ref="G2026:G2031" si="450">F2026*6.3</f>
        <v>36.54</v>
      </c>
      <c r="H2026" s="151">
        <v>24</v>
      </c>
      <c r="I2026" s="153">
        <f t="shared" ref="I2026:I2031" si="451">G2026*H2026</f>
        <v>876.96</v>
      </c>
      <c r="J2026" s="154">
        <v>900</v>
      </c>
    </row>
    <row r="2027" spans="1:10" x14ac:dyDescent="0.25">
      <c r="A2027" s="31" t="s">
        <v>441</v>
      </c>
      <c r="B2027" s="37" t="s">
        <v>323</v>
      </c>
      <c r="C2027" s="34" t="s">
        <v>86</v>
      </c>
      <c r="D2027" s="108">
        <v>32.86</v>
      </c>
      <c r="E2027" s="34" t="s">
        <v>79</v>
      </c>
      <c r="F2027" s="110">
        <v>9.3000000000000007</v>
      </c>
      <c r="G2027" s="36">
        <f t="shared" si="450"/>
        <v>58.59</v>
      </c>
      <c r="H2027" s="37">
        <v>24</v>
      </c>
      <c r="I2027" s="109">
        <f t="shared" si="451"/>
        <v>1406.16</v>
      </c>
      <c r="J2027" s="123">
        <v>1400</v>
      </c>
    </row>
    <row r="2028" spans="1:10" x14ac:dyDescent="0.25">
      <c r="A2028" s="31" t="s">
        <v>441</v>
      </c>
      <c r="B2028" s="50" t="s">
        <v>324</v>
      </c>
      <c r="C2028" s="34" t="s">
        <v>75</v>
      </c>
      <c r="D2028" s="108" t="s">
        <v>38</v>
      </c>
      <c r="E2028" s="34" t="s">
        <v>79</v>
      </c>
      <c r="F2028" s="36">
        <v>3.38</v>
      </c>
      <c r="G2028" s="36">
        <f t="shared" si="450"/>
        <v>21.294</v>
      </c>
      <c r="H2028" s="37">
        <v>24</v>
      </c>
      <c r="I2028" s="109">
        <f t="shared" si="451"/>
        <v>511.05600000000004</v>
      </c>
      <c r="J2028" s="123">
        <v>500</v>
      </c>
    </row>
    <row r="2029" spans="1:10" x14ac:dyDescent="0.25">
      <c r="A2029" s="31" t="s">
        <v>441</v>
      </c>
      <c r="B2029" s="75" t="s">
        <v>317</v>
      </c>
      <c r="C2029" s="111" t="s">
        <v>156</v>
      </c>
      <c r="D2029" s="111">
        <v>75.37</v>
      </c>
      <c r="E2029" s="42" t="s">
        <v>79</v>
      </c>
      <c r="F2029" s="74">
        <v>10.63</v>
      </c>
      <c r="G2029" s="36">
        <f t="shared" si="450"/>
        <v>66.969000000000008</v>
      </c>
      <c r="H2029" s="37">
        <v>24</v>
      </c>
      <c r="I2029" s="109">
        <f t="shared" si="451"/>
        <v>1607.2560000000003</v>
      </c>
      <c r="J2029" s="123">
        <v>1600</v>
      </c>
    </row>
    <row r="2030" spans="1:10" x14ac:dyDescent="0.25">
      <c r="A2030" s="31" t="s">
        <v>441</v>
      </c>
      <c r="B2030" s="37" t="s">
        <v>325</v>
      </c>
      <c r="C2030" s="34" t="s">
        <v>158</v>
      </c>
      <c r="D2030" s="46">
        <v>31.75</v>
      </c>
      <c r="E2030" s="34" t="s">
        <v>79</v>
      </c>
      <c r="F2030" s="74">
        <v>6.57</v>
      </c>
      <c r="G2030" s="36">
        <f t="shared" si="450"/>
        <v>41.390999999999998</v>
      </c>
      <c r="H2030" s="37">
        <v>24</v>
      </c>
      <c r="I2030" s="109">
        <f t="shared" si="451"/>
        <v>993.38400000000001</v>
      </c>
      <c r="J2030" s="123">
        <v>1000</v>
      </c>
    </row>
    <row r="2031" spans="1:10" ht="15.75" thickBot="1" x14ac:dyDescent="0.3">
      <c r="A2031" s="31" t="s">
        <v>441</v>
      </c>
      <c r="B2031" s="43" t="s">
        <v>326</v>
      </c>
      <c r="C2031" s="52" t="s">
        <v>152</v>
      </c>
      <c r="D2031" s="72">
        <v>2.25</v>
      </c>
      <c r="E2031" s="42" t="s">
        <v>79</v>
      </c>
      <c r="F2031" s="73">
        <v>9.0500000000000007</v>
      </c>
      <c r="G2031" s="74">
        <f t="shared" si="450"/>
        <v>57.015000000000001</v>
      </c>
      <c r="H2031" s="43">
        <v>24</v>
      </c>
      <c r="I2031" s="328">
        <f t="shared" si="451"/>
        <v>1368.3600000000001</v>
      </c>
      <c r="J2031" s="124">
        <v>1300</v>
      </c>
    </row>
    <row r="2032" spans="1:10" ht="19.5" thickBot="1" x14ac:dyDescent="0.35">
      <c r="A2032" s="220"/>
      <c r="B2032" s="335"/>
      <c r="C2032" s="335"/>
      <c r="D2032" s="335"/>
      <c r="E2032" s="335"/>
      <c r="F2032" s="335"/>
      <c r="G2032" s="335"/>
      <c r="H2032" s="174" t="s">
        <v>171</v>
      </c>
      <c r="I2032" s="238">
        <f>SUM(I2026:I2031)</f>
        <v>6763.1760000000013</v>
      </c>
      <c r="J2032" s="104">
        <f>SUM(J2026:J2031)</f>
        <v>6700</v>
      </c>
    </row>
    <row r="2033" spans="1:10" x14ac:dyDescent="0.25">
      <c r="A2033" s="31" t="s">
        <v>442</v>
      </c>
      <c r="B2033" s="37" t="s">
        <v>322</v>
      </c>
      <c r="C2033" s="34" t="s">
        <v>114</v>
      </c>
      <c r="D2033" s="108">
        <v>21.07</v>
      </c>
      <c r="E2033" s="34" t="s">
        <v>79</v>
      </c>
      <c r="F2033" s="109">
        <v>5.89</v>
      </c>
      <c r="G2033" s="36">
        <f t="shared" ref="G2033:G2038" si="452">F2033*6.3</f>
        <v>37.106999999999999</v>
      </c>
      <c r="H2033" s="37">
        <v>24</v>
      </c>
      <c r="I2033" s="109">
        <f t="shared" ref="I2033:I2038" si="453">G2033*H2033</f>
        <v>890.56799999999998</v>
      </c>
      <c r="J2033" s="123">
        <v>900</v>
      </c>
    </row>
    <row r="2034" spans="1:10" x14ac:dyDescent="0.25">
      <c r="A2034" s="31" t="s">
        <v>442</v>
      </c>
      <c r="B2034" s="37" t="s">
        <v>323</v>
      </c>
      <c r="C2034" s="34" t="s">
        <v>86</v>
      </c>
      <c r="D2034" s="108">
        <v>32.479999999999997</v>
      </c>
      <c r="E2034" s="34" t="s">
        <v>79</v>
      </c>
      <c r="F2034" s="110">
        <v>9.23</v>
      </c>
      <c r="G2034" s="36">
        <f t="shared" si="452"/>
        <v>58.149000000000001</v>
      </c>
      <c r="H2034" s="37">
        <v>24</v>
      </c>
      <c r="I2034" s="109">
        <f t="shared" si="453"/>
        <v>1395.576</v>
      </c>
      <c r="J2034" s="123">
        <v>1400</v>
      </c>
    </row>
    <row r="2035" spans="1:10" x14ac:dyDescent="0.25">
      <c r="A2035" s="31" t="s">
        <v>442</v>
      </c>
      <c r="B2035" s="50" t="s">
        <v>324</v>
      </c>
      <c r="C2035" s="34" t="s">
        <v>443</v>
      </c>
      <c r="D2035" s="108" t="s">
        <v>38</v>
      </c>
      <c r="E2035" s="34" t="s">
        <v>79</v>
      </c>
      <c r="F2035" s="36">
        <v>3.32</v>
      </c>
      <c r="G2035" s="36">
        <f t="shared" si="452"/>
        <v>20.915999999999997</v>
      </c>
      <c r="H2035" s="37">
        <v>24</v>
      </c>
      <c r="I2035" s="109">
        <f t="shared" si="453"/>
        <v>501.98399999999992</v>
      </c>
      <c r="J2035" s="123">
        <v>500</v>
      </c>
    </row>
    <row r="2036" spans="1:10" x14ac:dyDescent="0.25">
      <c r="A2036" s="31" t="s">
        <v>442</v>
      </c>
      <c r="B2036" s="75" t="s">
        <v>317</v>
      </c>
      <c r="C2036" s="111" t="s">
        <v>156</v>
      </c>
      <c r="D2036" s="111">
        <v>75.09</v>
      </c>
      <c r="E2036" s="42" t="s">
        <v>79</v>
      </c>
      <c r="F2036" s="74">
        <v>10.61</v>
      </c>
      <c r="G2036" s="36">
        <f t="shared" si="452"/>
        <v>66.842999999999989</v>
      </c>
      <c r="H2036" s="37">
        <v>24</v>
      </c>
      <c r="I2036" s="109">
        <f t="shared" si="453"/>
        <v>1604.2319999999997</v>
      </c>
      <c r="J2036" s="123">
        <v>1600</v>
      </c>
    </row>
    <row r="2037" spans="1:10" x14ac:dyDescent="0.25">
      <c r="A2037" s="31" t="s">
        <v>442</v>
      </c>
      <c r="B2037" s="37" t="s">
        <v>325</v>
      </c>
      <c r="C2037" s="34" t="s">
        <v>158</v>
      </c>
      <c r="D2037" s="46">
        <v>31.69</v>
      </c>
      <c r="E2037" s="34" t="s">
        <v>79</v>
      </c>
      <c r="F2037" s="74">
        <v>6.54</v>
      </c>
      <c r="G2037" s="36">
        <f t="shared" si="452"/>
        <v>41.201999999999998</v>
      </c>
      <c r="H2037" s="37">
        <v>24</v>
      </c>
      <c r="I2037" s="109">
        <f t="shared" si="453"/>
        <v>988.84799999999996</v>
      </c>
      <c r="J2037" s="123">
        <v>1000</v>
      </c>
    </row>
    <row r="2038" spans="1:10" ht="15.75" thickBot="1" x14ac:dyDescent="0.3">
      <c r="A2038" s="31" t="s">
        <v>442</v>
      </c>
      <c r="B2038" s="43" t="s">
        <v>326</v>
      </c>
      <c r="C2038" s="52" t="s">
        <v>152</v>
      </c>
      <c r="D2038" s="72">
        <v>2.11</v>
      </c>
      <c r="E2038" s="42" t="s">
        <v>79</v>
      </c>
      <c r="F2038" s="73">
        <v>8.6999999999999993</v>
      </c>
      <c r="G2038" s="74">
        <f t="shared" si="452"/>
        <v>54.809999999999995</v>
      </c>
      <c r="H2038" s="43">
        <v>24</v>
      </c>
      <c r="I2038" s="328">
        <f t="shared" si="453"/>
        <v>1315.4399999999998</v>
      </c>
      <c r="J2038" s="124">
        <v>1300</v>
      </c>
    </row>
    <row r="2039" spans="1:10" ht="19.5" thickBot="1" x14ac:dyDescent="0.35">
      <c r="A2039" s="220"/>
      <c r="B2039" s="335"/>
      <c r="C2039" s="335"/>
      <c r="D2039" s="335"/>
      <c r="E2039" s="335"/>
      <c r="F2039" s="335"/>
      <c r="G2039" s="335"/>
      <c r="H2039" s="174" t="s">
        <v>171</v>
      </c>
      <c r="I2039" s="238">
        <f>SUM(I2033:I2038)</f>
        <v>6696.6479999999992</v>
      </c>
      <c r="J2039" s="104">
        <f>SUM(J2033:J2038)</f>
        <v>6700</v>
      </c>
    </row>
    <row r="2040" spans="1:10" x14ac:dyDescent="0.25">
      <c r="A2040" s="31" t="s">
        <v>444</v>
      </c>
      <c r="B2040" s="37" t="s">
        <v>322</v>
      </c>
      <c r="C2040" s="34" t="s">
        <v>114</v>
      </c>
      <c r="D2040" s="108">
        <v>20.87</v>
      </c>
      <c r="E2040" s="34" t="s">
        <v>79</v>
      </c>
      <c r="F2040" s="109">
        <v>5.85</v>
      </c>
      <c r="G2040" s="36">
        <f t="shared" ref="G2040:G2045" si="454">F2040*6.3</f>
        <v>36.854999999999997</v>
      </c>
      <c r="H2040" s="37">
        <v>24</v>
      </c>
      <c r="I2040" s="109">
        <f t="shared" ref="I2040:I2045" si="455">G2040*H2040</f>
        <v>884.52</v>
      </c>
      <c r="J2040" s="123">
        <v>900</v>
      </c>
    </row>
    <row r="2041" spans="1:10" x14ac:dyDescent="0.25">
      <c r="A2041" s="31" t="s">
        <v>444</v>
      </c>
      <c r="B2041" s="37" t="s">
        <v>323</v>
      </c>
      <c r="C2041" s="34" t="s">
        <v>86</v>
      </c>
      <c r="D2041" s="108">
        <v>31.38</v>
      </c>
      <c r="E2041" s="34" t="s">
        <v>79</v>
      </c>
      <c r="F2041" s="110">
        <v>9.1999999999999993</v>
      </c>
      <c r="G2041" s="36">
        <f t="shared" si="454"/>
        <v>57.959999999999994</v>
      </c>
      <c r="H2041" s="37">
        <v>24</v>
      </c>
      <c r="I2041" s="109">
        <f t="shared" si="455"/>
        <v>1391.04</v>
      </c>
      <c r="J2041" s="123">
        <v>1400</v>
      </c>
    </row>
    <row r="2042" spans="1:10" x14ac:dyDescent="0.25">
      <c r="A2042" s="31" t="s">
        <v>444</v>
      </c>
      <c r="B2042" s="50" t="s">
        <v>324</v>
      </c>
      <c r="C2042" s="34" t="s">
        <v>443</v>
      </c>
      <c r="D2042" s="108" t="s">
        <v>38</v>
      </c>
      <c r="E2042" s="34" t="s">
        <v>79</v>
      </c>
      <c r="F2042" s="36">
        <v>3.31</v>
      </c>
      <c r="G2042" s="36">
        <f t="shared" si="454"/>
        <v>20.852999999999998</v>
      </c>
      <c r="H2042" s="37">
        <v>24</v>
      </c>
      <c r="I2042" s="109">
        <f t="shared" si="455"/>
        <v>500.47199999999998</v>
      </c>
      <c r="J2042" s="123">
        <v>500</v>
      </c>
    </row>
    <row r="2043" spans="1:10" x14ac:dyDescent="0.25">
      <c r="A2043" s="31" t="s">
        <v>444</v>
      </c>
      <c r="B2043" s="75" t="s">
        <v>317</v>
      </c>
      <c r="C2043" s="111" t="s">
        <v>156</v>
      </c>
      <c r="D2043" s="111">
        <v>74.59</v>
      </c>
      <c r="E2043" s="42" t="s">
        <v>79</v>
      </c>
      <c r="F2043" s="74">
        <v>10.59</v>
      </c>
      <c r="G2043" s="36">
        <f t="shared" si="454"/>
        <v>66.716999999999999</v>
      </c>
      <c r="H2043" s="37">
        <v>24</v>
      </c>
      <c r="I2043" s="109">
        <f t="shared" si="455"/>
        <v>1601.2080000000001</v>
      </c>
      <c r="J2043" s="123">
        <v>1600</v>
      </c>
    </row>
    <row r="2044" spans="1:10" x14ac:dyDescent="0.25">
      <c r="A2044" s="31" t="s">
        <v>444</v>
      </c>
      <c r="B2044" s="37" t="s">
        <v>325</v>
      </c>
      <c r="C2044" s="34" t="s">
        <v>158</v>
      </c>
      <c r="D2044" s="46">
        <v>32.06</v>
      </c>
      <c r="E2044" s="34" t="s">
        <v>79</v>
      </c>
      <c r="F2044" s="74">
        <v>6.54</v>
      </c>
      <c r="G2044" s="36">
        <f t="shared" si="454"/>
        <v>41.201999999999998</v>
      </c>
      <c r="H2044" s="37">
        <v>24</v>
      </c>
      <c r="I2044" s="109">
        <f t="shared" si="455"/>
        <v>988.84799999999996</v>
      </c>
      <c r="J2044" s="123">
        <v>1000</v>
      </c>
    </row>
    <row r="2045" spans="1:10" ht="15.75" thickBot="1" x14ac:dyDescent="0.3">
      <c r="A2045" s="31" t="s">
        <v>444</v>
      </c>
      <c r="B2045" s="43" t="s">
        <v>326</v>
      </c>
      <c r="C2045" s="52" t="s">
        <v>152</v>
      </c>
      <c r="D2045" s="72">
        <v>2.2999999999999998</v>
      </c>
      <c r="E2045" s="42" t="s">
        <v>79</v>
      </c>
      <c r="F2045" s="73">
        <v>9.02</v>
      </c>
      <c r="G2045" s="74">
        <f t="shared" si="454"/>
        <v>56.825999999999993</v>
      </c>
      <c r="H2045" s="43">
        <v>24</v>
      </c>
      <c r="I2045" s="328">
        <f t="shared" si="455"/>
        <v>1363.8239999999998</v>
      </c>
      <c r="J2045" s="124">
        <v>1300</v>
      </c>
    </row>
    <row r="2046" spans="1:10" ht="19.5" thickBot="1" x14ac:dyDescent="0.35">
      <c r="A2046" s="220"/>
      <c r="B2046" s="335"/>
      <c r="C2046" s="335"/>
      <c r="D2046" s="335"/>
      <c r="E2046" s="335"/>
      <c r="F2046" s="335"/>
      <c r="G2046" s="335"/>
      <c r="H2046" s="174" t="s">
        <v>171</v>
      </c>
      <c r="I2046" s="238">
        <f>SUM(I2040:I2045)</f>
        <v>6729.9119999999994</v>
      </c>
      <c r="J2046" s="104">
        <f>SUM(J2040:J2045)</f>
        <v>6700</v>
      </c>
    </row>
    <row r="2047" spans="1:10" x14ac:dyDescent="0.25">
      <c r="A2047" s="31" t="s">
        <v>445</v>
      </c>
      <c r="B2047" s="37" t="s">
        <v>322</v>
      </c>
      <c r="C2047" s="34" t="s">
        <v>114</v>
      </c>
      <c r="D2047" s="108">
        <v>21.18</v>
      </c>
      <c r="E2047" s="34" t="s">
        <v>79</v>
      </c>
      <c r="F2047" s="109">
        <v>5.42</v>
      </c>
      <c r="G2047" s="36">
        <f t="shared" ref="G2047:G2052" si="456">F2047*6.3</f>
        <v>34.146000000000001</v>
      </c>
      <c r="H2047" s="37">
        <v>24</v>
      </c>
      <c r="I2047" s="109">
        <f t="shared" ref="I2047:I2052" si="457">G2047*H2047</f>
        <v>819.50400000000002</v>
      </c>
      <c r="J2047" s="123">
        <v>900</v>
      </c>
    </row>
    <row r="2048" spans="1:10" x14ac:dyDescent="0.25">
      <c r="A2048" s="31" t="s">
        <v>445</v>
      </c>
      <c r="B2048" s="37" t="s">
        <v>323</v>
      </c>
      <c r="C2048" s="34" t="s">
        <v>86</v>
      </c>
      <c r="D2048" s="108">
        <v>35.979999999999997</v>
      </c>
      <c r="E2048" s="34" t="s">
        <v>79</v>
      </c>
      <c r="F2048" s="110">
        <v>8.75</v>
      </c>
      <c r="G2048" s="36">
        <f t="shared" si="456"/>
        <v>55.125</v>
      </c>
      <c r="H2048" s="37">
        <v>24</v>
      </c>
      <c r="I2048" s="109">
        <f t="shared" si="457"/>
        <v>1323</v>
      </c>
      <c r="J2048" s="123">
        <v>1400</v>
      </c>
    </row>
    <row r="2049" spans="1:10" x14ac:dyDescent="0.25">
      <c r="A2049" s="31" t="s">
        <v>445</v>
      </c>
      <c r="B2049" s="50" t="s">
        <v>324</v>
      </c>
      <c r="C2049" s="34" t="s">
        <v>443</v>
      </c>
      <c r="D2049" s="108" t="s">
        <v>38</v>
      </c>
      <c r="E2049" s="34" t="s">
        <v>79</v>
      </c>
      <c r="F2049" s="36">
        <v>3.1</v>
      </c>
      <c r="G2049" s="36">
        <f t="shared" si="456"/>
        <v>19.53</v>
      </c>
      <c r="H2049" s="37">
        <v>24</v>
      </c>
      <c r="I2049" s="109">
        <f t="shared" si="457"/>
        <v>468.72</v>
      </c>
      <c r="J2049" s="123">
        <v>500</v>
      </c>
    </row>
    <row r="2050" spans="1:10" x14ac:dyDescent="0.25">
      <c r="A2050" s="31" t="s">
        <v>445</v>
      </c>
      <c r="B2050" s="75" t="s">
        <v>317</v>
      </c>
      <c r="C2050" s="111" t="s">
        <v>156</v>
      </c>
      <c r="D2050" s="111">
        <v>75.09</v>
      </c>
      <c r="E2050" s="42" t="s">
        <v>79</v>
      </c>
      <c r="F2050" s="74">
        <v>10</v>
      </c>
      <c r="G2050" s="36">
        <f t="shared" si="456"/>
        <v>63</v>
      </c>
      <c r="H2050" s="37">
        <v>24</v>
      </c>
      <c r="I2050" s="109">
        <f t="shared" si="457"/>
        <v>1512</v>
      </c>
      <c r="J2050" s="123">
        <v>1600</v>
      </c>
    </row>
    <row r="2051" spans="1:10" x14ac:dyDescent="0.25">
      <c r="A2051" s="31" t="s">
        <v>445</v>
      </c>
      <c r="B2051" s="37" t="s">
        <v>325</v>
      </c>
      <c r="C2051" s="34" t="s">
        <v>158</v>
      </c>
      <c r="D2051" s="46">
        <v>31.88</v>
      </c>
      <c r="E2051" s="34" t="s">
        <v>79</v>
      </c>
      <c r="F2051" s="74">
        <v>6</v>
      </c>
      <c r="G2051" s="36">
        <f t="shared" si="456"/>
        <v>37.799999999999997</v>
      </c>
      <c r="H2051" s="37">
        <v>24</v>
      </c>
      <c r="I2051" s="109">
        <f t="shared" si="457"/>
        <v>907.19999999999993</v>
      </c>
      <c r="J2051" s="123">
        <v>1000</v>
      </c>
    </row>
    <row r="2052" spans="1:10" ht="15.75" thickBot="1" x14ac:dyDescent="0.3">
      <c r="A2052" s="31" t="s">
        <v>445</v>
      </c>
      <c r="B2052" s="43" t="s">
        <v>326</v>
      </c>
      <c r="C2052" s="52" t="s">
        <v>152</v>
      </c>
      <c r="D2052" s="72">
        <v>2.06</v>
      </c>
      <c r="E2052" s="42" t="s">
        <v>79</v>
      </c>
      <c r="F2052" s="73">
        <v>8.5</v>
      </c>
      <c r="G2052" s="74">
        <f t="shared" si="456"/>
        <v>53.55</v>
      </c>
      <c r="H2052" s="43">
        <v>24</v>
      </c>
      <c r="I2052" s="328">
        <f t="shared" si="457"/>
        <v>1285.1999999999998</v>
      </c>
      <c r="J2052" s="124">
        <v>1300</v>
      </c>
    </row>
    <row r="2053" spans="1:10" ht="19.5" thickBot="1" x14ac:dyDescent="0.35">
      <c r="A2053" s="220"/>
      <c r="B2053" s="335"/>
      <c r="C2053" s="335"/>
      <c r="D2053" s="335"/>
      <c r="E2053" s="335"/>
      <c r="F2053" s="335"/>
      <c r="G2053" s="335"/>
      <c r="H2053" s="174" t="s">
        <v>171</v>
      </c>
      <c r="I2053" s="238">
        <f>SUM(I2047:I2052)</f>
        <v>6315.6239999999998</v>
      </c>
      <c r="J2053" s="104">
        <f>SUM(J2047:J2052)</f>
        <v>6700</v>
      </c>
    </row>
    <row r="2054" spans="1:10" x14ac:dyDescent="0.25">
      <c r="A2054" s="31" t="s">
        <v>446</v>
      </c>
      <c r="B2054" s="37" t="s">
        <v>322</v>
      </c>
      <c r="C2054" s="34" t="s">
        <v>114</v>
      </c>
      <c r="D2054" s="108">
        <v>20.260000000000002</v>
      </c>
      <c r="E2054" s="34" t="s">
        <v>79</v>
      </c>
      <c r="F2054" s="109">
        <v>5.92</v>
      </c>
      <c r="G2054" s="36">
        <f t="shared" ref="G2054:G2059" si="458">F2054*6.3</f>
        <v>37.295999999999999</v>
      </c>
      <c r="H2054" s="37">
        <v>24</v>
      </c>
      <c r="I2054" s="109">
        <f t="shared" ref="I2054:I2059" si="459">G2054*H2054</f>
        <v>895.10400000000004</v>
      </c>
      <c r="J2054" s="123">
        <v>900</v>
      </c>
    </row>
    <row r="2055" spans="1:10" x14ac:dyDescent="0.25">
      <c r="A2055" s="31" t="s">
        <v>446</v>
      </c>
      <c r="B2055" s="37" t="s">
        <v>323</v>
      </c>
      <c r="C2055" s="34" t="s">
        <v>86</v>
      </c>
      <c r="D2055" s="108">
        <v>35.729999999999997</v>
      </c>
      <c r="E2055" s="34" t="s">
        <v>79</v>
      </c>
      <c r="F2055" s="110">
        <v>9.2100000000000009</v>
      </c>
      <c r="G2055" s="36">
        <f t="shared" si="458"/>
        <v>58.023000000000003</v>
      </c>
      <c r="H2055" s="37">
        <v>24</v>
      </c>
      <c r="I2055" s="109">
        <f t="shared" si="459"/>
        <v>1392.5520000000001</v>
      </c>
      <c r="J2055" s="123">
        <v>1400</v>
      </c>
    </row>
    <row r="2056" spans="1:10" x14ac:dyDescent="0.25">
      <c r="A2056" s="31" t="s">
        <v>446</v>
      </c>
      <c r="B2056" s="50" t="s">
        <v>324</v>
      </c>
      <c r="C2056" s="34" t="s">
        <v>443</v>
      </c>
      <c r="D2056" s="108" t="s">
        <v>38</v>
      </c>
      <c r="E2056" s="34" t="s">
        <v>79</v>
      </c>
      <c r="F2056" s="36">
        <v>3.21</v>
      </c>
      <c r="G2056" s="36">
        <f t="shared" si="458"/>
        <v>20.222999999999999</v>
      </c>
      <c r="H2056" s="37">
        <v>24</v>
      </c>
      <c r="I2056" s="109">
        <f t="shared" si="459"/>
        <v>485.35199999999998</v>
      </c>
      <c r="J2056" s="123">
        <v>500</v>
      </c>
    </row>
    <row r="2057" spans="1:10" x14ac:dyDescent="0.25">
      <c r="A2057" s="31" t="s">
        <v>446</v>
      </c>
      <c r="B2057" s="75" t="s">
        <v>317</v>
      </c>
      <c r="C2057" s="111" t="s">
        <v>156</v>
      </c>
      <c r="D2057" s="111">
        <v>69.17</v>
      </c>
      <c r="E2057" s="42" t="s">
        <v>79</v>
      </c>
      <c r="F2057" s="74">
        <v>10.57</v>
      </c>
      <c r="G2057" s="36">
        <f t="shared" si="458"/>
        <v>66.590999999999994</v>
      </c>
      <c r="H2057" s="37">
        <v>24</v>
      </c>
      <c r="I2057" s="109">
        <f t="shared" si="459"/>
        <v>1598.1839999999997</v>
      </c>
      <c r="J2057" s="123">
        <v>1600</v>
      </c>
    </row>
    <row r="2058" spans="1:10" x14ac:dyDescent="0.25">
      <c r="A2058" s="31" t="s">
        <v>446</v>
      </c>
      <c r="B2058" s="37" t="s">
        <v>325</v>
      </c>
      <c r="C2058" s="34" t="s">
        <v>158</v>
      </c>
      <c r="D2058" s="46">
        <v>31.13</v>
      </c>
      <c r="E2058" s="34" t="s">
        <v>79</v>
      </c>
      <c r="F2058" s="74">
        <v>6.56</v>
      </c>
      <c r="G2058" s="36">
        <f t="shared" si="458"/>
        <v>41.327999999999996</v>
      </c>
      <c r="H2058" s="37">
        <v>24</v>
      </c>
      <c r="I2058" s="109">
        <f t="shared" si="459"/>
        <v>991.87199999999984</v>
      </c>
      <c r="J2058" s="123">
        <v>1000</v>
      </c>
    </row>
    <row r="2059" spans="1:10" ht="15.75" thickBot="1" x14ac:dyDescent="0.3">
      <c r="A2059" s="31" t="s">
        <v>446</v>
      </c>
      <c r="B2059" s="43" t="s">
        <v>326</v>
      </c>
      <c r="C2059" s="52" t="s">
        <v>152</v>
      </c>
      <c r="D2059" s="72">
        <v>1.75</v>
      </c>
      <c r="E2059" s="42" t="s">
        <v>79</v>
      </c>
      <c r="F2059" s="73">
        <v>8.89</v>
      </c>
      <c r="G2059" s="74">
        <f t="shared" si="458"/>
        <v>56.007000000000005</v>
      </c>
      <c r="H2059" s="43">
        <v>24</v>
      </c>
      <c r="I2059" s="328">
        <f t="shared" si="459"/>
        <v>1344.1680000000001</v>
      </c>
      <c r="J2059" s="124">
        <v>1300</v>
      </c>
    </row>
    <row r="2060" spans="1:10" ht="19.5" thickBot="1" x14ac:dyDescent="0.35">
      <c r="A2060" s="220"/>
      <c r="B2060" s="335"/>
      <c r="C2060" s="335"/>
      <c r="D2060" s="335"/>
      <c r="E2060" s="335"/>
      <c r="F2060" s="335"/>
      <c r="G2060" s="335"/>
      <c r="H2060" s="174" t="s">
        <v>171</v>
      </c>
      <c r="I2060" s="238">
        <f>SUM(I2054:I2059)</f>
        <v>6707.2319999999982</v>
      </c>
      <c r="J2060" s="104">
        <f>SUM(J2054:J2059)</f>
        <v>6700</v>
      </c>
    </row>
    <row r="2061" spans="1:10" x14ac:dyDescent="0.25">
      <c r="A2061" s="31" t="s">
        <v>447</v>
      </c>
      <c r="B2061" s="37" t="s">
        <v>322</v>
      </c>
      <c r="C2061" s="34" t="s">
        <v>114</v>
      </c>
      <c r="D2061" s="108">
        <v>19.47</v>
      </c>
      <c r="E2061" s="34" t="s">
        <v>79</v>
      </c>
      <c r="F2061" s="109">
        <v>5.93</v>
      </c>
      <c r="G2061" s="36">
        <f t="shared" ref="G2061:G2066" si="460">F2061*6.3</f>
        <v>37.358999999999995</v>
      </c>
      <c r="H2061" s="37">
        <v>24</v>
      </c>
      <c r="I2061" s="109">
        <f t="shared" ref="I2061:I2066" si="461">G2061*H2061</f>
        <v>896.61599999999987</v>
      </c>
      <c r="J2061" s="123">
        <v>900</v>
      </c>
    </row>
    <row r="2062" spans="1:10" x14ac:dyDescent="0.25">
      <c r="A2062" s="31" t="s">
        <v>447</v>
      </c>
      <c r="B2062" s="37" t="s">
        <v>323</v>
      </c>
      <c r="C2062" s="34" t="s">
        <v>86</v>
      </c>
      <c r="D2062" s="108">
        <v>35.119999999999997</v>
      </c>
      <c r="E2062" s="34" t="s">
        <v>79</v>
      </c>
      <c r="F2062" s="110">
        <v>9.2100000000000009</v>
      </c>
      <c r="G2062" s="36">
        <f t="shared" si="460"/>
        <v>58.023000000000003</v>
      </c>
      <c r="H2062" s="37">
        <v>24</v>
      </c>
      <c r="I2062" s="109">
        <f t="shared" si="461"/>
        <v>1392.5520000000001</v>
      </c>
      <c r="J2062" s="123">
        <v>1400</v>
      </c>
    </row>
    <row r="2063" spans="1:10" x14ac:dyDescent="0.25">
      <c r="A2063" s="31" t="s">
        <v>447</v>
      </c>
      <c r="B2063" s="50" t="s">
        <v>324</v>
      </c>
      <c r="C2063" s="34" t="s">
        <v>443</v>
      </c>
      <c r="D2063" s="108" t="s">
        <v>38</v>
      </c>
      <c r="E2063" s="34" t="s">
        <v>79</v>
      </c>
      <c r="F2063" s="36">
        <v>3.23</v>
      </c>
      <c r="G2063" s="36">
        <f t="shared" si="460"/>
        <v>20.349</v>
      </c>
      <c r="H2063" s="37">
        <v>24</v>
      </c>
      <c r="I2063" s="109">
        <f t="shared" si="461"/>
        <v>488.37599999999998</v>
      </c>
      <c r="J2063" s="123">
        <v>500</v>
      </c>
    </row>
    <row r="2064" spans="1:10" x14ac:dyDescent="0.25">
      <c r="A2064" s="31" t="s">
        <v>447</v>
      </c>
      <c r="B2064" s="75" t="s">
        <v>317</v>
      </c>
      <c r="C2064" s="111" t="s">
        <v>156</v>
      </c>
      <c r="D2064" s="111">
        <v>71.73</v>
      </c>
      <c r="E2064" s="42" t="s">
        <v>79</v>
      </c>
      <c r="F2064" s="74">
        <v>10.62</v>
      </c>
      <c r="G2064" s="36">
        <f t="shared" si="460"/>
        <v>66.905999999999992</v>
      </c>
      <c r="H2064" s="37">
        <v>24</v>
      </c>
      <c r="I2064" s="109">
        <f t="shared" si="461"/>
        <v>1605.7439999999997</v>
      </c>
      <c r="J2064" s="123">
        <v>1600</v>
      </c>
    </row>
    <row r="2065" spans="1:10" x14ac:dyDescent="0.25">
      <c r="A2065" s="31" t="s">
        <v>447</v>
      </c>
      <c r="B2065" s="37" t="s">
        <v>325</v>
      </c>
      <c r="C2065" s="34" t="s">
        <v>158</v>
      </c>
      <c r="D2065" s="46">
        <v>29.91</v>
      </c>
      <c r="E2065" s="34" t="s">
        <v>79</v>
      </c>
      <c r="F2065" s="74">
        <v>6.62</v>
      </c>
      <c r="G2065" s="36">
        <f t="shared" si="460"/>
        <v>41.705999999999996</v>
      </c>
      <c r="H2065" s="37">
        <v>24</v>
      </c>
      <c r="I2065" s="109">
        <f t="shared" si="461"/>
        <v>1000.944</v>
      </c>
      <c r="J2065" s="123">
        <v>1000</v>
      </c>
    </row>
    <row r="2066" spans="1:10" ht="15.75" thickBot="1" x14ac:dyDescent="0.3">
      <c r="A2066" s="31" t="s">
        <v>447</v>
      </c>
      <c r="B2066" s="43" t="s">
        <v>326</v>
      </c>
      <c r="C2066" s="52" t="s">
        <v>152</v>
      </c>
      <c r="D2066" s="72">
        <v>1.08</v>
      </c>
      <c r="E2066" s="42" t="s">
        <v>79</v>
      </c>
      <c r="F2066" s="73">
        <v>8.82</v>
      </c>
      <c r="G2066" s="74">
        <f t="shared" si="460"/>
        <v>55.566000000000003</v>
      </c>
      <c r="H2066" s="43">
        <v>24</v>
      </c>
      <c r="I2066" s="328">
        <f t="shared" si="461"/>
        <v>1333.5840000000001</v>
      </c>
      <c r="J2066" s="124">
        <v>1300</v>
      </c>
    </row>
    <row r="2067" spans="1:10" ht="19.5" thickBot="1" x14ac:dyDescent="0.35">
      <c r="A2067" s="220"/>
      <c r="B2067" s="335"/>
      <c r="C2067" s="335"/>
      <c r="D2067" s="335"/>
      <c r="E2067" s="335"/>
      <c r="F2067" s="335"/>
      <c r="G2067" s="335"/>
      <c r="H2067" s="174" t="s">
        <v>171</v>
      </c>
      <c r="I2067" s="238">
        <f>SUM(I2061:I2066)</f>
        <v>6717.8159999999998</v>
      </c>
      <c r="J2067" s="104">
        <f>SUM(J2061:J2066)</f>
        <v>6700</v>
      </c>
    </row>
    <row r="2068" spans="1:10" x14ac:dyDescent="0.25">
      <c r="A2068" s="31" t="s">
        <v>448</v>
      </c>
      <c r="B2068" s="37" t="s">
        <v>322</v>
      </c>
      <c r="C2068" s="34" t="s">
        <v>114</v>
      </c>
      <c r="D2068" s="108">
        <v>19.899999999999999</v>
      </c>
      <c r="E2068" s="34" t="s">
        <v>79</v>
      </c>
      <c r="F2068" s="109">
        <v>5.93</v>
      </c>
      <c r="G2068" s="36">
        <f t="shared" ref="G2068:G2073" si="462">F2068*6.3</f>
        <v>37.358999999999995</v>
      </c>
      <c r="H2068" s="37">
        <v>24</v>
      </c>
      <c r="I2068" s="109">
        <f t="shared" ref="I2068:I2073" si="463">G2068*H2068</f>
        <v>896.61599999999987</v>
      </c>
      <c r="J2068" s="123">
        <v>900</v>
      </c>
    </row>
    <row r="2069" spans="1:10" x14ac:dyDescent="0.25">
      <c r="A2069" s="31" t="s">
        <v>448</v>
      </c>
      <c r="B2069" s="37" t="s">
        <v>323</v>
      </c>
      <c r="C2069" s="34" t="s">
        <v>86</v>
      </c>
      <c r="D2069" s="108">
        <v>35.92</v>
      </c>
      <c r="E2069" s="34" t="s">
        <v>79</v>
      </c>
      <c r="F2069" s="110">
        <v>9.25</v>
      </c>
      <c r="G2069" s="36">
        <f t="shared" si="462"/>
        <v>58.274999999999999</v>
      </c>
      <c r="H2069" s="37">
        <v>24</v>
      </c>
      <c r="I2069" s="109">
        <f t="shared" si="463"/>
        <v>1398.6</v>
      </c>
      <c r="J2069" s="123">
        <v>1400</v>
      </c>
    </row>
    <row r="2070" spans="1:10" x14ac:dyDescent="0.25">
      <c r="A2070" s="31" t="s">
        <v>448</v>
      </c>
      <c r="B2070" s="50" t="s">
        <v>324</v>
      </c>
      <c r="C2070" s="34" t="s">
        <v>443</v>
      </c>
      <c r="D2070" s="108" t="s">
        <v>38</v>
      </c>
      <c r="E2070" s="34" t="s">
        <v>79</v>
      </c>
      <c r="F2070" s="36">
        <v>3.26</v>
      </c>
      <c r="G2070" s="36">
        <f t="shared" si="462"/>
        <v>20.537999999999997</v>
      </c>
      <c r="H2070" s="37">
        <v>24</v>
      </c>
      <c r="I2070" s="109">
        <f t="shared" si="463"/>
        <v>492.91199999999992</v>
      </c>
      <c r="J2070" s="123">
        <v>500</v>
      </c>
    </row>
    <row r="2071" spans="1:10" x14ac:dyDescent="0.25">
      <c r="A2071" s="31" t="s">
        <v>448</v>
      </c>
      <c r="B2071" s="75" t="s">
        <v>317</v>
      </c>
      <c r="C2071" s="111" t="s">
        <v>156</v>
      </c>
      <c r="D2071" s="111">
        <v>74.89</v>
      </c>
      <c r="E2071" s="42" t="s">
        <v>79</v>
      </c>
      <c r="F2071" s="74">
        <v>10.62</v>
      </c>
      <c r="G2071" s="36">
        <f t="shared" si="462"/>
        <v>66.905999999999992</v>
      </c>
      <c r="H2071" s="37">
        <v>24</v>
      </c>
      <c r="I2071" s="109">
        <f t="shared" si="463"/>
        <v>1605.7439999999997</v>
      </c>
      <c r="J2071" s="123">
        <v>1600</v>
      </c>
    </row>
    <row r="2072" spans="1:10" x14ac:dyDescent="0.25">
      <c r="A2072" s="31" t="s">
        <v>448</v>
      </c>
      <c r="B2072" s="37" t="s">
        <v>325</v>
      </c>
      <c r="C2072" s="34" t="s">
        <v>158</v>
      </c>
      <c r="D2072" s="46">
        <v>31.57</v>
      </c>
      <c r="E2072" s="34" t="s">
        <v>79</v>
      </c>
      <c r="F2072" s="74">
        <v>6.61</v>
      </c>
      <c r="G2072" s="36">
        <f t="shared" si="462"/>
        <v>41.643000000000001</v>
      </c>
      <c r="H2072" s="37">
        <v>24</v>
      </c>
      <c r="I2072" s="109">
        <f t="shared" si="463"/>
        <v>999.43200000000002</v>
      </c>
      <c r="J2072" s="123">
        <v>1000</v>
      </c>
    </row>
    <row r="2073" spans="1:10" ht="15.75" thickBot="1" x14ac:dyDescent="0.3">
      <c r="A2073" s="31" t="s">
        <v>448</v>
      </c>
      <c r="B2073" s="43" t="s">
        <v>326</v>
      </c>
      <c r="C2073" s="52" t="s">
        <v>152</v>
      </c>
      <c r="D2073" s="72">
        <v>1.75</v>
      </c>
      <c r="E2073" s="42" t="s">
        <v>79</v>
      </c>
      <c r="F2073" s="73">
        <v>8.85</v>
      </c>
      <c r="G2073" s="74">
        <f t="shared" si="462"/>
        <v>55.754999999999995</v>
      </c>
      <c r="H2073" s="43">
        <v>24</v>
      </c>
      <c r="I2073" s="328">
        <f t="shared" si="463"/>
        <v>1338.12</v>
      </c>
      <c r="J2073" s="124">
        <v>1300</v>
      </c>
    </row>
    <row r="2074" spans="1:10" ht="19.5" thickBot="1" x14ac:dyDescent="0.35">
      <c r="A2074" s="206"/>
      <c r="B2074" s="336"/>
      <c r="C2074" s="336"/>
      <c r="D2074" s="336"/>
      <c r="E2074" s="336"/>
      <c r="F2074" s="336"/>
      <c r="G2074" s="337"/>
      <c r="H2074" s="174" t="s">
        <v>171</v>
      </c>
      <c r="I2074" s="238">
        <f>SUM(I2068:I2073)</f>
        <v>6731.4239999999991</v>
      </c>
      <c r="J2074" s="104">
        <f>SUM(J2068:J2073)</f>
        <v>6700</v>
      </c>
    </row>
    <row r="2075" spans="1:10" x14ac:dyDescent="0.25">
      <c r="A2075" s="31" t="s">
        <v>449</v>
      </c>
      <c r="B2075" s="151" t="s">
        <v>322</v>
      </c>
      <c r="C2075" s="50" t="s">
        <v>114</v>
      </c>
      <c r="D2075" s="152">
        <v>19.97</v>
      </c>
      <c r="E2075" s="50" t="s">
        <v>79</v>
      </c>
      <c r="F2075" s="153">
        <v>5.95</v>
      </c>
      <c r="G2075" s="51">
        <f t="shared" ref="G2075:G2080" si="464">F2075*6.3</f>
        <v>37.484999999999999</v>
      </c>
      <c r="H2075" s="151">
        <v>24</v>
      </c>
      <c r="I2075" s="153">
        <f t="shared" ref="I2075:I2080" si="465">G2075*H2075</f>
        <v>899.64</v>
      </c>
      <c r="J2075" s="154">
        <v>900</v>
      </c>
    </row>
    <row r="2076" spans="1:10" x14ac:dyDescent="0.25">
      <c r="A2076" s="31" t="s">
        <v>449</v>
      </c>
      <c r="B2076" s="37" t="s">
        <v>323</v>
      </c>
      <c r="C2076" s="34" t="s">
        <v>86</v>
      </c>
      <c r="D2076" s="108">
        <v>31.1</v>
      </c>
      <c r="E2076" s="34" t="s">
        <v>79</v>
      </c>
      <c r="F2076" s="110">
        <v>9.26</v>
      </c>
      <c r="G2076" s="36">
        <f t="shared" si="464"/>
        <v>58.337999999999994</v>
      </c>
      <c r="H2076" s="37">
        <v>24</v>
      </c>
      <c r="I2076" s="109">
        <f t="shared" si="465"/>
        <v>1400.1119999999999</v>
      </c>
      <c r="J2076" s="123">
        <v>1400</v>
      </c>
    </row>
    <row r="2077" spans="1:10" x14ac:dyDescent="0.25">
      <c r="A2077" s="31" t="s">
        <v>449</v>
      </c>
      <c r="B2077" s="50" t="s">
        <v>324</v>
      </c>
      <c r="C2077" s="34" t="s">
        <v>443</v>
      </c>
      <c r="D2077" s="108" t="s">
        <v>38</v>
      </c>
      <c r="E2077" s="34" t="s">
        <v>79</v>
      </c>
      <c r="F2077" s="36">
        <v>3.31</v>
      </c>
      <c r="G2077" s="36">
        <f t="shared" si="464"/>
        <v>20.852999999999998</v>
      </c>
      <c r="H2077" s="37">
        <v>24</v>
      </c>
      <c r="I2077" s="109">
        <f t="shared" si="465"/>
        <v>500.47199999999998</v>
      </c>
      <c r="J2077" s="123">
        <v>500</v>
      </c>
    </row>
    <row r="2078" spans="1:10" x14ac:dyDescent="0.25">
      <c r="A2078" s="31" t="s">
        <v>449</v>
      </c>
      <c r="B2078" s="75" t="s">
        <v>317</v>
      </c>
      <c r="C2078" s="111" t="s">
        <v>156</v>
      </c>
      <c r="D2078" s="111">
        <v>83.69</v>
      </c>
      <c r="E2078" s="42" t="s">
        <v>79</v>
      </c>
      <c r="F2078" s="74">
        <v>10.6</v>
      </c>
      <c r="G2078" s="36">
        <f t="shared" si="464"/>
        <v>66.78</v>
      </c>
      <c r="H2078" s="37">
        <v>24</v>
      </c>
      <c r="I2078" s="109">
        <f t="shared" si="465"/>
        <v>1602.72</v>
      </c>
      <c r="J2078" s="123">
        <v>1600</v>
      </c>
    </row>
    <row r="2079" spans="1:10" x14ac:dyDescent="0.25">
      <c r="A2079" s="31" t="s">
        <v>449</v>
      </c>
      <c r="B2079" s="37" t="s">
        <v>325</v>
      </c>
      <c r="C2079" s="34" t="s">
        <v>158</v>
      </c>
      <c r="D2079" s="46">
        <v>31.63</v>
      </c>
      <c r="E2079" s="34" t="s">
        <v>79</v>
      </c>
      <c r="F2079" s="74">
        <v>6.65</v>
      </c>
      <c r="G2079" s="36">
        <f t="shared" si="464"/>
        <v>41.895000000000003</v>
      </c>
      <c r="H2079" s="37">
        <v>24</v>
      </c>
      <c r="I2079" s="109">
        <f t="shared" si="465"/>
        <v>1005.48</v>
      </c>
      <c r="J2079" s="123">
        <v>1000</v>
      </c>
    </row>
    <row r="2080" spans="1:10" ht="15.75" thickBot="1" x14ac:dyDescent="0.3">
      <c r="A2080" s="31" t="s">
        <v>449</v>
      </c>
      <c r="B2080" s="43" t="s">
        <v>326</v>
      </c>
      <c r="C2080" s="52" t="s">
        <v>152</v>
      </c>
      <c r="D2080" s="72">
        <v>1.75</v>
      </c>
      <c r="E2080" s="42" t="s">
        <v>79</v>
      </c>
      <c r="F2080" s="73">
        <v>8.84</v>
      </c>
      <c r="G2080" s="74">
        <f t="shared" si="464"/>
        <v>55.692</v>
      </c>
      <c r="H2080" s="43">
        <v>24</v>
      </c>
      <c r="I2080" s="328">
        <f t="shared" si="465"/>
        <v>1336.6079999999999</v>
      </c>
      <c r="J2080" s="124">
        <v>1300</v>
      </c>
    </row>
    <row r="2081" spans="1:10" ht="19.5" thickBot="1" x14ac:dyDescent="0.35">
      <c r="A2081" s="220"/>
      <c r="B2081" s="335"/>
      <c r="C2081" s="335"/>
      <c r="D2081" s="335"/>
      <c r="E2081" s="335"/>
      <c r="F2081" s="335"/>
      <c r="G2081" s="335"/>
      <c r="H2081" s="174" t="s">
        <v>171</v>
      </c>
      <c r="I2081" s="238">
        <f>SUM(I2075:I2080)</f>
        <v>6745.0320000000011</v>
      </c>
      <c r="J2081" s="104">
        <f>SUM(J2075:J2080)</f>
        <v>6700</v>
      </c>
    </row>
    <row r="2082" spans="1:10" x14ac:dyDescent="0.25">
      <c r="A2082" s="31" t="s">
        <v>450</v>
      </c>
      <c r="B2082" s="37" t="s">
        <v>322</v>
      </c>
      <c r="C2082" s="34" t="s">
        <v>114</v>
      </c>
      <c r="D2082" s="108">
        <v>20.2</v>
      </c>
      <c r="E2082" s="34" t="s">
        <v>79</v>
      </c>
      <c r="F2082" s="109">
        <v>5.96</v>
      </c>
      <c r="G2082" s="36">
        <f t="shared" ref="G2082:G2087" si="466">F2082*6.3</f>
        <v>37.548000000000002</v>
      </c>
      <c r="H2082" s="37">
        <v>24</v>
      </c>
      <c r="I2082" s="109">
        <f t="shared" ref="I2082:I2087" si="467">G2082*H2082</f>
        <v>901.15200000000004</v>
      </c>
      <c r="J2082" s="123">
        <v>900</v>
      </c>
    </row>
    <row r="2083" spans="1:10" x14ac:dyDescent="0.25">
      <c r="A2083" s="31" t="s">
        <v>450</v>
      </c>
      <c r="B2083" s="37" t="s">
        <v>323</v>
      </c>
      <c r="C2083" s="34" t="s">
        <v>86</v>
      </c>
      <c r="D2083" s="108">
        <v>30.4</v>
      </c>
      <c r="E2083" s="34" t="s">
        <v>79</v>
      </c>
      <c r="F2083" s="110">
        <v>9.31</v>
      </c>
      <c r="G2083" s="36">
        <f t="shared" si="466"/>
        <v>58.652999999999999</v>
      </c>
      <c r="H2083" s="37">
        <v>24</v>
      </c>
      <c r="I2083" s="109">
        <f t="shared" si="467"/>
        <v>1407.672</v>
      </c>
      <c r="J2083" s="123">
        <v>1400</v>
      </c>
    </row>
    <row r="2084" spans="1:10" x14ac:dyDescent="0.25">
      <c r="A2084" s="31" t="s">
        <v>450</v>
      </c>
      <c r="B2084" s="50" t="s">
        <v>324</v>
      </c>
      <c r="C2084" s="34" t="s">
        <v>443</v>
      </c>
      <c r="D2084" s="108" t="s">
        <v>38</v>
      </c>
      <c r="E2084" s="34" t="s">
        <v>79</v>
      </c>
      <c r="F2084" s="36">
        <v>3.32</v>
      </c>
      <c r="G2084" s="36">
        <f t="shared" si="466"/>
        <v>20.915999999999997</v>
      </c>
      <c r="H2084" s="37">
        <v>24</v>
      </c>
      <c r="I2084" s="109">
        <f t="shared" si="467"/>
        <v>501.98399999999992</v>
      </c>
      <c r="J2084" s="123">
        <v>500</v>
      </c>
    </row>
    <row r="2085" spans="1:10" x14ac:dyDescent="0.25">
      <c r="A2085" s="31" t="s">
        <v>450</v>
      </c>
      <c r="B2085" s="75" t="s">
        <v>317</v>
      </c>
      <c r="C2085" s="111" t="s">
        <v>156</v>
      </c>
      <c r="D2085" s="111">
        <v>82.16</v>
      </c>
      <c r="E2085" s="42" t="s">
        <v>79</v>
      </c>
      <c r="F2085" s="74">
        <v>10.64</v>
      </c>
      <c r="G2085" s="36">
        <f t="shared" si="466"/>
        <v>67.031999999999996</v>
      </c>
      <c r="H2085" s="37">
        <v>24</v>
      </c>
      <c r="I2085" s="109">
        <f t="shared" si="467"/>
        <v>1608.768</v>
      </c>
      <c r="J2085" s="123">
        <v>1600</v>
      </c>
    </row>
    <row r="2086" spans="1:10" x14ac:dyDescent="0.25">
      <c r="A2086" s="31" t="s">
        <v>450</v>
      </c>
      <c r="B2086" s="37" t="s">
        <v>325</v>
      </c>
      <c r="C2086" s="34" t="s">
        <v>158</v>
      </c>
      <c r="D2086" s="46">
        <v>31.88</v>
      </c>
      <c r="E2086" s="34" t="s">
        <v>79</v>
      </c>
      <c r="F2086" s="74">
        <v>6.64</v>
      </c>
      <c r="G2086" s="36">
        <f t="shared" si="466"/>
        <v>41.831999999999994</v>
      </c>
      <c r="H2086" s="37">
        <v>24</v>
      </c>
      <c r="I2086" s="109">
        <f t="shared" si="467"/>
        <v>1003.9679999999998</v>
      </c>
      <c r="J2086" s="123">
        <v>1000</v>
      </c>
    </row>
    <row r="2087" spans="1:10" ht="15.75" thickBot="1" x14ac:dyDescent="0.3">
      <c r="A2087" s="31" t="s">
        <v>450</v>
      </c>
      <c r="B2087" s="43" t="s">
        <v>326</v>
      </c>
      <c r="C2087" s="52" t="s">
        <v>152</v>
      </c>
      <c r="D2087" s="72">
        <v>0.09</v>
      </c>
      <c r="E2087" s="42" t="s">
        <v>79</v>
      </c>
      <c r="F2087" s="73">
        <v>8.8800000000000008</v>
      </c>
      <c r="G2087" s="74">
        <f t="shared" si="466"/>
        <v>55.944000000000003</v>
      </c>
      <c r="H2087" s="43">
        <v>24</v>
      </c>
      <c r="I2087" s="328">
        <f t="shared" si="467"/>
        <v>1342.6559999999999</v>
      </c>
      <c r="J2087" s="124">
        <v>1300</v>
      </c>
    </row>
    <row r="2088" spans="1:10" ht="19.5" thickBot="1" x14ac:dyDescent="0.35">
      <c r="A2088" s="220"/>
      <c r="B2088" s="335"/>
      <c r="C2088" s="335"/>
      <c r="D2088" s="335"/>
      <c r="E2088" s="335"/>
      <c r="F2088" s="335"/>
      <c r="G2088" s="335"/>
      <c r="H2088" s="174" t="s">
        <v>171</v>
      </c>
      <c r="I2088" s="238">
        <f>SUM(I2082:I2087)</f>
        <v>6766.2</v>
      </c>
      <c r="J2088" s="104">
        <f>SUM(J2082:J2087)</f>
        <v>6700</v>
      </c>
    </row>
    <row r="2089" spans="1:10" x14ac:dyDescent="0.25">
      <c r="A2089" s="31" t="s">
        <v>451</v>
      </c>
      <c r="B2089" s="37" t="s">
        <v>322</v>
      </c>
      <c r="C2089" s="34" t="s">
        <v>114</v>
      </c>
      <c r="D2089" s="108">
        <v>21.12</v>
      </c>
      <c r="E2089" s="34" t="s">
        <v>79</v>
      </c>
      <c r="F2089" s="109">
        <v>5.94</v>
      </c>
      <c r="G2089" s="36">
        <f t="shared" ref="G2089:G2094" si="468">F2089*6.3</f>
        <v>37.422000000000004</v>
      </c>
      <c r="H2089" s="37">
        <v>24</v>
      </c>
      <c r="I2089" s="109">
        <f t="shared" ref="I2089:I2094" si="469">G2089*H2089</f>
        <v>898.12800000000016</v>
      </c>
      <c r="J2089" s="123">
        <v>900</v>
      </c>
    </row>
    <row r="2090" spans="1:10" x14ac:dyDescent="0.25">
      <c r="A2090" s="31" t="s">
        <v>451</v>
      </c>
      <c r="B2090" s="37" t="s">
        <v>323</v>
      </c>
      <c r="C2090" s="34" t="s">
        <v>86</v>
      </c>
      <c r="D2090" s="108">
        <v>28.27</v>
      </c>
      <c r="E2090" s="34" t="s">
        <v>79</v>
      </c>
      <c r="F2090" s="110">
        <v>9.3000000000000007</v>
      </c>
      <c r="G2090" s="36">
        <f t="shared" si="468"/>
        <v>58.59</v>
      </c>
      <c r="H2090" s="37">
        <v>24</v>
      </c>
      <c r="I2090" s="109">
        <f t="shared" si="469"/>
        <v>1406.16</v>
      </c>
      <c r="J2090" s="123">
        <v>1400</v>
      </c>
    </row>
    <row r="2091" spans="1:10" x14ac:dyDescent="0.25">
      <c r="A2091" s="31" t="s">
        <v>451</v>
      </c>
      <c r="B2091" s="50" t="s">
        <v>324</v>
      </c>
      <c r="C2091" s="34" t="s">
        <v>443</v>
      </c>
      <c r="D2091" s="108" t="s">
        <v>38</v>
      </c>
      <c r="E2091" s="34" t="s">
        <v>79</v>
      </c>
      <c r="F2091" s="36">
        <v>3.24</v>
      </c>
      <c r="G2091" s="36">
        <f t="shared" si="468"/>
        <v>20.411999999999999</v>
      </c>
      <c r="H2091" s="37">
        <v>24</v>
      </c>
      <c r="I2091" s="109">
        <f t="shared" si="469"/>
        <v>489.88799999999998</v>
      </c>
      <c r="J2091" s="123">
        <v>500</v>
      </c>
    </row>
    <row r="2092" spans="1:10" x14ac:dyDescent="0.25">
      <c r="A2092" s="31" t="s">
        <v>451</v>
      </c>
      <c r="B2092" s="75" t="s">
        <v>317</v>
      </c>
      <c r="C2092" s="111" t="s">
        <v>156</v>
      </c>
      <c r="D2092" s="111">
        <v>85.69</v>
      </c>
      <c r="E2092" s="42" t="s">
        <v>79</v>
      </c>
      <c r="F2092" s="74">
        <v>10.63</v>
      </c>
      <c r="G2092" s="36">
        <f t="shared" si="468"/>
        <v>66.969000000000008</v>
      </c>
      <c r="H2092" s="37">
        <v>24</v>
      </c>
      <c r="I2092" s="109">
        <f t="shared" si="469"/>
        <v>1607.2560000000003</v>
      </c>
      <c r="J2092" s="123">
        <v>1600</v>
      </c>
    </row>
    <row r="2093" spans="1:10" x14ac:dyDescent="0.25">
      <c r="A2093" s="31" t="s">
        <v>451</v>
      </c>
      <c r="B2093" s="37" t="s">
        <v>325</v>
      </c>
      <c r="C2093" s="34" t="s">
        <v>158</v>
      </c>
      <c r="D2093" s="46">
        <v>31.88</v>
      </c>
      <c r="E2093" s="34" t="s">
        <v>79</v>
      </c>
      <c r="F2093" s="74">
        <v>6.62</v>
      </c>
      <c r="G2093" s="36">
        <f t="shared" si="468"/>
        <v>41.705999999999996</v>
      </c>
      <c r="H2093" s="37">
        <v>24</v>
      </c>
      <c r="I2093" s="109">
        <f t="shared" si="469"/>
        <v>1000.944</v>
      </c>
      <c r="J2093" s="123">
        <v>1000</v>
      </c>
    </row>
    <row r="2094" spans="1:10" ht="15.75" thickBot="1" x14ac:dyDescent="0.3">
      <c r="A2094" s="31" t="s">
        <v>451</v>
      </c>
      <c r="B2094" s="43" t="s">
        <v>326</v>
      </c>
      <c r="C2094" s="52" t="s">
        <v>152</v>
      </c>
      <c r="D2094" s="72">
        <v>1</v>
      </c>
      <c r="E2094" s="42" t="s">
        <v>79</v>
      </c>
      <c r="F2094" s="73">
        <v>8.7899999999999991</v>
      </c>
      <c r="G2094" s="74">
        <f t="shared" si="468"/>
        <v>55.376999999999995</v>
      </c>
      <c r="H2094" s="43">
        <v>24</v>
      </c>
      <c r="I2094" s="328">
        <f t="shared" si="469"/>
        <v>1329.0479999999998</v>
      </c>
      <c r="J2094" s="124">
        <v>1300</v>
      </c>
    </row>
    <row r="2095" spans="1:10" ht="19.5" thickBot="1" x14ac:dyDescent="0.35">
      <c r="A2095" s="220"/>
      <c r="B2095" s="335"/>
      <c r="C2095" s="335"/>
      <c r="D2095" s="335"/>
      <c r="E2095" s="335"/>
      <c r="F2095" s="335"/>
      <c r="G2095" s="335"/>
      <c r="H2095" s="174" t="s">
        <v>171</v>
      </c>
      <c r="I2095" s="238">
        <f>SUM(I2089:I2094)</f>
        <v>6731.424</v>
      </c>
      <c r="J2095" s="104">
        <f>SUM(J2089:J2094)</f>
        <v>6700</v>
      </c>
    </row>
    <row r="2096" spans="1:10" x14ac:dyDescent="0.25">
      <c r="A2096" s="31" t="s">
        <v>452</v>
      </c>
      <c r="B2096" s="37" t="s">
        <v>322</v>
      </c>
      <c r="C2096" s="34" t="s">
        <v>114</v>
      </c>
      <c r="D2096" s="108">
        <v>21.74</v>
      </c>
      <c r="E2096" s="34" t="s">
        <v>79</v>
      </c>
      <c r="F2096" s="109">
        <v>5.91</v>
      </c>
      <c r="G2096" s="36">
        <f t="shared" ref="G2096:G2101" si="470">F2096*6.3</f>
        <v>37.232999999999997</v>
      </c>
      <c r="H2096" s="37">
        <v>24</v>
      </c>
      <c r="I2096" s="109">
        <f t="shared" ref="I2096:I2101" si="471">G2096*H2096</f>
        <v>893.59199999999987</v>
      </c>
      <c r="J2096" s="123">
        <v>900</v>
      </c>
    </row>
    <row r="2097" spans="1:10" x14ac:dyDescent="0.25">
      <c r="A2097" s="31" t="s">
        <v>452</v>
      </c>
      <c r="B2097" s="37" t="s">
        <v>323</v>
      </c>
      <c r="C2097" s="34" t="s">
        <v>86</v>
      </c>
      <c r="D2097" s="108">
        <v>29.36</v>
      </c>
      <c r="E2097" s="34" t="s">
        <v>79</v>
      </c>
      <c r="F2097" s="110">
        <v>9.2899999999999991</v>
      </c>
      <c r="G2097" s="36">
        <f t="shared" si="470"/>
        <v>58.526999999999994</v>
      </c>
      <c r="H2097" s="37">
        <v>24</v>
      </c>
      <c r="I2097" s="109">
        <f t="shared" si="471"/>
        <v>1404.6479999999999</v>
      </c>
      <c r="J2097" s="123">
        <v>1400</v>
      </c>
    </row>
    <row r="2098" spans="1:10" x14ac:dyDescent="0.25">
      <c r="A2098" s="31" t="s">
        <v>452</v>
      </c>
      <c r="B2098" s="50" t="s">
        <v>324</v>
      </c>
      <c r="C2098" s="34" t="s">
        <v>443</v>
      </c>
      <c r="D2098" s="108" t="s">
        <v>38</v>
      </c>
      <c r="E2098" s="34" t="s">
        <v>79</v>
      </c>
      <c r="F2098" s="36">
        <v>3.31</v>
      </c>
      <c r="G2098" s="36">
        <f t="shared" si="470"/>
        <v>20.852999999999998</v>
      </c>
      <c r="H2098" s="37">
        <v>24</v>
      </c>
      <c r="I2098" s="109">
        <f t="shared" si="471"/>
        <v>500.47199999999998</v>
      </c>
      <c r="J2098" s="123">
        <v>500</v>
      </c>
    </row>
    <row r="2099" spans="1:10" x14ac:dyDescent="0.25">
      <c r="A2099" s="31" t="s">
        <v>452</v>
      </c>
      <c r="B2099" s="75" t="s">
        <v>317</v>
      </c>
      <c r="C2099" s="111" t="s">
        <v>156</v>
      </c>
      <c r="D2099" s="111">
        <v>79</v>
      </c>
      <c r="E2099" s="42" t="s">
        <v>79</v>
      </c>
      <c r="F2099" s="74">
        <v>10.59</v>
      </c>
      <c r="G2099" s="36">
        <f t="shared" si="470"/>
        <v>66.716999999999999</v>
      </c>
      <c r="H2099" s="37">
        <v>24</v>
      </c>
      <c r="I2099" s="109">
        <f t="shared" si="471"/>
        <v>1601.2080000000001</v>
      </c>
      <c r="J2099" s="123">
        <v>1600</v>
      </c>
    </row>
    <row r="2100" spans="1:10" x14ac:dyDescent="0.25">
      <c r="A2100" s="31" t="s">
        <v>452</v>
      </c>
      <c r="B2100" s="37" t="s">
        <v>325</v>
      </c>
      <c r="C2100" s="34" t="s">
        <v>158</v>
      </c>
      <c r="D2100" s="46">
        <v>31.99</v>
      </c>
      <c r="E2100" s="34" t="s">
        <v>79</v>
      </c>
      <c r="F2100" s="74">
        <v>6.6</v>
      </c>
      <c r="G2100" s="36">
        <f t="shared" si="470"/>
        <v>41.58</v>
      </c>
      <c r="H2100" s="37">
        <v>24</v>
      </c>
      <c r="I2100" s="109">
        <f t="shared" si="471"/>
        <v>997.92</v>
      </c>
      <c r="J2100" s="123">
        <v>1000</v>
      </c>
    </row>
    <row r="2101" spans="1:10" ht="15.75" thickBot="1" x14ac:dyDescent="0.3">
      <c r="A2101" s="31" t="s">
        <v>452</v>
      </c>
      <c r="B2101" s="43" t="s">
        <v>326</v>
      </c>
      <c r="C2101" s="52" t="s">
        <v>152</v>
      </c>
      <c r="D2101" s="72">
        <v>1</v>
      </c>
      <c r="E2101" s="42" t="s">
        <v>79</v>
      </c>
      <c r="F2101" s="73">
        <v>8.6999999999999993</v>
      </c>
      <c r="G2101" s="74">
        <f t="shared" si="470"/>
        <v>54.809999999999995</v>
      </c>
      <c r="H2101" s="43">
        <v>24</v>
      </c>
      <c r="I2101" s="328">
        <f t="shared" si="471"/>
        <v>1315.4399999999998</v>
      </c>
      <c r="J2101" s="124">
        <v>1300</v>
      </c>
    </row>
    <row r="2102" spans="1:10" ht="19.5" thickBot="1" x14ac:dyDescent="0.35">
      <c r="A2102" s="220"/>
      <c r="B2102" s="335"/>
      <c r="C2102" s="335"/>
      <c r="D2102" s="335"/>
      <c r="E2102" s="335"/>
      <c r="F2102" s="335"/>
      <c r="G2102" s="335"/>
      <c r="H2102" s="174" t="s">
        <v>171</v>
      </c>
      <c r="I2102" s="238">
        <f>SUM(I2096:I2101)</f>
        <v>6713.28</v>
      </c>
      <c r="J2102" s="104">
        <f>SUM(J2096:J2101)</f>
        <v>6700</v>
      </c>
    </row>
    <row r="2103" spans="1:10" x14ac:dyDescent="0.25">
      <c r="A2103" s="31" t="s">
        <v>453</v>
      </c>
      <c r="B2103" s="37" t="s">
        <v>322</v>
      </c>
      <c r="C2103" s="34" t="s">
        <v>114</v>
      </c>
      <c r="D2103" s="108">
        <v>22.83</v>
      </c>
      <c r="E2103" s="34" t="s">
        <v>79</v>
      </c>
      <c r="F2103" s="109">
        <v>5.98</v>
      </c>
      <c r="G2103" s="36">
        <f t="shared" ref="G2103:G2108" si="472">F2103*6.3</f>
        <v>37.673999999999999</v>
      </c>
      <c r="H2103" s="37">
        <v>24</v>
      </c>
      <c r="I2103" s="109">
        <f t="shared" ref="I2103:I2108" si="473">G2103*H2103</f>
        <v>904.17599999999993</v>
      </c>
      <c r="J2103" s="123">
        <v>900</v>
      </c>
    </row>
    <row r="2104" spans="1:10" x14ac:dyDescent="0.25">
      <c r="A2104" s="31" t="s">
        <v>453</v>
      </c>
      <c r="B2104" s="37" t="s">
        <v>323</v>
      </c>
      <c r="C2104" s="34" t="s">
        <v>86</v>
      </c>
      <c r="D2104" s="108">
        <v>29.85</v>
      </c>
      <c r="E2104" s="34" t="s">
        <v>79</v>
      </c>
      <c r="F2104" s="110">
        <v>9.3000000000000007</v>
      </c>
      <c r="G2104" s="36">
        <f t="shared" si="472"/>
        <v>58.59</v>
      </c>
      <c r="H2104" s="37">
        <v>24</v>
      </c>
      <c r="I2104" s="109">
        <f t="shared" si="473"/>
        <v>1406.16</v>
      </c>
      <c r="J2104" s="123">
        <v>1400</v>
      </c>
    </row>
    <row r="2105" spans="1:10" x14ac:dyDescent="0.25">
      <c r="A2105" s="31" t="s">
        <v>453</v>
      </c>
      <c r="B2105" s="50" t="s">
        <v>324</v>
      </c>
      <c r="C2105" s="34" t="s">
        <v>443</v>
      </c>
      <c r="D2105" s="108" t="s">
        <v>38</v>
      </c>
      <c r="E2105" s="34" t="s">
        <v>79</v>
      </c>
      <c r="F2105" s="36">
        <v>3.32</v>
      </c>
      <c r="G2105" s="36">
        <f t="shared" si="472"/>
        <v>20.915999999999997</v>
      </c>
      <c r="H2105" s="37">
        <v>24</v>
      </c>
      <c r="I2105" s="109">
        <f t="shared" si="473"/>
        <v>501.98399999999992</v>
      </c>
      <c r="J2105" s="123">
        <v>500</v>
      </c>
    </row>
    <row r="2106" spans="1:10" x14ac:dyDescent="0.25">
      <c r="A2106" s="31" t="s">
        <v>453</v>
      </c>
      <c r="B2106" s="75" t="s">
        <v>317</v>
      </c>
      <c r="C2106" s="111" t="s">
        <v>156</v>
      </c>
      <c r="D2106" s="111">
        <v>88.76</v>
      </c>
      <c r="E2106" s="42" t="s">
        <v>79</v>
      </c>
      <c r="F2106" s="74">
        <v>10.61</v>
      </c>
      <c r="G2106" s="36">
        <f t="shared" si="472"/>
        <v>66.842999999999989</v>
      </c>
      <c r="H2106" s="37">
        <v>24</v>
      </c>
      <c r="I2106" s="109">
        <f t="shared" si="473"/>
        <v>1604.2319999999997</v>
      </c>
      <c r="J2106" s="123">
        <v>1600</v>
      </c>
    </row>
    <row r="2107" spans="1:10" x14ac:dyDescent="0.25">
      <c r="A2107" s="31" t="s">
        <v>453</v>
      </c>
      <c r="B2107" s="37" t="s">
        <v>325</v>
      </c>
      <c r="C2107" s="34" t="s">
        <v>158</v>
      </c>
      <c r="D2107" s="46">
        <v>33.1</v>
      </c>
      <c r="E2107" s="34" t="s">
        <v>79</v>
      </c>
      <c r="F2107" s="74">
        <v>6.61</v>
      </c>
      <c r="G2107" s="36">
        <f t="shared" si="472"/>
        <v>41.643000000000001</v>
      </c>
      <c r="H2107" s="37">
        <v>24</v>
      </c>
      <c r="I2107" s="109">
        <f t="shared" si="473"/>
        <v>999.43200000000002</v>
      </c>
      <c r="J2107" s="123">
        <v>1000</v>
      </c>
    </row>
    <row r="2108" spans="1:10" ht="15.75" thickBot="1" x14ac:dyDescent="0.3">
      <c r="A2108" s="31" t="s">
        <v>453</v>
      </c>
      <c r="B2108" s="43" t="s">
        <v>326</v>
      </c>
      <c r="C2108" s="52" t="s">
        <v>152</v>
      </c>
      <c r="D2108" s="72">
        <v>1.63</v>
      </c>
      <c r="E2108" s="42" t="s">
        <v>79</v>
      </c>
      <c r="F2108" s="73">
        <v>8.7899999999999991</v>
      </c>
      <c r="G2108" s="74">
        <f t="shared" si="472"/>
        <v>55.376999999999995</v>
      </c>
      <c r="H2108" s="43">
        <v>24</v>
      </c>
      <c r="I2108" s="328">
        <f t="shared" si="473"/>
        <v>1329.0479999999998</v>
      </c>
      <c r="J2108" s="124">
        <v>1300</v>
      </c>
    </row>
    <row r="2109" spans="1:10" ht="19.5" thickBot="1" x14ac:dyDescent="0.35">
      <c r="A2109" s="220"/>
      <c r="B2109" s="335"/>
      <c r="C2109" s="335"/>
      <c r="D2109" s="335"/>
      <c r="E2109" s="335"/>
      <c r="F2109" s="335"/>
      <c r="G2109" s="335"/>
      <c r="H2109" s="174" t="s">
        <v>171</v>
      </c>
      <c r="I2109" s="238">
        <f>SUM(I2103:I2108)</f>
        <v>6745.0319999999992</v>
      </c>
      <c r="J2109" s="104">
        <f>SUM(J2103:J2108)</f>
        <v>6700</v>
      </c>
    </row>
    <row r="2110" spans="1:10" x14ac:dyDescent="0.25">
      <c r="A2110" s="31" t="s">
        <v>454</v>
      </c>
      <c r="B2110" s="37" t="s">
        <v>322</v>
      </c>
      <c r="C2110" s="34" t="s">
        <v>114</v>
      </c>
      <c r="D2110" s="108">
        <v>23.45</v>
      </c>
      <c r="E2110" s="34" t="s">
        <v>79</v>
      </c>
      <c r="F2110" s="109">
        <v>6.01</v>
      </c>
      <c r="G2110" s="36">
        <f t="shared" ref="G2110:G2115" si="474">F2110*6.3</f>
        <v>37.863</v>
      </c>
      <c r="H2110" s="37">
        <v>24</v>
      </c>
      <c r="I2110" s="109">
        <f t="shared" ref="I2110:I2115" si="475">G2110*H2110</f>
        <v>908.71199999999999</v>
      </c>
      <c r="J2110" s="123">
        <v>900</v>
      </c>
    </row>
    <row r="2111" spans="1:10" x14ac:dyDescent="0.25">
      <c r="A2111" s="31" t="s">
        <v>454</v>
      </c>
      <c r="B2111" s="37" t="s">
        <v>323</v>
      </c>
      <c r="C2111" s="34" t="s">
        <v>86</v>
      </c>
      <c r="D2111" s="108">
        <v>29.85</v>
      </c>
      <c r="E2111" s="34" t="s">
        <v>79</v>
      </c>
      <c r="F2111" s="110">
        <v>9.31</v>
      </c>
      <c r="G2111" s="36">
        <f t="shared" si="474"/>
        <v>58.652999999999999</v>
      </c>
      <c r="H2111" s="37">
        <v>24</v>
      </c>
      <c r="I2111" s="109">
        <f t="shared" si="475"/>
        <v>1407.672</v>
      </c>
      <c r="J2111" s="123">
        <v>1400</v>
      </c>
    </row>
    <row r="2112" spans="1:10" x14ac:dyDescent="0.25">
      <c r="A2112" s="31" t="s">
        <v>454</v>
      </c>
      <c r="B2112" s="50" t="s">
        <v>324</v>
      </c>
      <c r="C2112" s="34" t="s">
        <v>443</v>
      </c>
      <c r="D2112" s="108" t="s">
        <v>38</v>
      </c>
      <c r="E2112" s="34" t="s">
        <v>79</v>
      </c>
      <c r="F2112" s="36">
        <v>3.32</v>
      </c>
      <c r="G2112" s="36">
        <f t="shared" si="474"/>
        <v>20.915999999999997</v>
      </c>
      <c r="H2112" s="37">
        <v>24</v>
      </c>
      <c r="I2112" s="109">
        <f t="shared" si="475"/>
        <v>501.98399999999992</v>
      </c>
      <c r="J2112" s="123">
        <v>500</v>
      </c>
    </row>
    <row r="2113" spans="1:10" x14ac:dyDescent="0.25">
      <c r="A2113" s="31" t="s">
        <v>454</v>
      </c>
      <c r="B2113" s="75" t="s">
        <v>317</v>
      </c>
      <c r="C2113" s="111" t="s">
        <v>156</v>
      </c>
      <c r="D2113" s="111">
        <v>76.599999999999994</v>
      </c>
      <c r="E2113" s="42" t="s">
        <v>79</v>
      </c>
      <c r="F2113" s="74">
        <v>10.62</v>
      </c>
      <c r="G2113" s="36">
        <f t="shared" si="474"/>
        <v>66.905999999999992</v>
      </c>
      <c r="H2113" s="37">
        <v>24</v>
      </c>
      <c r="I2113" s="109">
        <f t="shared" si="475"/>
        <v>1605.7439999999997</v>
      </c>
      <c r="J2113" s="123">
        <v>1600</v>
      </c>
    </row>
    <row r="2114" spans="1:10" x14ac:dyDescent="0.25">
      <c r="A2114" s="31" t="s">
        <v>454</v>
      </c>
      <c r="B2114" s="37" t="s">
        <v>325</v>
      </c>
      <c r="C2114" s="34" t="s">
        <v>158</v>
      </c>
      <c r="D2114" s="46">
        <v>32.19</v>
      </c>
      <c r="E2114" s="34" t="s">
        <v>79</v>
      </c>
      <c r="F2114" s="74">
        <v>6.6</v>
      </c>
      <c r="G2114" s="36">
        <f t="shared" si="474"/>
        <v>41.58</v>
      </c>
      <c r="H2114" s="37">
        <v>24</v>
      </c>
      <c r="I2114" s="109">
        <f t="shared" si="475"/>
        <v>997.92</v>
      </c>
      <c r="J2114" s="123">
        <v>1000</v>
      </c>
    </row>
    <row r="2115" spans="1:10" ht="15.75" thickBot="1" x14ac:dyDescent="0.3">
      <c r="A2115" s="31" t="s">
        <v>454</v>
      </c>
      <c r="B2115" s="43" t="s">
        <v>326</v>
      </c>
      <c r="C2115" s="52" t="s">
        <v>152</v>
      </c>
      <c r="D2115" s="72">
        <v>1.75</v>
      </c>
      <c r="E2115" s="42" t="s">
        <v>79</v>
      </c>
      <c r="F2115" s="73">
        <v>8.8000000000000007</v>
      </c>
      <c r="G2115" s="74">
        <f t="shared" si="474"/>
        <v>55.440000000000005</v>
      </c>
      <c r="H2115" s="43">
        <v>24</v>
      </c>
      <c r="I2115" s="328">
        <f t="shared" si="475"/>
        <v>1330.5600000000002</v>
      </c>
      <c r="J2115" s="124">
        <v>1300</v>
      </c>
    </row>
    <row r="2116" spans="1:10" ht="19.5" thickBot="1" x14ac:dyDescent="0.35">
      <c r="A2116" s="220"/>
      <c r="B2116" s="335"/>
      <c r="C2116" s="335"/>
      <c r="D2116" s="335"/>
      <c r="E2116" s="335"/>
      <c r="F2116" s="335"/>
      <c r="G2116" s="335"/>
      <c r="H2116" s="174" t="s">
        <v>171</v>
      </c>
      <c r="I2116" s="238">
        <f>SUM(I2110:I2115)</f>
        <v>6752.5919999999996</v>
      </c>
      <c r="J2116" s="104">
        <f>SUM(J2110:J2115)</f>
        <v>6700</v>
      </c>
    </row>
    <row r="2117" spans="1:10" x14ac:dyDescent="0.25">
      <c r="A2117" s="31" t="s">
        <v>455</v>
      </c>
      <c r="B2117" s="37" t="s">
        <v>322</v>
      </c>
      <c r="C2117" s="34" t="s">
        <v>114</v>
      </c>
      <c r="D2117" s="108">
        <v>23.5</v>
      </c>
      <c r="E2117" s="34" t="s">
        <v>79</v>
      </c>
      <c r="F2117" s="109">
        <v>5.98</v>
      </c>
      <c r="G2117" s="36">
        <f t="shared" ref="G2117:G2122" si="476">F2117*6.3</f>
        <v>37.673999999999999</v>
      </c>
      <c r="H2117" s="37">
        <v>24</v>
      </c>
      <c r="I2117" s="109">
        <f t="shared" ref="I2117:I2122" si="477">G2117*H2117</f>
        <v>904.17599999999993</v>
      </c>
      <c r="J2117" s="123">
        <v>900</v>
      </c>
    </row>
    <row r="2118" spans="1:10" x14ac:dyDescent="0.25">
      <c r="A2118" s="31" t="s">
        <v>455</v>
      </c>
      <c r="B2118" s="37" t="s">
        <v>323</v>
      </c>
      <c r="C2118" s="34" t="s">
        <v>86</v>
      </c>
      <c r="D2118" s="108">
        <v>29.73</v>
      </c>
      <c r="E2118" s="34" t="s">
        <v>79</v>
      </c>
      <c r="F2118" s="110">
        <v>9.2799999999999994</v>
      </c>
      <c r="G2118" s="36">
        <f t="shared" si="476"/>
        <v>58.463999999999992</v>
      </c>
      <c r="H2118" s="37">
        <v>24</v>
      </c>
      <c r="I2118" s="109">
        <f t="shared" si="477"/>
        <v>1403.1359999999997</v>
      </c>
      <c r="J2118" s="123">
        <v>1400</v>
      </c>
    </row>
    <row r="2119" spans="1:10" x14ac:dyDescent="0.25">
      <c r="A2119" s="31" t="s">
        <v>455</v>
      </c>
      <c r="B2119" s="50" t="s">
        <v>324</v>
      </c>
      <c r="C2119" s="34" t="s">
        <v>443</v>
      </c>
      <c r="D2119" s="108" t="s">
        <v>38</v>
      </c>
      <c r="E2119" s="34" t="s">
        <v>79</v>
      </c>
      <c r="F2119" s="36">
        <v>3.32</v>
      </c>
      <c r="G2119" s="36">
        <f t="shared" si="476"/>
        <v>20.915999999999997</v>
      </c>
      <c r="H2119" s="37">
        <v>24</v>
      </c>
      <c r="I2119" s="109">
        <f t="shared" si="477"/>
        <v>501.98399999999992</v>
      </c>
      <c r="J2119" s="123">
        <v>500</v>
      </c>
    </row>
    <row r="2120" spans="1:10" x14ac:dyDescent="0.25">
      <c r="A2120" s="31" t="s">
        <v>455</v>
      </c>
      <c r="B2120" s="75" t="s">
        <v>317</v>
      </c>
      <c r="C2120" s="111" t="s">
        <v>156</v>
      </c>
      <c r="D2120" s="111">
        <v>71.540000000000006</v>
      </c>
      <c r="E2120" s="42" t="s">
        <v>79</v>
      </c>
      <c r="F2120" s="74">
        <v>10.64</v>
      </c>
      <c r="G2120" s="36">
        <f t="shared" si="476"/>
        <v>67.031999999999996</v>
      </c>
      <c r="H2120" s="37">
        <v>24</v>
      </c>
      <c r="I2120" s="109">
        <f t="shared" si="477"/>
        <v>1608.768</v>
      </c>
      <c r="J2120" s="123">
        <v>1600</v>
      </c>
    </row>
    <row r="2121" spans="1:10" x14ac:dyDescent="0.25">
      <c r="A2121" s="31" t="s">
        <v>455</v>
      </c>
      <c r="B2121" s="37" t="s">
        <v>325</v>
      </c>
      <c r="C2121" s="34" t="s">
        <v>158</v>
      </c>
      <c r="D2121" s="46">
        <v>31.85</v>
      </c>
      <c r="E2121" s="34" t="s">
        <v>79</v>
      </c>
      <c r="F2121" s="74">
        <v>6.56</v>
      </c>
      <c r="G2121" s="36">
        <f t="shared" si="476"/>
        <v>41.327999999999996</v>
      </c>
      <c r="H2121" s="37">
        <v>24</v>
      </c>
      <c r="I2121" s="109">
        <f t="shared" si="477"/>
        <v>991.87199999999984</v>
      </c>
      <c r="J2121" s="123">
        <v>1000</v>
      </c>
    </row>
    <row r="2122" spans="1:10" ht="15.75" thickBot="1" x14ac:dyDescent="0.3">
      <c r="A2122" s="31" t="s">
        <v>455</v>
      </c>
      <c r="B2122" s="43" t="s">
        <v>326</v>
      </c>
      <c r="C2122" s="52" t="s">
        <v>152</v>
      </c>
      <c r="D2122" s="72">
        <v>1.75</v>
      </c>
      <c r="E2122" s="42" t="s">
        <v>79</v>
      </c>
      <c r="F2122" s="73">
        <v>8.82</v>
      </c>
      <c r="G2122" s="74">
        <f t="shared" si="476"/>
        <v>55.566000000000003</v>
      </c>
      <c r="H2122" s="43">
        <v>24</v>
      </c>
      <c r="I2122" s="328">
        <f t="shared" si="477"/>
        <v>1333.5840000000001</v>
      </c>
      <c r="J2122" s="124">
        <v>1300</v>
      </c>
    </row>
    <row r="2123" spans="1:10" ht="19.5" thickBot="1" x14ac:dyDescent="0.35">
      <c r="A2123" s="220"/>
      <c r="B2123" s="335"/>
      <c r="C2123" s="335"/>
      <c r="D2123" s="335"/>
      <c r="E2123" s="335"/>
      <c r="F2123" s="335"/>
      <c r="G2123" s="335"/>
      <c r="H2123" s="174" t="s">
        <v>171</v>
      </c>
      <c r="I2123" s="238">
        <f>SUM(I2117:I2122)</f>
        <v>6743.5199999999995</v>
      </c>
      <c r="J2123" s="104">
        <f>SUM(J2117:J2122)</f>
        <v>6700</v>
      </c>
    </row>
    <row r="2124" spans="1:10" x14ac:dyDescent="0.25">
      <c r="A2124" s="31" t="s">
        <v>456</v>
      </c>
      <c r="B2124" s="37" t="s">
        <v>322</v>
      </c>
      <c r="C2124" s="34" t="s">
        <v>114</v>
      </c>
      <c r="D2124" s="108">
        <v>23.82</v>
      </c>
      <c r="E2124" s="34" t="s">
        <v>79</v>
      </c>
      <c r="F2124" s="109">
        <v>5.99</v>
      </c>
      <c r="G2124" s="36">
        <f t="shared" ref="G2124:G2129" si="478">F2124*6.3</f>
        <v>37.737000000000002</v>
      </c>
      <c r="H2124" s="37">
        <v>24</v>
      </c>
      <c r="I2124" s="109">
        <f t="shared" ref="I2124:I2129" si="479">G2124*H2124</f>
        <v>905.6880000000001</v>
      </c>
      <c r="J2124" s="123">
        <v>900</v>
      </c>
    </row>
    <row r="2125" spans="1:10" x14ac:dyDescent="0.25">
      <c r="A2125" s="31" t="s">
        <v>456</v>
      </c>
      <c r="B2125" s="37" t="s">
        <v>323</v>
      </c>
      <c r="C2125" s="34" t="s">
        <v>86</v>
      </c>
      <c r="D2125" s="108">
        <v>30.22</v>
      </c>
      <c r="E2125" s="34" t="s">
        <v>79</v>
      </c>
      <c r="F2125" s="110">
        <v>9.31</v>
      </c>
      <c r="G2125" s="36">
        <f t="shared" si="478"/>
        <v>58.652999999999999</v>
      </c>
      <c r="H2125" s="37">
        <v>24</v>
      </c>
      <c r="I2125" s="109">
        <f t="shared" si="479"/>
        <v>1407.672</v>
      </c>
      <c r="J2125" s="123">
        <v>1400</v>
      </c>
    </row>
    <row r="2126" spans="1:10" x14ac:dyDescent="0.25">
      <c r="A2126" s="31" t="s">
        <v>456</v>
      </c>
      <c r="B2126" s="50" t="s">
        <v>324</v>
      </c>
      <c r="C2126" s="34" t="s">
        <v>443</v>
      </c>
      <c r="D2126" s="108" t="s">
        <v>38</v>
      </c>
      <c r="E2126" s="34" t="s">
        <v>79</v>
      </c>
      <c r="F2126" s="36">
        <v>3.29</v>
      </c>
      <c r="G2126" s="36">
        <f t="shared" si="478"/>
        <v>20.727</v>
      </c>
      <c r="H2126" s="37">
        <v>24</v>
      </c>
      <c r="I2126" s="109">
        <f t="shared" si="479"/>
        <v>497.44799999999998</v>
      </c>
      <c r="J2126" s="123">
        <v>500</v>
      </c>
    </row>
    <row r="2127" spans="1:10" x14ac:dyDescent="0.25">
      <c r="A2127" s="31" t="s">
        <v>456</v>
      </c>
      <c r="B2127" s="75" t="s">
        <v>317</v>
      </c>
      <c r="C2127" s="111" t="s">
        <v>156</v>
      </c>
      <c r="D2127" s="111">
        <v>75.67</v>
      </c>
      <c r="E2127" s="42" t="s">
        <v>79</v>
      </c>
      <c r="F2127" s="74">
        <v>10.65</v>
      </c>
      <c r="G2127" s="36">
        <f t="shared" si="478"/>
        <v>67.094999999999999</v>
      </c>
      <c r="H2127" s="37">
        <v>24</v>
      </c>
      <c r="I2127" s="109">
        <f t="shared" si="479"/>
        <v>1610.28</v>
      </c>
      <c r="J2127" s="123">
        <v>1600</v>
      </c>
    </row>
    <row r="2128" spans="1:10" x14ac:dyDescent="0.25">
      <c r="A2128" s="31" t="s">
        <v>456</v>
      </c>
      <c r="B2128" s="37" t="s">
        <v>325</v>
      </c>
      <c r="C2128" s="34" t="s">
        <v>158</v>
      </c>
      <c r="D2128" s="46">
        <v>32.11</v>
      </c>
      <c r="E2128" s="34" t="s">
        <v>79</v>
      </c>
      <c r="F2128" s="74">
        <v>6.59</v>
      </c>
      <c r="G2128" s="36">
        <f t="shared" si="478"/>
        <v>41.516999999999996</v>
      </c>
      <c r="H2128" s="37">
        <v>24</v>
      </c>
      <c r="I2128" s="109">
        <f t="shared" si="479"/>
        <v>996.4079999999999</v>
      </c>
      <c r="J2128" s="123">
        <v>1000</v>
      </c>
    </row>
    <row r="2129" spans="1:10" ht="15.75" thickBot="1" x14ac:dyDescent="0.3">
      <c r="A2129" s="31" t="s">
        <v>456</v>
      </c>
      <c r="B2129" s="43" t="s">
        <v>326</v>
      </c>
      <c r="C2129" s="52" t="s">
        <v>152</v>
      </c>
      <c r="D2129" s="72">
        <v>1.93</v>
      </c>
      <c r="E2129" s="42" t="s">
        <v>79</v>
      </c>
      <c r="F2129" s="73">
        <v>8.7799999999999994</v>
      </c>
      <c r="G2129" s="74">
        <f t="shared" si="478"/>
        <v>55.313999999999993</v>
      </c>
      <c r="H2129" s="43">
        <v>24</v>
      </c>
      <c r="I2129" s="328">
        <f t="shared" si="479"/>
        <v>1327.5359999999998</v>
      </c>
      <c r="J2129" s="124">
        <v>1300</v>
      </c>
    </row>
    <row r="2130" spans="1:10" ht="19.5" thickBot="1" x14ac:dyDescent="0.35">
      <c r="A2130" s="220"/>
      <c r="B2130" s="335"/>
      <c r="C2130" s="335"/>
      <c r="D2130" s="335"/>
      <c r="E2130" s="335"/>
      <c r="F2130" s="335"/>
      <c r="G2130" s="335"/>
      <c r="H2130" s="174" t="s">
        <v>171</v>
      </c>
      <c r="I2130" s="238">
        <f>SUM(I2124:I2129)</f>
        <v>6745.0319999999992</v>
      </c>
      <c r="J2130" s="104">
        <f>SUM(J2124:J2129)</f>
        <v>6700</v>
      </c>
    </row>
    <row r="2131" spans="1:10" x14ac:dyDescent="0.25">
      <c r="A2131" s="31" t="s">
        <v>457</v>
      </c>
      <c r="B2131" s="37" t="s">
        <v>322</v>
      </c>
      <c r="C2131" s="34" t="s">
        <v>114</v>
      </c>
      <c r="D2131" s="108">
        <v>24.25</v>
      </c>
      <c r="E2131" s="34" t="s">
        <v>79</v>
      </c>
      <c r="F2131" s="109">
        <v>5.96</v>
      </c>
      <c r="G2131" s="36">
        <f t="shared" ref="G2131:G2136" si="480">F2131*6.3</f>
        <v>37.548000000000002</v>
      </c>
      <c r="H2131" s="37">
        <v>24</v>
      </c>
      <c r="I2131" s="109">
        <f t="shared" ref="I2131:I2136" si="481">G2131*H2131</f>
        <v>901.15200000000004</v>
      </c>
      <c r="J2131" s="123">
        <v>900</v>
      </c>
    </row>
    <row r="2132" spans="1:10" x14ac:dyDescent="0.25">
      <c r="A2132" s="31" t="s">
        <v>457</v>
      </c>
      <c r="B2132" s="37" t="s">
        <v>323</v>
      </c>
      <c r="C2132" s="34" t="s">
        <v>86</v>
      </c>
      <c r="D2132" s="108">
        <v>30.76</v>
      </c>
      <c r="E2132" s="34" t="s">
        <v>79</v>
      </c>
      <c r="F2132" s="110">
        <v>9.3000000000000007</v>
      </c>
      <c r="G2132" s="36">
        <f t="shared" si="480"/>
        <v>58.59</v>
      </c>
      <c r="H2132" s="37">
        <v>24</v>
      </c>
      <c r="I2132" s="109">
        <f t="shared" si="481"/>
        <v>1406.16</v>
      </c>
      <c r="J2132" s="123">
        <v>1400</v>
      </c>
    </row>
    <row r="2133" spans="1:10" x14ac:dyDescent="0.25">
      <c r="A2133" s="31" t="s">
        <v>457</v>
      </c>
      <c r="B2133" s="50" t="s">
        <v>324</v>
      </c>
      <c r="C2133" s="34" t="s">
        <v>443</v>
      </c>
      <c r="D2133" s="108" t="s">
        <v>38</v>
      </c>
      <c r="E2133" s="34" t="s">
        <v>79</v>
      </c>
      <c r="F2133" s="36">
        <v>3.3</v>
      </c>
      <c r="G2133" s="36">
        <f t="shared" si="480"/>
        <v>20.79</v>
      </c>
      <c r="H2133" s="37">
        <v>24</v>
      </c>
      <c r="I2133" s="109">
        <f t="shared" si="481"/>
        <v>498.96</v>
      </c>
      <c r="J2133" s="123">
        <v>500</v>
      </c>
    </row>
    <row r="2134" spans="1:10" x14ac:dyDescent="0.25">
      <c r="A2134" s="31" t="s">
        <v>457</v>
      </c>
      <c r="B2134" s="75" t="s">
        <v>317</v>
      </c>
      <c r="C2134" s="111" t="s">
        <v>156</v>
      </c>
      <c r="D2134" s="111">
        <v>75.260000000000005</v>
      </c>
      <c r="E2134" s="42" t="s">
        <v>79</v>
      </c>
      <c r="F2134" s="74">
        <v>10.58</v>
      </c>
      <c r="G2134" s="36">
        <f t="shared" si="480"/>
        <v>66.653999999999996</v>
      </c>
      <c r="H2134" s="37">
        <v>24</v>
      </c>
      <c r="I2134" s="109">
        <f t="shared" si="481"/>
        <v>1599.6959999999999</v>
      </c>
      <c r="J2134" s="123">
        <v>1600</v>
      </c>
    </row>
    <row r="2135" spans="1:10" x14ac:dyDescent="0.25">
      <c r="A2135" s="31" t="s">
        <v>457</v>
      </c>
      <c r="B2135" s="37" t="s">
        <v>325</v>
      </c>
      <c r="C2135" s="34" t="s">
        <v>158</v>
      </c>
      <c r="D2135" s="46">
        <v>32.42</v>
      </c>
      <c r="E2135" s="34" t="s">
        <v>79</v>
      </c>
      <c r="F2135" s="74">
        <v>6.61</v>
      </c>
      <c r="G2135" s="36">
        <f t="shared" si="480"/>
        <v>41.643000000000001</v>
      </c>
      <c r="H2135" s="37">
        <v>24</v>
      </c>
      <c r="I2135" s="109">
        <f t="shared" si="481"/>
        <v>999.43200000000002</v>
      </c>
      <c r="J2135" s="123">
        <v>1000</v>
      </c>
    </row>
    <row r="2136" spans="1:10" ht="15.75" thickBot="1" x14ac:dyDescent="0.3">
      <c r="A2136" s="31" t="s">
        <v>457</v>
      </c>
      <c r="B2136" s="43" t="s">
        <v>326</v>
      </c>
      <c r="C2136" s="52" t="s">
        <v>152</v>
      </c>
      <c r="D2136" s="72">
        <v>1.99</v>
      </c>
      <c r="E2136" s="42" t="s">
        <v>79</v>
      </c>
      <c r="F2136" s="73">
        <v>8.7799999999999994</v>
      </c>
      <c r="G2136" s="74">
        <f t="shared" si="480"/>
        <v>55.313999999999993</v>
      </c>
      <c r="H2136" s="43">
        <v>24</v>
      </c>
      <c r="I2136" s="328">
        <f t="shared" si="481"/>
        <v>1327.5359999999998</v>
      </c>
      <c r="J2136" s="124">
        <v>1300</v>
      </c>
    </row>
    <row r="2137" spans="1:10" ht="19.5" thickBot="1" x14ac:dyDescent="0.35">
      <c r="A2137" s="220"/>
      <c r="B2137" s="335"/>
      <c r="C2137" s="335"/>
      <c r="D2137" s="335"/>
      <c r="E2137" s="335"/>
      <c r="F2137" s="335"/>
      <c r="G2137" s="335"/>
      <c r="H2137" s="174" t="s">
        <v>171</v>
      </c>
      <c r="I2137" s="238">
        <f>SUM(I2131:I2136)</f>
        <v>6732.9359999999997</v>
      </c>
      <c r="J2137" s="104">
        <f>SUM(J2131:J2136)</f>
        <v>6700</v>
      </c>
    </row>
    <row r="2138" spans="1:10" x14ac:dyDescent="0.25">
      <c r="A2138" s="31" t="s">
        <v>458</v>
      </c>
      <c r="B2138" s="37" t="s">
        <v>322</v>
      </c>
      <c r="C2138" s="34" t="s">
        <v>114</v>
      </c>
      <c r="D2138" s="108">
        <v>24.49</v>
      </c>
      <c r="E2138" s="34" t="s">
        <v>79</v>
      </c>
      <c r="F2138" s="109">
        <v>5.96</v>
      </c>
      <c r="G2138" s="36">
        <f t="shared" ref="G2138:G2143" si="482">F2138*6.3</f>
        <v>37.548000000000002</v>
      </c>
      <c r="H2138" s="37">
        <v>24</v>
      </c>
      <c r="I2138" s="109">
        <f t="shared" ref="I2138:I2143" si="483">G2138*H2138</f>
        <v>901.15200000000004</v>
      </c>
      <c r="J2138" s="123">
        <v>900</v>
      </c>
    </row>
    <row r="2139" spans="1:10" x14ac:dyDescent="0.25">
      <c r="A2139" s="31" t="s">
        <v>458</v>
      </c>
      <c r="B2139" s="37" t="s">
        <v>323</v>
      </c>
      <c r="C2139" s="34" t="s">
        <v>86</v>
      </c>
      <c r="D2139" s="108">
        <v>31.15</v>
      </c>
      <c r="E2139" s="34" t="s">
        <v>79</v>
      </c>
      <c r="F2139" s="110">
        <v>9.2899999999999991</v>
      </c>
      <c r="G2139" s="36">
        <f t="shared" si="482"/>
        <v>58.526999999999994</v>
      </c>
      <c r="H2139" s="37">
        <v>24</v>
      </c>
      <c r="I2139" s="109">
        <f t="shared" si="483"/>
        <v>1404.6479999999999</v>
      </c>
      <c r="J2139" s="123">
        <v>1400</v>
      </c>
    </row>
    <row r="2140" spans="1:10" x14ac:dyDescent="0.25">
      <c r="A2140" s="31" t="s">
        <v>458</v>
      </c>
      <c r="B2140" s="50" t="s">
        <v>324</v>
      </c>
      <c r="C2140" s="34" t="s">
        <v>443</v>
      </c>
      <c r="D2140" s="108" t="s">
        <v>38</v>
      </c>
      <c r="E2140" s="34" t="s">
        <v>79</v>
      </c>
      <c r="F2140" s="36">
        <v>3.32</v>
      </c>
      <c r="G2140" s="36">
        <f t="shared" si="482"/>
        <v>20.915999999999997</v>
      </c>
      <c r="H2140" s="37">
        <v>24</v>
      </c>
      <c r="I2140" s="109">
        <f t="shared" si="483"/>
        <v>501.98399999999992</v>
      </c>
      <c r="J2140" s="123">
        <v>500</v>
      </c>
    </row>
    <row r="2141" spans="1:10" x14ac:dyDescent="0.25">
      <c r="A2141" s="31" t="s">
        <v>458</v>
      </c>
      <c r="B2141" s="75" t="s">
        <v>317</v>
      </c>
      <c r="C2141" s="111" t="s">
        <v>156</v>
      </c>
      <c r="D2141" s="111">
        <v>70.19</v>
      </c>
      <c r="E2141" s="42" t="s">
        <v>79</v>
      </c>
      <c r="F2141" s="74">
        <v>10.61</v>
      </c>
      <c r="G2141" s="36">
        <f t="shared" si="482"/>
        <v>66.842999999999989</v>
      </c>
      <c r="H2141" s="37">
        <v>24</v>
      </c>
      <c r="I2141" s="109">
        <f t="shared" si="483"/>
        <v>1604.2319999999997</v>
      </c>
      <c r="J2141" s="123">
        <v>1600</v>
      </c>
    </row>
    <row r="2142" spans="1:10" x14ac:dyDescent="0.25">
      <c r="A2142" s="31" t="s">
        <v>458</v>
      </c>
      <c r="B2142" s="37" t="s">
        <v>325</v>
      </c>
      <c r="C2142" s="34" t="s">
        <v>158</v>
      </c>
      <c r="D2142" s="46">
        <v>32.549999999999997</v>
      </c>
      <c r="E2142" s="34" t="s">
        <v>79</v>
      </c>
      <c r="F2142" s="74">
        <v>6.6</v>
      </c>
      <c r="G2142" s="36">
        <f t="shared" si="482"/>
        <v>41.58</v>
      </c>
      <c r="H2142" s="37">
        <v>24</v>
      </c>
      <c r="I2142" s="109">
        <f t="shared" si="483"/>
        <v>997.92</v>
      </c>
      <c r="J2142" s="123">
        <v>1000</v>
      </c>
    </row>
    <row r="2143" spans="1:10" ht="15.75" thickBot="1" x14ac:dyDescent="0.3">
      <c r="A2143" s="31" t="s">
        <v>458</v>
      </c>
      <c r="B2143" s="43" t="s">
        <v>326</v>
      </c>
      <c r="C2143" s="52" t="s">
        <v>152</v>
      </c>
      <c r="D2143" s="72">
        <v>1.99</v>
      </c>
      <c r="E2143" s="42" t="s">
        <v>79</v>
      </c>
      <c r="F2143" s="73">
        <v>8.81</v>
      </c>
      <c r="G2143" s="74">
        <f t="shared" si="482"/>
        <v>55.503</v>
      </c>
      <c r="H2143" s="43">
        <v>24</v>
      </c>
      <c r="I2143" s="328">
        <f t="shared" si="483"/>
        <v>1332.0720000000001</v>
      </c>
      <c r="J2143" s="124">
        <v>1300</v>
      </c>
    </row>
    <row r="2144" spans="1:10" ht="19.5" thickBot="1" x14ac:dyDescent="0.35">
      <c r="A2144" s="220"/>
      <c r="B2144" s="335"/>
      <c r="C2144" s="335"/>
      <c r="D2144" s="335"/>
      <c r="E2144" s="335"/>
      <c r="F2144" s="335"/>
      <c r="G2144" s="335"/>
      <c r="H2144" s="174" t="s">
        <v>171</v>
      </c>
      <c r="I2144" s="238">
        <f>SUM(I2138:I2143)</f>
        <v>6742.0079999999998</v>
      </c>
      <c r="J2144" s="104">
        <f>SUM(J2138:J2143)</f>
        <v>6700</v>
      </c>
    </row>
    <row r="2145" spans="1:10" x14ac:dyDescent="0.25">
      <c r="A2145" s="31" t="s">
        <v>459</v>
      </c>
      <c r="B2145" s="37" t="s">
        <v>322</v>
      </c>
      <c r="C2145" s="34" t="s">
        <v>114</v>
      </c>
      <c r="D2145" s="108">
        <v>24.55</v>
      </c>
      <c r="E2145" s="34" t="s">
        <v>79</v>
      </c>
      <c r="F2145" s="109">
        <v>5.96</v>
      </c>
      <c r="G2145" s="36">
        <f t="shared" ref="G2145:G2150" si="484">F2145*6.3</f>
        <v>37.548000000000002</v>
      </c>
      <c r="H2145" s="37">
        <v>24</v>
      </c>
      <c r="I2145" s="109">
        <f t="shared" ref="I2145:I2150" si="485">G2145*H2145</f>
        <v>901.15200000000004</v>
      </c>
      <c r="J2145" s="123">
        <v>900</v>
      </c>
    </row>
    <row r="2146" spans="1:10" x14ac:dyDescent="0.25">
      <c r="A2146" s="31" t="s">
        <v>459</v>
      </c>
      <c r="B2146" s="37" t="s">
        <v>323</v>
      </c>
      <c r="C2146" s="34" t="s">
        <v>86</v>
      </c>
      <c r="D2146" s="108">
        <v>31.69</v>
      </c>
      <c r="E2146" s="34" t="s">
        <v>79</v>
      </c>
      <c r="F2146" s="110">
        <v>9.2899999999999991</v>
      </c>
      <c r="G2146" s="36">
        <f t="shared" si="484"/>
        <v>58.526999999999994</v>
      </c>
      <c r="H2146" s="37">
        <v>24</v>
      </c>
      <c r="I2146" s="109">
        <f t="shared" si="485"/>
        <v>1404.6479999999999</v>
      </c>
      <c r="J2146" s="123">
        <v>1400</v>
      </c>
    </row>
    <row r="2147" spans="1:10" x14ac:dyDescent="0.25">
      <c r="A2147" s="31" t="s">
        <v>459</v>
      </c>
      <c r="B2147" s="50" t="s">
        <v>324</v>
      </c>
      <c r="C2147" s="34" t="s">
        <v>443</v>
      </c>
      <c r="D2147" s="108" t="s">
        <v>38</v>
      </c>
      <c r="E2147" s="34" t="s">
        <v>79</v>
      </c>
      <c r="F2147" s="36">
        <v>3.3</v>
      </c>
      <c r="G2147" s="36">
        <f t="shared" si="484"/>
        <v>20.79</v>
      </c>
      <c r="H2147" s="37">
        <v>24</v>
      </c>
      <c r="I2147" s="109">
        <f t="shared" si="485"/>
        <v>498.96</v>
      </c>
      <c r="J2147" s="123">
        <v>500</v>
      </c>
    </row>
    <row r="2148" spans="1:10" x14ac:dyDescent="0.25">
      <c r="A2148" s="31" t="s">
        <v>459</v>
      </c>
      <c r="B2148" s="75" t="s">
        <v>317</v>
      </c>
      <c r="C2148" s="111" t="s">
        <v>156</v>
      </c>
      <c r="D2148" s="111">
        <v>78.05</v>
      </c>
      <c r="E2148" s="42" t="s">
        <v>79</v>
      </c>
      <c r="F2148" s="74">
        <v>10.61</v>
      </c>
      <c r="G2148" s="36">
        <f t="shared" si="484"/>
        <v>66.842999999999989</v>
      </c>
      <c r="H2148" s="37">
        <v>24</v>
      </c>
      <c r="I2148" s="109">
        <f t="shared" si="485"/>
        <v>1604.2319999999997</v>
      </c>
      <c r="J2148" s="123">
        <v>1600</v>
      </c>
    </row>
    <row r="2149" spans="1:10" x14ac:dyDescent="0.25">
      <c r="A2149" s="31" t="s">
        <v>459</v>
      </c>
      <c r="B2149" s="37" t="s">
        <v>325</v>
      </c>
      <c r="C2149" s="34" t="s">
        <v>158</v>
      </c>
      <c r="D2149" s="46">
        <v>32.369999999999997</v>
      </c>
      <c r="E2149" s="34" t="s">
        <v>79</v>
      </c>
      <c r="F2149" s="74">
        <v>6.6</v>
      </c>
      <c r="G2149" s="36">
        <f t="shared" si="484"/>
        <v>41.58</v>
      </c>
      <c r="H2149" s="37">
        <v>24</v>
      </c>
      <c r="I2149" s="109">
        <f t="shared" si="485"/>
        <v>997.92</v>
      </c>
      <c r="J2149" s="123">
        <v>1000</v>
      </c>
    </row>
    <row r="2150" spans="1:10" ht="15.75" thickBot="1" x14ac:dyDescent="0.3">
      <c r="A2150" s="31" t="s">
        <v>459</v>
      </c>
      <c r="B2150" s="43" t="s">
        <v>326</v>
      </c>
      <c r="C2150" s="52" t="s">
        <v>152</v>
      </c>
      <c r="D2150" s="72">
        <v>1.99</v>
      </c>
      <c r="E2150" s="42" t="s">
        <v>79</v>
      </c>
      <c r="F2150" s="73">
        <v>8.8000000000000007</v>
      </c>
      <c r="G2150" s="74">
        <f t="shared" si="484"/>
        <v>55.440000000000005</v>
      </c>
      <c r="H2150" s="43">
        <v>24</v>
      </c>
      <c r="I2150" s="328">
        <f t="shared" si="485"/>
        <v>1330.5600000000002</v>
      </c>
      <c r="J2150" s="124">
        <v>1300</v>
      </c>
    </row>
    <row r="2151" spans="1:10" ht="19.5" thickBot="1" x14ac:dyDescent="0.35">
      <c r="A2151" s="206"/>
      <c r="B2151" s="336"/>
      <c r="C2151" s="336"/>
      <c r="D2151" s="336"/>
      <c r="E2151" s="336"/>
      <c r="F2151" s="336"/>
      <c r="G2151" s="337"/>
      <c r="H2151" s="174" t="s">
        <v>171</v>
      </c>
      <c r="I2151" s="238">
        <f>SUM(I2145:I2150)</f>
        <v>6737.4720000000007</v>
      </c>
      <c r="J2151" s="104">
        <f>SUM(J2145:J2150)</f>
        <v>6700</v>
      </c>
    </row>
    <row r="2152" spans="1:10" x14ac:dyDescent="0.25">
      <c r="A2152" s="31" t="s">
        <v>460</v>
      </c>
      <c r="B2152" s="37" t="s">
        <v>322</v>
      </c>
      <c r="C2152" s="34" t="s">
        <v>114</v>
      </c>
      <c r="D2152" s="108">
        <v>24.44</v>
      </c>
      <c r="E2152" s="34" t="s">
        <v>79</v>
      </c>
      <c r="F2152" s="109">
        <v>5.99</v>
      </c>
      <c r="G2152" s="36">
        <f t="shared" ref="G2152:G2157" si="486">F2152*6.3</f>
        <v>37.737000000000002</v>
      </c>
      <c r="H2152" s="37">
        <v>24</v>
      </c>
      <c r="I2152" s="109">
        <f t="shared" ref="I2152:I2157" si="487">G2152*H2152</f>
        <v>905.6880000000001</v>
      </c>
      <c r="J2152" s="123">
        <v>900</v>
      </c>
    </row>
    <row r="2153" spans="1:10" x14ac:dyDescent="0.25">
      <c r="A2153" s="31" t="s">
        <v>460</v>
      </c>
      <c r="B2153" s="37" t="s">
        <v>323</v>
      </c>
      <c r="C2153" s="34" t="s">
        <v>86</v>
      </c>
      <c r="D2153" s="108">
        <v>31.99</v>
      </c>
      <c r="E2153" s="34" t="s">
        <v>79</v>
      </c>
      <c r="F2153" s="110">
        <v>9.2100000000000009</v>
      </c>
      <c r="G2153" s="36">
        <f t="shared" si="486"/>
        <v>58.023000000000003</v>
      </c>
      <c r="H2153" s="37">
        <v>24</v>
      </c>
      <c r="I2153" s="109">
        <f t="shared" si="487"/>
        <v>1392.5520000000001</v>
      </c>
      <c r="J2153" s="123">
        <v>1400</v>
      </c>
    </row>
    <row r="2154" spans="1:10" x14ac:dyDescent="0.25">
      <c r="A2154" s="31" t="s">
        <v>460</v>
      </c>
      <c r="B2154" s="50" t="s">
        <v>324</v>
      </c>
      <c r="C2154" s="34" t="s">
        <v>443</v>
      </c>
      <c r="D2154" s="108" t="s">
        <v>38</v>
      </c>
      <c r="E2154" s="34" t="s">
        <v>79</v>
      </c>
      <c r="F2154" s="36">
        <v>3.32</v>
      </c>
      <c r="G2154" s="36">
        <f t="shared" si="486"/>
        <v>20.915999999999997</v>
      </c>
      <c r="H2154" s="37">
        <v>24</v>
      </c>
      <c r="I2154" s="109">
        <f t="shared" si="487"/>
        <v>501.98399999999992</v>
      </c>
      <c r="J2154" s="123">
        <v>500</v>
      </c>
    </row>
    <row r="2155" spans="1:10" x14ac:dyDescent="0.25">
      <c r="A2155" s="31" t="s">
        <v>460</v>
      </c>
      <c r="B2155" s="75" t="s">
        <v>317</v>
      </c>
      <c r="C2155" s="111" t="s">
        <v>156</v>
      </c>
      <c r="D2155" s="111">
        <v>85.6</v>
      </c>
      <c r="E2155" s="42" t="s">
        <v>79</v>
      </c>
      <c r="F2155" s="74">
        <v>10.61</v>
      </c>
      <c r="G2155" s="36">
        <f t="shared" si="486"/>
        <v>66.842999999999989</v>
      </c>
      <c r="H2155" s="37">
        <v>24</v>
      </c>
      <c r="I2155" s="109">
        <f t="shared" si="487"/>
        <v>1604.2319999999997</v>
      </c>
      <c r="J2155" s="123">
        <v>1600</v>
      </c>
    </row>
    <row r="2156" spans="1:10" x14ac:dyDescent="0.25">
      <c r="A2156" s="31" t="s">
        <v>460</v>
      </c>
      <c r="B2156" s="37" t="s">
        <v>325</v>
      </c>
      <c r="C2156" s="34" t="s">
        <v>158</v>
      </c>
      <c r="D2156" s="46">
        <v>32.299999999999997</v>
      </c>
      <c r="E2156" s="34" t="s">
        <v>79</v>
      </c>
      <c r="F2156" s="74">
        <v>6.61</v>
      </c>
      <c r="G2156" s="36">
        <f t="shared" si="486"/>
        <v>41.643000000000001</v>
      </c>
      <c r="H2156" s="37">
        <v>24</v>
      </c>
      <c r="I2156" s="109">
        <f t="shared" si="487"/>
        <v>999.43200000000002</v>
      </c>
      <c r="J2156" s="123">
        <v>1000</v>
      </c>
    </row>
    <row r="2157" spans="1:10" ht="15.75" thickBot="1" x14ac:dyDescent="0.3">
      <c r="A2157" s="31" t="s">
        <v>460</v>
      </c>
      <c r="B2157" s="43" t="s">
        <v>326</v>
      </c>
      <c r="C2157" s="52" t="s">
        <v>152</v>
      </c>
      <c r="D2157" s="72">
        <v>1.88</v>
      </c>
      <c r="E2157" s="42" t="s">
        <v>79</v>
      </c>
      <c r="F2157" s="73">
        <v>8.7899999999999991</v>
      </c>
      <c r="G2157" s="74">
        <f t="shared" si="486"/>
        <v>55.376999999999995</v>
      </c>
      <c r="H2157" s="43">
        <v>24</v>
      </c>
      <c r="I2157" s="328">
        <f t="shared" si="487"/>
        <v>1329.0479999999998</v>
      </c>
      <c r="J2157" s="124">
        <v>1300</v>
      </c>
    </row>
    <row r="2158" spans="1:10" ht="19.5" thickBot="1" x14ac:dyDescent="0.35">
      <c r="A2158" s="220"/>
      <c r="B2158" s="335"/>
      <c r="C2158" s="335"/>
      <c r="D2158" s="335"/>
      <c r="E2158" s="335"/>
      <c r="F2158" s="335"/>
      <c r="G2158" s="335"/>
      <c r="H2158" s="174" t="s">
        <v>171</v>
      </c>
      <c r="I2158" s="238">
        <f>SUM(I2152:I2157)</f>
        <v>6732.9359999999997</v>
      </c>
      <c r="J2158" s="104">
        <f>SUM(J2152:J2157)</f>
        <v>6700</v>
      </c>
    </row>
    <row r="2159" spans="1:10" x14ac:dyDescent="0.25">
      <c r="A2159" s="31" t="s">
        <v>461</v>
      </c>
      <c r="B2159" s="37" t="s">
        <v>322</v>
      </c>
      <c r="C2159" s="34" t="s">
        <v>114</v>
      </c>
      <c r="D2159" s="108">
        <v>24.55</v>
      </c>
      <c r="E2159" s="34" t="s">
        <v>79</v>
      </c>
      <c r="F2159" s="109">
        <v>5.95</v>
      </c>
      <c r="G2159" s="36">
        <f t="shared" ref="G2159:G2164" si="488">F2159*6.3</f>
        <v>37.484999999999999</v>
      </c>
      <c r="H2159" s="37">
        <v>24</v>
      </c>
      <c r="I2159" s="109">
        <f t="shared" ref="I2159:I2164" si="489">G2159*H2159</f>
        <v>899.64</v>
      </c>
      <c r="J2159" s="123">
        <v>900</v>
      </c>
    </row>
    <row r="2160" spans="1:10" x14ac:dyDescent="0.25">
      <c r="A2160" s="31" t="s">
        <v>461</v>
      </c>
      <c r="B2160" s="37" t="s">
        <v>323</v>
      </c>
      <c r="C2160" s="34" t="s">
        <v>86</v>
      </c>
      <c r="D2160" s="108">
        <v>31.75</v>
      </c>
      <c r="E2160" s="34" t="s">
        <v>79</v>
      </c>
      <c r="F2160" s="110">
        <v>9.26</v>
      </c>
      <c r="G2160" s="36">
        <f t="shared" si="488"/>
        <v>58.337999999999994</v>
      </c>
      <c r="H2160" s="37">
        <v>24</v>
      </c>
      <c r="I2160" s="109">
        <f t="shared" si="489"/>
        <v>1400.1119999999999</v>
      </c>
      <c r="J2160" s="123">
        <v>1400</v>
      </c>
    </row>
    <row r="2161" spans="1:10" x14ac:dyDescent="0.25">
      <c r="A2161" s="31" t="s">
        <v>461</v>
      </c>
      <c r="B2161" s="50" t="s">
        <v>324</v>
      </c>
      <c r="C2161" s="34" t="s">
        <v>443</v>
      </c>
      <c r="D2161" s="108" t="s">
        <v>38</v>
      </c>
      <c r="E2161" s="34" t="s">
        <v>79</v>
      </c>
      <c r="F2161" s="36">
        <v>3.31</v>
      </c>
      <c r="G2161" s="36">
        <f t="shared" si="488"/>
        <v>20.852999999999998</v>
      </c>
      <c r="H2161" s="37">
        <v>24</v>
      </c>
      <c r="I2161" s="109">
        <f t="shared" si="489"/>
        <v>500.47199999999998</v>
      </c>
      <c r="J2161" s="123">
        <v>500</v>
      </c>
    </row>
    <row r="2162" spans="1:10" x14ac:dyDescent="0.25">
      <c r="A2162" s="31" t="s">
        <v>461</v>
      </c>
      <c r="B2162" s="75" t="s">
        <v>317</v>
      </c>
      <c r="C2162" s="111" t="s">
        <v>156</v>
      </c>
      <c r="D2162" s="111">
        <v>74.98</v>
      </c>
      <c r="E2162" s="42" t="s">
        <v>79</v>
      </c>
      <c r="F2162" s="74">
        <v>10.6</v>
      </c>
      <c r="G2162" s="36">
        <f t="shared" si="488"/>
        <v>66.78</v>
      </c>
      <c r="H2162" s="37">
        <v>24</v>
      </c>
      <c r="I2162" s="109">
        <f t="shared" si="489"/>
        <v>1602.72</v>
      </c>
      <c r="J2162" s="123">
        <v>1600</v>
      </c>
    </row>
    <row r="2163" spans="1:10" x14ac:dyDescent="0.25">
      <c r="A2163" s="31" t="s">
        <v>461</v>
      </c>
      <c r="B2163" s="37" t="s">
        <v>325</v>
      </c>
      <c r="C2163" s="34" t="s">
        <v>158</v>
      </c>
      <c r="D2163" s="46">
        <v>32.33</v>
      </c>
      <c r="E2163" s="34" t="s">
        <v>79</v>
      </c>
      <c r="F2163" s="74">
        <v>6.57</v>
      </c>
      <c r="G2163" s="36">
        <f t="shared" si="488"/>
        <v>41.390999999999998</v>
      </c>
      <c r="H2163" s="37">
        <v>24</v>
      </c>
      <c r="I2163" s="109">
        <f t="shared" si="489"/>
        <v>993.38400000000001</v>
      </c>
      <c r="J2163" s="123">
        <v>1000</v>
      </c>
    </row>
    <row r="2164" spans="1:10" ht="15.75" thickBot="1" x14ac:dyDescent="0.3">
      <c r="A2164" s="31" t="s">
        <v>461</v>
      </c>
      <c r="B2164" s="43" t="s">
        <v>326</v>
      </c>
      <c r="C2164" s="52" t="s">
        <v>152</v>
      </c>
      <c r="D2164" s="72">
        <v>1.88</v>
      </c>
      <c r="E2164" s="42" t="s">
        <v>79</v>
      </c>
      <c r="F2164" s="73">
        <v>8.7899999999999991</v>
      </c>
      <c r="G2164" s="74">
        <f t="shared" si="488"/>
        <v>55.376999999999995</v>
      </c>
      <c r="H2164" s="43">
        <v>24</v>
      </c>
      <c r="I2164" s="328">
        <f t="shared" si="489"/>
        <v>1329.0479999999998</v>
      </c>
      <c r="J2164" s="124">
        <v>1300</v>
      </c>
    </row>
    <row r="2165" spans="1:10" ht="19.5" thickBot="1" x14ac:dyDescent="0.35">
      <c r="A2165" s="220"/>
      <c r="B2165" s="335"/>
      <c r="C2165" s="335"/>
      <c r="D2165" s="335"/>
      <c r="E2165" s="335"/>
      <c r="F2165" s="335"/>
      <c r="G2165" s="335"/>
      <c r="H2165" s="174" t="s">
        <v>171</v>
      </c>
      <c r="I2165" s="238">
        <f>SUM(I2159:I2164)</f>
        <v>6725.3760000000002</v>
      </c>
      <c r="J2165" s="104">
        <f>SUM(J2159:J2164)</f>
        <v>6700</v>
      </c>
    </row>
    <row r="2166" spans="1:10" x14ac:dyDescent="0.25">
      <c r="A2166" s="31" t="s">
        <v>462</v>
      </c>
      <c r="B2166" s="37" t="s">
        <v>322</v>
      </c>
      <c r="C2166" s="34" t="s">
        <v>114</v>
      </c>
      <c r="D2166" s="108">
        <v>24.8</v>
      </c>
      <c r="E2166" s="34" t="s">
        <v>79</v>
      </c>
      <c r="F2166" s="109">
        <v>6.2</v>
      </c>
      <c r="G2166" s="36">
        <f t="shared" ref="G2166:G2171" si="490">F2166*6.3</f>
        <v>39.06</v>
      </c>
      <c r="H2166" s="37">
        <v>24</v>
      </c>
      <c r="I2166" s="109">
        <f t="shared" ref="I2166:I2171" si="491">G2166*H2166</f>
        <v>937.44</v>
      </c>
      <c r="J2166" s="123">
        <v>900</v>
      </c>
    </row>
    <row r="2167" spans="1:10" x14ac:dyDescent="0.25">
      <c r="A2167" s="31" t="s">
        <v>462</v>
      </c>
      <c r="B2167" s="37" t="s">
        <v>323</v>
      </c>
      <c r="C2167" s="34" t="s">
        <v>86</v>
      </c>
      <c r="D2167" s="108">
        <v>31.02</v>
      </c>
      <c r="E2167" s="34" t="s">
        <v>79</v>
      </c>
      <c r="F2167" s="110">
        <v>9.1999999999999993</v>
      </c>
      <c r="G2167" s="36">
        <f t="shared" si="490"/>
        <v>57.959999999999994</v>
      </c>
      <c r="H2167" s="37">
        <v>24</v>
      </c>
      <c r="I2167" s="109">
        <f t="shared" si="491"/>
        <v>1391.04</v>
      </c>
      <c r="J2167" s="123">
        <v>1400</v>
      </c>
    </row>
    <row r="2168" spans="1:10" x14ac:dyDescent="0.25">
      <c r="A2168" s="31" t="s">
        <v>462</v>
      </c>
      <c r="B2168" s="50" t="s">
        <v>324</v>
      </c>
      <c r="C2168" s="34" t="s">
        <v>443</v>
      </c>
      <c r="D2168" s="108" t="s">
        <v>38</v>
      </c>
      <c r="E2168" s="34" t="s">
        <v>79</v>
      </c>
      <c r="F2168" s="36">
        <v>3.25</v>
      </c>
      <c r="G2168" s="36">
        <f t="shared" si="490"/>
        <v>20.474999999999998</v>
      </c>
      <c r="H2168" s="37">
        <v>24</v>
      </c>
      <c r="I2168" s="109">
        <f t="shared" si="491"/>
        <v>491.4</v>
      </c>
      <c r="J2168" s="123">
        <v>500</v>
      </c>
    </row>
    <row r="2169" spans="1:10" x14ac:dyDescent="0.25">
      <c r="A2169" s="31" t="s">
        <v>462</v>
      </c>
      <c r="B2169" s="75" t="s">
        <v>317</v>
      </c>
      <c r="C2169" s="111" t="s">
        <v>156</v>
      </c>
      <c r="D2169" s="111">
        <v>74</v>
      </c>
      <c r="E2169" s="42" t="s">
        <v>79</v>
      </c>
      <c r="F2169" s="74">
        <v>10.5</v>
      </c>
      <c r="G2169" s="36">
        <f t="shared" si="490"/>
        <v>66.149999999999991</v>
      </c>
      <c r="H2169" s="37">
        <v>24</v>
      </c>
      <c r="I2169" s="109">
        <f t="shared" si="491"/>
        <v>1587.6</v>
      </c>
      <c r="J2169" s="123">
        <v>1600</v>
      </c>
    </row>
    <row r="2170" spans="1:10" x14ac:dyDescent="0.25">
      <c r="A2170" s="31" t="s">
        <v>462</v>
      </c>
      <c r="B2170" s="37" t="s">
        <v>325</v>
      </c>
      <c r="C2170" s="34" t="s">
        <v>158</v>
      </c>
      <c r="D2170" s="46">
        <v>37.11</v>
      </c>
      <c r="E2170" s="34" t="s">
        <v>79</v>
      </c>
      <c r="F2170" s="74">
        <v>6.53</v>
      </c>
      <c r="G2170" s="36">
        <f t="shared" si="490"/>
        <v>41.139000000000003</v>
      </c>
      <c r="H2170" s="37">
        <v>24</v>
      </c>
      <c r="I2170" s="109">
        <f t="shared" si="491"/>
        <v>987.33600000000001</v>
      </c>
      <c r="J2170" s="123">
        <v>1000</v>
      </c>
    </row>
    <row r="2171" spans="1:10" ht="15.75" thickBot="1" x14ac:dyDescent="0.3">
      <c r="A2171" s="31" t="s">
        <v>462</v>
      </c>
      <c r="B2171" s="43" t="s">
        <v>326</v>
      </c>
      <c r="C2171" s="52" t="s">
        <v>152</v>
      </c>
      <c r="D2171" s="72">
        <v>1.7</v>
      </c>
      <c r="E2171" s="42" t="s">
        <v>79</v>
      </c>
      <c r="F2171" s="73">
        <v>8.6</v>
      </c>
      <c r="G2171" s="74">
        <f t="shared" si="490"/>
        <v>54.18</v>
      </c>
      <c r="H2171" s="43">
        <v>24</v>
      </c>
      <c r="I2171" s="328">
        <f t="shared" si="491"/>
        <v>1300.32</v>
      </c>
      <c r="J2171" s="124">
        <v>1300</v>
      </c>
    </row>
    <row r="2172" spans="1:10" ht="19.5" thickBot="1" x14ac:dyDescent="0.35">
      <c r="A2172" s="206"/>
      <c r="B2172" s="336"/>
      <c r="C2172" s="336"/>
      <c r="D2172" s="336"/>
      <c r="E2172" s="336"/>
      <c r="F2172" s="336"/>
      <c r="G2172" s="337"/>
      <c r="H2172" s="174" t="s">
        <v>171</v>
      </c>
      <c r="I2172" s="238">
        <f>SUM(I2166:I2171)</f>
        <v>6695.1359999999995</v>
      </c>
      <c r="J2172" s="104">
        <f>SUM(J2166:J2171)</f>
        <v>6700</v>
      </c>
    </row>
    <row r="2173" spans="1:10" x14ac:dyDescent="0.25">
      <c r="A2173" s="31" t="s">
        <v>463</v>
      </c>
      <c r="B2173" s="37" t="s">
        <v>322</v>
      </c>
      <c r="C2173" s="34" t="s">
        <v>114</v>
      </c>
      <c r="D2173" s="108">
        <v>24.55</v>
      </c>
      <c r="E2173" s="34" t="s">
        <v>79</v>
      </c>
      <c r="F2173" s="109">
        <v>6.1</v>
      </c>
      <c r="G2173" s="36">
        <f t="shared" ref="G2173:G2178" si="492">F2173*6.3</f>
        <v>38.43</v>
      </c>
      <c r="H2173" s="37">
        <v>24</v>
      </c>
      <c r="I2173" s="109">
        <f t="shared" ref="I2173:I2178" si="493">G2173*H2173</f>
        <v>922.31999999999994</v>
      </c>
      <c r="J2173" s="123">
        <v>900</v>
      </c>
    </row>
    <row r="2174" spans="1:10" x14ac:dyDescent="0.25">
      <c r="A2174" s="31" t="s">
        <v>463</v>
      </c>
      <c r="B2174" s="37" t="s">
        <v>323</v>
      </c>
      <c r="C2174" s="34" t="s">
        <v>86</v>
      </c>
      <c r="D2174" s="108">
        <v>29.8</v>
      </c>
      <c r="E2174" s="34" t="s">
        <v>79</v>
      </c>
      <c r="F2174" s="110">
        <v>9.1999999999999993</v>
      </c>
      <c r="G2174" s="36">
        <f t="shared" si="492"/>
        <v>57.959999999999994</v>
      </c>
      <c r="H2174" s="37">
        <v>24</v>
      </c>
      <c r="I2174" s="109">
        <f t="shared" si="493"/>
        <v>1391.04</v>
      </c>
      <c r="J2174" s="123">
        <v>1400</v>
      </c>
    </row>
    <row r="2175" spans="1:10" x14ac:dyDescent="0.25">
      <c r="A2175" s="31" t="s">
        <v>463</v>
      </c>
      <c r="B2175" s="50" t="s">
        <v>324</v>
      </c>
      <c r="C2175" s="34" t="s">
        <v>443</v>
      </c>
      <c r="D2175" s="108" t="s">
        <v>38</v>
      </c>
      <c r="E2175" s="34" t="s">
        <v>79</v>
      </c>
      <c r="F2175" s="36">
        <v>3.3</v>
      </c>
      <c r="G2175" s="36">
        <f t="shared" si="492"/>
        <v>20.79</v>
      </c>
      <c r="H2175" s="37">
        <v>24</v>
      </c>
      <c r="I2175" s="109">
        <f t="shared" si="493"/>
        <v>498.96</v>
      </c>
      <c r="J2175" s="123">
        <v>500</v>
      </c>
    </row>
    <row r="2176" spans="1:10" x14ac:dyDescent="0.25">
      <c r="A2176" s="31" t="s">
        <v>463</v>
      </c>
      <c r="B2176" s="75" t="s">
        <v>317</v>
      </c>
      <c r="C2176" s="111" t="s">
        <v>156</v>
      </c>
      <c r="D2176" s="111">
        <v>75</v>
      </c>
      <c r="E2176" s="42" t="s">
        <v>79</v>
      </c>
      <c r="F2176" s="74">
        <v>10.5</v>
      </c>
      <c r="G2176" s="36">
        <f t="shared" si="492"/>
        <v>66.149999999999991</v>
      </c>
      <c r="H2176" s="37">
        <v>24</v>
      </c>
      <c r="I2176" s="109">
        <f t="shared" si="493"/>
        <v>1587.6</v>
      </c>
      <c r="J2176" s="123">
        <v>1600</v>
      </c>
    </row>
    <row r="2177" spans="1:10" x14ac:dyDescent="0.25">
      <c r="A2177" s="31" t="s">
        <v>463</v>
      </c>
      <c r="B2177" s="37" t="s">
        <v>325</v>
      </c>
      <c r="C2177" s="34" t="s">
        <v>158</v>
      </c>
      <c r="D2177" s="46">
        <v>34</v>
      </c>
      <c r="E2177" s="34" t="s">
        <v>79</v>
      </c>
      <c r="F2177" s="74">
        <v>6.6</v>
      </c>
      <c r="G2177" s="36">
        <f t="shared" si="492"/>
        <v>41.58</v>
      </c>
      <c r="H2177" s="37">
        <v>24</v>
      </c>
      <c r="I2177" s="109">
        <f t="shared" si="493"/>
        <v>997.92</v>
      </c>
      <c r="J2177" s="123">
        <v>1000</v>
      </c>
    </row>
    <row r="2178" spans="1:10" ht="15.75" thickBot="1" x14ac:dyDescent="0.3">
      <c r="A2178" s="31" t="s">
        <v>463</v>
      </c>
      <c r="B2178" s="43" t="s">
        <v>326</v>
      </c>
      <c r="C2178" s="52" t="s">
        <v>152</v>
      </c>
      <c r="D2178" s="72">
        <v>1.8</v>
      </c>
      <c r="E2178" s="42" t="s">
        <v>79</v>
      </c>
      <c r="F2178" s="73">
        <v>8.6</v>
      </c>
      <c r="G2178" s="74">
        <f t="shared" si="492"/>
        <v>54.18</v>
      </c>
      <c r="H2178" s="43">
        <v>24</v>
      </c>
      <c r="I2178" s="328">
        <f t="shared" si="493"/>
        <v>1300.32</v>
      </c>
      <c r="J2178" s="124">
        <v>1300</v>
      </c>
    </row>
    <row r="2179" spans="1:10" ht="19.5" thickBot="1" x14ac:dyDescent="0.35">
      <c r="A2179" s="206"/>
      <c r="B2179" s="336"/>
      <c r="C2179" s="336"/>
      <c r="D2179" s="336"/>
      <c r="E2179" s="336"/>
      <c r="F2179" s="336"/>
      <c r="G2179" s="337"/>
      <c r="H2179" s="174" t="s">
        <v>171</v>
      </c>
      <c r="I2179" s="238">
        <f>SUM(I2173:I2178)</f>
        <v>6698.16</v>
      </c>
      <c r="J2179" s="104">
        <f>SUM(J2173:J2178)</f>
        <v>6700</v>
      </c>
    </row>
    <row r="2180" spans="1:10" x14ac:dyDescent="0.25">
      <c r="A2180" s="31" t="s">
        <v>464</v>
      </c>
      <c r="B2180" s="37" t="s">
        <v>322</v>
      </c>
      <c r="C2180" s="34" t="s">
        <v>114</v>
      </c>
      <c r="D2180" s="108">
        <v>23.89</v>
      </c>
      <c r="E2180" s="34" t="s">
        <v>79</v>
      </c>
      <c r="F2180" s="109">
        <v>6.03</v>
      </c>
      <c r="G2180" s="36">
        <f t="shared" ref="G2180:G2185" si="494">F2180*6.3</f>
        <v>37.988999999999997</v>
      </c>
      <c r="H2180" s="37">
        <v>24</v>
      </c>
      <c r="I2180" s="109">
        <f t="shared" ref="I2180:I2185" si="495">G2180*H2180</f>
        <v>911.73599999999988</v>
      </c>
      <c r="J2180" s="123">
        <v>900</v>
      </c>
    </row>
    <row r="2181" spans="1:10" x14ac:dyDescent="0.25">
      <c r="A2181" s="31" t="s">
        <v>464</v>
      </c>
      <c r="B2181" s="37" t="s">
        <v>323</v>
      </c>
      <c r="C2181" s="34" t="s">
        <v>86</v>
      </c>
      <c r="D2181" s="108">
        <v>29.8</v>
      </c>
      <c r="E2181" s="34" t="s">
        <v>79</v>
      </c>
      <c r="F2181" s="110">
        <v>9.2100000000000009</v>
      </c>
      <c r="G2181" s="36">
        <f t="shared" si="494"/>
        <v>58.023000000000003</v>
      </c>
      <c r="H2181" s="37">
        <v>24</v>
      </c>
      <c r="I2181" s="109">
        <f t="shared" si="495"/>
        <v>1392.5520000000001</v>
      </c>
      <c r="J2181" s="123">
        <v>1400</v>
      </c>
    </row>
    <row r="2182" spans="1:10" x14ac:dyDescent="0.25">
      <c r="A2182" s="31" t="s">
        <v>464</v>
      </c>
      <c r="B2182" s="50" t="s">
        <v>324</v>
      </c>
      <c r="C2182" s="34" t="s">
        <v>443</v>
      </c>
      <c r="D2182" s="108" t="s">
        <v>38</v>
      </c>
      <c r="E2182" s="34" t="s">
        <v>79</v>
      </c>
      <c r="F2182" s="36">
        <v>3.3</v>
      </c>
      <c r="G2182" s="36">
        <f t="shared" si="494"/>
        <v>20.79</v>
      </c>
      <c r="H2182" s="37">
        <v>24</v>
      </c>
      <c r="I2182" s="109">
        <f t="shared" si="495"/>
        <v>498.96</v>
      </c>
      <c r="J2182" s="123">
        <v>500</v>
      </c>
    </row>
    <row r="2183" spans="1:10" x14ac:dyDescent="0.25">
      <c r="A2183" s="31" t="s">
        <v>464</v>
      </c>
      <c r="B2183" s="75" t="s">
        <v>317</v>
      </c>
      <c r="C2183" s="111" t="s">
        <v>156</v>
      </c>
      <c r="D2183" s="111">
        <v>74</v>
      </c>
      <c r="E2183" s="42" t="s">
        <v>79</v>
      </c>
      <c r="F2183" s="74">
        <v>10.6</v>
      </c>
      <c r="G2183" s="36">
        <f t="shared" si="494"/>
        <v>66.78</v>
      </c>
      <c r="H2183" s="37">
        <v>24</v>
      </c>
      <c r="I2183" s="109">
        <f t="shared" si="495"/>
        <v>1602.72</v>
      </c>
      <c r="J2183" s="123">
        <v>1600</v>
      </c>
    </row>
    <row r="2184" spans="1:10" x14ac:dyDescent="0.25">
      <c r="A2184" s="31" t="s">
        <v>464</v>
      </c>
      <c r="B2184" s="37" t="s">
        <v>325</v>
      </c>
      <c r="C2184" s="34" t="s">
        <v>158</v>
      </c>
      <c r="D2184" s="46">
        <v>32</v>
      </c>
      <c r="E2184" s="34" t="s">
        <v>79</v>
      </c>
      <c r="F2184" s="74">
        <v>6.54</v>
      </c>
      <c r="G2184" s="36">
        <f t="shared" si="494"/>
        <v>41.201999999999998</v>
      </c>
      <c r="H2184" s="37">
        <v>24</v>
      </c>
      <c r="I2184" s="109">
        <f t="shared" si="495"/>
        <v>988.84799999999996</v>
      </c>
      <c r="J2184" s="123">
        <v>1000</v>
      </c>
    </row>
    <row r="2185" spans="1:10" ht="15.75" thickBot="1" x14ac:dyDescent="0.3">
      <c r="A2185" s="31" t="s">
        <v>464</v>
      </c>
      <c r="B2185" s="43" t="s">
        <v>326</v>
      </c>
      <c r="C2185" s="52" t="s">
        <v>152</v>
      </c>
      <c r="D2185" s="72">
        <v>1.8</v>
      </c>
      <c r="E2185" s="42" t="s">
        <v>79</v>
      </c>
      <c r="F2185" s="73">
        <v>8.5</v>
      </c>
      <c r="G2185" s="74">
        <f t="shared" si="494"/>
        <v>53.55</v>
      </c>
      <c r="H2185" s="43">
        <v>24</v>
      </c>
      <c r="I2185" s="328">
        <f t="shared" si="495"/>
        <v>1285.1999999999998</v>
      </c>
      <c r="J2185" s="124">
        <v>1300</v>
      </c>
    </row>
    <row r="2186" spans="1:10" ht="19.5" thickBot="1" x14ac:dyDescent="0.35">
      <c r="A2186" s="206"/>
      <c r="B2186" s="336"/>
      <c r="C2186" s="336"/>
      <c r="D2186" s="336"/>
      <c r="E2186" s="336"/>
      <c r="F2186" s="336"/>
      <c r="G2186" s="337"/>
      <c r="H2186" s="174" t="s">
        <v>171</v>
      </c>
      <c r="I2186" s="238">
        <f>SUM(I2180:I2185)</f>
        <v>6680.0159999999996</v>
      </c>
      <c r="J2186" s="104">
        <f>SUM(J2180:J2185)</f>
        <v>6700</v>
      </c>
    </row>
    <row r="2187" spans="1:10" x14ac:dyDescent="0.25">
      <c r="A2187" s="31" t="s">
        <v>465</v>
      </c>
      <c r="B2187" s="37" t="s">
        <v>322</v>
      </c>
      <c r="C2187" s="34" t="s">
        <v>114</v>
      </c>
      <c r="D2187" s="108">
        <v>23.74</v>
      </c>
      <c r="E2187" s="34" t="s">
        <v>79</v>
      </c>
      <c r="F2187" s="109">
        <v>5.94</v>
      </c>
      <c r="G2187" s="36">
        <f t="shared" ref="G2187:G2192" si="496">F2187*6.3</f>
        <v>37.422000000000004</v>
      </c>
      <c r="H2187" s="37">
        <v>24</v>
      </c>
      <c r="I2187" s="109">
        <f t="shared" ref="I2187:I2192" si="497">G2187*H2187</f>
        <v>898.12800000000016</v>
      </c>
      <c r="J2187" s="123">
        <v>900</v>
      </c>
    </row>
    <row r="2188" spans="1:10" x14ac:dyDescent="0.25">
      <c r="A2188" s="31" t="s">
        <v>465</v>
      </c>
      <c r="B2188" s="37" t="s">
        <v>323</v>
      </c>
      <c r="C2188" s="34" t="s">
        <v>86</v>
      </c>
      <c r="D2188" s="108">
        <v>26.85</v>
      </c>
      <c r="E2188" s="34" t="s">
        <v>79</v>
      </c>
      <c r="F2188" s="110">
        <v>9.15</v>
      </c>
      <c r="G2188" s="36">
        <f t="shared" si="496"/>
        <v>57.645000000000003</v>
      </c>
      <c r="H2188" s="37">
        <v>24</v>
      </c>
      <c r="I2188" s="109">
        <f t="shared" si="497"/>
        <v>1383.48</v>
      </c>
      <c r="J2188" s="123">
        <v>1400</v>
      </c>
    </row>
    <row r="2189" spans="1:10" x14ac:dyDescent="0.25">
      <c r="A2189" s="31" t="s">
        <v>465</v>
      </c>
      <c r="B2189" s="50" t="s">
        <v>324</v>
      </c>
      <c r="C2189" s="34" t="s">
        <v>443</v>
      </c>
      <c r="D2189" s="108" t="s">
        <v>38</v>
      </c>
      <c r="E2189" s="34" t="s">
        <v>79</v>
      </c>
      <c r="F2189" s="36">
        <v>3.3</v>
      </c>
      <c r="G2189" s="36">
        <f t="shared" si="496"/>
        <v>20.79</v>
      </c>
      <c r="H2189" s="37">
        <v>24</v>
      </c>
      <c r="I2189" s="109">
        <f t="shared" si="497"/>
        <v>498.96</v>
      </c>
      <c r="J2189" s="123">
        <v>500</v>
      </c>
    </row>
    <row r="2190" spans="1:10" x14ac:dyDescent="0.25">
      <c r="A2190" s="31" t="s">
        <v>465</v>
      </c>
      <c r="B2190" s="75" t="s">
        <v>317</v>
      </c>
      <c r="C2190" s="111" t="s">
        <v>156</v>
      </c>
      <c r="D2190" s="111">
        <v>76.510000000000005</v>
      </c>
      <c r="E2190" s="42" t="s">
        <v>79</v>
      </c>
      <c r="F2190" s="74">
        <v>10.4</v>
      </c>
      <c r="G2190" s="36">
        <f t="shared" si="496"/>
        <v>65.52</v>
      </c>
      <c r="H2190" s="37">
        <v>24</v>
      </c>
      <c r="I2190" s="109">
        <f t="shared" si="497"/>
        <v>1572.48</v>
      </c>
      <c r="J2190" s="123">
        <v>1600</v>
      </c>
    </row>
    <row r="2191" spans="1:10" x14ac:dyDescent="0.25">
      <c r="A2191" s="31" t="s">
        <v>465</v>
      </c>
      <c r="B2191" s="37" t="s">
        <v>325</v>
      </c>
      <c r="C2191" s="34" t="s">
        <v>158</v>
      </c>
      <c r="D2191" s="46">
        <v>31.81</v>
      </c>
      <c r="E2191" s="34" t="s">
        <v>79</v>
      </c>
      <c r="F2191" s="74">
        <v>6.54</v>
      </c>
      <c r="G2191" s="36">
        <f t="shared" si="496"/>
        <v>41.201999999999998</v>
      </c>
      <c r="H2191" s="37">
        <v>24</v>
      </c>
      <c r="I2191" s="109">
        <f t="shared" si="497"/>
        <v>988.84799999999996</v>
      </c>
      <c r="J2191" s="123">
        <v>1000</v>
      </c>
    </row>
    <row r="2192" spans="1:10" ht="15.75" thickBot="1" x14ac:dyDescent="0.3">
      <c r="A2192" s="31" t="s">
        <v>465</v>
      </c>
      <c r="B2192" s="43" t="s">
        <v>326</v>
      </c>
      <c r="C2192" s="52" t="s">
        <v>152</v>
      </c>
      <c r="D2192" s="72">
        <v>1.49</v>
      </c>
      <c r="E2192" s="42" t="s">
        <v>79</v>
      </c>
      <c r="F2192" s="73">
        <v>8.6</v>
      </c>
      <c r="G2192" s="74">
        <f t="shared" si="496"/>
        <v>54.18</v>
      </c>
      <c r="H2192" s="43">
        <v>24</v>
      </c>
      <c r="I2192" s="328">
        <f t="shared" si="497"/>
        <v>1300.32</v>
      </c>
      <c r="J2192" s="124">
        <v>1300</v>
      </c>
    </row>
    <row r="2193" spans="1:11" ht="19.5" thickBot="1" x14ac:dyDescent="0.35">
      <c r="A2193" s="206"/>
      <c r="B2193" s="336"/>
      <c r="C2193" s="336"/>
      <c r="D2193" s="336"/>
      <c r="E2193" s="336"/>
      <c r="F2193" s="336"/>
      <c r="G2193" s="337"/>
      <c r="H2193" s="174" t="s">
        <v>171</v>
      </c>
      <c r="I2193" s="238">
        <f>SUM(I2187:I2192)</f>
        <v>6642.2160000000003</v>
      </c>
      <c r="J2193" s="104">
        <f>SUM(J2187:J2192)</f>
        <v>6700</v>
      </c>
    </row>
    <row r="2194" spans="1:11" x14ac:dyDescent="0.25">
      <c r="A2194" s="31" t="s">
        <v>466</v>
      </c>
      <c r="B2194" s="37" t="s">
        <v>322</v>
      </c>
      <c r="C2194" s="34" t="s">
        <v>114</v>
      </c>
      <c r="D2194" s="108">
        <v>23.03</v>
      </c>
      <c r="E2194" s="34" t="s">
        <v>79</v>
      </c>
      <c r="F2194" s="109">
        <v>5.99</v>
      </c>
      <c r="G2194" s="36">
        <f t="shared" ref="G2194:G2199" si="498">F2194*6.3</f>
        <v>37.737000000000002</v>
      </c>
      <c r="H2194" s="37">
        <v>24</v>
      </c>
      <c r="I2194" s="109">
        <f t="shared" ref="I2194:I2199" si="499">G2194*H2194</f>
        <v>905.6880000000001</v>
      </c>
      <c r="J2194" s="123">
        <v>900</v>
      </c>
    </row>
    <row r="2195" spans="1:11" x14ac:dyDescent="0.25">
      <c r="A2195" s="31" t="s">
        <v>466</v>
      </c>
      <c r="B2195" s="37" t="s">
        <v>323</v>
      </c>
      <c r="C2195" s="34" t="s">
        <v>86</v>
      </c>
      <c r="D2195" s="108">
        <v>26.12</v>
      </c>
      <c r="E2195" s="34" t="s">
        <v>79</v>
      </c>
      <c r="F2195" s="110">
        <v>9.3000000000000007</v>
      </c>
      <c r="G2195" s="36">
        <f t="shared" si="498"/>
        <v>58.59</v>
      </c>
      <c r="H2195" s="37">
        <v>24</v>
      </c>
      <c r="I2195" s="109">
        <f t="shared" si="499"/>
        <v>1406.16</v>
      </c>
      <c r="J2195" s="123">
        <v>1400</v>
      </c>
    </row>
    <row r="2196" spans="1:11" x14ac:dyDescent="0.25">
      <c r="A2196" s="31" t="s">
        <v>466</v>
      </c>
      <c r="B2196" s="50" t="s">
        <v>324</v>
      </c>
      <c r="C2196" s="34" t="s">
        <v>443</v>
      </c>
      <c r="D2196" s="108" t="s">
        <v>38</v>
      </c>
      <c r="E2196" s="34" t="s">
        <v>79</v>
      </c>
      <c r="F2196" s="36">
        <v>3.4</v>
      </c>
      <c r="G2196" s="36">
        <f t="shared" si="498"/>
        <v>21.419999999999998</v>
      </c>
      <c r="H2196" s="37">
        <v>24</v>
      </c>
      <c r="I2196" s="109">
        <f t="shared" si="499"/>
        <v>514.07999999999993</v>
      </c>
      <c r="J2196" s="123">
        <v>500</v>
      </c>
    </row>
    <row r="2197" spans="1:11" x14ac:dyDescent="0.25">
      <c r="A2197" s="31" t="s">
        <v>466</v>
      </c>
      <c r="B2197" s="75" t="s">
        <v>317</v>
      </c>
      <c r="C2197" s="111" t="s">
        <v>156</v>
      </c>
      <c r="D2197" s="111">
        <v>73.17</v>
      </c>
      <c r="E2197" s="42" t="s">
        <v>79</v>
      </c>
      <c r="F2197" s="74">
        <v>10.35</v>
      </c>
      <c r="G2197" s="36">
        <f t="shared" si="498"/>
        <v>65.204999999999998</v>
      </c>
      <c r="H2197" s="37">
        <v>24</v>
      </c>
      <c r="I2197" s="109">
        <f t="shared" si="499"/>
        <v>1564.92</v>
      </c>
      <c r="J2197" s="123">
        <v>1600</v>
      </c>
    </row>
    <row r="2198" spans="1:11" x14ac:dyDescent="0.25">
      <c r="A2198" s="31" t="s">
        <v>466</v>
      </c>
      <c r="B2198" s="37" t="s">
        <v>325</v>
      </c>
      <c r="C2198" s="34" t="s">
        <v>158</v>
      </c>
      <c r="D2198" s="46">
        <v>32.42</v>
      </c>
      <c r="E2198" s="34" t="s">
        <v>79</v>
      </c>
      <c r="F2198" s="74">
        <v>6.54</v>
      </c>
      <c r="G2198" s="36">
        <f t="shared" si="498"/>
        <v>41.201999999999998</v>
      </c>
      <c r="H2198" s="37">
        <v>24</v>
      </c>
      <c r="I2198" s="109">
        <f t="shared" si="499"/>
        <v>988.84799999999996</v>
      </c>
      <c r="J2198" s="123">
        <v>1000</v>
      </c>
    </row>
    <row r="2199" spans="1:11" ht="15.75" thickBot="1" x14ac:dyDescent="0.3">
      <c r="A2199" s="31" t="s">
        <v>466</v>
      </c>
      <c r="B2199" s="43" t="s">
        <v>326</v>
      </c>
      <c r="C2199" s="52" t="s">
        <v>152</v>
      </c>
      <c r="D2199" s="72">
        <v>1.49</v>
      </c>
      <c r="E2199" s="42" t="s">
        <v>79</v>
      </c>
      <c r="F2199" s="73">
        <v>8.6</v>
      </c>
      <c r="G2199" s="74">
        <f t="shared" si="498"/>
        <v>54.18</v>
      </c>
      <c r="H2199" s="43">
        <v>24</v>
      </c>
      <c r="I2199" s="328">
        <f t="shared" si="499"/>
        <v>1300.32</v>
      </c>
      <c r="J2199" s="124">
        <v>1300</v>
      </c>
    </row>
    <row r="2200" spans="1:11" ht="19.5" thickBot="1" x14ac:dyDescent="0.35">
      <c r="A2200" s="206"/>
      <c r="B2200" s="336"/>
      <c r="C2200" s="336"/>
      <c r="D2200" s="336"/>
      <c r="E2200" s="336"/>
      <c r="F2200" s="336"/>
      <c r="G2200" s="337"/>
      <c r="H2200" s="174" t="s">
        <v>171</v>
      </c>
      <c r="I2200" s="238">
        <f>SUM(I2194:I2199)</f>
        <v>6680.0159999999996</v>
      </c>
      <c r="J2200" s="104">
        <f>SUM(J2194:J2199)</f>
        <v>6700</v>
      </c>
    </row>
    <row r="2201" spans="1:11" x14ac:dyDescent="0.25">
      <c r="A2201" s="31" t="s">
        <v>468</v>
      </c>
      <c r="B2201" s="37" t="s">
        <v>322</v>
      </c>
      <c r="C2201" s="34" t="s">
        <v>114</v>
      </c>
      <c r="D2201" s="108">
        <v>23.03</v>
      </c>
      <c r="E2201" s="34" t="s">
        <v>79</v>
      </c>
      <c r="F2201" s="109">
        <v>5.95</v>
      </c>
      <c r="G2201" s="36">
        <f t="shared" ref="G2201:G2206" si="500">F2201*6.3</f>
        <v>37.484999999999999</v>
      </c>
      <c r="H2201" s="37">
        <v>22</v>
      </c>
      <c r="I2201" s="109">
        <f t="shared" ref="I2201:I2206" si="501">G2201*H2201</f>
        <v>824.67</v>
      </c>
      <c r="J2201" s="123">
        <v>900</v>
      </c>
    </row>
    <row r="2202" spans="1:11" x14ac:dyDescent="0.25">
      <c r="A2202" s="31" t="s">
        <v>468</v>
      </c>
      <c r="B2202" s="37" t="s">
        <v>323</v>
      </c>
      <c r="C2202" s="34" t="s">
        <v>86</v>
      </c>
      <c r="D2202" s="108">
        <v>26.12</v>
      </c>
      <c r="E2202" s="34" t="s">
        <v>79</v>
      </c>
      <c r="F2202" s="110">
        <v>9.3000000000000007</v>
      </c>
      <c r="G2202" s="36">
        <f t="shared" si="500"/>
        <v>58.59</v>
      </c>
      <c r="H2202" s="37">
        <v>24</v>
      </c>
      <c r="I2202" s="109">
        <f t="shared" si="501"/>
        <v>1406.16</v>
      </c>
      <c r="J2202" s="123">
        <v>1400</v>
      </c>
    </row>
    <row r="2203" spans="1:11" x14ac:dyDescent="0.25">
      <c r="A2203" s="31" t="s">
        <v>468</v>
      </c>
      <c r="B2203" s="50" t="s">
        <v>324</v>
      </c>
      <c r="C2203" s="34" t="s">
        <v>443</v>
      </c>
      <c r="D2203" s="108" t="s">
        <v>38</v>
      </c>
      <c r="E2203" s="34" t="s">
        <v>79</v>
      </c>
      <c r="F2203" s="36">
        <v>3.3</v>
      </c>
      <c r="G2203" s="36">
        <f t="shared" si="500"/>
        <v>20.79</v>
      </c>
      <c r="H2203" s="37">
        <v>24</v>
      </c>
      <c r="I2203" s="109">
        <f t="shared" si="501"/>
        <v>498.96</v>
      </c>
      <c r="J2203" s="123">
        <v>500</v>
      </c>
    </row>
    <row r="2204" spans="1:11" x14ac:dyDescent="0.25">
      <c r="A2204" s="31" t="s">
        <v>468</v>
      </c>
      <c r="B2204" s="75" t="s">
        <v>317</v>
      </c>
      <c r="C2204" s="111" t="s">
        <v>156</v>
      </c>
      <c r="D2204" s="111">
        <v>73.17</v>
      </c>
      <c r="E2204" s="42" t="s">
        <v>79</v>
      </c>
      <c r="F2204" s="74">
        <v>10.5</v>
      </c>
      <c r="G2204" s="36">
        <f t="shared" si="500"/>
        <v>66.149999999999991</v>
      </c>
      <c r="H2204" s="37">
        <v>24</v>
      </c>
      <c r="I2204" s="109">
        <f t="shared" si="501"/>
        <v>1587.6</v>
      </c>
      <c r="J2204" s="123">
        <v>1600</v>
      </c>
    </row>
    <row r="2205" spans="1:11" x14ac:dyDescent="0.25">
      <c r="A2205" s="31" t="s">
        <v>468</v>
      </c>
      <c r="B2205" s="37" t="s">
        <v>325</v>
      </c>
      <c r="C2205" s="34" t="s">
        <v>158</v>
      </c>
      <c r="D2205" s="46">
        <v>32.42</v>
      </c>
      <c r="E2205" s="34" t="s">
        <v>79</v>
      </c>
      <c r="F2205" s="74">
        <v>6.65</v>
      </c>
      <c r="G2205" s="36">
        <f t="shared" si="500"/>
        <v>41.895000000000003</v>
      </c>
      <c r="H2205" s="37">
        <v>24</v>
      </c>
      <c r="I2205" s="109">
        <f t="shared" si="501"/>
        <v>1005.48</v>
      </c>
      <c r="J2205" s="123">
        <v>1000</v>
      </c>
    </row>
    <row r="2206" spans="1:11" ht="15.75" thickBot="1" x14ac:dyDescent="0.3">
      <c r="A2206" s="31" t="s">
        <v>468</v>
      </c>
      <c r="B2206" s="43" t="s">
        <v>326</v>
      </c>
      <c r="C2206" s="52" t="s">
        <v>152</v>
      </c>
      <c r="D2206" s="72">
        <v>1.49</v>
      </c>
      <c r="E2206" s="42" t="s">
        <v>79</v>
      </c>
      <c r="F2206" s="73">
        <v>8.6</v>
      </c>
      <c r="G2206" s="74">
        <f t="shared" si="500"/>
        <v>54.18</v>
      </c>
      <c r="H2206" s="43">
        <v>24</v>
      </c>
      <c r="I2206" s="328">
        <f t="shared" si="501"/>
        <v>1300.32</v>
      </c>
      <c r="J2206" s="124">
        <v>1300</v>
      </c>
    </row>
    <row r="2207" spans="1:11" ht="19.5" thickBot="1" x14ac:dyDescent="0.35">
      <c r="A2207" s="206"/>
      <c r="B2207" s="336"/>
      <c r="C2207" s="336"/>
      <c r="D2207" s="336"/>
      <c r="E2207" s="336"/>
      <c r="F2207" s="336"/>
      <c r="G2207" s="337"/>
      <c r="H2207" s="174" t="s">
        <v>171</v>
      </c>
      <c r="I2207" s="238">
        <f>SUM(I2201:I2206)</f>
        <v>6623.1899999999987</v>
      </c>
      <c r="J2207" s="104">
        <f>SUM(J2201:J2206)</f>
        <v>6700</v>
      </c>
      <c r="K2207" s="325" t="s">
        <v>467</v>
      </c>
    </row>
    <row r="2208" spans="1:11" x14ac:dyDescent="0.25">
      <c r="A2208" s="31" t="s">
        <v>470</v>
      </c>
      <c r="B2208" s="37" t="s">
        <v>322</v>
      </c>
      <c r="C2208" s="34" t="s">
        <v>114</v>
      </c>
      <c r="D2208" s="108">
        <v>23.03</v>
      </c>
      <c r="E2208" s="34" t="s">
        <v>79</v>
      </c>
      <c r="F2208" s="109">
        <v>6</v>
      </c>
      <c r="G2208" s="36">
        <f t="shared" ref="G2208:G2213" si="502">F2208*6.3</f>
        <v>37.799999999999997</v>
      </c>
      <c r="H2208" s="37">
        <v>24</v>
      </c>
      <c r="I2208" s="109">
        <f t="shared" ref="I2208:I2213" si="503">G2208*H2208</f>
        <v>907.19999999999993</v>
      </c>
      <c r="J2208" s="123">
        <v>900</v>
      </c>
    </row>
    <row r="2209" spans="1:11" x14ac:dyDescent="0.25">
      <c r="A2209" s="31" t="s">
        <v>470</v>
      </c>
      <c r="B2209" s="37" t="s">
        <v>323</v>
      </c>
      <c r="C2209" s="34" t="s">
        <v>86</v>
      </c>
      <c r="D2209" s="108">
        <v>26.12</v>
      </c>
      <c r="E2209" s="34" t="s">
        <v>79</v>
      </c>
      <c r="F2209" s="110">
        <v>8.6</v>
      </c>
      <c r="G2209" s="36">
        <f t="shared" si="502"/>
        <v>54.18</v>
      </c>
      <c r="H2209" s="37">
        <v>24</v>
      </c>
      <c r="I2209" s="109">
        <f t="shared" si="503"/>
        <v>1300.32</v>
      </c>
      <c r="J2209" s="123">
        <v>1400</v>
      </c>
    </row>
    <row r="2210" spans="1:11" x14ac:dyDescent="0.25">
      <c r="A2210" s="31" t="s">
        <v>470</v>
      </c>
      <c r="B2210" s="50" t="s">
        <v>324</v>
      </c>
      <c r="C2210" s="34" t="s">
        <v>443</v>
      </c>
      <c r="D2210" s="108" t="s">
        <v>38</v>
      </c>
      <c r="E2210" s="34" t="s">
        <v>79</v>
      </c>
      <c r="F2210" s="36">
        <v>3.3</v>
      </c>
      <c r="G2210" s="36">
        <f t="shared" si="502"/>
        <v>20.79</v>
      </c>
      <c r="H2210" s="37">
        <v>24</v>
      </c>
      <c r="I2210" s="109">
        <f t="shared" si="503"/>
        <v>498.96</v>
      </c>
      <c r="J2210" s="123">
        <v>500</v>
      </c>
    </row>
    <row r="2211" spans="1:11" x14ac:dyDescent="0.25">
      <c r="A2211" s="31" t="s">
        <v>470</v>
      </c>
      <c r="B2211" s="75" t="s">
        <v>317</v>
      </c>
      <c r="C2211" s="111" t="s">
        <v>156</v>
      </c>
      <c r="D2211" s="111">
        <v>73.17</v>
      </c>
      <c r="E2211" s="42" t="s">
        <v>79</v>
      </c>
      <c r="F2211" s="74">
        <v>10.4</v>
      </c>
      <c r="G2211" s="36">
        <f t="shared" si="502"/>
        <v>65.52</v>
      </c>
      <c r="H2211" s="37">
        <v>24</v>
      </c>
      <c r="I2211" s="109">
        <f t="shared" si="503"/>
        <v>1572.48</v>
      </c>
      <c r="J2211" s="123">
        <v>1600</v>
      </c>
    </row>
    <row r="2212" spans="1:11" x14ac:dyDescent="0.25">
      <c r="A2212" s="31" t="s">
        <v>470</v>
      </c>
      <c r="B2212" s="37" t="s">
        <v>325</v>
      </c>
      <c r="C2212" s="34" t="s">
        <v>158</v>
      </c>
      <c r="D2212" s="46">
        <v>32.42</v>
      </c>
      <c r="E2212" s="34" t="s">
        <v>79</v>
      </c>
      <c r="F2212" s="74">
        <v>6.13</v>
      </c>
      <c r="G2212" s="36">
        <f t="shared" si="502"/>
        <v>38.619</v>
      </c>
      <c r="H2212" s="37">
        <v>24</v>
      </c>
      <c r="I2212" s="109">
        <f t="shared" si="503"/>
        <v>926.85599999999999</v>
      </c>
      <c r="J2212" s="123">
        <v>1000</v>
      </c>
    </row>
    <row r="2213" spans="1:11" ht="15.75" thickBot="1" x14ac:dyDescent="0.3">
      <c r="A2213" s="31" t="s">
        <v>470</v>
      </c>
      <c r="B2213" s="43" t="s">
        <v>326</v>
      </c>
      <c r="C2213" s="52" t="s">
        <v>152</v>
      </c>
      <c r="D2213" s="72">
        <v>1.49</v>
      </c>
      <c r="E2213" s="42" t="s">
        <v>79</v>
      </c>
      <c r="F2213" s="73">
        <v>8.5399999999999991</v>
      </c>
      <c r="G2213" s="74">
        <f t="shared" si="502"/>
        <v>53.801999999999992</v>
      </c>
      <c r="H2213" s="43">
        <v>24</v>
      </c>
      <c r="I2213" s="328">
        <f t="shared" si="503"/>
        <v>1291.2479999999998</v>
      </c>
      <c r="J2213" s="124">
        <v>1300</v>
      </c>
    </row>
    <row r="2214" spans="1:11" ht="19.5" thickBot="1" x14ac:dyDescent="0.35">
      <c r="A2214" s="206"/>
      <c r="B2214" s="336"/>
      <c r="C2214" s="336"/>
      <c r="D2214" s="336"/>
      <c r="E2214" s="336"/>
      <c r="F2214" s="336"/>
      <c r="G2214" s="337"/>
      <c r="H2214" s="174" t="s">
        <v>171</v>
      </c>
      <c r="I2214" s="238">
        <f>SUM(I2208:I2213)</f>
        <v>6497.0639999999994</v>
      </c>
      <c r="J2214" s="104">
        <f>SUM(J2208:J2213)</f>
        <v>6700</v>
      </c>
      <c r="K2214" s="325" t="s">
        <v>469</v>
      </c>
    </row>
    <row r="2215" spans="1:11" x14ac:dyDescent="0.25">
      <c r="A2215" s="31" t="s">
        <v>471</v>
      </c>
      <c r="B2215" s="37" t="s">
        <v>322</v>
      </c>
      <c r="C2215" s="34" t="s">
        <v>114</v>
      </c>
      <c r="D2215" s="108">
        <v>22.85</v>
      </c>
      <c r="E2215" s="34" t="s">
        <v>79</v>
      </c>
      <c r="F2215" s="109">
        <v>5.9</v>
      </c>
      <c r="G2215" s="36">
        <f t="shared" ref="G2215:G2220" si="504">F2215*6.3</f>
        <v>37.17</v>
      </c>
      <c r="H2215" s="37">
        <v>24</v>
      </c>
      <c r="I2215" s="109">
        <f t="shared" ref="I2215:I2220" si="505">G2215*H2215</f>
        <v>892.08</v>
      </c>
      <c r="J2215" s="123">
        <v>900</v>
      </c>
    </row>
    <row r="2216" spans="1:11" x14ac:dyDescent="0.25">
      <c r="A2216" s="31" t="s">
        <v>471</v>
      </c>
      <c r="B2216" s="37" t="s">
        <v>323</v>
      </c>
      <c r="C2216" s="34" t="s">
        <v>86</v>
      </c>
      <c r="D2216" s="108">
        <v>25.5</v>
      </c>
      <c r="E2216" s="34" t="s">
        <v>79</v>
      </c>
      <c r="F2216" s="110">
        <v>9.1999999999999993</v>
      </c>
      <c r="G2216" s="36">
        <f t="shared" si="504"/>
        <v>57.959999999999994</v>
      </c>
      <c r="H2216" s="37">
        <v>24</v>
      </c>
      <c r="I2216" s="109">
        <f t="shared" si="505"/>
        <v>1391.04</v>
      </c>
      <c r="J2216" s="123">
        <v>1400</v>
      </c>
    </row>
    <row r="2217" spans="1:11" x14ac:dyDescent="0.25">
      <c r="A2217" s="31" t="s">
        <v>471</v>
      </c>
      <c r="B2217" s="50" t="s">
        <v>324</v>
      </c>
      <c r="C2217" s="34" t="s">
        <v>443</v>
      </c>
      <c r="D2217" s="108" t="s">
        <v>38</v>
      </c>
      <c r="E2217" s="34" t="s">
        <v>79</v>
      </c>
      <c r="F2217" s="36">
        <v>3.45</v>
      </c>
      <c r="G2217" s="36">
        <f t="shared" si="504"/>
        <v>21.734999999999999</v>
      </c>
      <c r="H2217" s="37">
        <v>24</v>
      </c>
      <c r="I2217" s="109">
        <f t="shared" si="505"/>
        <v>521.64</v>
      </c>
      <c r="J2217" s="123">
        <v>500</v>
      </c>
    </row>
    <row r="2218" spans="1:11" x14ac:dyDescent="0.25">
      <c r="A2218" s="31" t="s">
        <v>471</v>
      </c>
      <c r="B2218" s="75" t="s">
        <v>317</v>
      </c>
      <c r="C2218" s="111" t="s">
        <v>156</v>
      </c>
      <c r="D2218" s="111">
        <v>60.2</v>
      </c>
      <c r="E2218" s="42" t="s">
        <v>79</v>
      </c>
      <c r="F2218" s="74">
        <v>10.5</v>
      </c>
      <c r="G2218" s="36">
        <f t="shared" si="504"/>
        <v>66.149999999999991</v>
      </c>
      <c r="H2218" s="37">
        <v>24</v>
      </c>
      <c r="I2218" s="109">
        <f t="shared" si="505"/>
        <v>1587.6</v>
      </c>
      <c r="J2218" s="123">
        <v>1600</v>
      </c>
    </row>
    <row r="2219" spans="1:11" x14ac:dyDescent="0.25">
      <c r="A2219" s="31" t="s">
        <v>471</v>
      </c>
      <c r="B2219" s="37" t="s">
        <v>325</v>
      </c>
      <c r="C2219" s="34" t="s">
        <v>158</v>
      </c>
      <c r="D2219" s="46">
        <v>30.2</v>
      </c>
      <c r="E2219" s="34" t="s">
        <v>79</v>
      </c>
      <c r="F2219" s="74">
        <v>6.5</v>
      </c>
      <c r="G2219" s="36">
        <f t="shared" si="504"/>
        <v>40.949999999999996</v>
      </c>
      <c r="H2219" s="37">
        <v>24</v>
      </c>
      <c r="I2219" s="109">
        <f t="shared" si="505"/>
        <v>982.8</v>
      </c>
      <c r="J2219" s="123">
        <v>1000</v>
      </c>
    </row>
    <row r="2220" spans="1:11" ht="15.75" thickBot="1" x14ac:dyDescent="0.3">
      <c r="A2220" s="31" t="s">
        <v>471</v>
      </c>
      <c r="B2220" s="43" t="s">
        <v>326</v>
      </c>
      <c r="C2220" s="52" t="s">
        <v>152</v>
      </c>
      <c r="D2220" s="72">
        <v>1.55</v>
      </c>
      <c r="E2220" s="42" t="s">
        <v>79</v>
      </c>
      <c r="F2220" s="73">
        <v>8.5399999999999991</v>
      </c>
      <c r="G2220" s="74">
        <f t="shared" si="504"/>
        <v>53.801999999999992</v>
      </c>
      <c r="H2220" s="43">
        <v>24</v>
      </c>
      <c r="I2220" s="328">
        <f t="shared" si="505"/>
        <v>1291.2479999999998</v>
      </c>
      <c r="J2220" s="124">
        <v>1300</v>
      </c>
    </row>
    <row r="2221" spans="1:11" ht="19.5" thickBot="1" x14ac:dyDescent="0.35">
      <c r="A2221" s="206"/>
      <c r="B2221" s="336"/>
      <c r="C2221" s="336"/>
      <c r="D2221" s="336"/>
      <c r="E2221" s="336"/>
      <c r="F2221" s="336"/>
      <c r="G2221" s="337"/>
      <c r="H2221" s="174" t="s">
        <v>171</v>
      </c>
      <c r="I2221" s="238">
        <f>SUM(I2215:I2220)</f>
        <v>6666.4079999999994</v>
      </c>
      <c r="J2221" s="104">
        <f>SUM(J2215:J2220)</f>
        <v>6700</v>
      </c>
    </row>
    <row r="2222" spans="1:11" x14ac:dyDescent="0.25">
      <c r="A2222" s="31" t="s">
        <v>472</v>
      </c>
      <c r="B2222" s="37" t="s">
        <v>322</v>
      </c>
      <c r="C2222" s="34" t="s">
        <v>114</v>
      </c>
      <c r="D2222" s="108">
        <v>23.8</v>
      </c>
      <c r="E2222" s="34" t="s">
        <v>79</v>
      </c>
      <c r="F2222" s="109">
        <v>5.88</v>
      </c>
      <c r="G2222" s="36">
        <f t="shared" ref="G2222:G2227" si="506">F2222*6.3</f>
        <v>37.043999999999997</v>
      </c>
      <c r="H2222" s="37">
        <v>24</v>
      </c>
      <c r="I2222" s="109">
        <f t="shared" ref="I2222:I2227" si="507">G2222*H2222</f>
        <v>889.05599999999993</v>
      </c>
      <c r="J2222" s="123">
        <v>900</v>
      </c>
    </row>
    <row r="2223" spans="1:11" x14ac:dyDescent="0.25">
      <c r="A2223" s="31" t="s">
        <v>472</v>
      </c>
      <c r="B2223" s="37" t="s">
        <v>323</v>
      </c>
      <c r="C2223" s="34" t="s">
        <v>86</v>
      </c>
      <c r="D2223" s="108">
        <v>26</v>
      </c>
      <c r="E2223" s="34" t="s">
        <v>79</v>
      </c>
      <c r="F2223" s="110">
        <v>9.15</v>
      </c>
      <c r="G2223" s="36">
        <f t="shared" si="506"/>
        <v>57.645000000000003</v>
      </c>
      <c r="H2223" s="37">
        <v>24</v>
      </c>
      <c r="I2223" s="109">
        <f t="shared" si="507"/>
        <v>1383.48</v>
      </c>
      <c r="J2223" s="123">
        <v>1400</v>
      </c>
    </row>
    <row r="2224" spans="1:11" x14ac:dyDescent="0.25">
      <c r="A2224" s="31" t="s">
        <v>472</v>
      </c>
      <c r="B2224" s="50" t="s">
        <v>324</v>
      </c>
      <c r="C2224" s="34" t="s">
        <v>443</v>
      </c>
      <c r="D2224" s="108" t="s">
        <v>38</v>
      </c>
      <c r="E2224" s="34" t="s">
        <v>79</v>
      </c>
      <c r="F2224" s="36">
        <v>3.45</v>
      </c>
      <c r="G2224" s="36">
        <f t="shared" si="506"/>
        <v>21.734999999999999</v>
      </c>
      <c r="H2224" s="37">
        <v>24</v>
      </c>
      <c r="I2224" s="109">
        <f t="shared" si="507"/>
        <v>521.64</v>
      </c>
      <c r="J2224" s="123">
        <v>500</v>
      </c>
    </row>
    <row r="2225" spans="1:10" x14ac:dyDescent="0.25">
      <c r="A2225" s="31" t="s">
        <v>472</v>
      </c>
      <c r="B2225" s="75" t="s">
        <v>317</v>
      </c>
      <c r="C2225" s="111" t="s">
        <v>156</v>
      </c>
      <c r="D2225" s="111">
        <v>66</v>
      </c>
      <c r="E2225" s="42" t="s">
        <v>79</v>
      </c>
      <c r="F2225" s="74">
        <v>10.5</v>
      </c>
      <c r="G2225" s="36">
        <f t="shared" si="506"/>
        <v>66.149999999999991</v>
      </c>
      <c r="H2225" s="37">
        <v>24</v>
      </c>
      <c r="I2225" s="109">
        <f t="shared" si="507"/>
        <v>1587.6</v>
      </c>
      <c r="J2225" s="123">
        <v>1600</v>
      </c>
    </row>
    <row r="2226" spans="1:10" x14ac:dyDescent="0.25">
      <c r="A2226" s="31" t="s">
        <v>472</v>
      </c>
      <c r="B2226" s="37" t="s">
        <v>325</v>
      </c>
      <c r="C2226" s="34" t="s">
        <v>158</v>
      </c>
      <c r="D2226" s="46">
        <v>32</v>
      </c>
      <c r="E2226" s="34" t="s">
        <v>79</v>
      </c>
      <c r="F2226" s="74">
        <v>6.58</v>
      </c>
      <c r="G2226" s="36">
        <f t="shared" si="506"/>
        <v>41.454000000000001</v>
      </c>
      <c r="H2226" s="37">
        <v>24</v>
      </c>
      <c r="I2226" s="109">
        <f t="shared" si="507"/>
        <v>994.89599999999996</v>
      </c>
      <c r="J2226" s="123">
        <v>1000</v>
      </c>
    </row>
    <row r="2227" spans="1:10" ht="15.75" thickBot="1" x14ac:dyDescent="0.3">
      <c r="A2227" s="31" t="s">
        <v>472</v>
      </c>
      <c r="B2227" s="43" t="s">
        <v>326</v>
      </c>
      <c r="C2227" s="52" t="s">
        <v>152</v>
      </c>
      <c r="D2227" s="72">
        <v>1.76</v>
      </c>
      <c r="E2227" s="42" t="s">
        <v>79</v>
      </c>
      <c r="F2227" s="73">
        <v>8.56</v>
      </c>
      <c r="G2227" s="74">
        <f t="shared" si="506"/>
        <v>53.928000000000004</v>
      </c>
      <c r="H2227" s="43">
        <v>24</v>
      </c>
      <c r="I2227" s="328">
        <f t="shared" si="507"/>
        <v>1294.2720000000002</v>
      </c>
      <c r="J2227" s="124">
        <v>1300</v>
      </c>
    </row>
    <row r="2228" spans="1:10" ht="19.5" thickBot="1" x14ac:dyDescent="0.35">
      <c r="A2228" s="206"/>
      <c r="B2228" s="336"/>
      <c r="C2228" s="336"/>
      <c r="D2228" s="336"/>
      <c r="E2228" s="336"/>
      <c r="F2228" s="336"/>
      <c r="G2228" s="337"/>
      <c r="H2228" s="174" t="s">
        <v>171</v>
      </c>
      <c r="I2228" s="238">
        <f>SUM(I2222:I2227)</f>
        <v>6670.9439999999995</v>
      </c>
      <c r="J2228" s="104">
        <f>SUM(J2222:J2227)</f>
        <v>6700</v>
      </c>
    </row>
    <row r="2229" spans="1:10" x14ac:dyDescent="0.25">
      <c r="A2229" s="31" t="s">
        <v>473</v>
      </c>
      <c r="B2229" s="37" t="s">
        <v>322</v>
      </c>
      <c r="C2229" s="34" t="s">
        <v>114</v>
      </c>
      <c r="D2229" s="108">
        <v>22.8</v>
      </c>
      <c r="E2229" s="34" t="s">
        <v>79</v>
      </c>
      <c r="F2229" s="109">
        <v>5.98</v>
      </c>
      <c r="G2229" s="36">
        <f t="shared" ref="G2229:G2234" si="508">F2229*6.3</f>
        <v>37.673999999999999</v>
      </c>
      <c r="H2229" s="37">
        <v>24</v>
      </c>
      <c r="I2229" s="109">
        <f t="shared" ref="I2229:I2234" si="509">G2229*H2229</f>
        <v>904.17599999999993</v>
      </c>
      <c r="J2229" s="123">
        <v>900</v>
      </c>
    </row>
    <row r="2230" spans="1:10" x14ac:dyDescent="0.25">
      <c r="A2230" s="31" t="s">
        <v>473</v>
      </c>
      <c r="B2230" s="37" t="s">
        <v>323</v>
      </c>
      <c r="C2230" s="34" t="s">
        <v>86</v>
      </c>
      <c r="D2230" s="108">
        <v>17</v>
      </c>
      <c r="E2230" s="34" t="s">
        <v>79</v>
      </c>
      <c r="F2230" s="110">
        <v>9.1999999999999993</v>
      </c>
      <c r="G2230" s="36">
        <f t="shared" si="508"/>
        <v>57.959999999999994</v>
      </c>
      <c r="H2230" s="37">
        <v>24</v>
      </c>
      <c r="I2230" s="109">
        <f t="shared" si="509"/>
        <v>1391.04</v>
      </c>
      <c r="J2230" s="123">
        <v>1400</v>
      </c>
    </row>
    <row r="2231" spans="1:10" x14ac:dyDescent="0.25">
      <c r="A2231" s="31" t="s">
        <v>473</v>
      </c>
      <c r="B2231" s="50" t="s">
        <v>324</v>
      </c>
      <c r="C2231" s="34" t="s">
        <v>443</v>
      </c>
      <c r="D2231" s="108" t="s">
        <v>38</v>
      </c>
      <c r="E2231" s="34" t="s">
        <v>79</v>
      </c>
      <c r="F2231" s="36">
        <v>3.4</v>
      </c>
      <c r="G2231" s="36">
        <f t="shared" si="508"/>
        <v>21.419999999999998</v>
      </c>
      <c r="H2231" s="37">
        <v>24</v>
      </c>
      <c r="I2231" s="109">
        <f t="shared" si="509"/>
        <v>514.07999999999993</v>
      </c>
      <c r="J2231" s="123">
        <v>500</v>
      </c>
    </row>
    <row r="2232" spans="1:10" x14ac:dyDescent="0.25">
      <c r="A2232" s="31" t="s">
        <v>473</v>
      </c>
      <c r="B2232" s="75" t="s">
        <v>317</v>
      </c>
      <c r="C2232" s="111" t="s">
        <v>156</v>
      </c>
      <c r="D2232" s="111">
        <v>65</v>
      </c>
      <c r="E2232" s="42" t="s">
        <v>79</v>
      </c>
      <c r="F2232" s="74">
        <v>10.4</v>
      </c>
      <c r="G2232" s="36">
        <f t="shared" si="508"/>
        <v>65.52</v>
      </c>
      <c r="H2232" s="37">
        <v>24</v>
      </c>
      <c r="I2232" s="109">
        <f t="shared" si="509"/>
        <v>1572.48</v>
      </c>
      <c r="J2232" s="123">
        <v>1600</v>
      </c>
    </row>
    <row r="2233" spans="1:10" x14ac:dyDescent="0.25">
      <c r="A2233" s="31" t="s">
        <v>473</v>
      </c>
      <c r="B2233" s="37" t="s">
        <v>325</v>
      </c>
      <c r="C2233" s="34" t="s">
        <v>158</v>
      </c>
      <c r="D2233" s="46">
        <v>32.4</v>
      </c>
      <c r="E2233" s="34" t="s">
        <v>79</v>
      </c>
      <c r="F2233" s="74">
        <v>6.6</v>
      </c>
      <c r="G2233" s="36">
        <f t="shared" si="508"/>
        <v>41.58</v>
      </c>
      <c r="H2233" s="37">
        <v>24</v>
      </c>
      <c r="I2233" s="109">
        <f t="shared" si="509"/>
        <v>997.92</v>
      </c>
      <c r="J2233" s="123">
        <v>1000</v>
      </c>
    </row>
    <row r="2234" spans="1:10" ht="15.75" thickBot="1" x14ac:dyDescent="0.3">
      <c r="A2234" s="31" t="s">
        <v>473</v>
      </c>
      <c r="B2234" s="43" t="s">
        <v>326</v>
      </c>
      <c r="C2234" s="52" t="s">
        <v>152</v>
      </c>
      <c r="D2234" s="72">
        <v>1.4</v>
      </c>
      <c r="E2234" s="42" t="s">
        <v>79</v>
      </c>
      <c r="F2234" s="73">
        <v>8.6</v>
      </c>
      <c r="G2234" s="74">
        <f t="shared" si="508"/>
        <v>54.18</v>
      </c>
      <c r="H2234" s="43">
        <v>24</v>
      </c>
      <c r="I2234" s="328">
        <f t="shared" si="509"/>
        <v>1300.32</v>
      </c>
      <c r="J2234" s="124">
        <v>1300</v>
      </c>
    </row>
    <row r="2235" spans="1:10" ht="19.5" thickBot="1" x14ac:dyDescent="0.35">
      <c r="A2235" s="206"/>
      <c r="B2235" s="336"/>
      <c r="C2235" s="336"/>
      <c r="D2235" s="336"/>
      <c r="E2235" s="336"/>
      <c r="F2235" s="336"/>
      <c r="G2235" s="337"/>
      <c r="H2235" s="174" t="s">
        <v>171</v>
      </c>
      <c r="I2235" s="238">
        <f>SUM(I2229:I2234)</f>
        <v>6680.0159999999996</v>
      </c>
      <c r="J2235" s="104">
        <f>SUM(J2229:J2234)</f>
        <v>6700</v>
      </c>
    </row>
    <row r="2236" spans="1:10" x14ac:dyDescent="0.25">
      <c r="A2236" s="31" t="s">
        <v>474</v>
      </c>
      <c r="B2236" s="37" t="s">
        <v>322</v>
      </c>
      <c r="C2236" s="34" t="s">
        <v>114</v>
      </c>
      <c r="D2236" s="108">
        <v>21.86</v>
      </c>
      <c r="E2236" s="34" t="s">
        <v>79</v>
      </c>
      <c r="F2236" s="109">
        <v>6</v>
      </c>
      <c r="G2236" s="36">
        <f t="shared" ref="G2236:G2241" si="510">F2236*6.3</f>
        <v>37.799999999999997</v>
      </c>
      <c r="H2236" s="37">
        <v>24</v>
      </c>
      <c r="I2236" s="109">
        <f t="shared" ref="I2236:I2241" si="511">G2236*H2236</f>
        <v>907.19999999999993</v>
      </c>
      <c r="J2236" s="123">
        <v>900</v>
      </c>
    </row>
    <row r="2237" spans="1:10" x14ac:dyDescent="0.25">
      <c r="A2237" s="31" t="s">
        <v>474</v>
      </c>
      <c r="B2237" s="37" t="s">
        <v>323</v>
      </c>
      <c r="C2237" s="34" t="s">
        <v>86</v>
      </c>
      <c r="D2237" s="108">
        <v>17</v>
      </c>
      <c r="E2237" s="34" t="s">
        <v>79</v>
      </c>
      <c r="F2237" s="110">
        <v>9.1</v>
      </c>
      <c r="G2237" s="36">
        <f t="shared" si="510"/>
        <v>57.33</v>
      </c>
      <c r="H2237" s="37">
        <v>24</v>
      </c>
      <c r="I2237" s="109">
        <f t="shared" si="511"/>
        <v>1375.92</v>
      </c>
      <c r="J2237" s="123">
        <v>1400</v>
      </c>
    </row>
    <row r="2238" spans="1:10" x14ac:dyDescent="0.25">
      <c r="A2238" s="31" t="s">
        <v>474</v>
      </c>
      <c r="B2238" s="50" t="s">
        <v>324</v>
      </c>
      <c r="C2238" s="34" t="s">
        <v>443</v>
      </c>
      <c r="D2238" s="108" t="s">
        <v>38</v>
      </c>
      <c r="E2238" s="34" t="s">
        <v>79</v>
      </c>
      <c r="F2238" s="36">
        <v>3.25</v>
      </c>
      <c r="G2238" s="36">
        <f t="shared" si="510"/>
        <v>20.474999999999998</v>
      </c>
      <c r="H2238" s="37">
        <v>24</v>
      </c>
      <c r="I2238" s="109">
        <f t="shared" si="511"/>
        <v>491.4</v>
      </c>
      <c r="J2238" s="123">
        <v>500</v>
      </c>
    </row>
    <row r="2239" spans="1:10" x14ac:dyDescent="0.25">
      <c r="A2239" s="31" t="s">
        <v>474</v>
      </c>
      <c r="B2239" s="75" t="s">
        <v>317</v>
      </c>
      <c r="C2239" s="111" t="s">
        <v>156</v>
      </c>
      <c r="D2239" s="111">
        <v>62</v>
      </c>
      <c r="E2239" s="42" t="s">
        <v>79</v>
      </c>
      <c r="F2239" s="74">
        <v>10.3</v>
      </c>
      <c r="G2239" s="36">
        <f t="shared" si="510"/>
        <v>64.89</v>
      </c>
      <c r="H2239" s="37">
        <v>24</v>
      </c>
      <c r="I2239" s="109">
        <f t="shared" si="511"/>
        <v>1557.3600000000001</v>
      </c>
      <c r="J2239" s="123">
        <v>1600</v>
      </c>
    </row>
    <row r="2240" spans="1:10" x14ac:dyDescent="0.25">
      <c r="A2240" s="31" t="s">
        <v>474</v>
      </c>
      <c r="B2240" s="37" t="s">
        <v>325</v>
      </c>
      <c r="C2240" s="34" t="s">
        <v>158</v>
      </c>
      <c r="D2240" s="46">
        <v>32.11</v>
      </c>
      <c r="E2240" s="34" t="s">
        <v>79</v>
      </c>
      <c r="F2240" s="74">
        <v>6.6</v>
      </c>
      <c r="G2240" s="36">
        <f t="shared" si="510"/>
        <v>41.58</v>
      </c>
      <c r="H2240" s="37">
        <v>24</v>
      </c>
      <c r="I2240" s="109">
        <f t="shared" si="511"/>
        <v>997.92</v>
      </c>
      <c r="J2240" s="123">
        <v>1000</v>
      </c>
    </row>
    <row r="2241" spans="1:10" ht="15.75" thickBot="1" x14ac:dyDescent="0.3">
      <c r="A2241" s="31" t="s">
        <v>474</v>
      </c>
      <c r="B2241" s="43" t="s">
        <v>326</v>
      </c>
      <c r="C2241" s="52" t="s">
        <v>152</v>
      </c>
      <c r="D2241" s="72">
        <v>1.1000000000000001</v>
      </c>
      <c r="E2241" s="42" t="s">
        <v>79</v>
      </c>
      <c r="F2241" s="73">
        <v>8.6</v>
      </c>
      <c r="G2241" s="74">
        <f t="shared" si="510"/>
        <v>54.18</v>
      </c>
      <c r="H2241" s="43">
        <v>24</v>
      </c>
      <c r="I2241" s="328">
        <f t="shared" si="511"/>
        <v>1300.32</v>
      </c>
      <c r="J2241" s="124">
        <v>1300</v>
      </c>
    </row>
    <row r="2242" spans="1:10" ht="19.5" thickBot="1" x14ac:dyDescent="0.35">
      <c r="A2242" s="206"/>
      <c r="B2242" s="336"/>
      <c r="C2242" s="336"/>
      <c r="D2242" s="336"/>
      <c r="E2242" s="336"/>
      <c r="F2242" s="336"/>
      <c r="G2242" s="337"/>
      <c r="H2242" s="174" t="s">
        <v>171</v>
      </c>
      <c r="I2242" s="238">
        <f>SUM(I2236:I2241)</f>
        <v>6630.12</v>
      </c>
      <c r="J2242" s="104">
        <f>SUM(J2236:J2241)</f>
        <v>6700</v>
      </c>
    </row>
    <row r="2243" spans="1:10" x14ac:dyDescent="0.25">
      <c r="A2243" s="31" t="s">
        <v>475</v>
      </c>
      <c r="B2243" s="37" t="s">
        <v>322</v>
      </c>
      <c r="C2243" s="34" t="s">
        <v>114</v>
      </c>
      <c r="D2243" s="108">
        <v>22.05</v>
      </c>
      <c r="E2243" s="34" t="s">
        <v>79</v>
      </c>
      <c r="F2243" s="109">
        <v>5.95</v>
      </c>
      <c r="G2243" s="36">
        <f t="shared" ref="G2243:G2248" si="512">F2243*6.3</f>
        <v>37.484999999999999</v>
      </c>
      <c r="H2243" s="37">
        <v>24</v>
      </c>
      <c r="I2243" s="109">
        <f t="shared" ref="I2243:I2248" si="513">G2243*H2243</f>
        <v>899.64</v>
      </c>
      <c r="J2243" s="123">
        <v>900</v>
      </c>
    </row>
    <row r="2244" spans="1:10" x14ac:dyDescent="0.25">
      <c r="A2244" s="31" t="s">
        <v>475</v>
      </c>
      <c r="B2244" s="37" t="s">
        <v>323</v>
      </c>
      <c r="C2244" s="34" t="s">
        <v>86</v>
      </c>
      <c r="D2244" s="108">
        <v>17</v>
      </c>
      <c r="E2244" s="34" t="s">
        <v>79</v>
      </c>
      <c r="F2244" s="110">
        <v>9.1999999999999993</v>
      </c>
      <c r="G2244" s="36">
        <f t="shared" si="512"/>
        <v>57.959999999999994</v>
      </c>
      <c r="H2244" s="37">
        <v>24</v>
      </c>
      <c r="I2244" s="109">
        <f t="shared" si="513"/>
        <v>1391.04</v>
      </c>
      <c r="J2244" s="123">
        <v>1400</v>
      </c>
    </row>
    <row r="2245" spans="1:10" x14ac:dyDescent="0.25">
      <c r="A2245" s="31" t="s">
        <v>475</v>
      </c>
      <c r="B2245" s="50" t="s">
        <v>324</v>
      </c>
      <c r="C2245" s="34" t="s">
        <v>443</v>
      </c>
      <c r="D2245" s="108" t="s">
        <v>38</v>
      </c>
      <c r="E2245" s="34" t="s">
        <v>79</v>
      </c>
      <c r="F2245" s="36">
        <v>3.25</v>
      </c>
      <c r="G2245" s="36">
        <f t="shared" si="512"/>
        <v>20.474999999999998</v>
      </c>
      <c r="H2245" s="37">
        <v>24</v>
      </c>
      <c r="I2245" s="109">
        <f t="shared" si="513"/>
        <v>491.4</v>
      </c>
      <c r="J2245" s="123">
        <v>500</v>
      </c>
    </row>
    <row r="2246" spans="1:10" x14ac:dyDescent="0.25">
      <c r="A2246" s="31" t="s">
        <v>475</v>
      </c>
      <c r="B2246" s="75" t="s">
        <v>317</v>
      </c>
      <c r="C2246" s="111" t="s">
        <v>156</v>
      </c>
      <c r="D2246" s="111">
        <v>55.4</v>
      </c>
      <c r="E2246" s="42" t="s">
        <v>79</v>
      </c>
      <c r="F2246" s="74">
        <v>10.5</v>
      </c>
      <c r="G2246" s="36">
        <f t="shared" si="512"/>
        <v>66.149999999999991</v>
      </c>
      <c r="H2246" s="37">
        <v>24</v>
      </c>
      <c r="I2246" s="109">
        <f t="shared" si="513"/>
        <v>1587.6</v>
      </c>
      <c r="J2246" s="123">
        <v>1600</v>
      </c>
    </row>
    <row r="2247" spans="1:10" x14ac:dyDescent="0.25">
      <c r="A2247" s="31" t="s">
        <v>475</v>
      </c>
      <c r="B2247" s="37" t="s">
        <v>325</v>
      </c>
      <c r="C2247" s="34" t="s">
        <v>158</v>
      </c>
      <c r="D2247" s="46">
        <v>32.11</v>
      </c>
      <c r="E2247" s="34" t="s">
        <v>79</v>
      </c>
      <c r="F2247" s="74">
        <v>6.6</v>
      </c>
      <c r="G2247" s="36">
        <f t="shared" si="512"/>
        <v>41.58</v>
      </c>
      <c r="H2247" s="37">
        <v>24</v>
      </c>
      <c r="I2247" s="109">
        <f t="shared" si="513"/>
        <v>997.92</v>
      </c>
      <c r="J2247" s="123">
        <v>1000</v>
      </c>
    </row>
    <row r="2248" spans="1:10" ht="15.75" thickBot="1" x14ac:dyDescent="0.3">
      <c r="A2248" s="31" t="s">
        <v>475</v>
      </c>
      <c r="B2248" s="43" t="s">
        <v>326</v>
      </c>
      <c r="C2248" s="52" t="s">
        <v>152</v>
      </c>
      <c r="D2248" s="72">
        <v>1.1000000000000001</v>
      </c>
      <c r="E2248" s="42" t="s">
        <v>79</v>
      </c>
      <c r="F2248" s="73">
        <v>8.6</v>
      </c>
      <c r="G2248" s="74">
        <f t="shared" si="512"/>
        <v>54.18</v>
      </c>
      <c r="H2248" s="43">
        <v>24</v>
      </c>
      <c r="I2248" s="328">
        <f t="shared" si="513"/>
        <v>1300.32</v>
      </c>
      <c r="J2248" s="124">
        <v>1300</v>
      </c>
    </row>
    <row r="2249" spans="1:10" ht="19.5" thickBot="1" x14ac:dyDescent="0.35">
      <c r="A2249" s="206"/>
      <c r="B2249" s="336"/>
      <c r="C2249" s="336"/>
      <c r="D2249" s="336"/>
      <c r="E2249" s="336"/>
      <c r="F2249" s="336"/>
      <c r="G2249" s="337"/>
      <c r="H2249" s="174" t="s">
        <v>171</v>
      </c>
      <c r="I2249" s="238">
        <f>SUM(I2243:I2248)</f>
        <v>6667.92</v>
      </c>
      <c r="J2249" s="104">
        <f>SUM(J2243:J2248)</f>
        <v>6700</v>
      </c>
    </row>
    <row r="2250" spans="1:10" x14ac:dyDescent="0.25">
      <c r="A2250" s="31" t="s">
        <v>476</v>
      </c>
      <c r="B2250" s="37" t="s">
        <v>322</v>
      </c>
      <c r="C2250" s="34" t="s">
        <v>114</v>
      </c>
      <c r="D2250" s="108">
        <v>23</v>
      </c>
      <c r="E2250" s="34" t="s">
        <v>79</v>
      </c>
      <c r="F2250" s="109">
        <v>5.9</v>
      </c>
      <c r="G2250" s="36">
        <f t="shared" ref="G2250:G2255" si="514">F2250*6.3</f>
        <v>37.17</v>
      </c>
      <c r="H2250" s="37">
        <v>24</v>
      </c>
      <c r="I2250" s="109">
        <f t="shared" ref="I2250:I2255" si="515">G2250*H2250</f>
        <v>892.08</v>
      </c>
      <c r="J2250" s="123">
        <v>900</v>
      </c>
    </row>
    <row r="2251" spans="1:10" x14ac:dyDescent="0.25">
      <c r="A2251" s="31" t="s">
        <v>476</v>
      </c>
      <c r="B2251" s="37" t="s">
        <v>323</v>
      </c>
      <c r="C2251" s="34" t="s">
        <v>86</v>
      </c>
      <c r="D2251" s="108">
        <v>17.100000000000001</v>
      </c>
      <c r="E2251" s="34" t="s">
        <v>79</v>
      </c>
      <c r="F2251" s="110">
        <v>9.4</v>
      </c>
      <c r="G2251" s="36">
        <f t="shared" si="514"/>
        <v>59.22</v>
      </c>
      <c r="H2251" s="37">
        <v>24</v>
      </c>
      <c r="I2251" s="109">
        <f t="shared" si="515"/>
        <v>1421.28</v>
      </c>
      <c r="J2251" s="123">
        <v>1400</v>
      </c>
    </row>
    <row r="2252" spans="1:10" x14ac:dyDescent="0.25">
      <c r="A2252" s="31" t="s">
        <v>476</v>
      </c>
      <c r="B2252" s="50" t="s">
        <v>324</v>
      </c>
      <c r="C2252" s="34" t="s">
        <v>443</v>
      </c>
      <c r="D2252" s="108" t="s">
        <v>38</v>
      </c>
      <c r="E2252" s="34" t="s">
        <v>79</v>
      </c>
      <c r="F2252" s="36">
        <v>3.35</v>
      </c>
      <c r="G2252" s="36">
        <f t="shared" si="514"/>
        <v>21.105</v>
      </c>
      <c r="H2252" s="37">
        <v>24</v>
      </c>
      <c r="I2252" s="109">
        <f t="shared" si="515"/>
        <v>506.52</v>
      </c>
      <c r="J2252" s="123">
        <v>500</v>
      </c>
    </row>
    <row r="2253" spans="1:10" x14ac:dyDescent="0.25">
      <c r="A2253" s="31" t="s">
        <v>476</v>
      </c>
      <c r="B2253" s="75" t="s">
        <v>317</v>
      </c>
      <c r="C2253" s="111" t="s">
        <v>156</v>
      </c>
      <c r="D2253" s="111">
        <v>55.4</v>
      </c>
      <c r="E2253" s="42" t="s">
        <v>79</v>
      </c>
      <c r="F2253" s="74">
        <v>10.3</v>
      </c>
      <c r="G2253" s="36">
        <f t="shared" si="514"/>
        <v>64.89</v>
      </c>
      <c r="H2253" s="37">
        <v>24</v>
      </c>
      <c r="I2253" s="109">
        <f t="shared" si="515"/>
        <v>1557.3600000000001</v>
      </c>
      <c r="J2253" s="123">
        <v>1600</v>
      </c>
    </row>
    <row r="2254" spans="1:10" x14ac:dyDescent="0.25">
      <c r="A2254" s="31" t="s">
        <v>476</v>
      </c>
      <c r="B2254" s="37" t="s">
        <v>325</v>
      </c>
      <c r="C2254" s="34" t="s">
        <v>158</v>
      </c>
      <c r="D2254" s="46">
        <v>34</v>
      </c>
      <c r="E2254" s="34" t="s">
        <v>79</v>
      </c>
      <c r="F2254" s="74">
        <v>6.5</v>
      </c>
      <c r="G2254" s="36">
        <f t="shared" si="514"/>
        <v>40.949999999999996</v>
      </c>
      <c r="H2254" s="37">
        <v>24</v>
      </c>
      <c r="I2254" s="109">
        <f t="shared" si="515"/>
        <v>982.8</v>
      </c>
      <c r="J2254" s="123">
        <v>1000</v>
      </c>
    </row>
    <row r="2255" spans="1:10" ht="15.75" thickBot="1" x14ac:dyDescent="0.3">
      <c r="A2255" s="31" t="s">
        <v>476</v>
      </c>
      <c r="B2255" s="43" t="s">
        <v>326</v>
      </c>
      <c r="C2255" s="52" t="s">
        <v>152</v>
      </c>
      <c r="D2255" s="72">
        <v>1.1000000000000001</v>
      </c>
      <c r="E2255" s="42" t="s">
        <v>79</v>
      </c>
      <c r="F2255" s="73">
        <v>8.8000000000000007</v>
      </c>
      <c r="G2255" s="74">
        <f t="shared" si="514"/>
        <v>55.440000000000005</v>
      </c>
      <c r="H2255" s="43">
        <v>24</v>
      </c>
      <c r="I2255" s="328">
        <f t="shared" si="515"/>
        <v>1330.5600000000002</v>
      </c>
      <c r="J2255" s="124">
        <v>1300</v>
      </c>
    </row>
    <row r="2256" spans="1:10" ht="19.5" thickBot="1" x14ac:dyDescent="0.35">
      <c r="A2256" s="206"/>
      <c r="B2256" s="336"/>
      <c r="C2256" s="336"/>
      <c r="D2256" s="336"/>
      <c r="E2256" s="336"/>
      <c r="F2256" s="336"/>
      <c r="G2256" s="337"/>
      <c r="H2256" s="174" t="s">
        <v>171</v>
      </c>
      <c r="I2256" s="238">
        <f>SUM(I2250:I2255)</f>
        <v>6690.6</v>
      </c>
      <c r="J2256" s="104">
        <f>SUM(J2250:J2255)</f>
        <v>6700</v>
      </c>
    </row>
    <row r="2257" spans="1:10" x14ac:dyDescent="0.25">
      <c r="A2257" s="31" t="s">
        <v>477</v>
      </c>
      <c r="B2257" s="37" t="s">
        <v>322</v>
      </c>
      <c r="C2257" s="34" t="s">
        <v>114</v>
      </c>
      <c r="D2257" s="108">
        <v>23</v>
      </c>
      <c r="E2257" s="34" t="s">
        <v>79</v>
      </c>
      <c r="F2257" s="109">
        <v>5.92</v>
      </c>
      <c r="G2257" s="36">
        <f t="shared" ref="G2257:G2262" si="516">F2257*6.3</f>
        <v>37.295999999999999</v>
      </c>
      <c r="H2257" s="37">
        <v>24</v>
      </c>
      <c r="I2257" s="109">
        <f t="shared" ref="I2257:I2262" si="517">G2257*H2257</f>
        <v>895.10400000000004</v>
      </c>
      <c r="J2257" s="123">
        <v>900</v>
      </c>
    </row>
    <row r="2258" spans="1:10" x14ac:dyDescent="0.25">
      <c r="A2258" s="31" t="s">
        <v>477</v>
      </c>
      <c r="B2258" s="37" t="s">
        <v>323</v>
      </c>
      <c r="C2258" s="34" t="s">
        <v>86</v>
      </c>
      <c r="D2258" s="108">
        <v>17.12</v>
      </c>
      <c r="E2258" s="34" t="s">
        <v>79</v>
      </c>
      <c r="F2258" s="110">
        <v>9.25</v>
      </c>
      <c r="G2258" s="36">
        <f t="shared" si="516"/>
        <v>58.274999999999999</v>
      </c>
      <c r="H2258" s="37">
        <v>24</v>
      </c>
      <c r="I2258" s="109">
        <f t="shared" si="517"/>
        <v>1398.6</v>
      </c>
      <c r="J2258" s="123">
        <v>1400</v>
      </c>
    </row>
    <row r="2259" spans="1:10" x14ac:dyDescent="0.25">
      <c r="A2259" s="31" t="s">
        <v>477</v>
      </c>
      <c r="B2259" s="50" t="s">
        <v>324</v>
      </c>
      <c r="C2259" s="34" t="s">
        <v>443</v>
      </c>
      <c r="D2259" s="108" t="s">
        <v>38</v>
      </c>
      <c r="E2259" s="34" t="s">
        <v>79</v>
      </c>
      <c r="F2259" s="36">
        <v>3.4</v>
      </c>
      <c r="G2259" s="36">
        <f t="shared" si="516"/>
        <v>21.419999999999998</v>
      </c>
      <c r="H2259" s="37">
        <v>24</v>
      </c>
      <c r="I2259" s="109">
        <f t="shared" si="517"/>
        <v>514.07999999999993</v>
      </c>
      <c r="J2259" s="123">
        <v>500</v>
      </c>
    </row>
    <row r="2260" spans="1:10" x14ac:dyDescent="0.25">
      <c r="A2260" s="31" t="s">
        <v>477</v>
      </c>
      <c r="B2260" s="75" t="s">
        <v>317</v>
      </c>
      <c r="C2260" s="111" t="s">
        <v>156</v>
      </c>
      <c r="D2260" s="111">
        <v>50.8</v>
      </c>
      <c r="E2260" s="42" t="s">
        <v>79</v>
      </c>
      <c r="F2260" s="74">
        <v>10.48</v>
      </c>
      <c r="G2260" s="36">
        <f t="shared" si="516"/>
        <v>66.024000000000001</v>
      </c>
      <c r="H2260" s="37">
        <v>24</v>
      </c>
      <c r="I2260" s="109">
        <f t="shared" si="517"/>
        <v>1584.576</v>
      </c>
      <c r="J2260" s="123">
        <v>1600</v>
      </c>
    </row>
    <row r="2261" spans="1:10" x14ac:dyDescent="0.25">
      <c r="A2261" s="31" t="s">
        <v>477</v>
      </c>
      <c r="B2261" s="37" t="s">
        <v>325</v>
      </c>
      <c r="C2261" s="34" t="s">
        <v>158</v>
      </c>
      <c r="D2261" s="46">
        <v>31.8</v>
      </c>
      <c r="E2261" s="34" t="s">
        <v>79</v>
      </c>
      <c r="F2261" s="74">
        <v>6.53</v>
      </c>
      <c r="G2261" s="36">
        <f t="shared" si="516"/>
        <v>41.139000000000003</v>
      </c>
      <c r="H2261" s="37">
        <v>24</v>
      </c>
      <c r="I2261" s="109">
        <f t="shared" si="517"/>
        <v>987.33600000000001</v>
      </c>
      <c r="J2261" s="123">
        <v>1000</v>
      </c>
    </row>
    <row r="2262" spans="1:10" ht="15.75" thickBot="1" x14ac:dyDescent="0.3">
      <c r="A2262" s="31" t="s">
        <v>477</v>
      </c>
      <c r="B2262" s="43" t="s">
        <v>326</v>
      </c>
      <c r="C2262" s="52" t="s">
        <v>152</v>
      </c>
      <c r="D2262" s="72">
        <v>1.2</v>
      </c>
      <c r="E2262" s="42" t="s">
        <v>79</v>
      </c>
      <c r="F2262" s="73">
        <v>8.58</v>
      </c>
      <c r="G2262" s="74">
        <f t="shared" si="516"/>
        <v>54.054000000000002</v>
      </c>
      <c r="H2262" s="43">
        <v>24</v>
      </c>
      <c r="I2262" s="328">
        <f t="shared" si="517"/>
        <v>1297.296</v>
      </c>
      <c r="J2262" s="124">
        <v>1300</v>
      </c>
    </row>
    <row r="2263" spans="1:10" ht="19.5" thickBot="1" x14ac:dyDescent="0.35">
      <c r="A2263" s="206"/>
      <c r="B2263" s="336"/>
      <c r="C2263" s="336"/>
      <c r="D2263" s="336"/>
      <c r="E2263" s="336"/>
      <c r="F2263" s="336"/>
      <c r="G2263" s="337"/>
      <c r="H2263" s="174" t="s">
        <v>171</v>
      </c>
      <c r="I2263" s="238">
        <f>SUM(I2257:I2262)</f>
        <v>6676.9920000000002</v>
      </c>
      <c r="J2263" s="104">
        <f>SUM(J2257:J2262)</f>
        <v>6700</v>
      </c>
    </row>
    <row r="2264" spans="1:10" x14ac:dyDescent="0.25">
      <c r="A2264" s="31" t="s">
        <v>478</v>
      </c>
      <c r="B2264" s="37" t="s">
        <v>322</v>
      </c>
      <c r="C2264" s="34" t="s">
        <v>114</v>
      </c>
      <c r="D2264" s="108">
        <v>20.53</v>
      </c>
      <c r="E2264" s="34" t="s">
        <v>79</v>
      </c>
      <c r="F2264" s="109">
        <v>5.9</v>
      </c>
      <c r="G2264" s="36">
        <f t="shared" ref="G2264:G2269" si="518">F2264*6.3</f>
        <v>37.17</v>
      </c>
      <c r="H2264" s="37">
        <v>24</v>
      </c>
      <c r="I2264" s="109">
        <f t="shared" ref="I2264:I2269" si="519">G2264*H2264</f>
        <v>892.08</v>
      </c>
      <c r="J2264" s="123">
        <v>900</v>
      </c>
    </row>
    <row r="2265" spans="1:10" x14ac:dyDescent="0.25">
      <c r="A2265" s="31" t="s">
        <v>478</v>
      </c>
      <c r="B2265" s="37" t="s">
        <v>323</v>
      </c>
      <c r="C2265" s="34" t="s">
        <v>86</v>
      </c>
      <c r="D2265" s="108">
        <v>14.8</v>
      </c>
      <c r="E2265" s="34" t="s">
        <v>79</v>
      </c>
      <c r="F2265" s="110">
        <v>9.1999999999999993</v>
      </c>
      <c r="G2265" s="36">
        <f t="shared" si="518"/>
        <v>57.959999999999994</v>
      </c>
      <c r="H2265" s="37">
        <v>24</v>
      </c>
      <c r="I2265" s="109">
        <f t="shared" si="519"/>
        <v>1391.04</v>
      </c>
      <c r="J2265" s="123">
        <v>1400</v>
      </c>
    </row>
    <row r="2266" spans="1:10" x14ac:dyDescent="0.25">
      <c r="A2266" s="31" t="s">
        <v>478</v>
      </c>
      <c r="B2266" s="50" t="s">
        <v>324</v>
      </c>
      <c r="C2266" s="34" t="s">
        <v>443</v>
      </c>
      <c r="D2266" s="108" t="s">
        <v>38</v>
      </c>
      <c r="E2266" s="34" t="s">
        <v>79</v>
      </c>
      <c r="F2266" s="36">
        <v>3.4</v>
      </c>
      <c r="G2266" s="36">
        <f t="shared" si="518"/>
        <v>21.419999999999998</v>
      </c>
      <c r="H2266" s="37">
        <v>24</v>
      </c>
      <c r="I2266" s="109">
        <f t="shared" si="519"/>
        <v>514.07999999999993</v>
      </c>
      <c r="J2266" s="123">
        <v>500</v>
      </c>
    </row>
    <row r="2267" spans="1:10" x14ac:dyDescent="0.25">
      <c r="A2267" s="31" t="s">
        <v>478</v>
      </c>
      <c r="B2267" s="75" t="s">
        <v>317</v>
      </c>
      <c r="C2267" s="111" t="s">
        <v>156</v>
      </c>
      <c r="D2267" s="111">
        <v>68.2</v>
      </c>
      <c r="E2267" s="42" t="s">
        <v>79</v>
      </c>
      <c r="F2267" s="74">
        <v>10.45</v>
      </c>
      <c r="G2267" s="36">
        <f t="shared" si="518"/>
        <v>65.834999999999994</v>
      </c>
      <c r="H2267" s="37">
        <v>24</v>
      </c>
      <c r="I2267" s="109">
        <f t="shared" si="519"/>
        <v>1580.04</v>
      </c>
      <c r="J2267" s="123">
        <v>1600</v>
      </c>
    </row>
    <row r="2268" spans="1:10" x14ac:dyDescent="0.25">
      <c r="A2268" s="31" t="s">
        <v>478</v>
      </c>
      <c r="B2268" s="37" t="s">
        <v>325</v>
      </c>
      <c r="C2268" s="34" t="s">
        <v>158</v>
      </c>
      <c r="D2268" s="46">
        <v>32.4</v>
      </c>
      <c r="E2268" s="34" t="s">
        <v>79</v>
      </c>
      <c r="F2268" s="74">
        <v>6.65</v>
      </c>
      <c r="G2268" s="36">
        <f t="shared" si="518"/>
        <v>41.895000000000003</v>
      </c>
      <c r="H2268" s="37">
        <v>24</v>
      </c>
      <c r="I2268" s="109">
        <f t="shared" si="519"/>
        <v>1005.48</v>
      </c>
      <c r="J2268" s="123">
        <v>1000</v>
      </c>
    </row>
    <row r="2269" spans="1:10" ht="15.75" thickBot="1" x14ac:dyDescent="0.3">
      <c r="A2269" s="31" t="s">
        <v>478</v>
      </c>
      <c r="B2269" s="43" t="s">
        <v>326</v>
      </c>
      <c r="C2269" s="52" t="s">
        <v>152</v>
      </c>
      <c r="D2269" s="72">
        <v>1.2</v>
      </c>
      <c r="E2269" s="42" t="s">
        <v>79</v>
      </c>
      <c r="F2269" s="73">
        <v>8.5500000000000007</v>
      </c>
      <c r="G2269" s="74">
        <f t="shared" si="518"/>
        <v>53.865000000000002</v>
      </c>
      <c r="H2269" s="43">
        <v>24</v>
      </c>
      <c r="I2269" s="328">
        <f t="shared" si="519"/>
        <v>1292.76</v>
      </c>
      <c r="J2269" s="124">
        <v>1300</v>
      </c>
    </row>
    <row r="2270" spans="1:10" ht="19.5" thickBot="1" x14ac:dyDescent="0.35">
      <c r="A2270" s="206"/>
      <c r="B2270" s="336"/>
      <c r="C2270" s="336"/>
      <c r="D2270" s="336"/>
      <c r="E2270" s="336"/>
      <c r="F2270" s="336"/>
      <c r="G2270" s="337"/>
      <c r="H2270" s="174" t="s">
        <v>171</v>
      </c>
      <c r="I2270" s="238">
        <f>SUM(I2264:I2269)</f>
        <v>6675.48</v>
      </c>
      <c r="J2270" s="104">
        <f>SUM(J2264:J2269)</f>
        <v>6700</v>
      </c>
    </row>
    <row r="2271" spans="1:10" x14ac:dyDescent="0.25">
      <c r="A2271" s="31" t="s">
        <v>479</v>
      </c>
      <c r="B2271" s="37" t="s">
        <v>322</v>
      </c>
      <c r="C2271" s="34" t="s">
        <v>114</v>
      </c>
      <c r="D2271" s="108">
        <v>20.399999999999999</v>
      </c>
      <c r="E2271" s="34" t="s">
        <v>79</v>
      </c>
      <c r="F2271" s="109">
        <v>6</v>
      </c>
      <c r="G2271" s="36">
        <f t="shared" ref="G2271:G2276" si="520">F2271*6.3</f>
        <v>37.799999999999997</v>
      </c>
      <c r="H2271" s="37">
        <v>24</v>
      </c>
      <c r="I2271" s="109">
        <f t="shared" ref="I2271:I2276" si="521">G2271*H2271</f>
        <v>907.19999999999993</v>
      </c>
      <c r="J2271" s="123">
        <v>900</v>
      </c>
    </row>
    <row r="2272" spans="1:10" x14ac:dyDescent="0.25">
      <c r="A2272" s="31" t="s">
        <v>479</v>
      </c>
      <c r="B2272" s="37" t="s">
        <v>323</v>
      </c>
      <c r="C2272" s="34" t="s">
        <v>86</v>
      </c>
      <c r="D2272" s="108">
        <v>15.5</v>
      </c>
      <c r="E2272" s="34" t="s">
        <v>79</v>
      </c>
      <c r="F2272" s="110">
        <v>9.35</v>
      </c>
      <c r="G2272" s="36">
        <f t="shared" si="520"/>
        <v>58.904999999999994</v>
      </c>
      <c r="H2272" s="37">
        <v>24</v>
      </c>
      <c r="I2272" s="109">
        <f t="shared" si="521"/>
        <v>1413.7199999999998</v>
      </c>
      <c r="J2272" s="123">
        <v>1400</v>
      </c>
    </row>
    <row r="2273" spans="1:10" x14ac:dyDescent="0.25">
      <c r="A2273" s="31" t="s">
        <v>479</v>
      </c>
      <c r="B2273" s="50" t="s">
        <v>324</v>
      </c>
      <c r="C2273" s="34" t="s">
        <v>443</v>
      </c>
      <c r="D2273" s="108" t="s">
        <v>38</v>
      </c>
      <c r="E2273" s="34" t="s">
        <v>79</v>
      </c>
      <c r="F2273" s="36">
        <v>3.3</v>
      </c>
      <c r="G2273" s="36">
        <f t="shared" si="520"/>
        <v>20.79</v>
      </c>
      <c r="H2273" s="37">
        <v>24</v>
      </c>
      <c r="I2273" s="109">
        <f t="shared" si="521"/>
        <v>498.96</v>
      </c>
      <c r="J2273" s="123">
        <v>500</v>
      </c>
    </row>
    <row r="2274" spans="1:10" x14ac:dyDescent="0.25">
      <c r="A2274" s="31" t="s">
        <v>479</v>
      </c>
      <c r="B2274" s="75" t="s">
        <v>317</v>
      </c>
      <c r="C2274" s="111" t="s">
        <v>156</v>
      </c>
      <c r="D2274" s="111">
        <v>57</v>
      </c>
      <c r="E2274" s="42" t="s">
        <v>79</v>
      </c>
      <c r="F2274" s="74">
        <v>10.5</v>
      </c>
      <c r="G2274" s="36">
        <f t="shared" si="520"/>
        <v>66.149999999999991</v>
      </c>
      <c r="H2274" s="37">
        <v>24</v>
      </c>
      <c r="I2274" s="109">
        <f t="shared" si="521"/>
        <v>1587.6</v>
      </c>
      <c r="J2274" s="123">
        <v>1600</v>
      </c>
    </row>
    <row r="2275" spans="1:10" x14ac:dyDescent="0.25">
      <c r="A2275" s="31" t="s">
        <v>479</v>
      </c>
      <c r="B2275" s="37" t="s">
        <v>325</v>
      </c>
      <c r="C2275" s="34" t="s">
        <v>158</v>
      </c>
      <c r="D2275" s="46">
        <v>30.4</v>
      </c>
      <c r="E2275" s="34" t="s">
        <v>79</v>
      </c>
      <c r="F2275" s="74">
        <v>6.5</v>
      </c>
      <c r="G2275" s="36">
        <f t="shared" si="520"/>
        <v>40.949999999999996</v>
      </c>
      <c r="H2275" s="37">
        <v>24</v>
      </c>
      <c r="I2275" s="109">
        <f t="shared" si="521"/>
        <v>982.8</v>
      </c>
      <c r="J2275" s="123">
        <v>1000</v>
      </c>
    </row>
    <row r="2276" spans="1:10" ht="15.75" thickBot="1" x14ac:dyDescent="0.3">
      <c r="A2276" s="31" t="s">
        <v>479</v>
      </c>
      <c r="B2276" s="43" t="s">
        <v>326</v>
      </c>
      <c r="C2276" s="52" t="s">
        <v>152</v>
      </c>
      <c r="D2276" s="72">
        <v>1</v>
      </c>
      <c r="E2276" s="42" t="s">
        <v>79</v>
      </c>
      <c r="F2276" s="73">
        <v>8.6</v>
      </c>
      <c r="G2276" s="74">
        <f t="shared" si="520"/>
        <v>54.18</v>
      </c>
      <c r="H2276" s="43">
        <v>24</v>
      </c>
      <c r="I2276" s="328">
        <f t="shared" si="521"/>
        <v>1300.32</v>
      </c>
      <c r="J2276" s="124">
        <v>1300</v>
      </c>
    </row>
    <row r="2277" spans="1:10" ht="19.5" thickBot="1" x14ac:dyDescent="0.35">
      <c r="A2277" s="206"/>
      <c r="B2277" s="336"/>
      <c r="C2277" s="336"/>
      <c r="D2277" s="336"/>
      <c r="E2277" s="336"/>
      <c r="F2277" s="336"/>
      <c r="G2277" s="337"/>
      <c r="H2277" s="174" t="s">
        <v>171</v>
      </c>
      <c r="I2277" s="238">
        <f>SUM(I2271:I2276)</f>
        <v>6690.5999999999995</v>
      </c>
      <c r="J2277" s="104">
        <f>SUM(J2271:J2276)</f>
        <v>6700</v>
      </c>
    </row>
    <row r="2278" spans="1:10" x14ac:dyDescent="0.25">
      <c r="A2278" s="31" t="s">
        <v>480</v>
      </c>
      <c r="B2278" s="37" t="s">
        <v>322</v>
      </c>
      <c r="C2278" s="34" t="s">
        <v>114</v>
      </c>
      <c r="D2278" s="108">
        <v>19</v>
      </c>
      <c r="E2278" s="34" t="s">
        <v>79</v>
      </c>
      <c r="F2278" s="109">
        <v>5.95</v>
      </c>
      <c r="G2278" s="36">
        <f t="shared" ref="G2278:G2283" si="522">F2278*6.3</f>
        <v>37.484999999999999</v>
      </c>
      <c r="H2278" s="37">
        <v>24</v>
      </c>
      <c r="I2278" s="109">
        <f t="shared" ref="I2278:I2283" si="523">G2278*H2278</f>
        <v>899.64</v>
      </c>
      <c r="J2278" s="123">
        <v>900</v>
      </c>
    </row>
    <row r="2279" spans="1:10" x14ac:dyDescent="0.25">
      <c r="A2279" s="31" t="s">
        <v>480</v>
      </c>
      <c r="B2279" s="37" t="s">
        <v>323</v>
      </c>
      <c r="C2279" s="34" t="s">
        <v>86</v>
      </c>
      <c r="D2279" s="108">
        <v>16</v>
      </c>
      <c r="E2279" s="34" t="s">
        <v>79</v>
      </c>
      <c r="F2279" s="110">
        <v>9.1999999999999993</v>
      </c>
      <c r="G2279" s="36">
        <f t="shared" si="522"/>
        <v>57.959999999999994</v>
      </c>
      <c r="H2279" s="37">
        <v>24</v>
      </c>
      <c r="I2279" s="109">
        <f t="shared" si="523"/>
        <v>1391.04</v>
      </c>
      <c r="J2279" s="123">
        <v>1400</v>
      </c>
    </row>
    <row r="2280" spans="1:10" x14ac:dyDescent="0.25">
      <c r="A2280" s="31" t="s">
        <v>480</v>
      </c>
      <c r="B2280" s="50" t="s">
        <v>324</v>
      </c>
      <c r="C2280" s="34" t="s">
        <v>443</v>
      </c>
      <c r="D2280" s="108" t="s">
        <v>38</v>
      </c>
      <c r="E2280" s="34" t="s">
        <v>79</v>
      </c>
      <c r="F2280" s="36">
        <v>3.3</v>
      </c>
      <c r="G2280" s="36">
        <f t="shared" si="522"/>
        <v>20.79</v>
      </c>
      <c r="H2280" s="37">
        <v>24</v>
      </c>
      <c r="I2280" s="109">
        <f t="shared" si="523"/>
        <v>498.96</v>
      </c>
      <c r="J2280" s="123">
        <v>500</v>
      </c>
    </row>
    <row r="2281" spans="1:10" x14ac:dyDescent="0.25">
      <c r="A2281" s="31" t="s">
        <v>480</v>
      </c>
      <c r="B2281" s="75" t="s">
        <v>317</v>
      </c>
      <c r="C2281" s="111" t="s">
        <v>156</v>
      </c>
      <c r="D2281" s="111">
        <v>50</v>
      </c>
      <c r="E2281" s="42" t="s">
        <v>79</v>
      </c>
      <c r="F2281" s="74">
        <v>10.6</v>
      </c>
      <c r="G2281" s="36">
        <f t="shared" si="522"/>
        <v>66.78</v>
      </c>
      <c r="H2281" s="37">
        <v>24</v>
      </c>
      <c r="I2281" s="109">
        <f t="shared" si="523"/>
        <v>1602.72</v>
      </c>
      <c r="J2281" s="123">
        <v>1600</v>
      </c>
    </row>
    <row r="2282" spans="1:10" x14ac:dyDescent="0.25">
      <c r="A2282" s="31" t="s">
        <v>480</v>
      </c>
      <c r="B2282" s="37" t="s">
        <v>325</v>
      </c>
      <c r="C2282" s="34" t="s">
        <v>158</v>
      </c>
      <c r="D2282" s="46">
        <v>32.200000000000003</v>
      </c>
      <c r="E2282" s="34" t="s">
        <v>79</v>
      </c>
      <c r="F2282" s="74">
        <v>6.55</v>
      </c>
      <c r="G2282" s="36">
        <f t="shared" si="522"/>
        <v>41.265000000000001</v>
      </c>
      <c r="H2282" s="37">
        <v>24</v>
      </c>
      <c r="I2282" s="109">
        <f t="shared" si="523"/>
        <v>990.36</v>
      </c>
      <c r="J2282" s="123">
        <v>1000</v>
      </c>
    </row>
    <row r="2283" spans="1:10" ht="15.75" thickBot="1" x14ac:dyDescent="0.3">
      <c r="A2283" s="31" t="s">
        <v>480</v>
      </c>
      <c r="B2283" s="43" t="s">
        <v>326</v>
      </c>
      <c r="C2283" s="52" t="s">
        <v>152</v>
      </c>
      <c r="D2283" s="72">
        <v>1</v>
      </c>
      <c r="E2283" s="42" t="s">
        <v>79</v>
      </c>
      <c r="F2283" s="73">
        <v>8.6</v>
      </c>
      <c r="G2283" s="74">
        <f t="shared" si="522"/>
        <v>54.18</v>
      </c>
      <c r="H2283" s="43">
        <v>24</v>
      </c>
      <c r="I2283" s="328">
        <f t="shared" si="523"/>
        <v>1300.32</v>
      </c>
      <c r="J2283" s="124">
        <v>1300</v>
      </c>
    </row>
    <row r="2284" spans="1:10" ht="19.5" thickBot="1" x14ac:dyDescent="0.35">
      <c r="A2284" s="206"/>
      <c r="B2284" s="336"/>
      <c r="C2284" s="336"/>
      <c r="D2284" s="336"/>
      <c r="E2284" s="336"/>
      <c r="F2284" s="336"/>
      <c r="G2284" s="337"/>
      <c r="H2284" s="174" t="s">
        <v>171</v>
      </c>
      <c r="I2284" s="238">
        <f>SUM(I2278:I2283)</f>
        <v>6683.0399999999991</v>
      </c>
      <c r="J2284" s="104">
        <f>SUM(J2278:J2283)</f>
        <v>6700</v>
      </c>
    </row>
    <row r="2285" spans="1:10" x14ac:dyDescent="0.25">
      <c r="A2285" s="31" t="s">
        <v>481</v>
      </c>
      <c r="B2285" s="37" t="s">
        <v>322</v>
      </c>
      <c r="C2285" s="34" t="s">
        <v>114</v>
      </c>
      <c r="D2285" s="108">
        <v>19</v>
      </c>
      <c r="E2285" s="34" t="s">
        <v>79</v>
      </c>
      <c r="F2285" s="109">
        <v>6</v>
      </c>
      <c r="G2285" s="36">
        <f t="shared" ref="G2285:G2290" si="524">F2285*6.3</f>
        <v>37.799999999999997</v>
      </c>
      <c r="H2285" s="37">
        <v>24</v>
      </c>
      <c r="I2285" s="109">
        <f t="shared" ref="I2285:I2290" si="525">G2285*H2285</f>
        <v>907.19999999999993</v>
      </c>
      <c r="J2285" s="123">
        <v>900</v>
      </c>
    </row>
    <row r="2286" spans="1:10" x14ac:dyDescent="0.25">
      <c r="A2286" s="31" t="s">
        <v>481</v>
      </c>
      <c r="B2286" s="37" t="s">
        <v>323</v>
      </c>
      <c r="C2286" s="34" t="s">
        <v>86</v>
      </c>
      <c r="D2286" s="108">
        <v>16</v>
      </c>
      <c r="E2286" s="34" t="s">
        <v>79</v>
      </c>
      <c r="F2286" s="110">
        <v>9.3000000000000007</v>
      </c>
      <c r="G2286" s="36">
        <f t="shared" si="524"/>
        <v>58.59</v>
      </c>
      <c r="H2286" s="37">
        <v>24</v>
      </c>
      <c r="I2286" s="109">
        <f t="shared" si="525"/>
        <v>1406.16</v>
      </c>
      <c r="J2286" s="123">
        <v>1400</v>
      </c>
    </row>
    <row r="2287" spans="1:10" x14ac:dyDescent="0.25">
      <c r="A2287" s="31" t="s">
        <v>481</v>
      </c>
      <c r="B2287" s="50" t="s">
        <v>324</v>
      </c>
      <c r="C2287" s="34" t="s">
        <v>443</v>
      </c>
      <c r="D2287" s="108" t="s">
        <v>38</v>
      </c>
      <c r="E2287" s="34" t="s">
        <v>79</v>
      </c>
      <c r="F2287" s="36">
        <v>3.3</v>
      </c>
      <c r="G2287" s="36">
        <f t="shared" si="524"/>
        <v>20.79</v>
      </c>
      <c r="H2287" s="37">
        <v>24</v>
      </c>
      <c r="I2287" s="109">
        <f t="shared" si="525"/>
        <v>498.96</v>
      </c>
      <c r="J2287" s="123">
        <v>500</v>
      </c>
    </row>
    <row r="2288" spans="1:10" x14ac:dyDescent="0.25">
      <c r="A2288" s="31" t="s">
        <v>481</v>
      </c>
      <c r="B2288" s="75" t="s">
        <v>317</v>
      </c>
      <c r="C2288" s="111" t="s">
        <v>156</v>
      </c>
      <c r="D2288" s="111">
        <v>55</v>
      </c>
      <c r="E2288" s="42" t="s">
        <v>79</v>
      </c>
      <c r="F2288" s="74">
        <v>10.5</v>
      </c>
      <c r="G2288" s="36">
        <f t="shared" si="524"/>
        <v>66.149999999999991</v>
      </c>
      <c r="H2288" s="37">
        <v>24</v>
      </c>
      <c r="I2288" s="109">
        <f t="shared" si="525"/>
        <v>1587.6</v>
      </c>
      <c r="J2288" s="123">
        <v>1600</v>
      </c>
    </row>
    <row r="2289" spans="1:23" x14ac:dyDescent="0.25">
      <c r="A2289" s="31" t="s">
        <v>481</v>
      </c>
      <c r="B2289" s="37" t="s">
        <v>325</v>
      </c>
      <c r="C2289" s="34" t="s">
        <v>158</v>
      </c>
      <c r="D2289" s="46">
        <v>32</v>
      </c>
      <c r="E2289" s="34" t="s">
        <v>79</v>
      </c>
      <c r="F2289" s="74">
        <v>6.6</v>
      </c>
      <c r="G2289" s="36">
        <f t="shared" si="524"/>
        <v>41.58</v>
      </c>
      <c r="H2289" s="37">
        <v>24</v>
      </c>
      <c r="I2289" s="109">
        <f t="shared" si="525"/>
        <v>997.92</v>
      </c>
      <c r="J2289" s="123">
        <v>1000</v>
      </c>
    </row>
    <row r="2290" spans="1:23" ht="15.75" thickBot="1" x14ac:dyDescent="0.3">
      <c r="A2290" s="31" t="s">
        <v>481</v>
      </c>
      <c r="B2290" s="43" t="s">
        <v>326</v>
      </c>
      <c r="C2290" s="52" t="s">
        <v>152</v>
      </c>
      <c r="D2290" s="72">
        <v>1</v>
      </c>
      <c r="E2290" s="42" t="s">
        <v>79</v>
      </c>
      <c r="F2290" s="73">
        <v>8.6</v>
      </c>
      <c r="G2290" s="74">
        <f t="shared" si="524"/>
        <v>54.18</v>
      </c>
      <c r="H2290" s="43">
        <v>24</v>
      </c>
      <c r="I2290" s="328">
        <f t="shared" si="525"/>
        <v>1300.32</v>
      </c>
      <c r="J2290" s="124">
        <v>1300</v>
      </c>
    </row>
    <row r="2291" spans="1:23" ht="19.5" thickBot="1" x14ac:dyDescent="0.35">
      <c r="A2291" s="206"/>
      <c r="B2291" s="336"/>
      <c r="C2291" s="336"/>
      <c r="D2291" s="336"/>
      <c r="E2291" s="336"/>
      <c r="F2291" s="336"/>
      <c r="G2291" s="337"/>
      <c r="H2291" s="174" t="s">
        <v>171</v>
      </c>
      <c r="I2291" s="238">
        <f>SUM(I2285:I2290)</f>
        <v>6698.16</v>
      </c>
      <c r="J2291" s="104">
        <f>SUM(J2285:J2290)</f>
        <v>6700</v>
      </c>
    </row>
    <row r="2292" spans="1:23" x14ac:dyDescent="0.25">
      <c r="A2292" s="31" t="s">
        <v>482</v>
      </c>
      <c r="B2292" s="37" t="s">
        <v>322</v>
      </c>
      <c r="C2292" s="34" t="s">
        <v>114</v>
      </c>
      <c r="D2292" s="108">
        <v>0</v>
      </c>
      <c r="E2292" s="34" t="s">
        <v>79</v>
      </c>
      <c r="F2292" s="109">
        <v>6</v>
      </c>
      <c r="G2292" s="36">
        <f t="shared" ref="G2292:G2297" si="526">F2292*6.3</f>
        <v>37.799999999999997</v>
      </c>
      <c r="H2292" s="37">
        <v>11</v>
      </c>
      <c r="I2292" s="109">
        <f t="shared" ref="I2292:I2297" si="527">G2292*H2292</f>
        <v>415.79999999999995</v>
      </c>
      <c r="J2292" s="123">
        <v>900</v>
      </c>
    </row>
    <row r="2293" spans="1:23" x14ac:dyDescent="0.25">
      <c r="A2293" s="31" t="s">
        <v>482</v>
      </c>
      <c r="B2293" s="37" t="s">
        <v>323</v>
      </c>
      <c r="C2293" s="34" t="s">
        <v>86</v>
      </c>
      <c r="D2293" s="108">
        <v>0</v>
      </c>
      <c r="E2293" s="34" t="s">
        <v>79</v>
      </c>
      <c r="F2293" s="110">
        <v>9.3000000000000007</v>
      </c>
      <c r="G2293" s="36">
        <f t="shared" si="526"/>
        <v>58.59</v>
      </c>
      <c r="H2293" s="37">
        <v>11</v>
      </c>
      <c r="I2293" s="109">
        <f t="shared" si="527"/>
        <v>644.49</v>
      </c>
      <c r="J2293" s="123">
        <v>1400</v>
      </c>
    </row>
    <row r="2294" spans="1:23" x14ac:dyDescent="0.25">
      <c r="A2294" s="31" t="s">
        <v>482</v>
      </c>
      <c r="B2294" s="50" t="s">
        <v>324</v>
      </c>
      <c r="C2294" s="34" t="s">
        <v>443</v>
      </c>
      <c r="D2294" s="108" t="s">
        <v>38</v>
      </c>
      <c r="E2294" s="34" t="s">
        <v>79</v>
      </c>
      <c r="F2294" s="36">
        <v>3.3</v>
      </c>
      <c r="G2294" s="36">
        <f t="shared" si="526"/>
        <v>20.79</v>
      </c>
      <c r="H2294" s="37">
        <v>24</v>
      </c>
      <c r="I2294" s="109">
        <f t="shared" si="527"/>
        <v>498.96</v>
      </c>
      <c r="J2294" s="123">
        <v>500</v>
      </c>
    </row>
    <row r="2295" spans="1:23" x14ac:dyDescent="0.25">
      <c r="A2295" s="31" t="s">
        <v>482</v>
      </c>
      <c r="B2295" s="75" t="s">
        <v>317</v>
      </c>
      <c r="C2295" s="111" t="s">
        <v>156</v>
      </c>
      <c r="D2295" s="111">
        <v>35</v>
      </c>
      <c r="E2295" s="42" t="s">
        <v>79</v>
      </c>
      <c r="F2295" s="74">
        <v>8</v>
      </c>
      <c r="G2295" s="36">
        <f t="shared" si="526"/>
        <v>50.4</v>
      </c>
      <c r="H2295" s="37">
        <v>24</v>
      </c>
      <c r="I2295" s="109">
        <f t="shared" si="527"/>
        <v>1209.5999999999999</v>
      </c>
      <c r="J2295" s="123">
        <v>1600</v>
      </c>
    </row>
    <row r="2296" spans="1:23" x14ac:dyDescent="0.25">
      <c r="A2296" s="31" t="s">
        <v>482</v>
      </c>
      <c r="B2296" s="37" t="s">
        <v>325</v>
      </c>
      <c r="C2296" s="34" t="s">
        <v>158</v>
      </c>
      <c r="D2296" s="46">
        <v>7.53</v>
      </c>
      <c r="E2296" s="34" t="s">
        <v>79</v>
      </c>
      <c r="F2296" s="74">
        <v>4.22</v>
      </c>
      <c r="G2296" s="36">
        <f t="shared" si="526"/>
        <v>26.585999999999999</v>
      </c>
      <c r="H2296" s="37">
        <v>24</v>
      </c>
      <c r="I2296" s="109">
        <f t="shared" si="527"/>
        <v>638.06399999999996</v>
      </c>
      <c r="J2296" s="123">
        <v>1000</v>
      </c>
    </row>
    <row r="2297" spans="1:23" ht="15.75" thickBot="1" x14ac:dyDescent="0.3">
      <c r="A2297" s="31" t="s">
        <v>482</v>
      </c>
      <c r="B2297" s="43" t="s">
        <v>326</v>
      </c>
      <c r="C2297" s="52" t="s">
        <v>152</v>
      </c>
      <c r="D2297" s="72">
        <v>0</v>
      </c>
      <c r="E2297" s="42" t="s">
        <v>79</v>
      </c>
      <c r="F2297" s="73">
        <v>5.8</v>
      </c>
      <c r="G2297" s="74">
        <f t="shared" si="526"/>
        <v>36.54</v>
      </c>
      <c r="H2297" s="43">
        <v>24</v>
      </c>
      <c r="I2297" s="328">
        <f t="shared" si="527"/>
        <v>876.96</v>
      </c>
      <c r="J2297" s="124">
        <v>1300</v>
      </c>
    </row>
    <row r="2298" spans="1:23" ht="19.5" thickBot="1" x14ac:dyDescent="0.35">
      <c r="A2298" s="206"/>
      <c r="B2298" s="336"/>
      <c r="C2298" s="336"/>
      <c r="D2298" s="336"/>
      <c r="E2298" s="336"/>
      <c r="F2298" s="336"/>
      <c r="G2298" s="337"/>
      <c r="H2298" s="174" t="s">
        <v>171</v>
      </c>
      <c r="I2298" s="238">
        <f>SUM(I2292:I2297)</f>
        <v>4283.8739999999998</v>
      </c>
      <c r="J2298" s="104">
        <f>SUM(J2292:J2297)</f>
        <v>6700</v>
      </c>
      <c r="K2298" s="637" t="s">
        <v>483</v>
      </c>
      <c r="L2298" s="638"/>
      <c r="M2298" s="638"/>
      <c r="N2298" s="638"/>
      <c r="O2298" s="638"/>
      <c r="P2298" s="638"/>
      <c r="Q2298" s="638"/>
      <c r="R2298" s="638"/>
      <c r="S2298" s="638"/>
      <c r="T2298" s="638"/>
      <c r="U2298" s="638"/>
      <c r="V2298" s="638"/>
      <c r="W2298" s="639"/>
    </row>
    <row r="2299" spans="1:23" x14ac:dyDescent="0.25">
      <c r="A2299" s="31" t="s">
        <v>485</v>
      </c>
      <c r="B2299" s="37" t="s">
        <v>322</v>
      </c>
      <c r="C2299" s="34" t="s">
        <v>114</v>
      </c>
      <c r="D2299" s="108">
        <v>20</v>
      </c>
      <c r="E2299" s="34" t="s">
        <v>79</v>
      </c>
      <c r="F2299" s="109">
        <v>6.2</v>
      </c>
      <c r="G2299" s="36">
        <f t="shared" ref="G2299:G2304" si="528">F2299*6.3</f>
        <v>39.06</v>
      </c>
      <c r="H2299" s="37">
        <v>23</v>
      </c>
      <c r="I2299" s="109">
        <f t="shared" ref="I2299:I2304" si="529">G2299*H2299</f>
        <v>898.38000000000011</v>
      </c>
      <c r="J2299" s="123">
        <v>900</v>
      </c>
    </row>
    <row r="2300" spans="1:23" x14ac:dyDescent="0.25">
      <c r="A2300" s="31" t="s">
        <v>485</v>
      </c>
      <c r="B2300" s="37" t="s">
        <v>323</v>
      </c>
      <c r="C2300" s="34" t="s">
        <v>86</v>
      </c>
      <c r="D2300" s="108">
        <v>10</v>
      </c>
      <c r="E2300" s="34" t="s">
        <v>79</v>
      </c>
      <c r="F2300" s="110">
        <v>9.5</v>
      </c>
      <c r="G2300" s="36">
        <f t="shared" si="528"/>
        <v>59.85</v>
      </c>
      <c r="H2300" s="37">
        <v>23</v>
      </c>
      <c r="I2300" s="109">
        <f t="shared" si="529"/>
        <v>1376.55</v>
      </c>
      <c r="J2300" s="123">
        <v>1400</v>
      </c>
    </row>
    <row r="2301" spans="1:23" x14ac:dyDescent="0.25">
      <c r="A2301" s="31" t="s">
        <v>485</v>
      </c>
      <c r="B2301" s="50" t="s">
        <v>324</v>
      </c>
      <c r="C2301" s="34" t="s">
        <v>443</v>
      </c>
      <c r="D2301" s="108" t="s">
        <v>38</v>
      </c>
      <c r="E2301" s="34" t="s">
        <v>79</v>
      </c>
      <c r="F2301" s="36">
        <v>3.3</v>
      </c>
      <c r="G2301" s="36">
        <f t="shared" si="528"/>
        <v>20.79</v>
      </c>
      <c r="H2301" s="37">
        <v>24</v>
      </c>
      <c r="I2301" s="109">
        <f t="shared" si="529"/>
        <v>498.96</v>
      </c>
      <c r="J2301" s="123">
        <v>500</v>
      </c>
    </row>
    <row r="2302" spans="1:23" x14ac:dyDescent="0.25">
      <c r="A2302" s="31" t="s">
        <v>485</v>
      </c>
      <c r="B2302" s="75" t="s">
        <v>317</v>
      </c>
      <c r="C2302" s="111" t="s">
        <v>156</v>
      </c>
      <c r="D2302" s="111">
        <v>55</v>
      </c>
      <c r="E2302" s="42" t="s">
        <v>79</v>
      </c>
      <c r="F2302" s="74">
        <v>10.4</v>
      </c>
      <c r="G2302" s="36">
        <f t="shared" si="528"/>
        <v>65.52</v>
      </c>
      <c r="H2302" s="37">
        <v>24</v>
      </c>
      <c r="I2302" s="109">
        <f t="shared" si="529"/>
        <v>1572.48</v>
      </c>
      <c r="J2302" s="123">
        <v>1600</v>
      </c>
    </row>
    <row r="2303" spans="1:23" x14ac:dyDescent="0.25">
      <c r="A2303" s="31" t="s">
        <v>485</v>
      </c>
      <c r="B2303" s="37" t="s">
        <v>325</v>
      </c>
      <c r="C2303" s="34" t="s">
        <v>158</v>
      </c>
      <c r="D2303" s="46">
        <v>30</v>
      </c>
      <c r="E2303" s="34" t="s">
        <v>79</v>
      </c>
      <c r="F2303" s="74">
        <v>6.5</v>
      </c>
      <c r="G2303" s="36">
        <f t="shared" si="528"/>
        <v>40.949999999999996</v>
      </c>
      <c r="H2303" s="37">
        <v>24</v>
      </c>
      <c r="I2303" s="109">
        <f t="shared" si="529"/>
        <v>982.8</v>
      </c>
      <c r="J2303" s="123">
        <v>1000</v>
      </c>
    </row>
    <row r="2304" spans="1:23" ht="15.75" thickBot="1" x14ac:dyDescent="0.3">
      <c r="A2304" s="31" t="s">
        <v>485</v>
      </c>
      <c r="B2304" s="43" t="s">
        <v>326</v>
      </c>
      <c r="C2304" s="52" t="s">
        <v>152</v>
      </c>
      <c r="D2304" s="72">
        <v>0.5</v>
      </c>
      <c r="E2304" s="42" t="s">
        <v>79</v>
      </c>
      <c r="F2304" s="73">
        <v>8.1999999999999993</v>
      </c>
      <c r="G2304" s="74">
        <f t="shared" si="528"/>
        <v>51.66</v>
      </c>
      <c r="H2304" s="43">
        <v>24</v>
      </c>
      <c r="I2304" s="328">
        <f t="shared" si="529"/>
        <v>1239.8399999999999</v>
      </c>
      <c r="J2304" s="124">
        <v>1300</v>
      </c>
    </row>
    <row r="2305" spans="1:11" ht="19.5" thickBot="1" x14ac:dyDescent="0.35">
      <c r="A2305" s="206"/>
      <c r="B2305" s="336"/>
      <c r="C2305" s="336"/>
      <c r="D2305" s="336"/>
      <c r="E2305" s="336"/>
      <c r="F2305" s="336"/>
      <c r="G2305" s="337"/>
      <c r="H2305" s="174" t="s">
        <v>171</v>
      </c>
      <c r="I2305" s="238">
        <f>SUM(I2299:I2304)</f>
        <v>6569.0100000000011</v>
      </c>
      <c r="J2305" s="104">
        <f>SUM(J2299:J2304)</f>
        <v>6700</v>
      </c>
      <c r="K2305" s="325" t="s">
        <v>484</v>
      </c>
    </row>
    <row r="2306" spans="1:11" x14ac:dyDescent="0.25">
      <c r="A2306" s="31" t="s">
        <v>486</v>
      </c>
      <c r="B2306" s="37" t="s">
        <v>322</v>
      </c>
      <c r="C2306" s="34" t="s">
        <v>114</v>
      </c>
      <c r="D2306" s="108">
        <v>22</v>
      </c>
      <c r="E2306" s="34" t="s">
        <v>79</v>
      </c>
      <c r="F2306" s="109">
        <v>6</v>
      </c>
      <c r="G2306" s="36">
        <f t="shared" ref="G2306:G2311" si="530">F2306*6.3</f>
        <v>37.799999999999997</v>
      </c>
      <c r="H2306" s="37">
        <v>24</v>
      </c>
      <c r="I2306" s="109">
        <f t="shared" ref="I2306:I2311" si="531">G2306*H2306</f>
        <v>907.19999999999993</v>
      </c>
      <c r="J2306" s="123">
        <v>900</v>
      </c>
    </row>
    <row r="2307" spans="1:11" x14ac:dyDescent="0.25">
      <c r="A2307" s="31" t="s">
        <v>486</v>
      </c>
      <c r="B2307" s="37" t="s">
        <v>323</v>
      </c>
      <c r="C2307" s="34" t="s">
        <v>86</v>
      </c>
      <c r="D2307" s="108">
        <v>11</v>
      </c>
      <c r="E2307" s="34" t="s">
        <v>79</v>
      </c>
      <c r="F2307" s="110">
        <v>9.1999999999999993</v>
      </c>
      <c r="G2307" s="36">
        <f t="shared" si="530"/>
        <v>57.959999999999994</v>
      </c>
      <c r="H2307" s="37">
        <v>24</v>
      </c>
      <c r="I2307" s="109">
        <f t="shared" si="531"/>
        <v>1391.04</v>
      </c>
      <c r="J2307" s="123">
        <v>1400</v>
      </c>
    </row>
    <row r="2308" spans="1:11" x14ac:dyDescent="0.25">
      <c r="A2308" s="31" t="s">
        <v>486</v>
      </c>
      <c r="B2308" s="50" t="s">
        <v>324</v>
      </c>
      <c r="C2308" s="34" t="s">
        <v>443</v>
      </c>
      <c r="D2308" s="108" t="s">
        <v>38</v>
      </c>
      <c r="E2308" s="34" t="s">
        <v>79</v>
      </c>
      <c r="F2308" s="36">
        <v>3.4</v>
      </c>
      <c r="G2308" s="36">
        <f t="shared" si="530"/>
        <v>21.419999999999998</v>
      </c>
      <c r="H2308" s="37">
        <v>24</v>
      </c>
      <c r="I2308" s="109">
        <f t="shared" si="531"/>
        <v>514.07999999999993</v>
      </c>
      <c r="J2308" s="123">
        <v>500</v>
      </c>
    </row>
    <row r="2309" spans="1:11" x14ac:dyDescent="0.25">
      <c r="A2309" s="31" t="s">
        <v>486</v>
      </c>
      <c r="B2309" s="75" t="s">
        <v>317</v>
      </c>
      <c r="C2309" s="111" t="s">
        <v>156</v>
      </c>
      <c r="D2309" s="111">
        <v>59</v>
      </c>
      <c r="E2309" s="42" t="s">
        <v>79</v>
      </c>
      <c r="F2309" s="74">
        <v>10.45</v>
      </c>
      <c r="G2309" s="36">
        <f t="shared" si="530"/>
        <v>65.834999999999994</v>
      </c>
      <c r="H2309" s="37">
        <v>24</v>
      </c>
      <c r="I2309" s="109">
        <f t="shared" si="531"/>
        <v>1580.04</v>
      </c>
      <c r="J2309" s="123">
        <v>1600</v>
      </c>
    </row>
    <row r="2310" spans="1:11" x14ac:dyDescent="0.25">
      <c r="A2310" s="31" t="s">
        <v>486</v>
      </c>
      <c r="B2310" s="37" t="s">
        <v>325</v>
      </c>
      <c r="C2310" s="34" t="s">
        <v>158</v>
      </c>
      <c r="D2310" s="46">
        <v>32</v>
      </c>
      <c r="E2310" s="34" t="s">
        <v>79</v>
      </c>
      <c r="F2310" s="74">
        <v>6.58</v>
      </c>
      <c r="G2310" s="36">
        <f t="shared" si="530"/>
        <v>41.454000000000001</v>
      </c>
      <c r="H2310" s="37">
        <v>24</v>
      </c>
      <c r="I2310" s="109">
        <f t="shared" si="531"/>
        <v>994.89599999999996</v>
      </c>
      <c r="J2310" s="123">
        <v>1000</v>
      </c>
    </row>
    <row r="2311" spans="1:11" ht="15.75" thickBot="1" x14ac:dyDescent="0.3">
      <c r="A2311" s="31" t="s">
        <v>486</v>
      </c>
      <c r="B2311" s="43" t="s">
        <v>326</v>
      </c>
      <c r="C2311" s="52" t="s">
        <v>152</v>
      </c>
      <c r="D2311" s="72">
        <v>1.2</v>
      </c>
      <c r="E2311" s="42" t="s">
        <v>79</v>
      </c>
      <c r="F2311" s="73">
        <v>8.4</v>
      </c>
      <c r="G2311" s="74">
        <f t="shared" si="530"/>
        <v>52.92</v>
      </c>
      <c r="H2311" s="43">
        <v>24</v>
      </c>
      <c r="I2311" s="328">
        <f t="shared" si="531"/>
        <v>1270.08</v>
      </c>
      <c r="J2311" s="124">
        <v>1300</v>
      </c>
    </row>
    <row r="2312" spans="1:11" ht="19.5" thickBot="1" x14ac:dyDescent="0.35">
      <c r="A2312" s="206"/>
      <c r="B2312" s="336"/>
      <c r="C2312" s="336"/>
      <c r="D2312" s="336"/>
      <c r="E2312" s="336"/>
      <c r="F2312" s="336"/>
      <c r="G2312" s="337"/>
      <c r="H2312" s="174" t="s">
        <v>171</v>
      </c>
      <c r="I2312" s="238">
        <f>SUM(I2306:I2311)</f>
        <v>6657.3359999999993</v>
      </c>
      <c r="J2312" s="104">
        <f>SUM(J2306:J2311)</f>
        <v>6700</v>
      </c>
    </row>
    <row r="2313" spans="1:11" x14ac:dyDescent="0.25">
      <c r="A2313" s="31" t="s">
        <v>487</v>
      </c>
      <c r="B2313" s="37" t="s">
        <v>322</v>
      </c>
      <c r="C2313" s="34" t="s">
        <v>114</v>
      </c>
      <c r="D2313" s="108">
        <v>23</v>
      </c>
      <c r="E2313" s="34" t="s">
        <v>79</v>
      </c>
      <c r="F2313" s="109">
        <v>6.8</v>
      </c>
      <c r="G2313" s="36">
        <f t="shared" ref="G2313:G2318" si="532">F2313*6.3</f>
        <v>42.839999999999996</v>
      </c>
      <c r="H2313" s="37">
        <v>24</v>
      </c>
      <c r="I2313" s="109">
        <f t="shared" ref="I2313:I2318" si="533">G2313*H2313</f>
        <v>1028.1599999999999</v>
      </c>
      <c r="J2313" s="123">
        <v>900</v>
      </c>
    </row>
    <row r="2314" spans="1:11" x14ac:dyDescent="0.25">
      <c r="A2314" s="31" t="s">
        <v>487</v>
      </c>
      <c r="B2314" s="37" t="s">
        <v>323</v>
      </c>
      <c r="C2314" s="34" t="s">
        <v>86</v>
      </c>
      <c r="D2314" s="108">
        <v>11</v>
      </c>
      <c r="E2314" s="34" t="s">
        <v>79</v>
      </c>
      <c r="F2314" s="110">
        <v>9.7799999999999994</v>
      </c>
      <c r="G2314" s="36">
        <f t="shared" si="532"/>
        <v>61.613999999999997</v>
      </c>
      <c r="H2314" s="37">
        <v>24</v>
      </c>
      <c r="I2314" s="109">
        <f t="shared" si="533"/>
        <v>1478.7359999999999</v>
      </c>
      <c r="J2314" s="123">
        <v>1400</v>
      </c>
    </row>
    <row r="2315" spans="1:11" x14ac:dyDescent="0.25">
      <c r="A2315" s="31" t="s">
        <v>487</v>
      </c>
      <c r="B2315" s="50" t="s">
        <v>324</v>
      </c>
      <c r="C2315" s="34" t="s">
        <v>443</v>
      </c>
      <c r="D2315" s="108" t="s">
        <v>38</v>
      </c>
      <c r="E2315" s="34" t="s">
        <v>79</v>
      </c>
      <c r="F2315" s="36">
        <v>3.8</v>
      </c>
      <c r="G2315" s="36">
        <f t="shared" si="532"/>
        <v>23.939999999999998</v>
      </c>
      <c r="H2315" s="37">
        <v>24</v>
      </c>
      <c r="I2315" s="109">
        <f t="shared" si="533"/>
        <v>574.55999999999995</v>
      </c>
      <c r="J2315" s="123">
        <v>500</v>
      </c>
    </row>
    <row r="2316" spans="1:11" x14ac:dyDescent="0.25">
      <c r="A2316" s="31" t="s">
        <v>487</v>
      </c>
      <c r="B2316" s="75" t="s">
        <v>317</v>
      </c>
      <c r="C2316" s="111" t="s">
        <v>156</v>
      </c>
      <c r="D2316" s="111">
        <v>61</v>
      </c>
      <c r="E2316" s="42" t="s">
        <v>79</v>
      </c>
      <c r="F2316" s="74">
        <v>10.9</v>
      </c>
      <c r="G2316" s="36">
        <f t="shared" si="532"/>
        <v>68.67</v>
      </c>
      <c r="H2316" s="37">
        <v>24</v>
      </c>
      <c r="I2316" s="109">
        <f t="shared" si="533"/>
        <v>1648.08</v>
      </c>
      <c r="J2316" s="123">
        <v>1600</v>
      </c>
    </row>
    <row r="2317" spans="1:11" x14ac:dyDescent="0.25">
      <c r="A2317" s="31" t="s">
        <v>487</v>
      </c>
      <c r="B2317" s="37" t="s">
        <v>325</v>
      </c>
      <c r="C2317" s="34" t="s">
        <v>158</v>
      </c>
      <c r="D2317" s="46">
        <v>32</v>
      </c>
      <c r="E2317" s="34" t="s">
        <v>79</v>
      </c>
      <c r="F2317" s="74">
        <v>6.8</v>
      </c>
      <c r="G2317" s="36">
        <f t="shared" si="532"/>
        <v>42.839999999999996</v>
      </c>
      <c r="H2317" s="37">
        <v>24</v>
      </c>
      <c r="I2317" s="109">
        <f t="shared" si="533"/>
        <v>1028.1599999999999</v>
      </c>
      <c r="J2317" s="123">
        <v>1000</v>
      </c>
    </row>
    <row r="2318" spans="1:11" ht="15.75" thickBot="1" x14ac:dyDescent="0.3">
      <c r="A2318" s="31" t="s">
        <v>487</v>
      </c>
      <c r="B2318" s="43" t="s">
        <v>326</v>
      </c>
      <c r="C2318" s="52" t="s">
        <v>152</v>
      </c>
      <c r="D2318" s="72">
        <v>1.4</v>
      </c>
      <c r="E2318" s="42" t="s">
        <v>79</v>
      </c>
      <c r="F2318" s="73">
        <v>9.1</v>
      </c>
      <c r="G2318" s="74">
        <f t="shared" si="532"/>
        <v>57.33</v>
      </c>
      <c r="H2318" s="43">
        <v>24</v>
      </c>
      <c r="I2318" s="328">
        <f t="shared" si="533"/>
        <v>1375.92</v>
      </c>
      <c r="J2318" s="124">
        <v>1300</v>
      </c>
    </row>
    <row r="2319" spans="1:11" ht="19.5" thickBot="1" x14ac:dyDescent="0.35">
      <c r="A2319" s="206"/>
      <c r="B2319" s="336"/>
      <c r="C2319" s="336"/>
      <c r="D2319" s="336"/>
      <c r="E2319" s="336"/>
      <c r="F2319" s="336"/>
      <c r="G2319" s="337"/>
      <c r="H2319" s="174" t="s">
        <v>171</v>
      </c>
      <c r="I2319" s="238">
        <f>SUM(I2313:I2318)</f>
        <v>7133.616</v>
      </c>
      <c r="J2319" s="104">
        <f>SUM(J2313:J2318)</f>
        <v>6700</v>
      </c>
    </row>
    <row r="2320" spans="1:11" x14ac:dyDescent="0.25">
      <c r="A2320" s="31" t="s">
        <v>488</v>
      </c>
      <c r="B2320" s="37" t="s">
        <v>322</v>
      </c>
      <c r="C2320" s="34" t="s">
        <v>114</v>
      </c>
      <c r="D2320" s="108">
        <v>19.72</v>
      </c>
      <c r="E2320" s="34" t="s">
        <v>79</v>
      </c>
      <c r="F2320" s="109">
        <v>6.4</v>
      </c>
      <c r="G2320" s="36">
        <f t="shared" ref="G2320:G2325" si="534">F2320*6.3</f>
        <v>40.32</v>
      </c>
      <c r="H2320" s="37">
        <v>24</v>
      </c>
      <c r="I2320" s="109">
        <f t="shared" ref="I2320:I2325" si="535">G2320*H2320</f>
        <v>967.68000000000006</v>
      </c>
      <c r="J2320" s="123">
        <v>900</v>
      </c>
    </row>
    <row r="2321" spans="1:10" x14ac:dyDescent="0.25">
      <c r="A2321" s="31" t="s">
        <v>488</v>
      </c>
      <c r="B2321" s="37" t="s">
        <v>323</v>
      </c>
      <c r="C2321" s="34" t="s">
        <v>86</v>
      </c>
      <c r="D2321" s="108">
        <v>10.75</v>
      </c>
      <c r="E2321" s="34" t="s">
        <v>79</v>
      </c>
      <c r="F2321" s="110">
        <v>9.49</v>
      </c>
      <c r="G2321" s="36">
        <f t="shared" si="534"/>
        <v>59.786999999999999</v>
      </c>
      <c r="H2321" s="37">
        <v>24</v>
      </c>
      <c r="I2321" s="109">
        <f t="shared" si="535"/>
        <v>1434.8879999999999</v>
      </c>
      <c r="J2321" s="123">
        <v>1400</v>
      </c>
    </row>
    <row r="2322" spans="1:10" x14ac:dyDescent="0.25">
      <c r="A2322" s="31" t="s">
        <v>488</v>
      </c>
      <c r="B2322" s="50" t="s">
        <v>324</v>
      </c>
      <c r="C2322" s="34" t="s">
        <v>443</v>
      </c>
      <c r="D2322" s="108" t="s">
        <v>38</v>
      </c>
      <c r="E2322" s="34" t="s">
        <v>79</v>
      </c>
      <c r="F2322" s="36">
        <v>3.8</v>
      </c>
      <c r="G2322" s="36">
        <f t="shared" si="534"/>
        <v>23.939999999999998</v>
      </c>
      <c r="H2322" s="37">
        <v>24</v>
      </c>
      <c r="I2322" s="109">
        <f t="shared" si="535"/>
        <v>574.55999999999995</v>
      </c>
      <c r="J2322" s="123">
        <v>500</v>
      </c>
    </row>
    <row r="2323" spans="1:10" x14ac:dyDescent="0.25">
      <c r="A2323" s="31" t="s">
        <v>488</v>
      </c>
      <c r="B2323" s="75" t="s">
        <v>317</v>
      </c>
      <c r="C2323" s="111" t="s">
        <v>156</v>
      </c>
      <c r="D2323" s="111">
        <v>55.58</v>
      </c>
      <c r="E2323" s="42" t="s">
        <v>79</v>
      </c>
      <c r="F2323" s="74">
        <v>10.9</v>
      </c>
      <c r="G2323" s="36">
        <f t="shared" si="534"/>
        <v>68.67</v>
      </c>
      <c r="H2323" s="37">
        <v>24</v>
      </c>
      <c r="I2323" s="109">
        <f t="shared" si="535"/>
        <v>1648.08</v>
      </c>
      <c r="J2323" s="123">
        <v>1600</v>
      </c>
    </row>
    <row r="2324" spans="1:10" x14ac:dyDescent="0.25">
      <c r="A2324" s="31" t="s">
        <v>488</v>
      </c>
      <c r="B2324" s="37" t="s">
        <v>325</v>
      </c>
      <c r="C2324" s="34" t="s">
        <v>158</v>
      </c>
      <c r="D2324" s="46">
        <v>32.549999999999997</v>
      </c>
      <c r="E2324" s="34" t="s">
        <v>79</v>
      </c>
      <c r="F2324" s="74">
        <v>6.9</v>
      </c>
      <c r="G2324" s="36">
        <f t="shared" si="534"/>
        <v>43.47</v>
      </c>
      <c r="H2324" s="37">
        <v>24</v>
      </c>
      <c r="I2324" s="109">
        <f t="shared" si="535"/>
        <v>1043.28</v>
      </c>
      <c r="J2324" s="123">
        <v>1000</v>
      </c>
    </row>
    <row r="2325" spans="1:10" ht="15.75" thickBot="1" x14ac:dyDescent="0.3">
      <c r="A2325" s="31" t="s">
        <v>488</v>
      </c>
      <c r="B2325" s="43" t="s">
        <v>326</v>
      </c>
      <c r="C2325" s="52" t="s">
        <v>152</v>
      </c>
      <c r="D2325" s="72">
        <v>1.5</v>
      </c>
      <c r="E2325" s="42" t="s">
        <v>79</v>
      </c>
      <c r="F2325" s="73">
        <v>9.32</v>
      </c>
      <c r="G2325" s="74">
        <f t="shared" si="534"/>
        <v>58.716000000000001</v>
      </c>
      <c r="H2325" s="43">
        <v>24</v>
      </c>
      <c r="I2325" s="328">
        <f t="shared" si="535"/>
        <v>1409.184</v>
      </c>
      <c r="J2325" s="124">
        <v>1300</v>
      </c>
    </row>
    <row r="2326" spans="1:10" ht="18.75" x14ac:dyDescent="0.3">
      <c r="A2326" s="251"/>
      <c r="B2326" s="393"/>
      <c r="C2326" s="394"/>
      <c r="D2326" s="394"/>
      <c r="E2326" s="394"/>
      <c r="F2326" s="394"/>
      <c r="G2326" s="395"/>
      <c r="H2326" s="178" t="s">
        <v>171</v>
      </c>
      <c r="I2326" s="396">
        <f>SUM(I2320:I2325)</f>
        <v>7077.6720000000005</v>
      </c>
      <c r="J2326" s="180">
        <f>SUM(J2320:J2325)</f>
        <v>6700</v>
      </c>
    </row>
    <row r="2327" spans="1:10" x14ac:dyDescent="0.25">
      <c r="A2327" s="46" t="s">
        <v>490</v>
      </c>
      <c r="B2327" s="46" t="s">
        <v>322</v>
      </c>
      <c r="C2327" s="46" t="s">
        <v>114</v>
      </c>
      <c r="D2327" s="46">
        <v>18.55</v>
      </c>
      <c r="E2327" s="46" t="s">
        <v>79</v>
      </c>
      <c r="F2327" s="46">
        <v>6.25</v>
      </c>
      <c r="G2327" s="46">
        <v>39.380000000000003</v>
      </c>
      <c r="H2327" s="46">
        <v>24</v>
      </c>
      <c r="I2327" s="46">
        <v>945</v>
      </c>
      <c r="J2327" s="46">
        <v>900</v>
      </c>
    </row>
    <row r="2328" spans="1:10" x14ac:dyDescent="0.25">
      <c r="A2328" s="46" t="s">
        <v>490</v>
      </c>
      <c r="B2328" s="46" t="s">
        <v>323</v>
      </c>
      <c r="C2328" s="46" t="s">
        <v>86</v>
      </c>
      <c r="D2328" s="46">
        <v>11.12</v>
      </c>
      <c r="E2328" s="46" t="s">
        <v>79</v>
      </c>
      <c r="F2328" s="46">
        <v>9.36</v>
      </c>
      <c r="G2328" s="46">
        <v>58.97</v>
      </c>
      <c r="H2328" s="46">
        <v>24</v>
      </c>
      <c r="I2328" s="46">
        <v>1415.23</v>
      </c>
      <c r="J2328" s="46">
        <v>1400</v>
      </c>
    </row>
    <row r="2329" spans="1:10" x14ac:dyDescent="0.25">
      <c r="A2329" s="46" t="s">
        <v>490</v>
      </c>
      <c r="B2329" s="46" t="s">
        <v>324</v>
      </c>
      <c r="C2329" s="46" t="s">
        <v>443</v>
      </c>
      <c r="D2329" s="46" t="s">
        <v>38</v>
      </c>
      <c r="E2329" s="46" t="s">
        <v>79</v>
      </c>
      <c r="F2329" s="46">
        <v>3.75</v>
      </c>
      <c r="G2329" s="46">
        <v>23.63</v>
      </c>
      <c r="H2329" s="46">
        <v>24</v>
      </c>
      <c r="I2329" s="46">
        <v>567</v>
      </c>
      <c r="J2329" s="46">
        <v>500</v>
      </c>
    </row>
    <row r="2330" spans="1:10" x14ac:dyDescent="0.25">
      <c r="A2330" s="46" t="s">
        <v>490</v>
      </c>
      <c r="B2330" s="46" t="s">
        <v>317</v>
      </c>
      <c r="C2330" s="46" t="s">
        <v>156</v>
      </c>
      <c r="D2330" s="46">
        <v>56.23</v>
      </c>
      <c r="E2330" s="46" t="s">
        <v>79</v>
      </c>
      <c r="F2330" s="46">
        <v>10.6</v>
      </c>
      <c r="G2330" s="46">
        <v>66.78</v>
      </c>
      <c r="H2330" s="46">
        <v>24</v>
      </c>
      <c r="I2330" s="46">
        <v>1602.72</v>
      </c>
      <c r="J2330" s="46">
        <v>1600</v>
      </c>
    </row>
    <row r="2331" spans="1:10" x14ac:dyDescent="0.25">
      <c r="A2331" s="46" t="s">
        <v>490</v>
      </c>
      <c r="B2331" s="46" t="s">
        <v>325</v>
      </c>
      <c r="C2331" s="46" t="s">
        <v>158</v>
      </c>
      <c r="D2331" s="46">
        <v>32.79</v>
      </c>
      <c r="E2331" s="46" t="s">
        <v>79</v>
      </c>
      <c r="F2331" s="46">
        <v>6.92</v>
      </c>
      <c r="G2331" s="46">
        <v>43.6</v>
      </c>
      <c r="H2331" s="46">
        <v>24</v>
      </c>
      <c r="I2331" s="46">
        <v>1046.3</v>
      </c>
      <c r="J2331" s="46">
        <v>1000</v>
      </c>
    </row>
    <row r="2332" spans="1:10" ht="15.75" thickBot="1" x14ac:dyDescent="0.3">
      <c r="A2332" s="52" t="s">
        <v>490</v>
      </c>
      <c r="B2332" s="52" t="s">
        <v>326</v>
      </c>
      <c r="C2332" s="52" t="s">
        <v>152</v>
      </c>
      <c r="D2332" s="52">
        <v>1.25</v>
      </c>
      <c r="E2332" s="52" t="s">
        <v>79</v>
      </c>
      <c r="F2332" s="52">
        <v>9.02</v>
      </c>
      <c r="G2332" s="52">
        <v>56.83</v>
      </c>
      <c r="H2332" s="52">
        <v>24</v>
      </c>
      <c r="I2332" s="52">
        <v>1363.82</v>
      </c>
      <c r="J2332" s="52">
        <v>1300</v>
      </c>
    </row>
    <row r="2333" spans="1:10" ht="19.5" thickBot="1" x14ac:dyDescent="0.35">
      <c r="A2333" s="206"/>
      <c r="B2333" s="100"/>
      <c r="C2333" s="100"/>
      <c r="D2333" s="221"/>
      <c r="E2333" s="221"/>
      <c r="F2333" s="100"/>
      <c r="G2333" s="100"/>
      <c r="H2333" s="392" t="s">
        <v>171</v>
      </c>
      <c r="I2333" s="100">
        <v>6940.08</v>
      </c>
      <c r="J2333" s="391">
        <v>6700</v>
      </c>
    </row>
    <row r="2334" spans="1:10" x14ac:dyDescent="0.25">
      <c r="A2334" s="31" t="s">
        <v>489</v>
      </c>
      <c r="B2334" s="151" t="s">
        <v>322</v>
      </c>
      <c r="C2334" s="50" t="s">
        <v>114</v>
      </c>
      <c r="D2334" s="152">
        <v>18.989999999999998</v>
      </c>
      <c r="E2334" s="50" t="s">
        <v>79</v>
      </c>
      <c r="F2334" s="153">
        <v>6.35</v>
      </c>
      <c r="G2334" s="51">
        <f t="shared" ref="G2334:G2339" si="536">F2334*6.3</f>
        <v>40.004999999999995</v>
      </c>
      <c r="H2334" s="151">
        <v>24</v>
      </c>
      <c r="I2334" s="153">
        <f t="shared" ref="I2334:I2339" si="537">G2334*H2334</f>
        <v>960.11999999999989</v>
      </c>
      <c r="J2334" s="154">
        <v>900</v>
      </c>
    </row>
    <row r="2335" spans="1:10" x14ac:dyDescent="0.25">
      <c r="A2335" s="31" t="s">
        <v>489</v>
      </c>
      <c r="B2335" s="37" t="s">
        <v>323</v>
      </c>
      <c r="C2335" s="34" t="s">
        <v>86</v>
      </c>
      <c r="D2335" s="108">
        <v>11.07</v>
      </c>
      <c r="E2335" s="34" t="s">
        <v>79</v>
      </c>
      <c r="F2335" s="110">
        <v>9.3699999999999992</v>
      </c>
      <c r="G2335" s="36">
        <f t="shared" si="536"/>
        <v>59.030999999999992</v>
      </c>
      <c r="H2335" s="37">
        <v>24</v>
      </c>
      <c r="I2335" s="109">
        <f t="shared" si="537"/>
        <v>1416.7439999999997</v>
      </c>
      <c r="J2335" s="123">
        <v>1400</v>
      </c>
    </row>
    <row r="2336" spans="1:10" x14ac:dyDescent="0.25">
      <c r="A2336" s="31" t="s">
        <v>489</v>
      </c>
      <c r="B2336" s="50" t="s">
        <v>324</v>
      </c>
      <c r="C2336" s="34" t="s">
        <v>443</v>
      </c>
      <c r="D2336" s="108" t="s">
        <v>38</v>
      </c>
      <c r="E2336" s="34" t="s">
        <v>79</v>
      </c>
      <c r="F2336" s="36">
        <v>3.79</v>
      </c>
      <c r="G2336" s="36">
        <f t="shared" si="536"/>
        <v>23.876999999999999</v>
      </c>
      <c r="H2336" s="37">
        <v>24</v>
      </c>
      <c r="I2336" s="109">
        <f t="shared" si="537"/>
        <v>573.048</v>
      </c>
      <c r="J2336" s="123">
        <v>500</v>
      </c>
    </row>
    <row r="2337" spans="1:10" x14ac:dyDescent="0.25">
      <c r="A2337" s="31" t="s">
        <v>489</v>
      </c>
      <c r="B2337" s="75" t="s">
        <v>317</v>
      </c>
      <c r="C2337" s="111" t="s">
        <v>156</v>
      </c>
      <c r="D2337" s="111">
        <v>57.41</v>
      </c>
      <c r="E2337" s="42" t="s">
        <v>79</v>
      </c>
      <c r="F2337" s="74">
        <v>10.89</v>
      </c>
      <c r="G2337" s="36">
        <f t="shared" si="536"/>
        <v>68.606999999999999</v>
      </c>
      <c r="H2337" s="37">
        <v>24</v>
      </c>
      <c r="I2337" s="109">
        <f t="shared" si="537"/>
        <v>1646.568</v>
      </c>
      <c r="J2337" s="123">
        <v>1600</v>
      </c>
    </row>
    <row r="2338" spans="1:10" x14ac:dyDescent="0.25">
      <c r="A2338" s="31" t="s">
        <v>489</v>
      </c>
      <c r="B2338" s="37" t="s">
        <v>325</v>
      </c>
      <c r="C2338" s="34" t="s">
        <v>158</v>
      </c>
      <c r="D2338" s="46">
        <v>32.61</v>
      </c>
      <c r="E2338" s="34" t="s">
        <v>79</v>
      </c>
      <c r="F2338" s="74">
        <v>6.93</v>
      </c>
      <c r="G2338" s="36">
        <f t="shared" si="536"/>
        <v>43.658999999999999</v>
      </c>
      <c r="H2338" s="37">
        <v>24</v>
      </c>
      <c r="I2338" s="109">
        <f t="shared" si="537"/>
        <v>1047.816</v>
      </c>
      <c r="J2338" s="123">
        <v>1000</v>
      </c>
    </row>
    <row r="2339" spans="1:10" ht="15.75" thickBot="1" x14ac:dyDescent="0.3">
      <c r="A2339" s="31" t="s">
        <v>489</v>
      </c>
      <c r="B2339" s="43" t="s">
        <v>326</v>
      </c>
      <c r="C2339" s="52" t="s">
        <v>152</v>
      </c>
      <c r="D2339" s="72">
        <v>1.6</v>
      </c>
      <c r="E2339" s="42" t="s">
        <v>79</v>
      </c>
      <c r="F2339" s="73">
        <v>9.35</v>
      </c>
      <c r="G2339" s="74">
        <f t="shared" si="536"/>
        <v>58.904999999999994</v>
      </c>
      <c r="H2339" s="43">
        <v>24</v>
      </c>
      <c r="I2339" s="328">
        <f t="shared" si="537"/>
        <v>1413.7199999999998</v>
      </c>
      <c r="J2339" s="124">
        <v>1300</v>
      </c>
    </row>
    <row r="2340" spans="1:10" ht="19.5" thickBot="1" x14ac:dyDescent="0.35">
      <c r="A2340" s="206"/>
      <c r="B2340" s="336"/>
      <c r="C2340" s="336"/>
      <c r="D2340" s="336"/>
      <c r="E2340" s="336"/>
      <c r="F2340" s="336"/>
      <c r="G2340" s="337"/>
      <c r="H2340" s="174" t="s">
        <v>171</v>
      </c>
      <c r="I2340" s="238">
        <f>SUM(I2334:I2339)</f>
        <v>7058.0159999999996</v>
      </c>
      <c r="J2340" s="104">
        <f>SUM(J2334:J2339)</f>
        <v>6700</v>
      </c>
    </row>
    <row r="2341" spans="1:10" x14ac:dyDescent="0.25">
      <c r="A2341" s="31" t="s">
        <v>491</v>
      </c>
      <c r="B2341" s="37" t="s">
        <v>322</v>
      </c>
      <c r="C2341" s="34" t="s">
        <v>114</v>
      </c>
      <c r="D2341" s="108">
        <v>16.829999999999998</v>
      </c>
      <c r="E2341" s="34" t="s">
        <v>79</v>
      </c>
      <c r="F2341" s="109">
        <v>6.37</v>
      </c>
      <c r="G2341" s="36">
        <f t="shared" ref="G2341:G2346" si="538">F2341*6.3</f>
        <v>40.131</v>
      </c>
      <c r="H2341" s="37">
        <v>24</v>
      </c>
      <c r="I2341" s="109">
        <f t="shared" ref="I2341:I2346" si="539">G2341*H2341</f>
        <v>963.14400000000001</v>
      </c>
      <c r="J2341" s="123">
        <v>900</v>
      </c>
    </row>
    <row r="2342" spans="1:10" x14ac:dyDescent="0.25">
      <c r="A2342" s="31" t="s">
        <v>491</v>
      </c>
      <c r="B2342" s="37" t="s">
        <v>323</v>
      </c>
      <c r="C2342" s="34" t="s">
        <v>86</v>
      </c>
      <c r="D2342" s="108">
        <v>10.82</v>
      </c>
      <c r="E2342" s="34" t="s">
        <v>79</v>
      </c>
      <c r="F2342" s="110">
        <v>9.34</v>
      </c>
      <c r="G2342" s="36">
        <f t="shared" si="538"/>
        <v>58.841999999999999</v>
      </c>
      <c r="H2342" s="37">
        <v>24</v>
      </c>
      <c r="I2342" s="109">
        <f t="shared" si="539"/>
        <v>1412.2080000000001</v>
      </c>
      <c r="J2342" s="123">
        <v>1400</v>
      </c>
    </row>
    <row r="2343" spans="1:10" x14ac:dyDescent="0.25">
      <c r="A2343" s="31" t="s">
        <v>491</v>
      </c>
      <c r="B2343" s="50" t="s">
        <v>324</v>
      </c>
      <c r="C2343" s="34" t="s">
        <v>443</v>
      </c>
      <c r="D2343" s="108" t="s">
        <v>38</v>
      </c>
      <c r="E2343" s="34" t="s">
        <v>79</v>
      </c>
      <c r="F2343" s="36">
        <v>3.86</v>
      </c>
      <c r="G2343" s="36">
        <f t="shared" si="538"/>
        <v>24.317999999999998</v>
      </c>
      <c r="H2343" s="37">
        <v>24</v>
      </c>
      <c r="I2343" s="109">
        <f t="shared" si="539"/>
        <v>583.63199999999995</v>
      </c>
      <c r="J2343" s="123">
        <v>500</v>
      </c>
    </row>
    <row r="2344" spans="1:10" x14ac:dyDescent="0.25">
      <c r="A2344" s="31" t="s">
        <v>491</v>
      </c>
      <c r="B2344" s="75" t="s">
        <v>317</v>
      </c>
      <c r="C2344" s="111" t="s">
        <v>156</v>
      </c>
      <c r="D2344" s="111">
        <v>58.14</v>
      </c>
      <c r="E2344" s="42" t="s">
        <v>79</v>
      </c>
      <c r="F2344" s="74">
        <v>10.75</v>
      </c>
      <c r="G2344" s="36">
        <f t="shared" si="538"/>
        <v>67.724999999999994</v>
      </c>
      <c r="H2344" s="37">
        <v>24</v>
      </c>
      <c r="I2344" s="109">
        <f t="shared" si="539"/>
        <v>1625.3999999999999</v>
      </c>
      <c r="J2344" s="123">
        <v>1600</v>
      </c>
    </row>
    <row r="2345" spans="1:10" x14ac:dyDescent="0.25">
      <c r="A2345" s="31" t="s">
        <v>491</v>
      </c>
      <c r="B2345" s="37" t="s">
        <v>325</v>
      </c>
      <c r="C2345" s="34" t="s">
        <v>158</v>
      </c>
      <c r="D2345" s="46">
        <v>31.93</v>
      </c>
      <c r="E2345" s="34" t="s">
        <v>79</v>
      </c>
      <c r="F2345" s="74">
        <v>6.91</v>
      </c>
      <c r="G2345" s="36">
        <f t="shared" si="538"/>
        <v>43.533000000000001</v>
      </c>
      <c r="H2345" s="37">
        <v>24</v>
      </c>
      <c r="I2345" s="109">
        <f t="shared" si="539"/>
        <v>1044.7919999999999</v>
      </c>
      <c r="J2345" s="123">
        <v>1000</v>
      </c>
    </row>
    <row r="2346" spans="1:10" ht="15.75" thickBot="1" x14ac:dyDescent="0.3">
      <c r="A2346" s="31" t="s">
        <v>491</v>
      </c>
      <c r="B2346" s="43" t="s">
        <v>326</v>
      </c>
      <c r="C2346" s="52" t="s">
        <v>152</v>
      </c>
      <c r="D2346" s="72">
        <v>1.56</v>
      </c>
      <c r="E2346" s="42" t="s">
        <v>79</v>
      </c>
      <c r="F2346" s="73">
        <v>9.3699999999999992</v>
      </c>
      <c r="G2346" s="74">
        <f t="shared" si="538"/>
        <v>59.030999999999992</v>
      </c>
      <c r="H2346" s="43">
        <v>24</v>
      </c>
      <c r="I2346" s="328">
        <f t="shared" si="539"/>
        <v>1416.7439999999997</v>
      </c>
      <c r="J2346" s="124">
        <v>1300</v>
      </c>
    </row>
    <row r="2347" spans="1:10" ht="19.5" thickBot="1" x14ac:dyDescent="0.35">
      <c r="A2347" s="206"/>
      <c r="B2347" s="336"/>
      <c r="C2347" s="336"/>
      <c r="D2347" s="336"/>
      <c r="E2347" s="336"/>
      <c r="F2347" s="336"/>
      <c r="G2347" s="337"/>
      <c r="H2347" s="174" t="s">
        <v>171</v>
      </c>
      <c r="I2347" s="238">
        <f>SUM(I2341:I2346)</f>
        <v>7045.9199999999992</v>
      </c>
      <c r="J2347" s="104">
        <f>SUM(J2341:J2346)</f>
        <v>6700</v>
      </c>
    </row>
    <row r="2348" spans="1:10" x14ac:dyDescent="0.25">
      <c r="A2348" s="31" t="s">
        <v>492</v>
      </c>
      <c r="B2348" s="37" t="s">
        <v>322</v>
      </c>
      <c r="C2348" s="34" t="s">
        <v>114</v>
      </c>
      <c r="D2348" s="108">
        <v>16.100000000000001</v>
      </c>
      <c r="E2348" s="34" t="s">
        <v>79</v>
      </c>
      <c r="F2348" s="109">
        <v>6.35</v>
      </c>
      <c r="G2348" s="36">
        <f t="shared" ref="G2348:G2353" si="540">F2348*6.3</f>
        <v>40.004999999999995</v>
      </c>
      <c r="H2348" s="37">
        <v>24</v>
      </c>
      <c r="I2348" s="109">
        <f t="shared" ref="I2348:I2353" si="541">G2348*H2348</f>
        <v>960.11999999999989</v>
      </c>
      <c r="J2348" s="123">
        <v>900</v>
      </c>
    </row>
    <row r="2349" spans="1:10" x14ac:dyDescent="0.25">
      <c r="A2349" s="31" t="s">
        <v>492</v>
      </c>
      <c r="B2349" s="37" t="s">
        <v>323</v>
      </c>
      <c r="C2349" s="34" t="s">
        <v>86</v>
      </c>
      <c r="D2349" s="108">
        <v>10.45</v>
      </c>
      <c r="E2349" s="34" t="s">
        <v>79</v>
      </c>
      <c r="F2349" s="110">
        <v>9.35</v>
      </c>
      <c r="G2349" s="36">
        <f t="shared" si="540"/>
        <v>58.904999999999994</v>
      </c>
      <c r="H2349" s="37">
        <v>24</v>
      </c>
      <c r="I2349" s="109">
        <f t="shared" si="541"/>
        <v>1413.7199999999998</v>
      </c>
      <c r="J2349" s="123">
        <v>1400</v>
      </c>
    </row>
    <row r="2350" spans="1:10" x14ac:dyDescent="0.25">
      <c r="A2350" s="31" t="s">
        <v>492</v>
      </c>
      <c r="B2350" s="50" t="s">
        <v>324</v>
      </c>
      <c r="C2350" s="34" t="s">
        <v>443</v>
      </c>
      <c r="D2350" s="108" t="s">
        <v>38</v>
      </c>
      <c r="E2350" s="34" t="s">
        <v>79</v>
      </c>
      <c r="F2350" s="36">
        <v>3.8</v>
      </c>
      <c r="G2350" s="36">
        <f t="shared" si="540"/>
        <v>23.939999999999998</v>
      </c>
      <c r="H2350" s="37">
        <v>24</v>
      </c>
      <c r="I2350" s="109">
        <f t="shared" si="541"/>
        <v>574.55999999999995</v>
      </c>
      <c r="J2350" s="123">
        <v>500</v>
      </c>
    </row>
    <row r="2351" spans="1:10" x14ac:dyDescent="0.25">
      <c r="A2351" s="31" t="s">
        <v>492</v>
      </c>
      <c r="B2351" s="75" t="s">
        <v>317</v>
      </c>
      <c r="C2351" s="111" t="s">
        <v>156</v>
      </c>
      <c r="D2351" s="111">
        <v>55.76</v>
      </c>
      <c r="E2351" s="42" t="s">
        <v>79</v>
      </c>
      <c r="F2351" s="74">
        <v>10.79</v>
      </c>
      <c r="G2351" s="36">
        <f t="shared" si="540"/>
        <v>67.97699999999999</v>
      </c>
      <c r="H2351" s="37">
        <v>24</v>
      </c>
      <c r="I2351" s="109">
        <f t="shared" si="541"/>
        <v>1631.4479999999999</v>
      </c>
      <c r="J2351" s="123">
        <v>1600</v>
      </c>
    </row>
    <row r="2352" spans="1:10" x14ac:dyDescent="0.25">
      <c r="A2352" s="31" t="s">
        <v>492</v>
      </c>
      <c r="B2352" s="37" t="s">
        <v>325</v>
      </c>
      <c r="C2352" s="34" t="s">
        <v>158</v>
      </c>
      <c r="D2352" s="46">
        <v>30.71</v>
      </c>
      <c r="E2352" s="34" t="s">
        <v>79</v>
      </c>
      <c r="F2352" s="74">
        <v>6.9</v>
      </c>
      <c r="G2352" s="36">
        <f t="shared" si="540"/>
        <v>43.47</v>
      </c>
      <c r="H2352" s="37">
        <v>24</v>
      </c>
      <c r="I2352" s="109">
        <f t="shared" si="541"/>
        <v>1043.28</v>
      </c>
      <c r="J2352" s="123">
        <v>1000</v>
      </c>
    </row>
    <row r="2353" spans="1:10" ht="15.75" thickBot="1" x14ac:dyDescent="0.3">
      <c r="A2353" s="31" t="s">
        <v>492</v>
      </c>
      <c r="B2353" s="43" t="s">
        <v>326</v>
      </c>
      <c r="C2353" s="52" t="s">
        <v>152</v>
      </c>
      <c r="D2353" s="72">
        <v>1.35</v>
      </c>
      <c r="E2353" s="42" t="s">
        <v>79</v>
      </c>
      <c r="F2353" s="73">
        <v>9.48</v>
      </c>
      <c r="G2353" s="74">
        <f t="shared" si="540"/>
        <v>59.724000000000004</v>
      </c>
      <c r="H2353" s="43">
        <v>24</v>
      </c>
      <c r="I2353" s="328">
        <f t="shared" si="541"/>
        <v>1433.3760000000002</v>
      </c>
      <c r="J2353" s="124">
        <v>1300</v>
      </c>
    </row>
    <row r="2354" spans="1:10" ht="19.5" thickBot="1" x14ac:dyDescent="0.35">
      <c r="A2354" s="220"/>
      <c r="B2354" s="335"/>
      <c r="C2354" s="335"/>
      <c r="D2354" s="335"/>
      <c r="E2354" s="335"/>
      <c r="F2354" s="335"/>
      <c r="G2354" s="335"/>
      <c r="H2354" s="174" t="s">
        <v>171</v>
      </c>
      <c r="I2354" s="238">
        <f>SUM(I2348:I2353)</f>
        <v>7056.5039999999999</v>
      </c>
      <c r="J2354" s="104">
        <f>SUM(J2348:J2353)</f>
        <v>6700</v>
      </c>
    </row>
    <row r="2355" spans="1:10" x14ac:dyDescent="0.25">
      <c r="A2355" s="31" t="s">
        <v>493</v>
      </c>
      <c r="B2355" s="37" t="s">
        <v>322</v>
      </c>
      <c r="C2355" s="34" t="s">
        <v>114</v>
      </c>
      <c r="D2355" s="108">
        <v>15.07</v>
      </c>
      <c r="E2355" s="34" t="s">
        <v>79</v>
      </c>
      <c r="F2355" s="109">
        <v>6.32</v>
      </c>
      <c r="G2355" s="36">
        <f t="shared" ref="G2355:G2360" si="542">F2355*6.3</f>
        <v>39.816000000000003</v>
      </c>
      <c r="H2355" s="37">
        <v>24</v>
      </c>
      <c r="I2355" s="109">
        <f t="shared" ref="I2355:I2360" si="543">G2355*H2355</f>
        <v>955.58400000000006</v>
      </c>
      <c r="J2355" s="123">
        <v>900</v>
      </c>
    </row>
    <row r="2356" spans="1:10" x14ac:dyDescent="0.25">
      <c r="A2356" s="31" t="s">
        <v>493</v>
      </c>
      <c r="B2356" s="37" t="s">
        <v>323</v>
      </c>
      <c r="C2356" s="34" t="s">
        <v>86</v>
      </c>
      <c r="D2356" s="108">
        <v>9.9700000000000006</v>
      </c>
      <c r="E2356" s="34" t="s">
        <v>79</v>
      </c>
      <c r="F2356" s="110">
        <v>9.36</v>
      </c>
      <c r="G2356" s="36">
        <f t="shared" si="542"/>
        <v>58.967999999999996</v>
      </c>
      <c r="H2356" s="37">
        <v>24</v>
      </c>
      <c r="I2356" s="109">
        <f t="shared" si="543"/>
        <v>1415.232</v>
      </c>
      <c r="J2356" s="123">
        <v>1400</v>
      </c>
    </row>
    <row r="2357" spans="1:10" x14ac:dyDescent="0.25">
      <c r="A2357" s="31" t="s">
        <v>493</v>
      </c>
      <c r="B2357" s="50" t="s">
        <v>324</v>
      </c>
      <c r="C2357" s="34" t="s">
        <v>443</v>
      </c>
      <c r="D2357" s="108" t="s">
        <v>38</v>
      </c>
      <c r="E2357" s="34" t="s">
        <v>79</v>
      </c>
      <c r="F2357" s="36">
        <v>3.84</v>
      </c>
      <c r="G2357" s="36">
        <f t="shared" si="542"/>
        <v>24.192</v>
      </c>
      <c r="H2357" s="37">
        <v>24</v>
      </c>
      <c r="I2357" s="109">
        <f t="shared" si="543"/>
        <v>580.60799999999995</v>
      </c>
      <c r="J2357" s="123">
        <v>500</v>
      </c>
    </row>
    <row r="2358" spans="1:10" x14ac:dyDescent="0.25">
      <c r="A2358" s="31" t="s">
        <v>493</v>
      </c>
      <c r="B2358" s="75" t="s">
        <v>317</v>
      </c>
      <c r="C2358" s="111" t="s">
        <v>156</v>
      </c>
      <c r="D2358" s="111">
        <v>54.04</v>
      </c>
      <c r="E2358" s="42" t="s">
        <v>79</v>
      </c>
      <c r="F2358" s="74">
        <v>10.82</v>
      </c>
      <c r="G2358" s="36">
        <f t="shared" si="542"/>
        <v>68.165999999999997</v>
      </c>
      <c r="H2358" s="37">
        <v>24</v>
      </c>
      <c r="I2358" s="109">
        <f t="shared" si="543"/>
        <v>1635.9839999999999</v>
      </c>
      <c r="J2358" s="123">
        <v>1600</v>
      </c>
    </row>
    <row r="2359" spans="1:10" x14ac:dyDescent="0.25">
      <c r="A2359" s="31" t="s">
        <v>493</v>
      </c>
      <c r="B2359" s="37" t="s">
        <v>325</v>
      </c>
      <c r="C2359" s="34" t="s">
        <v>158</v>
      </c>
      <c r="D2359" s="46">
        <v>31.2</v>
      </c>
      <c r="E2359" s="34" t="s">
        <v>79</v>
      </c>
      <c r="F2359" s="74">
        <v>6.87</v>
      </c>
      <c r="G2359" s="36">
        <f t="shared" si="542"/>
        <v>43.280999999999999</v>
      </c>
      <c r="H2359" s="37">
        <v>24</v>
      </c>
      <c r="I2359" s="109">
        <f t="shared" si="543"/>
        <v>1038.7439999999999</v>
      </c>
      <c r="J2359" s="123">
        <v>1000</v>
      </c>
    </row>
    <row r="2360" spans="1:10" ht="15.75" thickBot="1" x14ac:dyDescent="0.3">
      <c r="A2360" s="31" t="s">
        <v>493</v>
      </c>
      <c r="B2360" s="43" t="s">
        <v>326</v>
      </c>
      <c r="C2360" s="52" t="s">
        <v>152</v>
      </c>
      <c r="D2360" s="72">
        <v>1.32</v>
      </c>
      <c r="E2360" s="42" t="s">
        <v>79</v>
      </c>
      <c r="F2360" s="73">
        <v>9.48</v>
      </c>
      <c r="G2360" s="74">
        <f t="shared" si="542"/>
        <v>59.724000000000004</v>
      </c>
      <c r="H2360" s="43">
        <v>24</v>
      </c>
      <c r="I2360" s="328">
        <f t="shared" si="543"/>
        <v>1433.3760000000002</v>
      </c>
      <c r="J2360" s="124">
        <v>1300</v>
      </c>
    </row>
    <row r="2361" spans="1:10" ht="19.5" thickBot="1" x14ac:dyDescent="0.35">
      <c r="A2361" s="220"/>
      <c r="B2361" s="335"/>
      <c r="C2361" s="335"/>
      <c r="D2361" s="335"/>
      <c r="E2361" s="335"/>
      <c r="F2361" s="335"/>
      <c r="G2361" s="335"/>
      <c r="H2361" s="174" t="s">
        <v>171</v>
      </c>
      <c r="I2361" s="238">
        <f>SUM(I2355:I2360)</f>
        <v>7059.5279999999993</v>
      </c>
      <c r="J2361" s="104">
        <f>SUM(J2355:J2360)</f>
        <v>6700</v>
      </c>
    </row>
    <row r="2362" spans="1:10" x14ac:dyDescent="0.25">
      <c r="A2362" s="31" t="s">
        <v>494</v>
      </c>
      <c r="B2362" s="37" t="s">
        <v>322</v>
      </c>
      <c r="C2362" s="34" t="s">
        <v>114</v>
      </c>
      <c r="D2362" s="108">
        <v>14.75</v>
      </c>
      <c r="E2362" s="34" t="s">
        <v>79</v>
      </c>
      <c r="F2362" s="109">
        <v>6.35</v>
      </c>
      <c r="G2362" s="36">
        <f t="shared" ref="G2362:G2367" si="544">F2362*6.3</f>
        <v>40.004999999999995</v>
      </c>
      <c r="H2362" s="37">
        <v>24</v>
      </c>
      <c r="I2362" s="109">
        <f t="shared" ref="I2362:I2367" si="545">G2362*H2362</f>
        <v>960.11999999999989</v>
      </c>
      <c r="J2362" s="123">
        <v>900</v>
      </c>
    </row>
    <row r="2363" spans="1:10" x14ac:dyDescent="0.25">
      <c r="A2363" s="31" t="s">
        <v>494</v>
      </c>
      <c r="B2363" s="37" t="s">
        <v>323</v>
      </c>
      <c r="C2363" s="34" t="s">
        <v>86</v>
      </c>
      <c r="D2363" s="108">
        <v>9.9499999999999993</v>
      </c>
      <c r="E2363" s="34" t="s">
        <v>79</v>
      </c>
      <c r="F2363" s="110">
        <v>9.4</v>
      </c>
      <c r="G2363" s="36">
        <f t="shared" si="544"/>
        <v>59.22</v>
      </c>
      <c r="H2363" s="37">
        <v>24</v>
      </c>
      <c r="I2363" s="109">
        <f t="shared" si="545"/>
        <v>1421.28</v>
      </c>
      <c r="J2363" s="123">
        <v>1400</v>
      </c>
    </row>
    <row r="2364" spans="1:10" x14ac:dyDescent="0.25">
      <c r="A2364" s="31" t="s">
        <v>494</v>
      </c>
      <c r="B2364" s="50" t="s">
        <v>324</v>
      </c>
      <c r="C2364" s="34" t="s">
        <v>443</v>
      </c>
      <c r="D2364" s="108" t="s">
        <v>38</v>
      </c>
      <c r="E2364" s="34" t="s">
        <v>79</v>
      </c>
      <c r="F2364" s="36">
        <v>3.86</v>
      </c>
      <c r="G2364" s="36">
        <f t="shared" si="544"/>
        <v>24.317999999999998</v>
      </c>
      <c r="H2364" s="37">
        <v>24</v>
      </c>
      <c r="I2364" s="109">
        <f t="shared" si="545"/>
        <v>583.63199999999995</v>
      </c>
      <c r="J2364" s="123">
        <v>500</v>
      </c>
    </row>
    <row r="2365" spans="1:10" x14ac:dyDescent="0.25">
      <c r="A2365" s="31" t="s">
        <v>494</v>
      </c>
      <c r="B2365" s="75" t="s">
        <v>317</v>
      </c>
      <c r="C2365" s="111" t="s">
        <v>156</v>
      </c>
      <c r="D2365" s="111">
        <v>52.56</v>
      </c>
      <c r="E2365" s="42" t="s">
        <v>79</v>
      </c>
      <c r="F2365" s="74">
        <v>10.84</v>
      </c>
      <c r="G2365" s="36">
        <f t="shared" si="544"/>
        <v>68.292000000000002</v>
      </c>
      <c r="H2365" s="37">
        <v>24</v>
      </c>
      <c r="I2365" s="109">
        <f t="shared" si="545"/>
        <v>1639.008</v>
      </c>
      <c r="J2365" s="123">
        <v>1600</v>
      </c>
    </row>
    <row r="2366" spans="1:10" x14ac:dyDescent="0.25">
      <c r="A2366" s="31" t="s">
        <v>494</v>
      </c>
      <c r="B2366" s="37" t="s">
        <v>325</v>
      </c>
      <c r="C2366" s="34" t="s">
        <v>158</v>
      </c>
      <c r="D2366" s="46">
        <v>30.85</v>
      </c>
      <c r="E2366" s="34" t="s">
        <v>79</v>
      </c>
      <c r="F2366" s="74">
        <v>6.85</v>
      </c>
      <c r="G2366" s="36">
        <f t="shared" si="544"/>
        <v>43.154999999999994</v>
      </c>
      <c r="H2366" s="37">
        <v>24</v>
      </c>
      <c r="I2366" s="109">
        <f t="shared" si="545"/>
        <v>1035.7199999999998</v>
      </c>
      <c r="J2366" s="123">
        <v>1000</v>
      </c>
    </row>
    <row r="2367" spans="1:10" ht="15.75" thickBot="1" x14ac:dyDescent="0.3">
      <c r="A2367" s="31" t="s">
        <v>494</v>
      </c>
      <c r="B2367" s="43" t="s">
        <v>326</v>
      </c>
      <c r="C2367" s="52" t="s">
        <v>152</v>
      </c>
      <c r="D2367" s="72">
        <v>1.3</v>
      </c>
      <c r="E2367" s="42" t="s">
        <v>79</v>
      </c>
      <c r="F2367" s="73">
        <v>9.5</v>
      </c>
      <c r="G2367" s="74">
        <f t="shared" si="544"/>
        <v>59.85</v>
      </c>
      <c r="H2367" s="43">
        <v>24</v>
      </c>
      <c r="I2367" s="328">
        <f t="shared" si="545"/>
        <v>1436.4</v>
      </c>
      <c r="J2367" s="124">
        <v>1300</v>
      </c>
    </row>
    <row r="2368" spans="1:10" ht="19.5" thickBot="1" x14ac:dyDescent="0.35">
      <c r="A2368" s="220"/>
      <c r="B2368" s="335"/>
      <c r="C2368" s="335"/>
      <c r="D2368" s="335"/>
      <c r="E2368" s="335"/>
      <c r="F2368" s="335"/>
      <c r="G2368" s="335"/>
      <c r="H2368" s="174" t="s">
        <v>171</v>
      </c>
      <c r="I2368" s="238">
        <f>SUM(I2362:I2367)</f>
        <v>7076.16</v>
      </c>
      <c r="J2368" s="104">
        <f>SUM(J2362:J2367)</f>
        <v>6700</v>
      </c>
    </row>
    <row r="2369" spans="1:10" x14ac:dyDescent="0.25">
      <c r="A2369" s="31" t="s">
        <v>495</v>
      </c>
      <c r="B2369" s="37" t="s">
        <v>322</v>
      </c>
      <c r="C2369" s="34" t="s">
        <v>114</v>
      </c>
      <c r="D2369" s="108">
        <v>14.74</v>
      </c>
      <c r="E2369" s="34" t="s">
        <v>79</v>
      </c>
      <c r="F2369" s="109">
        <v>6.39</v>
      </c>
      <c r="G2369" s="36">
        <f t="shared" ref="G2369:G2374" si="546">F2369*6.3</f>
        <v>40.256999999999998</v>
      </c>
      <c r="H2369" s="37">
        <v>24</v>
      </c>
      <c r="I2369" s="109">
        <f t="shared" ref="I2369:I2374" si="547">G2369*H2369</f>
        <v>966.16799999999989</v>
      </c>
      <c r="J2369" s="123">
        <v>900</v>
      </c>
    </row>
    <row r="2370" spans="1:10" x14ac:dyDescent="0.25">
      <c r="A2370" s="31" t="s">
        <v>495</v>
      </c>
      <c r="B2370" s="37" t="s">
        <v>323</v>
      </c>
      <c r="C2370" s="34" t="s">
        <v>86</v>
      </c>
      <c r="D2370" s="108">
        <v>9.5299999999999994</v>
      </c>
      <c r="E2370" s="34" t="s">
        <v>79</v>
      </c>
      <c r="F2370" s="110">
        <v>9.4499999999999993</v>
      </c>
      <c r="G2370" s="36">
        <f t="shared" si="546"/>
        <v>59.534999999999997</v>
      </c>
      <c r="H2370" s="37">
        <v>24</v>
      </c>
      <c r="I2370" s="109">
        <f t="shared" si="547"/>
        <v>1428.84</v>
      </c>
      <c r="J2370" s="123">
        <v>1400</v>
      </c>
    </row>
    <row r="2371" spans="1:10" x14ac:dyDescent="0.25">
      <c r="A2371" s="31" t="s">
        <v>495</v>
      </c>
      <c r="B2371" s="50" t="s">
        <v>324</v>
      </c>
      <c r="C2371" s="34" t="s">
        <v>443</v>
      </c>
      <c r="D2371" s="108" t="s">
        <v>38</v>
      </c>
      <c r="E2371" s="34" t="s">
        <v>79</v>
      </c>
      <c r="F2371" s="36">
        <v>3.88</v>
      </c>
      <c r="G2371" s="36">
        <f t="shared" si="546"/>
        <v>24.443999999999999</v>
      </c>
      <c r="H2371" s="37">
        <v>24</v>
      </c>
      <c r="I2371" s="109">
        <f t="shared" si="547"/>
        <v>586.65599999999995</v>
      </c>
      <c r="J2371" s="123">
        <v>500</v>
      </c>
    </row>
    <row r="2372" spans="1:10" x14ac:dyDescent="0.25">
      <c r="A2372" s="31" t="s">
        <v>495</v>
      </c>
      <c r="B2372" s="75" t="s">
        <v>317</v>
      </c>
      <c r="C2372" s="111" t="s">
        <v>156</v>
      </c>
      <c r="D2372" s="111">
        <v>52.56</v>
      </c>
      <c r="E2372" s="42" t="s">
        <v>79</v>
      </c>
      <c r="F2372" s="74">
        <v>10.87</v>
      </c>
      <c r="G2372" s="36">
        <f t="shared" si="546"/>
        <v>68.480999999999995</v>
      </c>
      <c r="H2372" s="37">
        <v>24</v>
      </c>
      <c r="I2372" s="109">
        <f t="shared" si="547"/>
        <v>1643.5439999999999</v>
      </c>
      <c r="J2372" s="123">
        <v>1600</v>
      </c>
    </row>
    <row r="2373" spans="1:10" x14ac:dyDescent="0.25">
      <c r="A2373" s="31" t="s">
        <v>495</v>
      </c>
      <c r="B2373" s="37" t="s">
        <v>325</v>
      </c>
      <c r="C2373" s="34" t="s">
        <v>158</v>
      </c>
      <c r="D2373" s="46">
        <v>31.63</v>
      </c>
      <c r="E2373" s="34" t="s">
        <v>79</v>
      </c>
      <c r="F2373" s="74">
        <v>6.87</v>
      </c>
      <c r="G2373" s="36">
        <f t="shared" si="546"/>
        <v>43.280999999999999</v>
      </c>
      <c r="H2373" s="37">
        <v>24</v>
      </c>
      <c r="I2373" s="109">
        <f t="shared" si="547"/>
        <v>1038.7439999999999</v>
      </c>
      <c r="J2373" s="123">
        <v>1000</v>
      </c>
    </row>
    <row r="2374" spans="1:10" ht="15.75" thickBot="1" x14ac:dyDescent="0.3">
      <c r="A2374" s="31" t="s">
        <v>495</v>
      </c>
      <c r="B2374" s="43" t="s">
        <v>326</v>
      </c>
      <c r="C2374" s="52" t="s">
        <v>152</v>
      </c>
      <c r="D2374" s="72">
        <v>1.5</v>
      </c>
      <c r="E2374" s="42" t="s">
        <v>79</v>
      </c>
      <c r="F2374" s="73">
        <v>9.49</v>
      </c>
      <c r="G2374" s="74">
        <f t="shared" si="546"/>
        <v>59.786999999999999</v>
      </c>
      <c r="H2374" s="43">
        <v>24</v>
      </c>
      <c r="I2374" s="328">
        <f t="shared" si="547"/>
        <v>1434.8879999999999</v>
      </c>
      <c r="J2374" s="124">
        <v>1300</v>
      </c>
    </row>
    <row r="2375" spans="1:10" ht="19.5" thickBot="1" x14ac:dyDescent="0.35">
      <c r="A2375" s="220"/>
      <c r="B2375" s="335"/>
      <c r="C2375" s="335"/>
      <c r="D2375" s="335"/>
      <c r="E2375" s="335"/>
      <c r="F2375" s="335"/>
      <c r="G2375" s="335"/>
      <c r="H2375" s="174" t="s">
        <v>171</v>
      </c>
      <c r="I2375" s="238">
        <f>SUM(I2369:I2374)</f>
        <v>7098.8399999999992</v>
      </c>
      <c r="J2375" s="104">
        <f>SUM(J2369:J2374)</f>
        <v>6700</v>
      </c>
    </row>
    <row r="2376" spans="1:10" x14ac:dyDescent="0.25">
      <c r="A2376" s="31" t="s">
        <v>496</v>
      </c>
      <c r="B2376" s="37" t="s">
        <v>322</v>
      </c>
      <c r="C2376" s="34" t="s">
        <v>114</v>
      </c>
      <c r="D2376" s="108">
        <v>15.74</v>
      </c>
      <c r="E2376" s="34" t="s">
        <v>79</v>
      </c>
      <c r="F2376" s="109">
        <v>6.51</v>
      </c>
      <c r="G2376" s="36">
        <f t="shared" ref="G2376:G2381" si="548">F2376*6.3</f>
        <v>41.012999999999998</v>
      </c>
      <c r="H2376" s="37">
        <v>24</v>
      </c>
      <c r="I2376" s="109">
        <f t="shared" ref="I2376:I2381" si="549">G2376*H2376</f>
        <v>984.3119999999999</v>
      </c>
      <c r="J2376" s="123">
        <v>900</v>
      </c>
    </row>
    <row r="2377" spans="1:10" x14ac:dyDescent="0.25">
      <c r="A2377" s="31" t="s">
        <v>496</v>
      </c>
      <c r="B2377" s="37" t="s">
        <v>323</v>
      </c>
      <c r="C2377" s="34" t="s">
        <v>86</v>
      </c>
      <c r="D2377" s="108">
        <v>10.14</v>
      </c>
      <c r="E2377" s="34" t="s">
        <v>79</v>
      </c>
      <c r="F2377" s="110">
        <v>9.58</v>
      </c>
      <c r="G2377" s="36">
        <f t="shared" si="548"/>
        <v>60.353999999999999</v>
      </c>
      <c r="H2377" s="37">
        <v>24</v>
      </c>
      <c r="I2377" s="109">
        <f t="shared" si="549"/>
        <v>1448.4960000000001</v>
      </c>
      <c r="J2377" s="123">
        <v>1400</v>
      </c>
    </row>
    <row r="2378" spans="1:10" x14ac:dyDescent="0.25">
      <c r="A2378" s="31" t="s">
        <v>496</v>
      </c>
      <c r="B2378" s="50" t="s">
        <v>324</v>
      </c>
      <c r="C2378" s="34" t="s">
        <v>443</v>
      </c>
      <c r="D2378" s="108" t="s">
        <v>38</v>
      </c>
      <c r="E2378" s="34" t="s">
        <v>79</v>
      </c>
      <c r="F2378" s="36">
        <v>3.87</v>
      </c>
      <c r="G2378" s="36">
        <f t="shared" si="548"/>
        <v>24.381</v>
      </c>
      <c r="H2378" s="37">
        <v>24</v>
      </c>
      <c r="I2378" s="109">
        <f t="shared" si="549"/>
        <v>585.14400000000001</v>
      </c>
      <c r="J2378" s="123">
        <v>500</v>
      </c>
    </row>
    <row r="2379" spans="1:10" x14ac:dyDescent="0.25">
      <c r="A2379" s="31" t="s">
        <v>496</v>
      </c>
      <c r="B2379" s="75" t="s">
        <v>317</v>
      </c>
      <c r="C2379" s="111" t="s">
        <v>156</v>
      </c>
      <c r="D2379" s="111">
        <v>58.55</v>
      </c>
      <c r="E2379" s="42" t="s">
        <v>79</v>
      </c>
      <c r="F2379" s="74">
        <v>10.87</v>
      </c>
      <c r="G2379" s="36">
        <f t="shared" si="548"/>
        <v>68.480999999999995</v>
      </c>
      <c r="H2379" s="37">
        <v>24</v>
      </c>
      <c r="I2379" s="109">
        <f t="shared" si="549"/>
        <v>1643.5439999999999</v>
      </c>
      <c r="J2379" s="123">
        <v>1600</v>
      </c>
    </row>
    <row r="2380" spans="1:10" x14ac:dyDescent="0.25">
      <c r="A2380" s="31" t="s">
        <v>496</v>
      </c>
      <c r="B2380" s="37" t="s">
        <v>325</v>
      </c>
      <c r="C2380" s="34" t="s">
        <v>158</v>
      </c>
      <c r="D2380" s="46">
        <v>30.95</v>
      </c>
      <c r="E2380" s="34" t="s">
        <v>79</v>
      </c>
      <c r="F2380" s="74">
        <v>6.83</v>
      </c>
      <c r="G2380" s="36">
        <f t="shared" si="548"/>
        <v>43.028999999999996</v>
      </c>
      <c r="H2380" s="37">
        <v>24</v>
      </c>
      <c r="I2380" s="109">
        <f t="shared" si="549"/>
        <v>1032.6959999999999</v>
      </c>
      <c r="J2380" s="123">
        <v>1000</v>
      </c>
    </row>
    <row r="2381" spans="1:10" ht="15.75" thickBot="1" x14ac:dyDescent="0.3">
      <c r="A2381" s="31" t="s">
        <v>496</v>
      </c>
      <c r="B2381" s="43" t="s">
        <v>326</v>
      </c>
      <c r="C2381" s="52" t="s">
        <v>152</v>
      </c>
      <c r="D2381" s="72">
        <v>1.26</v>
      </c>
      <c r="E2381" s="42" t="s">
        <v>79</v>
      </c>
      <c r="F2381" s="73">
        <v>9.52</v>
      </c>
      <c r="G2381" s="74">
        <f t="shared" si="548"/>
        <v>59.975999999999999</v>
      </c>
      <c r="H2381" s="43">
        <v>24</v>
      </c>
      <c r="I2381" s="328">
        <f t="shared" si="549"/>
        <v>1439.424</v>
      </c>
      <c r="J2381" s="124">
        <v>1300</v>
      </c>
    </row>
    <row r="2382" spans="1:10" ht="19.5" thickBot="1" x14ac:dyDescent="0.35">
      <c r="A2382" s="220"/>
      <c r="B2382" s="335"/>
      <c r="C2382" s="335"/>
      <c r="D2382" s="335"/>
      <c r="E2382" s="335"/>
      <c r="F2382" s="335"/>
      <c r="G2382" s="335"/>
      <c r="H2382" s="174" t="s">
        <v>171</v>
      </c>
      <c r="I2382" s="238">
        <f>SUM(I2376:I2381)</f>
        <v>7133.616</v>
      </c>
      <c r="J2382" s="104">
        <f>SUM(J2376:J2381)</f>
        <v>6700</v>
      </c>
    </row>
    <row r="2383" spans="1:10" x14ac:dyDescent="0.25">
      <c r="A2383" s="31" t="s">
        <v>497</v>
      </c>
      <c r="B2383" s="37" t="s">
        <v>322</v>
      </c>
      <c r="C2383" s="34" t="s">
        <v>114</v>
      </c>
      <c r="D2383" s="108">
        <v>15.92</v>
      </c>
      <c r="E2383" s="34" t="s">
        <v>79</v>
      </c>
      <c r="F2383" s="109">
        <v>6.51</v>
      </c>
      <c r="G2383" s="36">
        <f t="shared" ref="G2383:G2388" si="550">F2383*6.3</f>
        <v>41.012999999999998</v>
      </c>
      <c r="H2383" s="37">
        <v>24</v>
      </c>
      <c r="I2383" s="109">
        <f t="shared" ref="I2383:I2388" si="551">G2383*H2383</f>
        <v>984.3119999999999</v>
      </c>
      <c r="J2383" s="123">
        <v>900</v>
      </c>
    </row>
    <row r="2384" spans="1:10" x14ac:dyDescent="0.25">
      <c r="A2384" s="31" t="s">
        <v>497</v>
      </c>
      <c r="B2384" s="37" t="s">
        <v>323</v>
      </c>
      <c r="C2384" s="34" t="s">
        <v>86</v>
      </c>
      <c r="D2384" s="108">
        <v>10.14</v>
      </c>
      <c r="E2384" s="34" t="s">
        <v>79</v>
      </c>
      <c r="F2384" s="110">
        <v>9.56</v>
      </c>
      <c r="G2384" s="36">
        <f t="shared" si="550"/>
        <v>60.228000000000002</v>
      </c>
      <c r="H2384" s="37">
        <v>24</v>
      </c>
      <c r="I2384" s="109">
        <f t="shared" si="551"/>
        <v>1445.472</v>
      </c>
      <c r="J2384" s="123">
        <v>1400</v>
      </c>
    </row>
    <row r="2385" spans="1:10" x14ac:dyDescent="0.25">
      <c r="A2385" s="31" t="s">
        <v>497</v>
      </c>
      <c r="B2385" s="50" t="s">
        <v>324</v>
      </c>
      <c r="C2385" s="34" t="s">
        <v>443</v>
      </c>
      <c r="D2385" s="108" t="s">
        <v>38</v>
      </c>
      <c r="E2385" s="34" t="s">
        <v>79</v>
      </c>
      <c r="F2385" s="36">
        <v>3.87</v>
      </c>
      <c r="G2385" s="36">
        <f t="shared" si="550"/>
        <v>24.381</v>
      </c>
      <c r="H2385" s="37">
        <v>24</v>
      </c>
      <c r="I2385" s="109">
        <f t="shared" si="551"/>
        <v>585.14400000000001</v>
      </c>
      <c r="J2385" s="123">
        <v>500</v>
      </c>
    </row>
    <row r="2386" spans="1:10" x14ac:dyDescent="0.25">
      <c r="A2386" s="31" t="s">
        <v>497</v>
      </c>
      <c r="B2386" s="75" t="s">
        <v>317</v>
      </c>
      <c r="C2386" s="111" t="s">
        <v>156</v>
      </c>
      <c r="D2386" s="111">
        <v>52.8</v>
      </c>
      <c r="E2386" s="42" t="s">
        <v>79</v>
      </c>
      <c r="F2386" s="74">
        <v>10.86</v>
      </c>
      <c r="G2386" s="36">
        <f t="shared" si="550"/>
        <v>68.417999999999992</v>
      </c>
      <c r="H2386" s="37">
        <v>24</v>
      </c>
      <c r="I2386" s="109">
        <f t="shared" si="551"/>
        <v>1642.0319999999997</v>
      </c>
      <c r="J2386" s="123">
        <v>1600</v>
      </c>
    </row>
    <row r="2387" spans="1:10" x14ac:dyDescent="0.25">
      <c r="A2387" s="31" t="s">
        <v>497</v>
      </c>
      <c r="B2387" s="37" t="s">
        <v>325</v>
      </c>
      <c r="C2387" s="34" t="s">
        <v>158</v>
      </c>
      <c r="D2387" s="46">
        <v>31.57</v>
      </c>
      <c r="E2387" s="34" t="s">
        <v>79</v>
      </c>
      <c r="F2387" s="74">
        <v>6.82</v>
      </c>
      <c r="G2387" s="36">
        <f t="shared" si="550"/>
        <v>42.966000000000001</v>
      </c>
      <c r="H2387" s="37">
        <v>24</v>
      </c>
      <c r="I2387" s="109">
        <f t="shared" si="551"/>
        <v>1031.184</v>
      </c>
      <c r="J2387" s="123">
        <v>1000</v>
      </c>
    </row>
    <row r="2388" spans="1:10" ht="15.75" thickBot="1" x14ac:dyDescent="0.3">
      <c r="A2388" s="31" t="s">
        <v>497</v>
      </c>
      <c r="B2388" s="43" t="s">
        <v>326</v>
      </c>
      <c r="C2388" s="52" t="s">
        <v>152</v>
      </c>
      <c r="D2388" s="72">
        <v>1.1499999999999999</v>
      </c>
      <c r="E2388" s="42" t="s">
        <v>79</v>
      </c>
      <c r="F2388" s="73">
        <v>9.56</v>
      </c>
      <c r="G2388" s="74">
        <f t="shared" si="550"/>
        <v>60.228000000000002</v>
      </c>
      <c r="H2388" s="43">
        <v>24</v>
      </c>
      <c r="I2388" s="328">
        <f t="shared" si="551"/>
        <v>1445.472</v>
      </c>
      <c r="J2388" s="124">
        <v>1300</v>
      </c>
    </row>
    <row r="2389" spans="1:10" ht="18.75" x14ac:dyDescent="0.3">
      <c r="A2389" s="246"/>
      <c r="B2389" s="398"/>
      <c r="C2389" s="398"/>
      <c r="D2389" s="398"/>
      <c r="E2389" s="398"/>
      <c r="F2389" s="398"/>
      <c r="G2389" s="398"/>
      <c r="H2389" s="178" t="s">
        <v>171</v>
      </c>
      <c r="I2389" s="396">
        <f>SUM(I2383:I2388)</f>
        <v>7133.6159999999991</v>
      </c>
      <c r="J2389" s="180">
        <f>SUM(J2383:J2388)</f>
        <v>6700</v>
      </c>
    </row>
    <row r="2390" spans="1:10" x14ac:dyDescent="0.25">
      <c r="A2390" s="46" t="s">
        <v>499</v>
      </c>
      <c r="B2390" s="46" t="s">
        <v>322</v>
      </c>
      <c r="C2390" s="46" t="s">
        <v>114</v>
      </c>
      <c r="D2390" s="46">
        <v>15.98</v>
      </c>
      <c r="E2390" s="46" t="s">
        <v>79</v>
      </c>
      <c r="F2390" s="46">
        <v>6.53</v>
      </c>
      <c r="G2390" s="46">
        <v>41.14</v>
      </c>
      <c r="H2390" s="46">
        <v>24</v>
      </c>
      <c r="I2390" s="46">
        <v>987.34</v>
      </c>
      <c r="J2390" s="46">
        <v>900</v>
      </c>
    </row>
    <row r="2391" spans="1:10" x14ac:dyDescent="0.25">
      <c r="A2391" s="46" t="s">
        <v>499</v>
      </c>
      <c r="B2391" s="46" t="s">
        <v>323</v>
      </c>
      <c r="C2391" s="46" t="s">
        <v>86</v>
      </c>
      <c r="D2391" s="46">
        <v>10.14</v>
      </c>
      <c r="E2391" s="46" t="s">
        <v>79</v>
      </c>
      <c r="F2391" s="46">
        <v>9.58</v>
      </c>
      <c r="G2391" s="46">
        <v>60.35</v>
      </c>
      <c r="H2391" s="46">
        <v>24</v>
      </c>
      <c r="I2391" s="46">
        <v>1448.5</v>
      </c>
      <c r="J2391" s="46">
        <v>1400</v>
      </c>
    </row>
    <row r="2392" spans="1:10" x14ac:dyDescent="0.25">
      <c r="A2392" s="46" t="s">
        <v>499</v>
      </c>
      <c r="B2392" s="46" t="s">
        <v>324</v>
      </c>
      <c r="C2392" s="46" t="s">
        <v>443</v>
      </c>
      <c r="D2392" s="46" t="s">
        <v>38</v>
      </c>
      <c r="E2392" s="46" t="s">
        <v>79</v>
      </c>
      <c r="F2392" s="46">
        <v>3.86</v>
      </c>
      <c r="G2392" s="46">
        <v>24.32</v>
      </c>
      <c r="H2392" s="46">
        <v>24</v>
      </c>
      <c r="I2392" s="46">
        <v>583.63</v>
      </c>
      <c r="J2392" s="46">
        <v>500</v>
      </c>
    </row>
    <row r="2393" spans="1:10" x14ac:dyDescent="0.25">
      <c r="A2393" s="46" t="s">
        <v>499</v>
      </c>
      <c r="B2393" s="46" t="s">
        <v>317</v>
      </c>
      <c r="C2393" s="46" t="s">
        <v>156</v>
      </c>
      <c r="D2393" s="46">
        <v>52.95</v>
      </c>
      <c r="E2393" s="46" t="s">
        <v>79</v>
      </c>
      <c r="F2393" s="46">
        <v>10.85</v>
      </c>
      <c r="G2393" s="46">
        <v>68.36</v>
      </c>
      <c r="H2393" s="46">
        <v>24</v>
      </c>
      <c r="I2393" s="46">
        <v>1640.52</v>
      </c>
      <c r="J2393" s="46">
        <v>1600</v>
      </c>
    </row>
    <row r="2394" spans="1:10" x14ac:dyDescent="0.25">
      <c r="A2394" s="46" t="s">
        <v>499</v>
      </c>
      <c r="B2394" s="46" t="s">
        <v>325</v>
      </c>
      <c r="C2394" s="46" t="s">
        <v>158</v>
      </c>
      <c r="D2394" s="46">
        <v>31.99</v>
      </c>
      <c r="E2394" s="46" t="s">
        <v>79</v>
      </c>
      <c r="F2394" s="46">
        <v>6.86</v>
      </c>
      <c r="G2394" s="46">
        <v>43.22</v>
      </c>
      <c r="H2394" s="46">
        <v>24</v>
      </c>
      <c r="I2394" s="46">
        <v>1037.23</v>
      </c>
      <c r="J2394" s="46">
        <v>1000</v>
      </c>
    </row>
    <row r="2395" spans="1:10" ht="15.75" thickBot="1" x14ac:dyDescent="0.3">
      <c r="A2395" s="52" t="s">
        <v>499</v>
      </c>
      <c r="B2395" s="52" t="s">
        <v>326</v>
      </c>
      <c r="C2395" s="52" t="s">
        <v>152</v>
      </c>
      <c r="D2395" s="52">
        <v>1.05</v>
      </c>
      <c r="E2395" s="52" t="s">
        <v>79</v>
      </c>
      <c r="F2395" s="52">
        <v>9.56</v>
      </c>
      <c r="G2395" s="52">
        <v>60.23</v>
      </c>
      <c r="H2395" s="52">
        <v>24</v>
      </c>
      <c r="I2395" s="52">
        <v>1445.47</v>
      </c>
      <c r="J2395" s="52">
        <v>1300</v>
      </c>
    </row>
    <row r="2396" spans="1:10" ht="19.5" thickBot="1" x14ac:dyDescent="0.35">
      <c r="A2396" s="220"/>
      <c r="B2396" s="221"/>
      <c r="C2396" s="221"/>
      <c r="D2396" s="221"/>
      <c r="E2396" s="221"/>
      <c r="F2396" s="221"/>
      <c r="G2396" s="221"/>
      <c r="H2396" s="259" t="s">
        <v>171</v>
      </c>
      <c r="I2396" s="221">
        <v>7142.69</v>
      </c>
      <c r="J2396" s="258">
        <v>6700</v>
      </c>
    </row>
    <row r="2397" spans="1:10" x14ac:dyDescent="0.25">
      <c r="A2397" s="49" t="s">
        <v>500</v>
      </c>
      <c r="B2397" s="49" t="s">
        <v>322</v>
      </c>
      <c r="C2397" s="49" t="s">
        <v>114</v>
      </c>
      <c r="D2397" s="49">
        <v>15.56</v>
      </c>
      <c r="E2397" s="49" t="s">
        <v>79</v>
      </c>
      <c r="F2397" s="49">
        <v>6.34</v>
      </c>
      <c r="G2397" s="49">
        <v>39.94</v>
      </c>
      <c r="H2397" s="49">
        <v>24</v>
      </c>
      <c r="I2397" s="49">
        <v>958.61</v>
      </c>
      <c r="J2397" s="49">
        <v>900</v>
      </c>
    </row>
    <row r="2398" spans="1:10" x14ac:dyDescent="0.25">
      <c r="A2398" s="46" t="s">
        <v>500</v>
      </c>
      <c r="B2398" s="46" t="s">
        <v>323</v>
      </c>
      <c r="C2398" s="46" t="s">
        <v>86</v>
      </c>
      <c r="D2398" s="46">
        <v>9.77</v>
      </c>
      <c r="E2398" s="46" t="s">
        <v>79</v>
      </c>
      <c r="F2398" s="46">
        <v>8.31</v>
      </c>
      <c r="G2398" s="46">
        <v>52.35</v>
      </c>
      <c r="H2398" s="46">
        <v>24</v>
      </c>
      <c r="I2398" s="46">
        <v>1256.47</v>
      </c>
      <c r="J2398" s="46">
        <v>1400</v>
      </c>
    </row>
    <row r="2399" spans="1:10" x14ac:dyDescent="0.25">
      <c r="A2399" s="46" t="s">
        <v>500</v>
      </c>
      <c r="B2399" s="46" t="s">
        <v>324</v>
      </c>
      <c r="C2399" s="46" t="s">
        <v>443</v>
      </c>
      <c r="D2399" s="46" t="s">
        <v>38</v>
      </c>
      <c r="E2399" s="46" t="s">
        <v>79</v>
      </c>
      <c r="F2399" s="46">
        <v>3.9</v>
      </c>
      <c r="G2399" s="46">
        <v>24.57</v>
      </c>
      <c r="H2399" s="46">
        <v>24</v>
      </c>
      <c r="I2399" s="46">
        <v>589.67999999999995</v>
      </c>
      <c r="J2399" s="46">
        <v>500</v>
      </c>
    </row>
    <row r="2400" spans="1:10" x14ac:dyDescent="0.25">
      <c r="A2400" s="46" t="s">
        <v>500</v>
      </c>
      <c r="B2400" s="46" t="s">
        <v>317</v>
      </c>
      <c r="C2400" s="46" t="s">
        <v>156</v>
      </c>
      <c r="D2400" s="46">
        <v>51.06</v>
      </c>
      <c r="E2400" s="46" t="s">
        <v>79</v>
      </c>
      <c r="F2400" s="46">
        <v>10.85</v>
      </c>
      <c r="G2400" s="46">
        <v>68.36</v>
      </c>
      <c r="H2400" s="46">
        <v>24</v>
      </c>
      <c r="I2400" s="46">
        <v>1640.52</v>
      </c>
      <c r="J2400" s="46">
        <v>1600</v>
      </c>
    </row>
    <row r="2401" spans="1:10" x14ac:dyDescent="0.25">
      <c r="A2401" s="46" t="s">
        <v>500</v>
      </c>
      <c r="B2401" s="46" t="s">
        <v>325</v>
      </c>
      <c r="C2401" s="46" t="s">
        <v>158</v>
      </c>
      <c r="D2401" s="46">
        <v>28.76</v>
      </c>
      <c r="E2401" s="46" t="s">
        <v>79</v>
      </c>
      <c r="F2401" s="46">
        <v>6.21</v>
      </c>
      <c r="G2401" s="46">
        <v>39.119999999999997</v>
      </c>
      <c r="H2401" s="46">
        <v>24</v>
      </c>
      <c r="I2401" s="46">
        <v>938.95</v>
      </c>
      <c r="J2401" s="46">
        <v>1000</v>
      </c>
    </row>
    <row r="2402" spans="1:10" ht="15.75" thickBot="1" x14ac:dyDescent="0.3">
      <c r="A2402" s="52" t="s">
        <v>500</v>
      </c>
      <c r="B2402" s="52" t="s">
        <v>326</v>
      </c>
      <c r="C2402" s="52" t="s">
        <v>152</v>
      </c>
      <c r="D2402" s="52">
        <v>0.85</v>
      </c>
      <c r="E2402" s="52" t="s">
        <v>79</v>
      </c>
      <c r="F2402" s="52">
        <v>8.6</v>
      </c>
      <c r="G2402" s="52">
        <v>54.18</v>
      </c>
      <c r="H2402" s="52">
        <v>24</v>
      </c>
      <c r="I2402" s="52">
        <v>1300.32</v>
      </c>
      <c r="J2402" s="52">
        <v>1300</v>
      </c>
    </row>
    <row r="2403" spans="1:10" ht="19.5" thickBot="1" x14ac:dyDescent="0.35">
      <c r="A2403" s="220"/>
      <c r="B2403" s="221"/>
      <c r="C2403" s="221"/>
      <c r="D2403" s="221"/>
      <c r="E2403" s="221"/>
      <c r="F2403" s="221"/>
      <c r="G2403" s="221"/>
      <c r="H2403" s="259" t="s">
        <v>171</v>
      </c>
      <c r="I2403" s="221">
        <v>6684.55</v>
      </c>
      <c r="J2403" s="258">
        <v>6700</v>
      </c>
    </row>
    <row r="2404" spans="1:10" x14ac:dyDescent="0.25">
      <c r="A2404" s="31" t="s">
        <v>498</v>
      </c>
      <c r="B2404" s="37" t="s">
        <v>322</v>
      </c>
      <c r="C2404" s="34" t="s">
        <v>114</v>
      </c>
      <c r="D2404" s="108">
        <v>15.74</v>
      </c>
      <c r="E2404" s="34" t="s">
        <v>79</v>
      </c>
      <c r="F2404" s="109">
        <v>6.45</v>
      </c>
      <c r="G2404" s="36">
        <f t="shared" ref="G2404:G2409" si="552">F2404*6.3</f>
        <v>40.634999999999998</v>
      </c>
      <c r="H2404" s="37">
        <v>24</v>
      </c>
      <c r="I2404" s="109">
        <f t="shared" ref="I2404:I2409" si="553">G2404*H2404</f>
        <v>975.24</v>
      </c>
      <c r="J2404" s="123">
        <v>900</v>
      </c>
    </row>
    <row r="2405" spans="1:10" x14ac:dyDescent="0.25">
      <c r="A2405" s="31" t="s">
        <v>498</v>
      </c>
      <c r="B2405" s="37" t="s">
        <v>323</v>
      </c>
      <c r="C2405" s="34" t="s">
        <v>86</v>
      </c>
      <c r="D2405" s="108">
        <v>9.9</v>
      </c>
      <c r="E2405" s="34" t="s">
        <v>79</v>
      </c>
      <c r="F2405" s="110">
        <v>8.48</v>
      </c>
      <c r="G2405" s="36">
        <f t="shared" si="552"/>
        <v>53.423999999999999</v>
      </c>
      <c r="H2405" s="37">
        <v>24</v>
      </c>
      <c r="I2405" s="109">
        <f t="shared" si="553"/>
        <v>1282.1759999999999</v>
      </c>
      <c r="J2405" s="123">
        <v>1400</v>
      </c>
    </row>
    <row r="2406" spans="1:10" x14ac:dyDescent="0.25">
      <c r="A2406" s="31" t="s">
        <v>498</v>
      </c>
      <c r="B2406" s="50" t="s">
        <v>324</v>
      </c>
      <c r="C2406" s="34" t="s">
        <v>443</v>
      </c>
      <c r="D2406" s="108" t="s">
        <v>38</v>
      </c>
      <c r="E2406" s="34" t="s">
        <v>79</v>
      </c>
      <c r="F2406" s="36">
        <v>3.9</v>
      </c>
      <c r="G2406" s="36">
        <f t="shared" si="552"/>
        <v>24.57</v>
      </c>
      <c r="H2406" s="37">
        <v>24</v>
      </c>
      <c r="I2406" s="109">
        <f t="shared" si="553"/>
        <v>589.68000000000006</v>
      </c>
      <c r="J2406" s="123">
        <v>500</v>
      </c>
    </row>
    <row r="2407" spans="1:10" x14ac:dyDescent="0.25">
      <c r="A2407" s="31" t="s">
        <v>498</v>
      </c>
      <c r="B2407" s="75" t="s">
        <v>317</v>
      </c>
      <c r="C2407" s="111" t="s">
        <v>156</v>
      </c>
      <c r="D2407" s="111">
        <v>53.29</v>
      </c>
      <c r="E2407" s="42" t="s">
        <v>79</v>
      </c>
      <c r="F2407" s="74">
        <v>10.89</v>
      </c>
      <c r="G2407" s="36">
        <f t="shared" si="552"/>
        <v>68.606999999999999</v>
      </c>
      <c r="H2407" s="37">
        <v>24</v>
      </c>
      <c r="I2407" s="109">
        <f t="shared" si="553"/>
        <v>1646.568</v>
      </c>
      <c r="J2407" s="123">
        <v>1600</v>
      </c>
    </row>
    <row r="2408" spans="1:10" x14ac:dyDescent="0.25">
      <c r="A2408" s="31" t="s">
        <v>498</v>
      </c>
      <c r="B2408" s="37" t="s">
        <v>325</v>
      </c>
      <c r="C2408" s="34" t="s">
        <v>158</v>
      </c>
      <c r="D2408" s="46">
        <v>32.06</v>
      </c>
      <c r="E2408" s="34" t="s">
        <v>79</v>
      </c>
      <c r="F2408" s="74">
        <v>6.35</v>
      </c>
      <c r="G2408" s="36">
        <f t="shared" si="552"/>
        <v>40.004999999999995</v>
      </c>
      <c r="H2408" s="37">
        <v>24</v>
      </c>
      <c r="I2408" s="109">
        <f t="shared" si="553"/>
        <v>960.11999999999989</v>
      </c>
      <c r="J2408" s="123">
        <v>1000</v>
      </c>
    </row>
    <row r="2409" spans="1:10" ht="15.75" thickBot="1" x14ac:dyDescent="0.3">
      <c r="A2409" s="31" t="s">
        <v>498</v>
      </c>
      <c r="B2409" s="43" t="s">
        <v>326</v>
      </c>
      <c r="C2409" s="52" t="s">
        <v>152</v>
      </c>
      <c r="D2409" s="72">
        <v>0.75</v>
      </c>
      <c r="E2409" s="42" t="s">
        <v>79</v>
      </c>
      <c r="F2409" s="73">
        <v>8.7799999999999994</v>
      </c>
      <c r="G2409" s="74">
        <f t="shared" si="552"/>
        <v>55.313999999999993</v>
      </c>
      <c r="H2409" s="43">
        <v>24</v>
      </c>
      <c r="I2409" s="328">
        <f t="shared" si="553"/>
        <v>1327.5359999999998</v>
      </c>
      <c r="J2409" s="124">
        <v>1300</v>
      </c>
    </row>
    <row r="2410" spans="1:10" ht="19.5" thickBot="1" x14ac:dyDescent="0.35">
      <c r="A2410" s="220"/>
      <c r="B2410" s="335"/>
      <c r="C2410" s="335"/>
      <c r="D2410" s="335"/>
      <c r="E2410" s="335"/>
      <c r="F2410" s="335"/>
      <c r="G2410" s="335"/>
      <c r="H2410" s="174" t="s">
        <v>171</v>
      </c>
      <c r="I2410" s="238">
        <f>SUM(I2404:I2409)</f>
        <v>6781.3200000000006</v>
      </c>
      <c r="J2410" s="104">
        <f>SUM(J2404:J2409)</f>
        <v>6700</v>
      </c>
    </row>
    <row r="2411" spans="1:10" x14ac:dyDescent="0.25">
      <c r="A2411" s="31" t="s">
        <v>501</v>
      </c>
      <c r="B2411" s="37" t="s">
        <v>322</v>
      </c>
      <c r="C2411" s="34" t="s">
        <v>114</v>
      </c>
      <c r="D2411" s="108">
        <v>15.8</v>
      </c>
      <c r="E2411" s="34" t="s">
        <v>79</v>
      </c>
      <c r="F2411" s="109">
        <v>6.53</v>
      </c>
      <c r="G2411" s="36">
        <f t="shared" ref="G2411:G2416" si="554">F2411*6.3</f>
        <v>41.139000000000003</v>
      </c>
      <c r="H2411" s="37">
        <v>24</v>
      </c>
      <c r="I2411" s="109">
        <f t="shared" ref="I2411:I2416" si="555">G2411*H2411</f>
        <v>987.33600000000001</v>
      </c>
      <c r="J2411" s="123">
        <v>900</v>
      </c>
    </row>
    <row r="2412" spans="1:10" x14ac:dyDescent="0.25">
      <c r="A2412" s="31" t="s">
        <v>501</v>
      </c>
      <c r="B2412" s="37" t="s">
        <v>323</v>
      </c>
      <c r="C2412" s="34" t="s">
        <v>86</v>
      </c>
      <c r="D2412" s="108">
        <v>9.9</v>
      </c>
      <c r="E2412" s="34" t="s">
        <v>79</v>
      </c>
      <c r="F2412" s="110">
        <v>9.58</v>
      </c>
      <c r="G2412" s="36">
        <f t="shared" si="554"/>
        <v>60.353999999999999</v>
      </c>
      <c r="H2412" s="37">
        <v>24</v>
      </c>
      <c r="I2412" s="109">
        <f t="shared" si="555"/>
        <v>1448.4960000000001</v>
      </c>
      <c r="J2412" s="123">
        <v>1400</v>
      </c>
    </row>
    <row r="2413" spans="1:10" x14ac:dyDescent="0.25">
      <c r="A2413" s="31" t="s">
        <v>501</v>
      </c>
      <c r="B2413" s="50" t="s">
        <v>324</v>
      </c>
      <c r="C2413" s="34" t="s">
        <v>443</v>
      </c>
      <c r="D2413" s="108" t="s">
        <v>38</v>
      </c>
      <c r="E2413" s="34" t="s">
        <v>79</v>
      </c>
      <c r="F2413" s="36">
        <v>3.94</v>
      </c>
      <c r="G2413" s="36">
        <f t="shared" si="554"/>
        <v>24.821999999999999</v>
      </c>
      <c r="H2413" s="37">
        <v>24</v>
      </c>
      <c r="I2413" s="109">
        <f t="shared" si="555"/>
        <v>595.72799999999995</v>
      </c>
      <c r="J2413" s="123">
        <v>500</v>
      </c>
    </row>
    <row r="2414" spans="1:10" x14ac:dyDescent="0.25">
      <c r="A2414" s="31" t="s">
        <v>501</v>
      </c>
      <c r="B2414" s="75" t="s">
        <v>317</v>
      </c>
      <c r="C2414" s="111" t="s">
        <v>156</v>
      </c>
      <c r="D2414" s="111">
        <v>46.12</v>
      </c>
      <c r="E2414" s="42" t="s">
        <v>79</v>
      </c>
      <c r="F2414" s="74">
        <v>10.98</v>
      </c>
      <c r="G2414" s="36">
        <f t="shared" si="554"/>
        <v>69.174000000000007</v>
      </c>
      <c r="H2414" s="37">
        <v>24</v>
      </c>
      <c r="I2414" s="109">
        <f t="shared" si="555"/>
        <v>1660.1760000000002</v>
      </c>
      <c r="J2414" s="123">
        <v>1600</v>
      </c>
    </row>
    <row r="2415" spans="1:10" x14ac:dyDescent="0.25">
      <c r="A2415" s="31" t="s">
        <v>501</v>
      </c>
      <c r="B2415" s="37" t="s">
        <v>325</v>
      </c>
      <c r="C2415" s="34" t="s">
        <v>158</v>
      </c>
      <c r="D2415" s="46">
        <v>32.86</v>
      </c>
      <c r="E2415" s="34" t="s">
        <v>79</v>
      </c>
      <c r="F2415" s="74">
        <v>6.7</v>
      </c>
      <c r="G2415" s="36">
        <f t="shared" si="554"/>
        <v>42.21</v>
      </c>
      <c r="H2415" s="37">
        <v>24</v>
      </c>
      <c r="I2415" s="109">
        <f t="shared" si="555"/>
        <v>1013.04</v>
      </c>
      <c r="J2415" s="123">
        <v>1000</v>
      </c>
    </row>
    <row r="2416" spans="1:10" ht="15.75" thickBot="1" x14ac:dyDescent="0.3">
      <c r="A2416" s="31" t="s">
        <v>501</v>
      </c>
      <c r="B2416" s="43" t="s">
        <v>326</v>
      </c>
      <c r="C2416" s="52" t="s">
        <v>152</v>
      </c>
      <c r="D2416" s="72">
        <v>0.6</v>
      </c>
      <c r="E2416" s="42" t="s">
        <v>79</v>
      </c>
      <c r="F2416" s="73">
        <v>9.23</v>
      </c>
      <c r="G2416" s="74">
        <f t="shared" si="554"/>
        <v>58.149000000000001</v>
      </c>
      <c r="H2416" s="43">
        <v>24</v>
      </c>
      <c r="I2416" s="328">
        <f t="shared" si="555"/>
        <v>1395.576</v>
      </c>
      <c r="J2416" s="124">
        <v>1300</v>
      </c>
    </row>
    <row r="2417" spans="1:10" ht="19.5" thickBot="1" x14ac:dyDescent="0.35">
      <c r="A2417" s="220"/>
      <c r="B2417" s="335"/>
      <c r="C2417" s="335"/>
      <c r="D2417" s="335"/>
      <c r="E2417" s="335"/>
      <c r="F2417" s="335"/>
      <c r="G2417" s="335"/>
      <c r="H2417" s="174" t="s">
        <v>171</v>
      </c>
      <c r="I2417" s="238">
        <f>SUM(I2411:I2416)</f>
        <v>7100.3520000000008</v>
      </c>
      <c r="J2417" s="104">
        <f>SUM(J2411:J2416)</f>
        <v>6700</v>
      </c>
    </row>
    <row r="2418" spans="1:10" x14ac:dyDescent="0.25">
      <c r="A2418" s="31" t="s">
        <v>502</v>
      </c>
      <c r="B2418" s="37" t="s">
        <v>322</v>
      </c>
      <c r="C2418" s="34" t="s">
        <v>114</v>
      </c>
      <c r="D2418" s="108">
        <v>15.74</v>
      </c>
      <c r="E2418" s="34" t="s">
        <v>79</v>
      </c>
      <c r="F2418" s="109">
        <v>6.5</v>
      </c>
      <c r="G2418" s="36">
        <f t="shared" ref="G2418:G2423" si="556">F2418*6.3</f>
        <v>40.949999999999996</v>
      </c>
      <c r="H2418" s="37">
        <v>24</v>
      </c>
      <c r="I2418" s="109">
        <f t="shared" ref="I2418:I2423" si="557">G2418*H2418</f>
        <v>982.8</v>
      </c>
      <c r="J2418" s="123">
        <v>900</v>
      </c>
    </row>
    <row r="2419" spans="1:10" x14ac:dyDescent="0.25">
      <c r="A2419" s="31" t="s">
        <v>502</v>
      </c>
      <c r="B2419" s="37" t="s">
        <v>323</v>
      </c>
      <c r="C2419" s="34" t="s">
        <v>86</v>
      </c>
      <c r="D2419" s="108">
        <v>9.84</v>
      </c>
      <c r="E2419" s="34" t="s">
        <v>79</v>
      </c>
      <c r="F2419" s="110">
        <v>9.6</v>
      </c>
      <c r="G2419" s="36">
        <f t="shared" si="556"/>
        <v>60.48</v>
      </c>
      <c r="H2419" s="37">
        <v>24</v>
      </c>
      <c r="I2419" s="109">
        <f t="shared" si="557"/>
        <v>1451.52</v>
      </c>
      <c r="J2419" s="123">
        <v>1400</v>
      </c>
    </row>
    <row r="2420" spans="1:10" x14ac:dyDescent="0.25">
      <c r="A2420" s="31" t="s">
        <v>502</v>
      </c>
      <c r="B2420" s="50" t="s">
        <v>324</v>
      </c>
      <c r="C2420" s="34" t="s">
        <v>443</v>
      </c>
      <c r="D2420" s="108" t="s">
        <v>38</v>
      </c>
      <c r="E2420" s="34" t="s">
        <v>79</v>
      </c>
      <c r="F2420" s="36">
        <v>3.93</v>
      </c>
      <c r="G2420" s="36">
        <f t="shared" si="556"/>
        <v>24.759</v>
      </c>
      <c r="H2420" s="37">
        <v>24</v>
      </c>
      <c r="I2420" s="109">
        <f t="shared" si="557"/>
        <v>594.21600000000001</v>
      </c>
      <c r="J2420" s="123">
        <v>500</v>
      </c>
    </row>
    <row r="2421" spans="1:10" x14ac:dyDescent="0.25">
      <c r="A2421" s="31" t="s">
        <v>502</v>
      </c>
      <c r="B2421" s="75" t="s">
        <v>317</v>
      </c>
      <c r="C2421" s="111" t="s">
        <v>156</v>
      </c>
      <c r="D2421" s="111">
        <v>50.7</v>
      </c>
      <c r="E2421" s="42" t="s">
        <v>79</v>
      </c>
      <c r="F2421" s="74">
        <v>10.98</v>
      </c>
      <c r="G2421" s="36">
        <f t="shared" si="556"/>
        <v>69.174000000000007</v>
      </c>
      <c r="H2421" s="37">
        <v>24</v>
      </c>
      <c r="I2421" s="109">
        <f t="shared" si="557"/>
        <v>1660.1760000000002</v>
      </c>
      <c r="J2421" s="123">
        <v>1600</v>
      </c>
    </row>
    <row r="2422" spans="1:10" x14ac:dyDescent="0.25">
      <c r="A2422" s="31" t="s">
        <v>502</v>
      </c>
      <c r="B2422" s="37" t="s">
        <v>325</v>
      </c>
      <c r="C2422" s="34" t="s">
        <v>158</v>
      </c>
      <c r="D2422" s="46">
        <v>32.369999999999997</v>
      </c>
      <c r="E2422" s="34" t="s">
        <v>79</v>
      </c>
      <c r="F2422" s="74">
        <v>6.76</v>
      </c>
      <c r="G2422" s="36">
        <f t="shared" si="556"/>
        <v>42.588000000000001</v>
      </c>
      <c r="H2422" s="37">
        <v>24</v>
      </c>
      <c r="I2422" s="109">
        <f t="shared" si="557"/>
        <v>1022.1120000000001</v>
      </c>
      <c r="J2422" s="123">
        <v>1000</v>
      </c>
    </row>
    <row r="2423" spans="1:10" ht="15.75" thickBot="1" x14ac:dyDescent="0.3">
      <c r="A2423" s="31" t="s">
        <v>502</v>
      </c>
      <c r="B2423" s="43" t="s">
        <v>326</v>
      </c>
      <c r="C2423" s="52" t="s">
        <v>152</v>
      </c>
      <c r="D2423" s="72">
        <v>0.45</v>
      </c>
      <c r="E2423" s="42" t="s">
        <v>79</v>
      </c>
      <c r="F2423" s="73">
        <v>9.27</v>
      </c>
      <c r="G2423" s="74">
        <f t="shared" si="556"/>
        <v>58.400999999999996</v>
      </c>
      <c r="H2423" s="43">
        <v>24</v>
      </c>
      <c r="I2423" s="328">
        <f t="shared" si="557"/>
        <v>1401.6239999999998</v>
      </c>
      <c r="J2423" s="124">
        <v>1300</v>
      </c>
    </row>
    <row r="2424" spans="1:10" ht="19.5" thickBot="1" x14ac:dyDescent="0.35">
      <c r="A2424" s="220"/>
      <c r="B2424" s="335"/>
      <c r="C2424" s="335"/>
      <c r="D2424" s="335"/>
      <c r="E2424" s="335"/>
      <c r="F2424" s="335"/>
      <c r="G2424" s="335"/>
      <c r="H2424" s="174" t="s">
        <v>171</v>
      </c>
      <c r="I2424" s="238">
        <f>SUM(I2418:I2423)</f>
        <v>7112.4479999999994</v>
      </c>
      <c r="J2424" s="104">
        <f>SUM(J2418:J2423)</f>
        <v>6700</v>
      </c>
    </row>
    <row r="2425" spans="1:10" x14ac:dyDescent="0.25">
      <c r="A2425" s="31" t="s">
        <v>503</v>
      </c>
      <c r="B2425" s="37" t="s">
        <v>322</v>
      </c>
      <c r="C2425" s="34" t="s">
        <v>114</v>
      </c>
      <c r="D2425" s="108">
        <v>15.68</v>
      </c>
      <c r="E2425" s="34" t="s">
        <v>79</v>
      </c>
      <c r="F2425" s="109">
        <v>6.5</v>
      </c>
      <c r="G2425" s="36">
        <f t="shared" ref="G2425:G2430" si="558">F2425*6.3</f>
        <v>40.949999999999996</v>
      </c>
      <c r="H2425" s="37">
        <v>24</v>
      </c>
      <c r="I2425" s="109">
        <f t="shared" ref="I2425:I2430" si="559">G2425*H2425</f>
        <v>982.8</v>
      </c>
      <c r="J2425" s="123">
        <v>900</v>
      </c>
    </row>
    <row r="2426" spans="1:10" x14ac:dyDescent="0.25">
      <c r="A2426" s="31" t="s">
        <v>503</v>
      </c>
      <c r="B2426" s="37" t="s">
        <v>323</v>
      </c>
      <c r="C2426" s="34" t="s">
        <v>86</v>
      </c>
      <c r="D2426" s="108">
        <v>9.7200000000000006</v>
      </c>
      <c r="E2426" s="34" t="s">
        <v>79</v>
      </c>
      <c r="F2426" s="110">
        <v>9.58</v>
      </c>
      <c r="G2426" s="36">
        <f t="shared" si="558"/>
        <v>60.353999999999999</v>
      </c>
      <c r="H2426" s="37">
        <v>24</v>
      </c>
      <c r="I2426" s="109">
        <f t="shared" si="559"/>
        <v>1448.4960000000001</v>
      </c>
      <c r="J2426" s="123">
        <v>1400</v>
      </c>
    </row>
    <row r="2427" spans="1:10" x14ac:dyDescent="0.25">
      <c r="A2427" s="31" t="s">
        <v>503</v>
      </c>
      <c r="B2427" s="50" t="s">
        <v>324</v>
      </c>
      <c r="C2427" s="34" t="s">
        <v>443</v>
      </c>
      <c r="D2427" s="108" t="s">
        <v>38</v>
      </c>
      <c r="E2427" s="34" t="s">
        <v>79</v>
      </c>
      <c r="F2427" s="36">
        <v>3.91</v>
      </c>
      <c r="G2427" s="36">
        <f t="shared" si="558"/>
        <v>24.632999999999999</v>
      </c>
      <c r="H2427" s="37">
        <v>24</v>
      </c>
      <c r="I2427" s="109">
        <f t="shared" si="559"/>
        <v>591.19200000000001</v>
      </c>
      <c r="J2427" s="123">
        <v>500</v>
      </c>
    </row>
    <row r="2428" spans="1:10" x14ac:dyDescent="0.25">
      <c r="A2428" s="31" t="s">
        <v>503</v>
      </c>
      <c r="B2428" s="75" t="s">
        <v>317</v>
      </c>
      <c r="C2428" s="111" t="s">
        <v>156</v>
      </c>
      <c r="D2428" s="111">
        <v>52.14</v>
      </c>
      <c r="E2428" s="42" t="s">
        <v>79</v>
      </c>
      <c r="F2428" s="74">
        <v>10.94</v>
      </c>
      <c r="G2428" s="36">
        <f t="shared" si="558"/>
        <v>68.921999999999997</v>
      </c>
      <c r="H2428" s="37">
        <v>24</v>
      </c>
      <c r="I2428" s="109">
        <f t="shared" si="559"/>
        <v>1654.1279999999999</v>
      </c>
      <c r="J2428" s="123">
        <v>1600</v>
      </c>
    </row>
    <row r="2429" spans="1:10" x14ac:dyDescent="0.25">
      <c r="A2429" s="31" t="s">
        <v>503</v>
      </c>
      <c r="B2429" s="37" t="s">
        <v>325</v>
      </c>
      <c r="C2429" s="34" t="s">
        <v>158</v>
      </c>
      <c r="D2429" s="46">
        <v>32.299999999999997</v>
      </c>
      <c r="E2429" s="34" t="s">
        <v>79</v>
      </c>
      <c r="F2429" s="74">
        <v>6.76</v>
      </c>
      <c r="G2429" s="36">
        <f t="shared" si="558"/>
        <v>42.588000000000001</v>
      </c>
      <c r="H2429" s="37">
        <v>24</v>
      </c>
      <c r="I2429" s="109">
        <f t="shared" si="559"/>
        <v>1022.1120000000001</v>
      </c>
      <c r="J2429" s="123">
        <v>1000</v>
      </c>
    </row>
    <row r="2430" spans="1:10" ht="15.75" thickBot="1" x14ac:dyDescent="0.3">
      <c r="A2430" s="31" t="s">
        <v>503</v>
      </c>
      <c r="B2430" s="43" t="s">
        <v>326</v>
      </c>
      <c r="C2430" s="52" t="s">
        <v>152</v>
      </c>
      <c r="D2430" s="72">
        <v>0.4</v>
      </c>
      <c r="E2430" s="42" t="s">
        <v>79</v>
      </c>
      <c r="F2430" s="73">
        <v>9.27</v>
      </c>
      <c r="G2430" s="74">
        <f t="shared" si="558"/>
        <v>58.400999999999996</v>
      </c>
      <c r="H2430" s="43">
        <v>24</v>
      </c>
      <c r="I2430" s="328">
        <f t="shared" si="559"/>
        <v>1401.6239999999998</v>
      </c>
      <c r="J2430" s="124">
        <v>1300</v>
      </c>
    </row>
    <row r="2431" spans="1:10" ht="19.5" thickBot="1" x14ac:dyDescent="0.35">
      <c r="A2431" s="220"/>
      <c r="B2431" s="335"/>
      <c r="C2431" s="335"/>
      <c r="D2431" s="335"/>
      <c r="E2431" s="335"/>
      <c r="F2431" s="335"/>
      <c r="G2431" s="335"/>
      <c r="H2431" s="174" t="s">
        <v>171</v>
      </c>
      <c r="I2431" s="238">
        <f>SUM(I2425:I2430)</f>
        <v>7100.3519999999999</v>
      </c>
      <c r="J2431" s="104">
        <f>SUM(J2425:J2430)</f>
        <v>6700</v>
      </c>
    </row>
    <row r="2432" spans="1:10" x14ac:dyDescent="0.25">
      <c r="A2432" s="49" t="s">
        <v>504</v>
      </c>
      <c r="B2432" s="49" t="s">
        <v>322</v>
      </c>
      <c r="C2432" s="49" t="s">
        <v>114</v>
      </c>
      <c r="D2432" s="49">
        <v>15.68</v>
      </c>
      <c r="E2432" s="49" t="s">
        <v>79</v>
      </c>
      <c r="F2432" s="49">
        <v>6.3</v>
      </c>
      <c r="G2432" s="49">
        <v>39.69</v>
      </c>
      <c r="H2432" s="49">
        <v>24</v>
      </c>
      <c r="I2432" s="49">
        <v>952.56</v>
      </c>
      <c r="J2432" s="49">
        <v>900</v>
      </c>
    </row>
    <row r="2433" spans="1:10" x14ac:dyDescent="0.25">
      <c r="A2433" s="46" t="s">
        <v>504</v>
      </c>
      <c r="B2433" s="46" t="s">
        <v>323</v>
      </c>
      <c r="C2433" s="46" t="s">
        <v>86</v>
      </c>
      <c r="D2433" s="46">
        <v>9.7200000000000006</v>
      </c>
      <c r="E2433" s="46" t="s">
        <v>79</v>
      </c>
      <c r="F2433" s="46">
        <v>9.35</v>
      </c>
      <c r="G2433" s="46">
        <v>58.91</v>
      </c>
      <c r="H2433" s="46">
        <v>24</v>
      </c>
      <c r="I2433" s="46">
        <v>1413.72</v>
      </c>
      <c r="J2433" s="46">
        <v>1400</v>
      </c>
    </row>
    <row r="2434" spans="1:10" x14ac:dyDescent="0.25">
      <c r="A2434" s="46" t="s">
        <v>504</v>
      </c>
      <c r="B2434" s="46" t="s">
        <v>324</v>
      </c>
      <c r="C2434" s="46" t="s">
        <v>443</v>
      </c>
      <c r="D2434" s="46" t="s">
        <v>38</v>
      </c>
      <c r="E2434" s="46" t="s">
        <v>79</v>
      </c>
      <c r="F2434" s="46">
        <v>3.72</v>
      </c>
      <c r="G2434" s="46">
        <v>23.44</v>
      </c>
      <c r="H2434" s="46">
        <v>24</v>
      </c>
      <c r="I2434" s="46">
        <v>562.46</v>
      </c>
      <c r="J2434" s="46">
        <v>500</v>
      </c>
    </row>
    <row r="2435" spans="1:10" x14ac:dyDescent="0.25">
      <c r="A2435" s="46" t="s">
        <v>504</v>
      </c>
      <c r="B2435" s="46" t="s">
        <v>317</v>
      </c>
      <c r="C2435" s="46" t="s">
        <v>156</v>
      </c>
      <c r="D2435" s="46">
        <v>52.14</v>
      </c>
      <c r="E2435" s="46" t="s">
        <v>79</v>
      </c>
      <c r="F2435" s="46">
        <v>10.8</v>
      </c>
      <c r="G2435" s="46">
        <v>68.040000000000006</v>
      </c>
      <c r="H2435" s="46">
        <v>24</v>
      </c>
      <c r="I2435" s="46">
        <v>1632.96</v>
      </c>
      <c r="J2435" s="46">
        <v>1600</v>
      </c>
    </row>
    <row r="2436" spans="1:10" x14ac:dyDescent="0.25">
      <c r="A2436" s="46" t="s">
        <v>504</v>
      </c>
      <c r="B2436" s="46" t="s">
        <v>325</v>
      </c>
      <c r="C2436" s="46" t="s">
        <v>158</v>
      </c>
      <c r="D2436" s="46">
        <v>32.299999999999997</v>
      </c>
      <c r="E2436" s="46" t="s">
        <v>79</v>
      </c>
      <c r="F2436" s="46">
        <v>6.37</v>
      </c>
      <c r="G2436" s="46">
        <v>40.130000000000003</v>
      </c>
      <c r="H2436" s="46">
        <v>24</v>
      </c>
      <c r="I2436" s="46">
        <v>963.14</v>
      </c>
      <c r="J2436" s="46">
        <v>1000</v>
      </c>
    </row>
    <row r="2437" spans="1:10" ht="15.75" thickBot="1" x14ac:dyDescent="0.3">
      <c r="A2437" s="52" t="s">
        <v>504</v>
      </c>
      <c r="B2437" s="52" t="s">
        <v>326</v>
      </c>
      <c r="C2437" s="52" t="s">
        <v>152</v>
      </c>
      <c r="D2437" s="52">
        <v>0.4</v>
      </c>
      <c r="E2437" s="52" t="s">
        <v>79</v>
      </c>
      <c r="F2437" s="52">
        <v>8.8000000000000007</v>
      </c>
      <c r="G2437" s="52">
        <v>55.44</v>
      </c>
      <c r="H2437" s="52">
        <v>24</v>
      </c>
      <c r="I2437" s="52">
        <v>1330.56</v>
      </c>
      <c r="J2437" s="52">
        <v>1300</v>
      </c>
    </row>
    <row r="2438" spans="1:10" ht="15.75" thickBot="1" x14ac:dyDescent="0.3">
      <c r="A2438" s="220"/>
      <c r="B2438" s="221"/>
      <c r="C2438" s="221"/>
      <c r="D2438" s="221"/>
      <c r="E2438" s="221"/>
      <c r="F2438" s="221"/>
      <c r="G2438" s="221"/>
      <c r="H2438" s="221" t="s">
        <v>171</v>
      </c>
      <c r="I2438" s="221">
        <v>6855.41</v>
      </c>
      <c r="J2438" s="258">
        <v>6700</v>
      </c>
    </row>
    <row r="2439" spans="1:10" x14ac:dyDescent="0.25">
      <c r="A2439" s="49" t="s">
        <v>505</v>
      </c>
      <c r="B2439" s="151" t="s">
        <v>322</v>
      </c>
      <c r="C2439" s="50" t="s">
        <v>114</v>
      </c>
      <c r="D2439" s="152">
        <v>15.68</v>
      </c>
      <c r="E2439" s="50" t="s">
        <v>79</v>
      </c>
      <c r="F2439" s="153">
        <v>6.51</v>
      </c>
      <c r="G2439" s="51">
        <f t="shared" ref="G2439:G2444" si="560">F2439*6.3</f>
        <v>41.012999999999998</v>
      </c>
      <c r="H2439" s="151">
        <v>24</v>
      </c>
      <c r="I2439" s="153">
        <f t="shared" ref="I2439:I2444" si="561">G2439*H2439</f>
        <v>984.3119999999999</v>
      </c>
      <c r="J2439" s="51">
        <v>900</v>
      </c>
    </row>
    <row r="2440" spans="1:10" x14ac:dyDescent="0.25">
      <c r="A2440" s="46" t="s">
        <v>505</v>
      </c>
      <c r="B2440" s="37" t="s">
        <v>323</v>
      </c>
      <c r="C2440" s="34" t="s">
        <v>86</v>
      </c>
      <c r="D2440" s="108">
        <v>9.7200000000000006</v>
      </c>
      <c r="E2440" s="34" t="s">
        <v>79</v>
      </c>
      <c r="F2440" s="36">
        <v>9.5500000000000007</v>
      </c>
      <c r="G2440" s="36">
        <f t="shared" si="560"/>
        <v>60.165000000000006</v>
      </c>
      <c r="H2440" s="37">
        <v>24</v>
      </c>
      <c r="I2440" s="109">
        <f t="shared" si="561"/>
        <v>1443.96</v>
      </c>
      <c r="J2440" s="36">
        <v>1400</v>
      </c>
    </row>
    <row r="2441" spans="1:10" x14ac:dyDescent="0.25">
      <c r="A2441" s="46" t="s">
        <v>505</v>
      </c>
      <c r="B2441" s="34" t="s">
        <v>324</v>
      </c>
      <c r="C2441" s="34" t="s">
        <v>443</v>
      </c>
      <c r="D2441" s="108" t="s">
        <v>38</v>
      </c>
      <c r="E2441" s="34" t="s">
        <v>79</v>
      </c>
      <c r="F2441" s="36">
        <v>3.9</v>
      </c>
      <c r="G2441" s="36">
        <f t="shared" si="560"/>
        <v>24.57</v>
      </c>
      <c r="H2441" s="37">
        <v>24</v>
      </c>
      <c r="I2441" s="109">
        <f t="shared" si="561"/>
        <v>589.68000000000006</v>
      </c>
      <c r="J2441" s="36">
        <v>500</v>
      </c>
    </row>
    <row r="2442" spans="1:10" x14ac:dyDescent="0.25">
      <c r="A2442" s="46" t="s">
        <v>505</v>
      </c>
      <c r="B2442" s="34" t="s">
        <v>317</v>
      </c>
      <c r="C2442" s="108" t="s">
        <v>156</v>
      </c>
      <c r="D2442" s="108">
        <v>52.14</v>
      </c>
      <c r="E2442" s="34" t="s">
        <v>79</v>
      </c>
      <c r="F2442" s="36">
        <v>10.94</v>
      </c>
      <c r="G2442" s="36">
        <f t="shared" si="560"/>
        <v>68.921999999999997</v>
      </c>
      <c r="H2442" s="37">
        <v>24</v>
      </c>
      <c r="I2442" s="109">
        <f t="shared" si="561"/>
        <v>1654.1279999999999</v>
      </c>
      <c r="J2442" s="36">
        <v>1600</v>
      </c>
    </row>
    <row r="2443" spans="1:10" x14ac:dyDescent="0.25">
      <c r="A2443" s="46" t="s">
        <v>505</v>
      </c>
      <c r="B2443" s="37" t="s">
        <v>325</v>
      </c>
      <c r="C2443" s="34" t="s">
        <v>158</v>
      </c>
      <c r="D2443" s="46">
        <v>32.299999999999997</v>
      </c>
      <c r="E2443" s="34" t="s">
        <v>79</v>
      </c>
      <c r="F2443" s="36">
        <v>6.76</v>
      </c>
      <c r="G2443" s="36">
        <f t="shared" si="560"/>
        <v>42.588000000000001</v>
      </c>
      <c r="H2443" s="37">
        <v>24</v>
      </c>
      <c r="I2443" s="109">
        <f t="shared" si="561"/>
        <v>1022.1120000000001</v>
      </c>
      <c r="J2443" s="36">
        <v>1000</v>
      </c>
    </row>
    <row r="2444" spans="1:10" ht="15.75" thickBot="1" x14ac:dyDescent="0.3">
      <c r="A2444" s="52" t="s">
        <v>505</v>
      </c>
      <c r="B2444" s="43" t="s">
        <v>326</v>
      </c>
      <c r="C2444" s="52" t="s">
        <v>152</v>
      </c>
      <c r="D2444" s="42">
        <v>0.4</v>
      </c>
      <c r="E2444" s="42" t="s">
        <v>79</v>
      </c>
      <c r="F2444" s="43">
        <v>9.25</v>
      </c>
      <c r="G2444" s="74">
        <f t="shared" si="560"/>
        <v>58.274999999999999</v>
      </c>
      <c r="H2444" s="43">
        <v>24</v>
      </c>
      <c r="I2444" s="399">
        <f t="shared" si="561"/>
        <v>1398.6</v>
      </c>
      <c r="J2444" s="74">
        <v>1300</v>
      </c>
    </row>
    <row r="2445" spans="1:10" ht="19.5" thickBot="1" x14ac:dyDescent="0.35">
      <c r="A2445" s="220"/>
      <c r="B2445" s="335"/>
      <c r="C2445" s="335"/>
      <c r="D2445" s="335"/>
      <c r="E2445" s="335"/>
      <c r="F2445" s="335"/>
      <c r="G2445" s="335"/>
      <c r="H2445" s="174" t="s">
        <v>171</v>
      </c>
      <c r="I2445" s="238">
        <f>SUM(I2439:I2444)</f>
        <v>7092.7919999999995</v>
      </c>
      <c r="J2445" s="104">
        <f>SUM(J2439:J2444)</f>
        <v>6700</v>
      </c>
    </row>
    <row r="2446" spans="1:10" x14ac:dyDescent="0.25">
      <c r="A2446" s="31" t="s">
        <v>506</v>
      </c>
      <c r="B2446" s="151" t="s">
        <v>322</v>
      </c>
      <c r="C2446" s="50" t="s">
        <v>114</v>
      </c>
      <c r="D2446" s="152">
        <v>15.01</v>
      </c>
      <c r="E2446" s="50" t="s">
        <v>79</v>
      </c>
      <c r="F2446" s="153">
        <v>6.52</v>
      </c>
      <c r="G2446" s="51">
        <f t="shared" ref="G2446:G2451" si="562">F2446*6.3</f>
        <v>41.075999999999993</v>
      </c>
      <c r="H2446" s="151">
        <v>24</v>
      </c>
      <c r="I2446" s="153">
        <f t="shared" ref="I2446:I2451" si="563">G2446*H2446</f>
        <v>985.82399999999984</v>
      </c>
      <c r="J2446" s="154">
        <v>900</v>
      </c>
    </row>
    <row r="2447" spans="1:10" x14ac:dyDescent="0.25">
      <c r="A2447" s="31" t="s">
        <v>506</v>
      </c>
      <c r="B2447" s="37" t="s">
        <v>323</v>
      </c>
      <c r="C2447" s="34" t="s">
        <v>86</v>
      </c>
      <c r="D2447" s="108">
        <v>9.35</v>
      </c>
      <c r="E2447" s="34" t="s">
        <v>79</v>
      </c>
      <c r="F2447" s="110">
        <v>9.56</v>
      </c>
      <c r="G2447" s="36">
        <f t="shared" si="562"/>
        <v>60.228000000000002</v>
      </c>
      <c r="H2447" s="37">
        <v>24</v>
      </c>
      <c r="I2447" s="109">
        <f t="shared" si="563"/>
        <v>1445.472</v>
      </c>
      <c r="J2447" s="123">
        <v>1400</v>
      </c>
    </row>
    <row r="2448" spans="1:10" x14ac:dyDescent="0.25">
      <c r="A2448" s="31" t="s">
        <v>506</v>
      </c>
      <c r="B2448" s="50" t="s">
        <v>324</v>
      </c>
      <c r="C2448" s="34" t="s">
        <v>443</v>
      </c>
      <c r="D2448" s="108" t="s">
        <v>38</v>
      </c>
      <c r="E2448" s="34" t="s">
        <v>79</v>
      </c>
      <c r="F2448" s="36">
        <v>3.91</v>
      </c>
      <c r="G2448" s="36">
        <f t="shared" si="562"/>
        <v>24.632999999999999</v>
      </c>
      <c r="H2448" s="37">
        <v>24</v>
      </c>
      <c r="I2448" s="109">
        <f t="shared" si="563"/>
        <v>591.19200000000001</v>
      </c>
      <c r="J2448" s="123">
        <v>500</v>
      </c>
    </row>
    <row r="2449" spans="1:10" x14ac:dyDescent="0.25">
      <c r="A2449" s="31" t="s">
        <v>506</v>
      </c>
      <c r="B2449" s="75" t="s">
        <v>317</v>
      </c>
      <c r="C2449" s="111" t="s">
        <v>156</v>
      </c>
      <c r="D2449" s="111">
        <v>53.39</v>
      </c>
      <c r="E2449" s="42" t="s">
        <v>79</v>
      </c>
      <c r="F2449" s="74">
        <v>10.94</v>
      </c>
      <c r="G2449" s="36">
        <f t="shared" si="562"/>
        <v>68.921999999999997</v>
      </c>
      <c r="H2449" s="37">
        <v>24</v>
      </c>
      <c r="I2449" s="109">
        <f t="shared" si="563"/>
        <v>1654.1279999999999</v>
      </c>
      <c r="J2449" s="123">
        <v>1600</v>
      </c>
    </row>
    <row r="2450" spans="1:10" x14ac:dyDescent="0.25">
      <c r="A2450" s="31" t="s">
        <v>506</v>
      </c>
      <c r="B2450" s="37" t="s">
        <v>325</v>
      </c>
      <c r="C2450" s="34" t="s">
        <v>158</v>
      </c>
      <c r="D2450" s="46">
        <v>32.19</v>
      </c>
      <c r="E2450" s="34" t="s">
        <v>79</v>
      </c>
      <c r="F2450" s="74">
        <v>6.76</v>
      </c>
      <c r="G2450" s="36">
        <f t="shared" si="562"/>
        <v>42.588000000000001</v>
      </c>
      <c r="H2450" s="37">
        <v>24</v>
      </c>
      <c r="I2450" s="109">
        <f t="shared" si="563"/>
        <v>1022.1120000000001</v>
      </c>
      <c r="J2450" s="123">
        <v>1000</v>
      </c>
    </row>
    <row r="2451" spans="1:10" ht="15.75" thickBot="1" x14ac:dyDescent="0.3">
      <c r="A2451" s="31" t="s">
        <v>506</v>
      </c>
      <c r="B2451" s="43" t="s">
        <v>326</v>
      </c>
      <c r="C2451" s="52" t="s">
        <v>152</v>
      </c>
      <c r="D2451" s="72">
        <v>0.35</v>
      </c>
      <c r="E2451" s="42" t="s">
        <v>79</v>
      </c>
      <c r="F2451" s="73">
        <v>9.2799999999999994</v>
      </c>
      <c r="G2451" s="74">
        <f t="shared" si="562"/>
        <v>58.463999999999992</v>
      </c>
      <c r="H2451" s="43">
        <v>24</v>
      </c>
      <c r="I2451" s="328">
        <f t="shared" si="563"/>
        <v>1403.1359999999997</v>
      </c>
      <c r="J2451" s="124">
        <v>1300</v>
      </c>
    </row>
    <row r="2452" spans="1:10" ht="19.5" thickBot="1" x14ac:dyDescent="0.35">
      <c r="A2452" s="220"/>
      <c r="B2452" s="335"/>
      <c r="C2452" s="335"/>
      <c r="D2452" s="335"/>
      <c r="E2452" s="335"/>
      <c r="F2452" s="335"/>
      <c r="G2452" s="335"/>
      <c r="H2452" s="174" t="s">
        <v>171</v>
      </c>
      <c r="I2452" s="238">
        <f>SUM(I2446:I2451)</f>
        <v>7101.8639999999996</v>
      </c>
      <c r="J2452" s="104">
        <f>SUM(J2446:J2451)</f>
        <v>6700</v>
      </c>
    </row>
    <row r="2453" spans="1:10" x14ac:dyDescent="0.25">
      <c r="A2453" s="31" t="s">
        <v>507</v>
      </c>
      <c r="B2453" s="37" t="s">
        <v>322</v>
      </c>
      <c r="C2453" s="34" t="s">
        <v>114</v>
      </c>
      <c r="D2453" s="108">
        <v>14.34</v>
      </c>
      <c r="E2453" s="34" t="s">
        <v>79</v>
      </c>
      <c r="F2453" s="109">
        <v>6.57</v>
      </c>
      <c r="G2453" s="36">
        <f t="shared" ref="G2453:G2458" si="564">F2453*6.3</f>
        <v>41.390999999999998</v>
      </c>
      <c r="H2453" s="37">
        <v>24</v>
      </c>
      <c r="I2453" s="109">
        <f t="shared" ref="I2453:I2458" si="565">G2453*H2453</f>
        <v>993.38400000000001</v>
      </c>
      <c r="J2453" s="123">
        <v>900</v>
      </c>
    </row>
    <row r="2454" spans="1:10" x14ac:dyDescent="0.25">
      <c r="A2454" s="31" t="s">
        <v>507</v>
      </c>
      <c r="B2454" s="37" t="s">
        <v>323</v>
      </c>
      <c r="C2454" s="34" t="s">
        <v>86</v>
      </c>
      <c r="D2454" s="108">
        <v>9.1</v>
      </c>
      <c r="E2454" s="34" t="s">
        <v>79</v>
      </c>
      <c r="F2454" s="110">
        <v>9.57</v>
      </c>
      <c r="G2454" s="36">
        <f t="shared" si="564"/>
        <v>60.290999999999997</v>
      </c>
      <c r="H2454" s="37">
        <v>24</v>
      </c>
      <c r="I2454" s="109">
        <f t="shared" si="565"/>
        <v>1446.9839999999999</v>
      </c>
      <c r="J2454" s="123">
        <v>1400</v>
      </c>
    </row>
    <row r="2455" spans="1:10" x14ac:dyDescent="0.25">
      <c r="A2455" s="31" t="s">
        <v>507</v>
      </c>
      <c r="B2455" s="50" t="s">
        <v>324</v>
      </c>
      <c r="C2455" s="34" t="s">
        <v>443</v>
      </c>
      <c r="D2455" s="108" t="s">
        <v>38</v>
      </c>
      <c r="E2455" s="34" t="s">
        <v>79</v>
      </c>
      <c r="F2455" s="36">
        <v>3.91</v>
      </c>
      <c r="G2455" s="36">
        <f t="shared" si="564"/>
        <v>24.632999999999999</v>
      </c>
      <c r="H2455" s="37">
        <v>24</v>
      </c>
      <c r="I2455" s="109">
        <f t="shared" si="565"/>
        <v>591.19200000000001</v>
      </c>
      <c r="J2455" s="123">
        <v>500</v>
      </c>
    </row>
    <row r="2456" spans="1:10" x14ac:dyDescent="0.25">
      <c r="A2456" s="31" t="s">
        <v>507</v>
      </c>
      <c r="B2456" s="75" t="s">
        <v>317</v>
      </c>
      <c r="C2456" s="111" t="s">
        <v>156</v>
      </c>
      <c r="D2456" s="111">
        <v>55.58</v>
      </c>
      <c r="E2456" s="42" t="s">
        <v>79</v>
      </c>
      <c r="F2456" s="74">
        <v>10.96</v>
      </c>
      <c r="G2456" s="36">
        <f t="shared" si="564"/>
        <v>69.048000000000002</v>
      </c>
      <c r="H2456" s="37">
        <v>24</v>
      </c>
      <c r="I2456" s="109">
        <f t="shared" si="565"/>
        <v>1657.152</v>
      </c>
      <c r="J2456" s="123">
        <v>1600</v>
      </c>
    </row>
    <row r="2457" spans="1:10" x14ac:dyDescent="0.25">
      <c r="A2457" s="31" t="s">
        <v>507</v>
      </c>
      <c r="B2457" s="37" t="s">
        <v>325</v>
      </c>
      <c r="C2457" s="34" t="s">
        <v>158</v>
      </c>
      <c r="D2457" s="46">
        <v>32.729999999999997</v>
      </c>
      <c r="E2457" s="34" t="s">
        <v>79</v>
      </c>
      <c r="F2457" s="74">
        <v>6.77</v>
      </c>
      <c r="G2457" s="36">
        <f t="shared" si="564"/>
        <v>42.650999999999996</v>
      </c>
      <c r="H2457" s="37">
        <v>24</v>
      </c>
      <c r="I2457" s="109">
        <f t="shared" si="565"/>
        <v>1023.6239999999999</v>
      </c>
      <c r="J2457" s="123">
        <v>1000</v>
      </c>
    </row>
    <row r="2458" spans="1:10" ht="15.75" thickBot="1" x14ac:dyDescent="0.3">
      <c r="A2458" s="31" t="s">
        <v>507</v>
      </c>
      <c r="B2458" s="43" t="s">
        <v>326</v>
      </c>
      <c r="C2458" s="52" t="s">
        <v>152</v>
      </c>
      <c r="D2458" s="72">
        <v>0.28000000000000003</v>
      </c>
      <c r="E2458" s="42" t="s">
        <v>79</v>
      </c>
      <c r="F2458" s="73">
        <v>9.31</v>
      </c>
      <c r="G2458" s="74">
        <f t="shared" si="564"/>
        <v>58.652999999999999</v>
      </c>
      <c r="H2458" s="43">
        <v>24</v>
      </c>
      <c r="I2458" s="328">
        <f t="shared" si="565"/>
        <v>1407.672</v>
      </c>
      <c r="J2458" s="124">
        <v>1300</v>
      </c>
    </row>
    <row r="2459" spans="1:10" ht="19.5" thickBot="1" x14ac:dyDescent="0.35">
      <c r="A2459" s="220"/>
      <c r="B2459" s="335"/>
      <c r="C2459" s="335"/>
      <c r="D2459" s="335"/>
      <c r="E2459" s="335"/>
      <c r="F2459" s="335"/>
      <c r="G2459" s="335"/>
      <c r="H2459" s="174" t="s">
        <v>171</v>
      </c>
      <c r="I2459" s="238">
        <f>SUM(I2453:I2458)</f>
        <v>7120.0079999999998</v>
      </c>
      <c r="J2459" s="104">
        <f>SUM(J2453:J2458)</f>
        <v>6700</v>
      </c>
    </row>
    <row r="2460" spans="1:10" x14ac:dyDescent="0.25">
      <c r="A2460" s="31" t="s">
        <v>508</v>
      </c>
      <c r="B2460" s="37" t="s">
        <v>322</v>
      </c>
      <c r="C2460" s="34" t="s">
        <v>114</v>
      </c>
      <c r="D2460" s="108">
        <v>13.8</v>
      </c>
      <c r="E2460" s="34" t="s">
        <v>79</v>
      </c>
      <c r="F2460" s="109">
        <v>6.4</v>
      </c>
      <c r="G2460" s="36">
        <f t="shared" ref="G2460:G2465" si="566">F2460*6.3</f>
        <v>40.32</v>
      </c>
      <c r="H2460" s="37">
        <v>24</v>
      </c>
      <c r="I2460" s="109">
        <f t="shared" ref="I2460:I2465" si="567">G2460*H2460</f>
        <v>967.68000000000006</v>
      </c>
      <c r="J2460" s="123">
        <v>900</v>
      </c>
    </row>
    <row r="2461" spans="1:10" x14ac:dyDescent="0.25">
      <c r="A2461" s="31" t="s">
        <v>508</v>
      </c>
      <c r="B2461" s="37" t="s">
        <v>323</v>
      </c>
      <c r="C2461" s="34" t="s">
        <v>86</v>
      </c>
      <c r="D2461" s="108">
        <v>9.5</v>
      </c>
      <c r="E2461" s="34" t="s">
        <v>79</v>
      </c>
      <c r="F2461" s="110">
        <v>9.5</v>
      </c>
      <c r="G2461" s="36">
        <f t="shared" si="566"/>
        <v>59.85</v>
      </c>
      <c r="H2461" s="37">
        <v>24</v>
      </c>
      <c r="I2461" s="109">
        <f t="shared" si="567"/>
        <v>1436.4</v>
      </c>
      <c r="J2461" s="123">
        <v>1400</v>
      </c>
    </row>
    <row r="2462" spans="1:10" x14ac:dyDescent="0.25">
      <c r="A2462" s="31" t="s">
        <v>508</v>
      </c>
      <c r="B2462" s="50" t="s">
        <v>324</v>
      </c>
      <c r="C2462" s="34" t="s">
        <v>443</v>
      </c>
      <c r="D2462" s="108" t="s">
        <v>38</v>
      </c>
      <c r="E2462" s="34" t="s">
        <v>79</v>
      </c>
      <c r="F2462" s="36">
        <v>3.91</v>
      </c>
      <c r="G2462" s="36">
        <f t="shared" si="566"/>
        <v>24.632999999999999</v>
      </c>
      <c r="H2462" s="37">
        <v>24</v>
      </c>
      <c r="I2462" s="109">
        <f t="shared" si="567"/>
        <v>591.19200000000001</v>
      </c>
      <c r="J2462" s="123">
        <v>500</v>
      </c>
    </row>
    <row r="2463" spans="1:10" x14ac:dyDescent="0.25">
      <c r="A2463" s="31" t="s">
        <v>508</v>
      </c>
      <c r="B2463" s="75" t="s">
        <v>317</v>
      </c>
      <c r="C2463" s="111" t="s">
        <v>156</v>
      </c>
      <c r="D2463" s="111">
        <v>57</v>
      </c>
      <c r="E2463" s="42" t="s">
        <v>79</v>
      </c>
      <c r="F2463" s="74">
        <v>11</v>
      </c>
      <c r="G2463" s="36">
        <f t="shared" si="566"/>
        <v>69.3</v>
      </c>
      <c r="H2463" s="37">
        <v>24</v>
      </c>
      <c r="I2463" s="109">
        <f t="shared" si="567"/>
        <v>1663.1999999999998</v>
      </c>
      <c r="J2463" s="123">
        <v>1600</v>
      </c>
    </row>
    <row r="2464" spans="1:10" x14ac:dyDescent="0.25">
      <c r="A2464" s="31" t="s">
        <v>508</v>
      </c>
      <c r="B2464" s="37" t="s">
        <v>325</v>
      </c>
      <c r="C2464" s="34" t="s">
        <v>158</v>
      </c>
      <c r="D2464" s="46">
        <v>32.5</v>
      </c>
      <c r="E2464" s="34" t="s">
        <v>79</v>
      </c>
      <c r="F2464" s="74">
        <v>6.85</v>
      </c>
      <c r="G2464" s="36">
        <f t="shared" si="566"/>
        <v>43.154999999999994</v>
      </c>
      <c r="H2464" s="37">
        <v>24</v>
      </c>
      <c r="I2464" s="109">
        <f t="shared" si="567"/>
        <v>1035.7199999999998</v>
      </c>
      <c r="J2464" s="123">
        <v>1000</v>
      </c>
    </row>
    <row r="2465" spans="1:10" ht="15.75" thickBot="1" x14ac:dyDescent="0.3">
      <c r="A2465" s="31" t="s">
        <v>508</v>
      </c>
      <c r="B2465" s="43" t="s">
        <v>326</v>
      </c>
      <c r="C2465" s="52" t="s">
        <v>152</v>
      </c>
      <c r="D2465" s="72">
        <v>0.4</v>
      </c>
      <c r="E2465" s="42" t="s">
        <v>79</v>
      </c>
      <c r="F2465" s="73">
        <v>9.3000000000000007</v>
      </c>
      <c r="G2465" s="74">
        <f t="shared" si="566"/>
        <v>58.59</v>
      </c>
      <c r="H2465" s="43">
        <v>24</v>
      </c>
      <c r="I2465" s="328">
        <f t="shared" si="567"/>
        <v>1406.16</v>
      </c>
      <c r="J2465" s="124">
        <v>1300</v>
      </c>
    </row>
    <row r="2466" spans="1:10" ht="19.5" thickBot="1" x14ac:dyDescent="0.35">
      <c r="A2466" s="206"/>
      <c r="B2466" s="336"/>
      <c r="C2466" s="336"/>
      <c r="D2466" s="336"/>
      <c r="E2466" s="336"/>
      <c r="F2466" s="336"/>
      <c r="G2466" s="337"/>
      <c r="H2466" s="174" t="s">
        <v>171</v>
      </c>
      <c r="I2466" s="238">
        <f>SUM(I2460:I2465)</f>
        <v>7100.351999999999</v>
      </c>
      <c r="J2466" s="104">
        <f>SUM(J2460:J2465)</f>
        <v>6700</v>
      </c>
    </row>
    <row r="2467" spans="1:10" x14ac:dyDescent="0.25">
      <c r="A2467" s="31" t="s">
        <v>509</v>
      </c>
      <c r="B2467" s="37" t="s">
        <v>322</v>
      </c>
      <c r="C2467" s="34" t="s">
        <v>114</v>
      </c>
      <c r="D2467" s="108">
        <v>13.6</v>
      </c>
      <c r="E2467" s="34" t="s">
        <v>79</v>
      </c>
      <c r="F2467" s="109">
        <v>6.7</v>
      </c>
      <c r="G2467" s="36">
        <f t="shared" ref="G2467:G2472" si="568">F2467*6.3</f>
        <v>42.21</v>
      </c>
      <c r="H2467" s="37">
        <v>24</v>
      </c>
      <c r="I2467" s="109">
        <f t="shared" ref="I2467:I2472" si="569">G2467*H2467</f>
        <v>1013.04</v>
      </c>
      <c r="J2467" s="123">
        <v>900</v>
      </c>
    </row>
    <row r="2468" spans="1:10" x14ac:dyDescent="0.25">
      <c r="A2468" s="31" t="s">
        <v>509</v>
      </c>
      <c r="B2468" s="37" t="s">
        <v>323</v>
      </c>
      <c r="C2468" s="34" t="s">
        <v>86</v>
      </c>
      <c r="D2468" s="108">
        <v>9.1999999999999993</v>
      </c>
      <c r="E2468" s="34" t="s">
        <v>79</v>
      </c>
      <c r="F2468" s="110">
        <v>9.5500000000000007</v>
      </c>
      <c r="G2468" s="36">
        <f t="shared" si="568"/>
        <v>60.165000000000006</v>
      </c>
      <c r="H2468" s="37">
        <v>24</v>
      </c>
      <c r="I2468" s="109">
        <f t="shared" si="569"/>
        <v>1443.96</v>
      </c>
      <c r="J2468" s="123">
        <v>1400</v>
      </c>
    </row>
    <row r="2469" spans="1:10" x14ac:dyDescent="0.25">
      <c r="A2469" s="31" t="s">
        <v>509</v>
      </c>
      <c r="B2469" s="50" t="s">
        <v>324</v>
      </c>
      <c r="C2469" s="34" t="s">
        <v>443</v>
      </c>
      <c r="D2469" s="108" t="s">
        <v>38</v>
      </c>
      <c r="E2469" s="34" t="s">
        <v>79</v>
      </c>
      <c r="F2469" s="36">
        <v>3.8</v>
      </c>
      <c r="G2469" s="36">
        <f t="shared" si="568"/>
        <v>23.939999999999998</v>
      </c>
      <c r="H2469" s="37">
        <v>24</v>
      </c>
      <c r="I2469" s="109">
        <f t="shared" si="569"/>
        <v>574.55999999999995</v>
      </c>
      <c r="J2469" s="123">
        <v>500</v>
      </c>
    </row>
    <row r="2470" spans="1:10" x14ac:dyDescent="0.25">
      <c r="A2470" s="31" t="s">
        <v>509</v>
      </c>
      <c r="B2470" s="75" t="s">
        <v>317</v>
      </c>
      <c r="C2470" s="111" t="s">
        <v>156</v>
      </c>
      <c r="D2470" s="111">
        <v>57</v>
      </c>
      <c r="E2470" s="42" t="s">
        <v>79</v>
      </c>
      <c r="F2470" s="74">
        <v>10.9</v>
      </c>
      <c r="G2470" s="36">
        <f t="shared" si="568"/>
        <v>68.67</v>
      </c>
      <c r="H2470" s="37">
        <v>24</v>
      </c>
      <c r="I2470" s="109">
        <f t="shared" si="569"/>
        <v>1648.08</v>
      </c>
      <c r="J2470" s="123">
        <v>1600</v>
      </c>
    </row>
    <row r="2471" spans="1:10" x14ac:dyDescent="0.25">
      <c r="A2471" s="31" t="s">
        <v>509</v>
      </c>
      <c r="B2471" s="37" t="s">
        <v>325</v>
      </c>
      <c r="C2471" s="34" t="s">
        <v>158</v>
      </c>
      <c r="D2471" s="46">
        <v>32.29</v>
      </c>
      <c r="E2471" s="34" t="s">
        <v>79</v>
      </c>
      <c r="F2471" s="74">
        <v>6.7</v>
      </c>
      <c r="G2471" s="36">
        <f t="shared" si="568"/>
        <v>42.21</v>
      </c>
      <c r="H2471" s="37">
        <v>24</v>
      </c>
      <c r="I2471" s="109">
        <f t="shared" si="569"/>
        <v>1013.04</v>
      </c>
      <c r="J2471" s="123">
        <v>1000</v>
      </c>
    </row>
    <row r="2472" spans="1:10" ht="15.75" thickBot="1" x14ac:dyDescent="0.3">
      <c r="A2472" s="31" t="s">
        <v>509</v>
      </c>
      <c r="B2472" s="43" t="s">
        <v>326</v>
      </c>
      <c r="C2472" s="52" t="s">
        <v>152</v>
      </c>
      <c r="D2472" s="72">
        <v>0.4</v>
      </c>
      <c r="E2472" s="42" t="s">
        <v>79</v>
      </c>
      <c r="F2472" s="73">
        <v>9.5</v>
      </c>
      <c r="G2472" s="74">
        <f t="shared" si="568"/>
        <v>59.85</v>
      </c>
      <c r="H2472" s="43">
        <v>24</v>
      </c>
      <c r="I2472" s="328">
        <f t="shared" si="569"/>
        <v>1436.4</v>
      </c>
      <c r="J2472" s="124">
        <v>1300</v>
      </c>
    </row>
    <row r="2473" spans="1:10" ht="19.5" thickBot="1" x14ac:dyDescent="0.35">
      <c r="A2473" s="206"/>
      <c r="B2473" s="336"/>
      <c r="C2473" s="336"/>
      <c r="D2473" s="336"/>
      <c r="E2473" s="336"/>
      <c r="F2473" s="336"/>
      <c r="G2473" s="337"/>
      <c r="H2473" s="174" t="s">
        <v>171</v>
      </c>
      <c r="I2473" s="238">
        <f>SUM(I2467:I2472)</f>
        <v>7129.08</v>
      </c>
      <c r="J2473" s="104">
        <f>SUM(J2467:J2472)</f>
        <v>6700</v>
      </c>
    </row>
    <row r="2474" spans="1:10" x14ac:dyDescent="0.25">
      <c r="A2474" s="31" t="s">
        <v>510</v>
      </c>
      <c r="B2474" s="37" t="s">
        <v>322</v>
      </c>
      <c r="C2474" s="34" t="s">
        <v>114</v>
      </c>
      <c r="D2474" s="108">
        <v>13</v>
      </c>
      <c r="E2474" s="34" t="s">
        <v>79</v>
      </c>
      <c r="F2474" s="109">
        <v>6.8</v>
      </c>
      <c r="G2474" s="36">
        <f t="shared" ref="G2474:G2479" si="570">F2474*6.3</f>
        <v>42.839999999999996</v>
      </c>
      <c r="H2474" s="37">
        <v>24</v>
      </c>
      <c r="I2474" s="109">
        <f t="shared" ref="I2474:I2479" si="571">G2474*H2474</f>
        <v>1028.1599999999999</v>
      </c>
      <c r="J2474" s="123">
        <v>900</v>
      </c>
    </row>
    <row r="2475" spans="1:10" x14ac:dyDescent="0.25">
      <c r="A2475" s="31" t="s">
        <v>510</v>
      </c>
      <c r="B2475" s="37" t="s">
        <v>323</v>
      </c>
      <c r="C2475" s="34" t="s">
        <v>86</v>
      </c>
      <c r="D2475" s="108">
        <v>8.6</v>
      </c>
      <c r="E2475" s="34" t="s">
        <v>79</v>
      </c>
      <c r="F2475" s="110">
        <v>9.4</v>
      </c>
      <c r="G2475" s="36">
        <f t="shared" si="570"/>
        <v>59.22</v>
      </c>
      <c r="H2475" s="37">
        <v>24</v>
      </c>
      <c r="I2475" s="109">
        <f t="shared" si="571"/>
        <v>1421.28</v>
      </c>
      <c r="J2475" s="123">
        <v>1400</v>
      </c>
    </row>
    <row r="2476" spans="1:10" x14ac:dyDescent="0.25">
      <c r="A2476" s="31" t="s">
        <v>510</v>
      </c>
      <c r="B2476" s="50" t="s">
        <v>324</v>
      </c>
      <c r="C2476" s="34" t="s">
        <v>443</v>
      </c>
      <c r="D2476" s="108" t="s">
        <v>38</v>
      </c>
      <c r="E2476" s="34" t="s">
        <v>79</v>
      </c>
      <c r="F2476" s="36">
        <v>3.8</v>
      </c>
      <c r="G2476" s="36">
        <f t="shared" si="570"/>
        <v>23.939999999999998</v>
      </c>
      <c r="H2476" s="37">
        <v>24</v>
      </c>
      <c r="I2476" s="109">
        <f t="shared" si="571"/>
        <v>574.55999999999995</v>
      </c>
      <c r="J2476" s="123">
        <v>500</v>
      </c>
    </row>
    <row r="2477" spans="1:10" x14ac:dyDescent="0.25">
      <c r="A2477" s="31" t="s">
        <v>510</v>
      </c>
      <c r="B2477" s="75" t="s">
        <v>317</v>
      </c>
      <c r="C2477" s="111" t="s">
        <v>156</v>
      </c>
      <c r="D2477" s="111">
        <v>54</v>
      </c>
      <c r="E2477" s="42" t="s">
        <v>79</v>
      </c>
      <c r="F2477" s="74">
        <v>10.8</v>
      </c>
      <c r="G2477" s="36">
        <f t="shared" si="570"/>
        <v>68.040000000000006</v>
      </c>
      <c r="H2477" s="37">
        <v>24</v>
      </c>
      <c r="I2477" s="109">
        <f t="shared" si="571"/>
        <v>1632.96</v>
      </c>
      <c r="J2477" s="123">
        <v>1600</v>
      </c>
    </row>
    <row r="2478" spans="1:10" x14ac:dyDescent="0.25">
      <c r="A2478" s="31" t="s">
        <v>510</v>
      </c>
      <c r="B2478" s="37" t="s">
        <v>325</v>
      </c>
      <c r="C2478" s="34" t="s">
        <v>158</v>
      </c>
      <c r="D2478" s="46">
        <v>30.2</v>
      </c>
      <c r="E2478" s="34" t="s">
        <v>79</v>
      </c>
      <c r="F2478" s="74">
        <v>6.8</v>
      </c>
      <c r="G2478" s="36">
        <f t="shared" si="570"/>
        <v>42.839999999999996</v>
      </c>
      <c r="H2478" s="37">
        <v>24</v>
      </c>
      <c r="I2478" s="109">
        <f t="shared" si="571"/>
        <v>1028.1599999999999</v>
      </c>
      <c r="J2478" s="123">
        <v>1000</v>
      </c>
    </row>
    <row r="2479" spans="1:10" ht="15.75" thickBot="1" x14ac:dyDescent="0.3">
      <c r="A2479" s="31" t="s">
        <v>510</v>
      </c>
      <c r="B2479" s="43" t="s">
        <v>326</v>
      </c>
      <c r="C2479" s="52" t="s">
        <v>152</v>
      </c>
      <c r="D2479" s="72">
        <v>0.4</v>
      </c>
      <c r="E2479" s="42" t="s">
        <v>79</v>
      </c>
      <c r="F2479" s="73">
        <v>9.4</v>
      </c>
      <c r="G2479" s="74">
        <f t="shared" si="570"/>
        <v>59.22</v>
      </c>
      <c r="H2479" s="43">
        <v>24</v>
      </c>
      <c r="I2479" s="328">
        <f t="shared" si="571"/>
        <v>1421.28</v>
      </c>
      <c r="J2479" s="124">
        <v>1300</v>
      </c>
    </row>
    <row r="2480" spans="1:10" ht="19.5" thickBot="1" x14ac:dyDescent="0.35">
      <c r="A2480" s="206"/>
      <c r="B2480" s="336"/>
      <c r="C2480" s="336"/>
      <c r="D2480" s="336"/>
      <c r="E2480" s="336"/>
      <c r="F2480" s="336"/>
      <c r="G2480" s="337"/>
      <c r="H2480" s="174" t="s">
        <v>171</v>
      </c>
      <c r="I2480" s="238">
        <f>SUM(I2474:I2479)</f>
        <v>7106.3999999999987</v>
      </c>
      <c r="J2480" s="104">
        <f>SUM(J2474:J2479)</f>
        <v>6700</v>
      </c>
    </row>
    <row r="2481" spans="1:11" x14ac:dyDescent="0.25">
      <c r="A2481" s="31" t="s">
        <v>511</v>
      </c>
      <c r="B2481" s="37" t="s">
        <v>322</v>
      </c>
      <c r="C2481" s="34" t="s">
        <v>114</v>
      </c>
      <c r="D2481" s="108">
        <v>12.2</v>
      </c>
      <c r="E2481" s="34" t="s">
        <v>79</v>
      </c>
      <c r="F2481" s="109">
        <v>6</v>
      </c>
      <c r="G2481" s="36">
        <f t="shared" ref="G2481:G2486" si="572">F2481*6.3</f>
        <v>37.799999999999997</v>
      </c>
      <c r="H2481" s="37">
        <v>24</v>
      </c>
      <c r="I2481" s="109">
        <f t="shared" ref="I2481:I2486" si="573">G2481*H2481</f>
        <v>907.19999999999993</v>
      </c>
      <c r="J2481" s="123">
        <v>900</v>
      </c>
    </row>
    <row r="2482" spans="1:11" x14ac:dyDescent="0.25">
      <c r="A2482" s="31" t="s">
        <v>511</v>
      </c>
      <c r="B2482" s="37" t="s">
        <v>323</v>
      </c>
      <c r="C2482" s="34" t="s">
        <v>86</v>
      </c>
      <c r="D2482" s="108">
        <v>7.5</v>
      </c>
      <c r="E2482" s="34" t="s">
        <v>79</v>
      </c>
      <c r="F2482" s="110">
        <v>8.1999999999999993</v>
      </c>
      <c r="G2482" s="36">
        <f t="shared" si="572"/>
        <v>51.66</v>
      </c>
      <c r="H2482" s="37">
        <v>24</v>
      </c>
      <c r="I2482" s="109">
        <f t="shared" si="573"/>
        <v>1239.8399999999999</v>
      </c>
      <c r="J2482" s="123">
        <v>1400</v>
      </c>
    </row>
    <row r="2483" spans="1:11" x14ac:dyDescent="0.25">
      <c r="A2483" s="31" t="s">
        <v>511</v>
      </c>
      <c r="B2483" s="50" t="s">
        <v>324</v>
      </c>
      <c r="C2483" s="34" t="s">
        <v>443</v>
      </c>
      <c r="D2483" s="108" t="s">
        <v>38</v>
      </c>
      <c r="E2483" s="34" t="s">
        <v>79</v>
      </c>
      <c r="F2483" s="36">
        <v>3.5</v>
      </c>
      <c r="G2483" s="36">
        <f t="shared" si="572"/>
        <v>22.05</v>
      </c>
      <c r="H2483" s="37">
        <v>24</v>
      </c>
      <c r="I2483" s="109">
        <f t="shared" si="573"/>
        <v>529.20000000000005</v>
      </c>
      <c r="J2483" s="123">
        <v>500</v>
      </c>
    </row>
    <row r="2484" spans="1:11" x14ac:dyDescent="0.25">
      <c r="A2484" s="31" t="s">
        <v>511</v>
      </c>
      <c r="B2484" s="75" t="s">
        <v>317</v>
      </c>
      <c r="C2484" s="111" t="s">
        <v>156</v>
      </c>
      <c r="D2484" s="111">
        <v>48.98</v>
      </c>
      <c r="E2484" s="42" t="s">
        <v>79</v>
      </c>
      <c r="F2484" s="74">
        <v>10</v>
      </c>
      <c r="G2484" s="36">
        <f t="shared" si="572"/>
        <v>63</v>
      </c>
      <c r="H2484" s="37">
        <v>24</v>
      </c>
      <c r="I2484" s="109">
        <f t="shared" si="573"/>
        <v>1512</v>
      </c>
      <c r="J2484" s="123">
        <v>1600</v>
      </c>
    </row>
    <row r="2485" spans="1:11" x14ac:dyDescent="0.25">
      <c r="A2485" s="31" t="s">
        <v>511</v>
      </c>
      <c r="B2485" s="37" t="s">
        <v>325</v>
      </c>
      <c r="C2485" s="34" t="s">
        <v>158</v>
      </c>
      <c r="D2485" s="46">
        <v>27.4</v>
      </c>
      <c r="E2485" s="34" t="s">
        <v>79</v>
      </c>
      <c r="F2485" s="74">
        <v>6.2</v>
      </c>
      <c r="G2485" s="36">
        <f t="shared" si="572"/>
        <v>39.06</v>
      </c>
      <c r="H2485" s="37">
        <v>24</v>
      </c>
      <c r="I2485" s="109">
        <f t="shared" si="573"/>
        <v>937.44</v>
      </c>
      <c r="J2485" s="123">
        <v>1000</v>
      </c>
    </row>
    <row r="2486" spans="1:11" ht="15.75" thickBot="1" x14ac:dyDescent="0.3">
      <c r="A2486" s="31" t="s">
        <v>511</v>
      </c>
      <c r="B2486" s="43" t="s">
        <v>326</v>
      </c>
      <c r="C2486" s="52" t="s">
        <v>152</v>
      </c>
      <c r="D2486" s="72">
        <v>0.4</v>
      </c>
      <c r="E2486" s="42" t="s">
        <v>79</v>
      </c>
      <c r="F2486" s="73">
        <v>8.6</v>
      </c>
      <c r="G2486" s="74">
        <f t="shared" si="572"/>
        <v>54.18</v>
      </c>
      <c r="H2486" s="43">
        <v>24</v>
      </c>
      <c r="I2486" s="328">
        <f t="shared" si="573"/>
        <v>1300.32</v>
      </c>
      <c r="J2486" s="124">
        <v>1300</v>
      </c>
    </row>
    <row r="2487" spans="1:11" ht="19.5" thickBot="1" x14ac:dyDescent="0.35">
      <c r="A2487" s="206"/>
      <c r="B2487" s="336"/>
      <c r="C2487" s="336"/>
      <c r="D2487" s="336"/>
      <c r="E2487" s="336"/>
      <c r="F2487" s="336"/>
      <c r="G2487" s="337"/>
      <c r="H2487" s="174" t="s">
        <v>171</v>
      </c>
      <c r="I2487" s="238">
        <f>SUM(I2481:I2486)</f>
        <v>6426</v>
      </c>
      <c r="J2487" s="104">
        <f>SUM(J2481:J2486)</f>
        <v>6700</v>
      </c>
      <c r="K2487" s="325" t="s">
        <v>434</v>
      </c>
    </row>
    <row r="2488" spans="1:11" x14ac:dyDescent="0.25">
      <c r="A2488" s="31" t="s">
        <v>512</v>
      </c>
      <c r="B2488" s="37" t="s">
        <v>322</v>
      </c>
      <c r="C2488" s="34" t="s">
        <v>114</v>
      </c>
      <c r="D2488" s="108">
        <v>13.8</v>
      </c>
      <c r="E2488" s="34" t="s">
        <v>79</v>
      </c>
      <c r="F2488" s="109">
        <v>6.8</v>
      </c>
      <c r="G2488" s="36">
        <f t="shared" ref="G2488:G2493" si="574">F2488*6.3</f>
        <v>42.839999999999996</v>
      </c>
      <c r="H2488" s="37">
        <v>24</v>
      </c>
      <c r="I2488" s="109">
        <f t="shared" ref="I2488:I2493" si="575">G2488*H2488</f>
        <v>1028.1599999999999</v>
      </c>
      <c r="J2488" s="123">
        <v>900</v>
      </c>
    </row>
    <row r="2489" spans="1:11" x14ac:dyDescent="0.25">
      <c r="A2489" s="31" t="s">
        <v>512</v>
      </c>
      <c r="B2489" s="37" t="s">
        <v>323</v>
      </c>
      <c r="C2489" s="34" t="s">
        <v>86</v>
      </c>
      <c r="D2489" s="108">
        <v>9.1999999999999993</v>
      </c>
      <c r="E2489" s="34" t="s">
        <v>79</v>
      </c>
      <c r="F2489" s="110">
        <v>9.5</v>
      </c>
      <c r="G2489" s="36">
        <f t="shared" si="574"/>
        <v>59.85</v>
      </c>
      <c r="H2489" s="37">
        <v>24</v>
      </c>
      <c r="I2489" s="109">
        <f t="shared" si="575"/>
        <v>1436.4</v>
      </c>
      <c r="J2489" s="123">
        <v>1400</v>
      </c>
    </row>
    <row r="2490" spans="1:11" x14ac:dyDescent="0.25">
      <c r="A2490" s="31" t="s">
        <v>512</v>
      </c>
      <c r="B2490" s="50" t="s">
        <v>324</v>
      </c>
      <c r="C2490" s="34" t="s">
        <v>443</v>
      </c>
      <c r="D2490" s="108" t="s">
        <v>38</v>
      </c>
      <c r="E2490" s="34" t="s">
        <v>79</v>
      </c>
      <c r="F2490" s="36">
        <v>3.7</v>
      </c>
      <c r="G2490" s="36">
        <f t="shared" si="574"/>
        <v>23.31</v>
      </c>
      <c r="H2490" s="37">
        <v>24</v>
      </c>
      <c r="I2490" s="109">
        <f t="shared" si="575"/>
        <v>559.43999999999994</v>
      </c>
      <c r="J2490" s="123">
        <v>500</v>
      </c>
    </row>
    <row r="2491" spans="1:11" x14ac:dyDescent="0.25">
      <c r="A2491" s="31" t="s">
        <v>512</v>
      </c>
      <c r="B2491" s="75" t="s">
        <v>317</v>
      </c>
      <c r="C2491" s="111" t="s">
        <v>156</v>
      </c>
      <c r="D2491" s="111">
        <v>54.15</v>
      </c>
      <c r="E2491" s="42" t="s">
        <v>79</v>
      </c>
      <c r="F2491" s="74">
        <v>10.8</v>
      </c>
      <c r="G2491" s="36">
        <f t="shared" si="574"/>
        <v>68.040000000000006</v>
      </c>
      <c r="H2491" s="37">
        <v>24</v>
      </c>
      <c r="I2491" s="109">
        <f t="shared" si="575"/>
        <v>1632.96</v>
      </c>
      <c r="J2491" s="123">
        <v>1600</v>
      </c>
    </row>
    <row r="2492" spans="1:11" x14ac:dyDescent="0.25">
      <c r="A2492" s="31" t="s">
        <v>512</v>
      </c>
      <c r="B2492" s="37" t="s">
        <v>325</v>
      </c>
      <c r="C2492" s="34" t="s">
        <v>158</v>
      </c>
      <c r="D2492" s="46">
        <v>31.2</v>
      </c>
      <c r="E2492" s="34" t="s">
        <v>79</v>
      </c>
      <c r="F2492" s="74">
        <v>6.9</v>
      </c>
      <c r="G2492" s="36">
        <f t="shared" si="574"/>
        <v>43.47</v>
      </c>
      <c r="H2492" s="37">
        <v>24</v>
      </c>
      <c r="I2492" s="109">
        <f t="shared" si="575"/>
        <v>1043.28</v>
      </c>
      <c r="J2492" s="123">
        <v>1000</v>
      </c>
    </row>
    <row r="2493" spans="1:11" ht="15.75" thickBot="1" x14ac:dyDescent="0.3">
      <c r="A2493" s="31" t="s">
        <v>512</v>
      </c>
      <c r="B2493" s="43" t="s">
        <v>326</v>
      </c>
      <c r="C2493" s="52" t="s">
        <v>152</v>
      </c>
      <c r="D2493" s="72">
        <v>0.6</v>
      </c>
      <c r="E2493" s="42" t="s">
        <v>79</v>
      </c>
      <c r="F2493" s="73">
        <v>9</v>
      </c>
      <c r="G2493" s="74">
        <f t="shared" si="574"/>
        <v>56.699999999999996</v>
      </c>
      <c r="H2493" s="43">
        <v>24</v>
      </c>
      <c r="I2493" s="328">
        <f t="shared" si="575"/>
        <v>1360.8</v>
      </c>
      <c r="J2493" s="124">
        <v>1300</v>
      </c>
    </row>
    <row r="2494" spans="1:11" ht="19.5" thickBot="1" x14ac:dyDescent="0.35">
      <c r="A2494" s="206"/>
      <c r="B2494" s="336"/>
      <c r="C2494" s="336"/>
      <c r="D2494" s="336"/>
      <c r="E2494" s="336"/>
      <c r="F2494" s="336"/>
      <c r="G2494" s="337"/>
      <c r="H2494" s="174" t="s">
        <v>171</v>
      </c>
      <c r="I2494" s="238">
        <f>SUM(I2488:I2493)</f>
        <v>7061.04</v>
      </c>
      <c r="J2494" s="104">
        <f>SUM(J2488:J2493)</f>
        <v>6700</v>
      </c>
    </row>
    <row r="2495" spans="1:11" x14ac:dyDescent="0.25">
      <c r="A2495" s="31" t="s">
        <v>513</v>
      </c>
      <c r="B2495" s="37" t="s">
        <v>322</v>
      </c>
      <c r="C2495" s="34" t="s">
        <v>114</v>
      </c>
      <c r="D2495" s="108">
        <v>14.2</v>
      </c>
      <c r="E2495" s="34" t="s">
        <v>79</v>
      </c>
      <c r="F2495" s="109">
        <v>6.8</v>
      </c>
      <c r="G2495" s="36">
        <f t="shared" ref="G2495:G2500" si="576">F2495*6.3</f>
        <v>42.839999999999996</v>
      </c>
      <c r="H2495" s="37">
        <v>24</v>
      </c>
      <c r="I2495" s="109">
        <f t="shared" ref="I2495:I2500" si="577">G2495*H2495</f>
        <v>1028.1599999999999</v>
      </c>
      <c r="J2495" s="123">
        <v>900</v>
      </c>
    </row>
    <row r="2496" spans="1:11" x14ac:dyDescent="0.25">
      <c r="A2496" s="31" t="s">
        <v>513</v>
      </c>
      <c r="B2496" s="37" t="s">
        <v>323</v>
      </c>
      <c r="C2496" s="34" t="s">
        <v>86</v>
      </c>
      <c r="D2496" s="108">
        <v>11</v>
      </c>
      <c r="E2496" s="34" t="s">
        <v>79</v>
      </c>
      <c r="F2496" s="110">
        <v>9.6</v>
      </c>
      <c r="G2496" s="36">
        <f t="shared" si="576"/>
        <v>60.48</v>
      </c>
      <c r="H2496" s="37">
        <v>24</v>
      </c>
      <c r="I2496" s="109">
        <f t="shared" si="577"/>
        <v>1451.52</v>
      </c>
      <c r="J2496" s="123">
        <v>1400</v>
      </c>
    </row>
    <row r="2497" spans="1:10" x14ac:dyDescent="0.25">
      <c r="A2497" s="31" t="s">
        <v>513</v>
      </c>
      <c r="B2497" s="50" t="s">
        <v>324</v>
      </c>
      <c r="C2497" s="34" t="s">
        <v>443</v>
      </c>
      <c r="D2497" s="108" t="s">
        <v>38</v>
      </c>
      <c r="E2497" s="34" t="s">
        <v>79</v>
      </c>
      <c r="F2497" s="36">
        <v>3.8</v>
      </c>
      <c r="G2497" s="36">
        <f t="shared" si="576"/>
        <v>23.939999999999998</v>
      </c>
      <c r="H2497" s="37">
        <v>24</v>
      </c>
      <c r="I2497" s="109">
        <f t="shared" si="577"/>
        <v>574.55999999999995</v>
      </c>
      <c r="J2497" s="123">
        <v>500</v>
      </c>
    </row>
    <row r="2498" spans="1:10" x14ac:dyDescent="0.25">
      <c r="A2498" s="31" t="s">
        <v>513</v>
      </c>
      <c r="B2498" s="75" t="s">
        <v>317</v>
      </c>
      <c r="C2498" s="111" t="s">
        <v>156</v>
      </c>
      <c r="D2498" s="111">
        <v>55</v>
      </c>
      <c r="E2498" s="42" t="s">
        <v>79</v>
      </c>
      <c r="F2498" s="74">
        <v>10.8</v>
      </c>
      <c r="G2498" s="36">
        <f t="shared" si="576"/>
        <v>68.040000000000006</v>
      </c>
      <c r="H2498" s="37">
        <v>24</v>
      </c>
      <c r="I2498" s="109">
        <f t="shared" si="577"/>
        <v>1632.96</v>
      </c>
      <c r="J2498" s="123">
        <v>1600</v>
      </c>
    </row>
    <row r="2499" spans="1:10" x14ac:dyDescent="0.25">
      <c r="A2499" s="31" t="s">
        <v>513</v>
      </c>
      <c r="B2499" s="37" t="s">
        <v>325</v>
      </c>
      <c r="C2499" s="34" t="s">
        <v>158</v>
      </c>
      <c r="D2499" s="46">
        <v>32.4</v>
      </c>
      <c r="E2499" s="34" t="s">
        <v>79</v>
      </c>
      <c r="F2499" s="74">
        <v>7</v>
      </c>
      <c r="G2499" s="36">
        <f t="shared" si="576"/>
        <v>44.1</v>
      </c>
      <c r="H2499" s="37">
        <v>24</v>
      </c>
      <c r="I2499" s="109">
        <f t="shared" si="577"/>
        <v>1058.4000000000001</v>
      </c>
      <c r="J2499" s="123">
        <v>1000</v>
      </c>
    </row>
    <row r="2500" spans="1:10" ht="15.75" thickBot="1" x14ac:dyDescent="0.3">
      <c r="A2500" s="31" t="s">
        <v>513</v>
      </c>
      <c r="B2500" s="43" t="s">
        <v>326</v>
      </c>
      <c r="C2500" s="52" t="s">
        <v>152</v>
      </c>
      <c r="D2500" s="72">
        <v>0.6</v>
      </c>
      <c r="E2500" s="42" t="s">
        <v>79</v>
      </c>
      <c r="F2500" s="73">
        <v>9.1999999999999993</v>
      </c>
      <c r="G2500" s="74">
        <f t="shared" si="576"/>
        <v>57.959999999999994</v>
      </c>
      <c r="H2500" s="43">
        <v>24</v>
      </c>
      <c r="I2500" s="328">
        <f t="shared" si="577"/>
        <v>1391.04</v>
      </c>
      <c r="J2500" s="124">
        <v>1300</v>
      </c>
    </row>
    <row r="2501" spans="1:10" ht="19.5" thickBot="1" x14ac:dyDescent="0.35">
      <c r="A2501" s="206"/>
      <c r="B2501" s="336"/>
      <c r="C2501" s="336"/>
      <c r="D2501" s="336"/>
      <c r="E2501" s="336"/>
      <c r="F2501" s="336"/>
      <c r="G2501" s="337"/>
      <c r="H2501" s="174" t="s">
        <v>171</v>
      </c>
      <c r="I2501" s="238">
        <f>SUM(I2495:I2500)</f>
        <v>7136.64</v>
      </c>
      <c r="J2501" s="104">
        <f>SUM(J2495:J2500)</f>
        <v>6700</v>
      </c>
    </row>
    <row r="2502" spans="1:10" x14ac:dyDescent="0.25">
      <c r="A2502" s="31" t="s">
        <v>514</v>
      </c>
      <c r="B2502" s="37" t="s">
        <v>322</v>
      </c>
      <c r="C2502" s="34" t="s">
        <v>114</v>
      </c>
      <c r="D2502" s="108">
        <v>13</v>
      </c>
      <c r="E2502" s="34" t="s">
        <v>79</v>
      </c>
      <c r="F2502" s="109">
        <v>6.6</v>
      </c>
      <c r="G2502" s="36">
        <f t="shared" ref="G2502:G2507" si="578">F2502*6.3</f>
        <v>41.58</v>
      </c>
      <c r="H2502" s="37">
        <v>24</v>
      </c>
      <c r="I2502" s="109">
        <f t="shared" ref="I2502:I2507" si="579">G2502*H2502</f>
        <v>997.92</v>
      </c>
      <c r="J2502" s="123">
        <v>900</v>
      </c>
    </row>
    <row r="2503" spans="1:10" x14ac:dyDescent="0.25">
      <c r="A2503" s="31" t="s">
        <v>514</v>
      </c>
      <c r="B2503" s="37" t="s">
        <v>323</v>
      </c>
      <c r="C2503" s="34" t="s">
        <v>86</v>
      </c>
      <c r="D2503" s="108">
        <v>9.4</v>
      </c>
      <c r="E2503" s="34" t="s">
        <v>79</v>
      </c>
      <c r="F2503" s="110">
        <v>9.5</v>
      </c>
      <c r="G2503" s="36">
        <f t="shared" si="578"/>
        <v>59.85</v>
      </c>
      <c r="H2503" s="37">
        <v>24</v>
      </c>
      <c r="I2503" s="109">
        <f t="shared" si="579"/>
        <v>1436.4</v>
      </c>
      <c r="J2503" s="123">
        <v>1400</v>
      </c>
    </row>
    <row r="2504" spans="1:10" x14ac:dyDescent="0.25">
      <c r="A2504" s="31" t="s">
        <v>514</v>
      </c>
      <c r="B2504" s="50" t="s">
        <v>324</v>
      </c>
      <c r="C2504" s="34" t="s">
        <v>443</v>
      </c>
      <c r="D2504" s="108" t="s">
        <v>38</v>
      </c>
      <c r="E2504" s="34" t="s">
        <v>79</v>
      </c>
      <c r="F2504" s="36">
        <v>3.8</v>
      </c>
      <c r="G2504" s="36">
        <f t="shared" si="578"/>
        <v>23.939999999999998</v>
      </c>
      <c r="H2504" s="37">
        <v>24</v>
      </c>
      <c r="I2504" s="109">
        <f t="shared" si="579"/>
        <v>574.55999999999995</v>
      </c>
      <c r="J2504" s="123">
        <v>500</v>
      </c>
    </row>
    <row r="2505" spans="1:10" x14ac:dyDescent="0.25">
      <c r="A2505" s="31" t="s">
        <v>514</v>
      </c>
      <c r="B2505" s="75" t="s">
        <v>317</v>
      </c>
      <c r="C2505" s="111" t="s">
        <v>156</v>
      </c>
      <c r="D2505" s="111">
        <v>53.4</v>
      </c>
      <c r="E2505" s="42" t="s">
        <v>79</v>
      </c>
      <c r="F2505" s="74">
        <v>10.9</v>
      </c>
      <c r="G2505" s="36">
        <f t="shared" si="578"/>
        <v>68.67</v>
      </c>
      <c r="H2505" s="37">
        <v>24</v>
      </c>
      <c r="I2505" s="109">
        <f t="shared" si="579"/>
        <v>1648.08</v>
      </c>
      <c r="J2505" s="123">
        <v>1600</v>
      </c>
    </row>
    <row r="2506" spans="1:10" x14ac:dyDescent="0.25">
      <c r="A2506" s="31" t="s">
        <v>514</v>
      </c>
      <c r="B2506" s="37" t="s">
        <v>325</v>
      </c>
      <c r="C2506" s="34" t="s">
        <v>158</v>
      </c>
      <c r="D2506" s="46">
        <v>31</v>
      </c>
      <c r="E2506" s="34" t="s">
        <v>79</v>
      </c>
      <c r="F2506" s="74">
        <v>6.9</v>
      </c>
      <c r="G2506" s="36">
        <f t="shared" si="578"/>
        <v>43.47</v>
      </c>
      <c r="H2506" s="37">
        <v>24</v>
      </c>
      <c r="I2506" s="109">
        <f t="shared" si="579"/>
        <v>1043.28</v>
      </c>
      <c r="J2506" s="123">
        <v>1000</v>
      </c>
    </row>
    <row r="2507" spans="1:10" ht="15.75" thickBot="1" x14ac:dyDescent="0.3">
      <c r="A2507" s="31" t="s">
        <v>514</v>
      </c>
      <c r="B2507" s="43" t="s">
        <v>326</v>
      </c>
      <c r="C2507" s="52" t="s">
        <v>152</v>
      </c>
      <c r="D2507" s="72">
        <v>0.3</v>
      </c>
      <c r="E2507" s="42" t="s">
        <v>79</v>
      </c>
      <c r="F2507" s="73">
        <v>9.3000000000000007</v>
      </c>
      <c r="G2507" s="74">
        <f t="shared" si="578"/>
        <v>58.59</v>
      </c>
      <c r="H2507" s="43">
        <v>24</v>
      </c>
      <c r="I2507" s="328">
        <f t="shared" si="579"/>
        <v>1406.16</v>
      </c>
      <c r="J2507" s="124">
        <v>1300</v>
      </c>
    </row>
    <row r="2508" spans="1:10" ht="19.5" thickBot="1" x14ac:dyDescent="0.35">
      <c r="A2508" s="206"/>
      <c r="B2508" s="336"/>
      <c r="C2508" s="336"/>
      <c r="D2508" s="336"/>
      <c r="E2508" s="336"/>
      <c r="F2508" s="336"/>
      <c r="G2508" s="337"/>
      <c r="H2508" s="174" t="s">
        <v>171</v>
      </c>
      <c r="I2508" s="238">
        <f>SUM(I2502:I2507)</f>
        <v>7106.4</v>
      </c>
      <c r="J2508" s="104">
        <f>SUM(J2502:J2507)</f>
        <v>6700</v>
      </c>
    </row>
    <row r="2509" spans="1:10" x14ac:dyDescent="0.25">
      <c r="A2509" s="31" t="s">
        <v>515</v>
      </c>
      <c r="B2509" s="37" t="s">
        <v>322</v>
      </c>
      <c r="C2509" s="34" t="s">
        <v>114</v>
      </c>
      <c r="D2509" s="108">
        <v>12</v>
      </c>
      <c r="E2509" s="34" t="s">
        <v>79</v>
      </c>
      <c r="F2509" s="109">
        <v>6.6</v>
      </c>
      <c r="G2509" s="36">
        <f t="shared" ref="G2509:G2514" si="580">F2509*6.3</f>
        <v>41.58</v>
      </c>
      <c r="H2509" s="37">
        <v>24</v>
      </c>
      <c r="I2509" s="109">
        <f t="shared" ref="I2509:I2514" si="581">G2509*H2509</f>
        <v>997.92</v>
      </c>
      <c r="J2509" s="123">
        <v>900</v>
      </c>
    </row>
    <row r="2510" spans="1:10" x14ac:dyDescent="0.25">
      <c r="A2510" s="31" t="s">
        <v>515</v>
      </c>
      <c r="B2510" s="37" t="s">
        <v>323</v>
      </c>
      <c r="C2510" s="34" t="s">
        <v>86</v>
      </c>
      <c r="D2510" s="108">
        <v>6</v>
      </c>
      <c r="E2510" s="34" t="s">
        <v>79</v>
      </c>
      <c r="F2510" s="110">
        <v>9.6</v>
      </c>
      <c r="G2510" s="36">
        <f t="shared" si="580"/>
        <v>60.48</v>
      </c>
      <c r="H2510" s="37">
        <v>24</v>
      </c>
      <c r="I2510" s="109">
        <f t="shared" si="581"/>
        <v>1451.52</v>
      </c>
      <c r="J2510" s="123">
        <v>1400</v>
      </c>
    </row>
    <row r="2511" spans="1:10" x14ac:dyDescent="0.25">
      <c r="A2511" s="31" t="s">
        <v>515</v>
      </c>
      <c r="B2511" s="50" t="s">
        <v>324</v>
      </c>
      <c r="C2511" s="34" t="s">
        <v>443</v>
      </c>
      <c r="D2511" s="108" t="s">
        <v>38</v>
      </c>
      <c r="E2511" s="34" t="s">
        <v>79</v>
      </c>
      <c r="F2511" s="36">
        <v>3.8</v>
      </c>
      <c r="G2511" s="36">
        <f t="shared" si="580"/>
        <v>23.939999999999998</v>
      </c>
      <c r="H2511" s="37">
        <v>24</v>
      </c>
      <c r="I2511" s="109">
        <f t="shared" si="581"/>
        <v>574.55999999999995</v>
      </c>
      <c r="J2511" s="123">
        <v>500</v>
      </c>
    </row>
    <row r="2512" spans="1:10" x14ac:dyDescent="0.25">
      <c r="A2512" s="31" t="s">
        <v>515</v>
      </c>
      <c r="B2512" s="75" t="s">
        <v>317</v>
      </c>
      <c r="C2512" s="111" t="s">
        <v>156</v>
      </c>
      <c r="D2512" s="111">
        <v>53.4</v>
      </c>
      <c r="E2512" s="42" t="s">
        <v>79</v>
      </c>
      <c r="F2512" s="74">
        <v>11</v>
      </c>
      <c r="G2512" s="36">
        <f t="shared" si="580"/>
        <v>69.3</v>
      </c>
      <c r="H2512" s="37">
        <v>24</v>
      </c>
      <c r="I2512" s="109">
        <f t="shared" si="581"/>
        <v>1663.1999999999998</v>
      </c>
      <c r="J2512" s="123">
        <v>1600</v>
      </c>
    </row>
    <row r="2513" spans="1:10" x14ac:dyDescent="0.25">
      <c r="A2513" s="31" t="s">
        <v>515</v>
      </c>
      <c r="B2513" s="37" t="s">
        <v>325</v>
      </c>
      <c r="C2513" s="34" t="s">
        <v>158</v>
      </c>
      <c r="D2513" s="46">
        <v>31</v>
      </c>
      <c r="E2513" s="34" t="s">
        <v>79</v>
      </c>
      <c r="F2513" s="74">
        <v>6.9</v>
      </c>
      <c r="G2513" s="36">
        <f t="shared" si="580"/>
        <v>43.47</v>
      </c>
      <c r="H2513" s="37">
        <v>24</v>
      </c>
      <c r="I2513" s="109">
        <f t="shared" si="581"/>
        <v>1043.28</v>
      </c>
      <c r="J2513" s="123">
        <v>1000</v>
      </c>
    </row>
    <row r="2514" spans="1:10" ht="15.75" thickBot="1" x14ac:dyDescent="0.3">
      <c r="A2514" s="31" t="s">
        <v>515</v>
      </c>
      <c r="B2514" s="43" t="s">
        <v>326</v>
      </c>
      <c r="C2514" s="52" t="s">
        <v>152</v>
      </c>
      <c r="D2514" s="72">
        <v>0.3</v>
      </c>
      <c r="E2514" s="42" t="s">
        <v>79</v>
      </c>
      <c r="F2514" s="73">
        <v>9.17</v>
      </c>
      <c r="G2514" s="74">
        <f t="shared" si="580"/>
        <v>57.771000000000001</v>
      </c>
      <c r="H2514" s="43">
        <v>24</v>
      </c>
      <c r="I2514" s="328">
        <f t="shared" si="581"/>
        <v>1386.5039999999999</v>
      </c>
      <c r="J2514" s="124">
        <v>1300</v>
      </c>
    </row>
    <row r="2515" spans="1:10" ht="19.5" thickBot="1" x14ac:dyDescent="0.35">
      <c r="A2515" s="206"/>
      <c r="B2515" s="336"/>
      <c r="C2515" s="336"/>
      <c r="D2515" s="336"/>
      <c r="E2515" s="336"/>
      <c r="F2515" s="336"/>
      <c r="G2515" s="337"/>
      <c r="H2515" s="174" t="s">
        <v>171</v>
      </c>
      <c r="I2515" s="238">
        <f>SUM(I2509:I2514)</f>
        <v>7116.9839999999995</v>
      </c>
      <c r="J2515" s="104">
        <f>SUM(J2509:J2514)</f>
        <v>6700</v>
      </c>
    </row>
    <row r="2516" spans="1:10" x14ac:dyDescent="0.25">
      <c r="A2516" s="31" t="s">
        <v>516</v>
      </c>
      <c r="B2516" s="37" t="s">
        <v>322</v>
      </c>
      <c r="C2516" s="34" t="s">
        <v>114</v>
      </c>
      <c r="D2516" s="108">
        <v>10.5</v>
      </c>
      <c r="E2516" s="34" t="s">
        <v>79</v>
      </c>
      <c r="F2516" s="109">
        <v>6.9</v>
      </c>
      <c r="G2516" s="36">
        <f t="shared" ref="G2516:G2521" si="582">F2516*6.3</f>
        <v>43.47</v>
      </c>
      <c r="H2516" s="37">
        <v>24</v>
      </c>
      <c r="I2516" s="109">
        <f t="shared" ref="I2516:I2521" si="583">G2516*H2516</f>
        <v>1043.28</v>
      </c>
      <c r="J2516" s="123">
        <v>900</v>
      </c>
    </row>
    <row r="2517" spans="1:10" x14ac:dyDescent="0.25">
      <c r="A2517" s="31" t="s">
        <v>516</v>
      </c>
      <c r="B2517" s="37" t="s">
        <v>323</v>
      </c>
      <c r="C2517" s="34" t="s">
        <v>86</v>
      </c>
      <c r="D2517" s="108">
        <v>4</v>
      </c>
      <c r="E2517" s="34" t="s">
        <v>79</v>
      </c>
      <c r="F2517" s="110">
        <v>9.4</v>
      </c>
      <c r="G2517" s="36">
        <f t="shared" si="582"/>
        <v>59.22</v>
      </c>
      <c r="H2517" s="37">
        <v>24</v>
      </c>
      <c r="I2517" s="109">
        <f t="shared" si="583"/>
        <v>1421.28</v>
      </c>
      <c r="J2517" s="123">
        <v>1400</v>
      </c>
    </row>
    <row r="2518" spans="1:10" x14ac:dyDescent="0.25">
      <c r="A2518" s="31" t="s">
        <v>516</v>
      </c>
      <c r="B2518" s="50" t="s">
        <v>324</v>
      </c>
      <c r="C2518" s="34" t="s">
        <v>443</v>
      </c>
      <c r="D2518" s="108" t="s">
        <v>38</v>
      </c>
      <c r="E2518" s="34" t="s">
        <v>79</v>
      </c>
      <c r="F2518" s="36">
        <v>3.8</v>
      </c>
      <c r="G2518" s="36">
        <f t="shared" si="582"/>
        <v>23.939999999999998</v>
      </c>
      <c r="H2518" s="37">
        <v>24</v>
      </c>
      <c r="I2518" s="109">
        <f t="shared" si="583"/>
        <v>574.55999999999995</v>
      </c>
      <c r="J2518" s="123">
        <v>500</v>
      </c>
    </row>
    <row r="2519" spans="1:10" x14ac:dyDescent="0.25">
      <c r="A2519" s="31" t="s">
        <v>516</v>
      </c>
      <c r="B2519" s="75" t="s">
        <v>317</v>
      </c>
      <c r="C2519" s="111" t="s">
        <v>156</v>
      </c>
      <c r="D2519" s="111">
        <v>45</v>
      </c>
      <c r="E2519" s="42" t="s">
        <v>79</v>
      </c>
      <c r="F2519" s="74">
        <v>10.8</v>
      </c>
      <c r="G2519" s="36">
        <f t="shared" si="582"/>
        <v>68.040000000000006</v>
      </c>
      <c r="H2519" s="37">
        <v>24</v>
      </c>
      <c r="I2519" s="109">
        <f t="shared" si="583"/>
        <v>1632.96</v>
      </c>
      <c r="J2519" s="123">
        <v>1600</v>
      </c>
    </row>
    <row r="2520" spans="1:10" x14ac:dyDescent="0.25">
      <c r="A2520" s="31" t="s">
        <v>516</v>
      </c>
      <c r="B2520" s="37" t="s">
        <v>325</v>
      </c>
      <c r="C2520" s="34" t="s">
        <v>158</v>
      </c>
      <c r="D2520" s="46">
        <v>30</v>
      </c>
      <c r="E2520" s="34" t="s">
        <v>79</v>
      </c>
      <c r="F2520" s="74">
        <v>7</v>
      </c>
      <c r="G2520" s="36">
        <f t="shared" si="582"/>
        <v>44.1</v>
      </c>
      <c r="H2520" s="37">
        <v>24</v>
      </c>
      <c r="I2520" s="109">
        <f t="shared" si="583"/>
        <v>1058.4000000000001</v>
      </c>
      <c r="J2520" s="123">
        <v>1000</v>
      </c>
    </row>
    <row r="2521" spans="1:10" ht="15.75" thickBot="1" x14ac:dyDescent="0.3">
      <c r="A2521" s="31" t="s">
        <v>516</v>
      </c>
      <c r="B2521" s="43" t="s">
        <v>326</v>
      </c>
      <c r="C2521" s="52" t="s">
        <v>152</v>
      </c>
      <c r="D2521" s="72">
        <v>0.3</v>
      </c>
      <c r="E2521" s="42" t="s">
        <v>79</v>
      </c>
      <c r="F2521" s="73">
        <v>9.3000000000000007</v>
      </c>
      <c r="G2521" s="74">
        <f t="shared" si="582"/>
        <v>58.59</v>
      </c>
      <c r="H2521" s="43">
        <v>24</v>
      </c>
      <c r="I2521" s="328">
        <f t="shared" si="583"/>
        <v>1406.16</v>
      </c>
      <c r="J2521" s="124">
        <v>1300</v>
      </c>
    </row>
    <row r="2522" spans="1:10" ht="19.5" thickBot="1" x14ac:dyDescent="0.35">
      <c r="A2522" s="206"/>
      <c r="B2522" s="336"/>
      <c r="C2522" s="336"/>
      <c r="D2522" s="336"/>
      <c r="E2522" s="336"/>
      <c r="F2522" s="336"/>
      <c r="G2522" s="337"/>
      <c r="H2522" s="174" t="s">
        <v>171</v>
      </c>
      <c r="I2522" s="238">
        <f>SUM(I2516:I2521)</f>
        <v>7136.6399999999994</v>
      </c>
      <c r="J2522" s="104">
        <f>SUM(J2516:J2521)</f>
        <v>6700</v>
      </c>
    </row>
    <row r="2523" spans="1:10" x14ac:dyDescent="0.25">
      <c r="A2523" s="31" t="s">
        <v>517</v>
      </c>
      <c r="B2523" s="37" t="s">
        <v>322</v>
      </c>
      <c r="C2523" s="34" t="s">
        <v>114</v>
      </c>
      <c r="D2523" s="108">
        <v>10</v>
      </c>
      <c r="E2523" s="34" t="s">
        <v>79</v>
      </c>
      <c r="F2523" s="109">
        <v>5.5</v>
      </c>
      <c r="G2523" s="36">
        <f t="shared" ref="G2523:G2528" si="584">F2523*6.3</f>
        <v>34.65</v>
      </c>
      <c r="H2523" s="37">
        <v>24</v>
      </c>
      <c r="I2523" s="109">
        <f t="shared" ref="I2523:I2528" si="585">G2523*H2523</f>
        <v>831.59999999999991</v>
      </c>
      <c r="J2523" s="123">
        <v>900</v>
      </c>
    </row>
    <row r="2524" spans="1:10" x14ac:dyDescent="0.25">
      <c r="A2524" s="31" t="s">
        <v>517</v>
      </c>
      <c r="B2524" s="37" t="s">
        <v>323</v>
      </c>
      <c r="C2524" s="34" t="s">
        <v>86</v>
      </c>
      <c r="D2524" s="108">
        <v>6</v>
      </c>
      <c r="E2524" s="34" t="s">
        <v>79</v>
      </c>
      <c r="F2524" s="110">
        <v>11.4</v>
      </c>
      <c r="G2524" s="36">
        <f t="shared" si="584"/>
        <v>71.819999999999993</v>
      </c>
      <c r="H2524" s="37">
        <v>24</v>
      </c>
      <c r="I2524" s="109">
        <f t="shared" si="585"/>
        <v>1723.6799999999998</v>
      </c>
      <c r="J2524" s="123">
        <v>1400</v>
      </c>
    </row>
    <row r="2525" spans="1:10" x14ac:dyDescent="0.25">
      <c r="A2525" s="31" t="s">
        <v>517</v>
      </c>
      <c r="B2525" s="50" t="s">
        <v>324</v>
      </c>
      <c r="C2525" s="34" t="s">
        <v>443</v>
      </c>
      <c r="D2525" s="108" t="s">
        <v>38</v>
      </c>
      <c r="E2525" s="34" t="s">
        <v>79</v>
      </c>
      <c r="F2525" s="36">
        <v>3.8</v>
      </c>
      <c r="G2525" s="36">
        <f t="shared" si="584"/>
        <v>23.939999999999998</v>
      </c>
      <c r="H2525" s="37">
        <v>24</v>
      </c>
      <c r="I2525" s="109">
        <f t="shared" si="585"/>
        <v>574.55999999999995</v>
      </c>
      <c r="J2525" s="123">
        <v>500</v>
      </c>
    </row>
    <row r="2526" spans="1:10" x14ac:dyDescent="0.25">
      <c r="A2526" s="31" t="s">
        <v>517</v>
      </c>
      <c r="B2526" s="75" t="s">
        <v>317</v>
      </c>
      <c r="C2526" s="111" t="s">
        <v>156</v>
      </c>
      <c r="D2526" s="111">
        <v>26</v>
      </c>
      <c r="E2526" s="42" t="s">
        <v>79</v>
      </c>
      <c r="F2526" s="74">
        <v>9.6</v>
      </c>
      <c r="G2526" s="36">
        <f t="shared" si="584"/>
        <v>60.48</v>
      </c>
      <c r="H2526" s="37">
        <v>24</v>
      </c>
      <c r="I2526" s="109">
        <f t="shared" si="585"/>
        <v>1451.52</v>
      </c>
      <c r="J2526" s="123">
        <v>1600</v>
      </c>
    </row>
    <row r="2527" spans="1:10" x14ac:dyDescent="0.25">
      <c r="A2527" s="31" t="s">
        <v>517</v>
      </c>
      <c r="B2527" s="37" t="s">
        <v>325</v>
      </c>
      <c r="C2527" s="34" t="s">
        <v>158</v>
      </c>
      <c r="D2527" s="46">
        <v>27</v>
      </c>
      <c r="E2527" s="34" t="s">
        <v>79</v>
      </c>
      <c r="F2527" s="74">
        <v>6.3</v>
      </c>
      <c r="G2527" s="36">
        <f t="shared" si="584"/>
        <v>39.69</v>
      </c>
      <c r="H2527" s="37">
        <v>24</v>
      </c>
      <c r="I2527" s="109">
        <f t="shared" si="585"/>
        <v>952.56</v>
      </c>
      <c r="J2527" s="123">
        <v>1000</v>
      </c>
    </row>
    <row r="2528" spans="1:10" ht="15.75" thickBot="1" x14ac:dyDescent="0.3">
      <c r="A2528" s="31" t="s">
        <v>517</v>
      </c>
      <c r="B2528" s="43" t="s">
        <v>326</v>
      </c>
      <c r="C2528" s="52" t="s">
        <v>152</v>
      </c>
      <c r="D2528" s="72">
        <v>0.3</v>
      </c>
      <c r="E2528" s="42" t="s">
        <v>79</v>
      </c>
      <c r="F2528" s="73">
        <v>8.6999999999999993</v>
      </c>
      <c r="G2528" s="74">
        <f t="shared" si="584"/>
        <v>54.809999999999995</v>
      </c>
      <c r="H2528" s="43">
        <v>24</v>
      </c>
      <c r="I2528" s="328">
        <f t="shared" si="585"/>
        <v>1315.4399999999998</v>
      </c>
      <c r="J2528" s="124">
        <v>1300</v>
      </c>
    </row>
    <row r="2529" spans="1:10" ht="19.5" thickBot="1" x14ac:dyDescent="0.35">
      <c r="A2529" s="206"/>
      <c r="B2529" s="336"/>
      <c r="C2529" s="336"/>
      <c r="D2529" s="336"/>
      <c r="E2529" s="336"/>
      <c r="F2529" s="336"/>
      <c r="G2529" s="337"/>
      <c r="H2529" s="174" t="s">
        <v>171</v>
      </c>
      <c r="I2529" s="238">
        <f>SUM(I2523:I2528)</f>
        <v>6849.36</v>
      </c>
      <c r="J2529" s="104">
        <f>SUM(J2523:J2528)</f>
        <v>6700</v>
      </c>
    </row>
    <row r="2530" spans="1:10" x14ac:dyDescent="0.25">
      <c r="A2530" s="31" t="s">
        <v>518</v>
      </c>
      <c r="B2530" s="37" t="s">
        <v>322</v>
      </c>
      <c r="C2530" s="34" t="s">
        <v>114</v>
      </c>
      <c r="D2530" s="108">
        <v>10</v>
      </c>
      <c r="E2530" s="34" t="s">
        <v>79</v>
      </c>
      <c r="F2530" s="109">
        <v>6.2</v>
      </c>
      <c r="G2530" s="36">
        <f t="shared" ref="G2530:G2535" si="586">F2530*6.3</f>
        <v>39.06</v>
      </c>
      <c r="H2530" s="37">
        <v>24</v>
      </c>
      <c r="I2530" s="109">
        <f t="shared" ref="I2530:I2535" si="587">G2530*H2530</f>
        <v>937.44</v>
      </c>
      <c r="J2530" s="123">
        <v>900</v>
      </c>
    </row>
    <row r="2531" spans="1:10" x14ac:dyDescent="0.25">
      <c r="A2531" s="31" t="s">
        <v>518</v>
      </c>
      <c r="B2531" s="37" t="s">
        <v>323</v>
      </c>
      <c r="C2531" s="34" t="s">
        <v>86</v>
      </c>
      <c r="D2531" s="108">
        <v>6</v>
      </c>
      <c r="E2531" s="34" t="s">
        <v>79</v>
      </c>
      <c r="F2531" s="110">
        <v>10.3</v>
      </c>
      <c r="G2531" s="36">
        <f t="shared" si="586"/>
        <v>64.89</v>
      </c>
      <c r="H2531" s="37">
        <v>24</v>
      </c>
      <c r="I2531" s="109">
        <f t="shared" si="587"/>
        <v>1557.3600000000001</v>
      </c>
      <c r="J2531" s="123">
        <v>1400</v>
      </c>
    </row>
    <row r="2532" spans="1:10" x14ac:dyDescent="0.25">
      <c r="A2532" s="31" t="s">
        <v>518</v>
      </c>
      <c r="B2532" s="50" t="s">
        <v>324</v>
      </c>
      <c r="C2532" s="34" t="s">
        <v>443</v>
      </c>
      <c r="D2532" s="108" t="s">
        <v>38</v>
      </c>
      <c r="E2532" s="34" t="s">
        <v>79</v>
      </c>
      <c r="F2532" s="36">
        <v>3.8</v>
      </c>
      <c r="G2532" s="36">
        <f t="shared" si="586"/>
        <v>23.939999999999998</v>
      </c>
      <c r="H2532" s="37">
        <v>24</v>
      </c>
      <c r="I2532" s="109">
        <f t="shared" si="587"/>
        <v>574.55999999999995</v>
      </c>
      <c r="J2532" s="123">
        <v>500</v>
      </c>
    </row>
    <row r="2533" spans="1:10" x14ac:dyDescent="0.25">
      <c r="A2533" s="31" t="s">
        <v>518</v>
      </c>
      <c r="B2533" s="75" t="s">
        <v>317</v>
      </c>
      <c r="C2533" s="111" t="s">
        <v>156</v>
      </c>
      <c r="D2533" s="111">
        <v>34</v>
      </c>
      <c r="E2533" s="42" t="s">
        <v>79</v>
      </c>
      <c r="F2533" s="74">
        <v>10.8</v>
      </c>
      <c r="G2533" s="36">
        <f t="shared" si="586"/>
        <v>68.040000000000006</v>
      </c>
      <c r="H2533" s="37">
        <v>24</v>
      </c>
      <c r="I2533" s="109">
        <f t="shared" si="587"/>
        <v>1632.96</v>
      </c>
      <c r="J2533" s="123">
        <v>1600</v>
      </c>
    </row>
    <row r="2534" spans="1:10" x14ac:dyDescent="0.25">
      <c r="A2534" s="31" t="s">
        <v>518</v>
      </c>
      <c r="B2534" s="37" t="s">
        <v>325</v>
      </c>
      <c r="C2534" s="34" t="s">
        <v>158</v>
      </c>
      <c r="D2534" s="46">
        <v>29</v>
      </c>
      <c r="E2534" s="34" t="s">
        <v>79</v>
      </c>
      <c r="F2534" s="74">
        <v>6.9</v>
      </c>
      <c r="G2534" s="36">
        <f t="shared" si="586"/>
        <v>43.47</v>
      </c>
      <c r="H2534" s="37">
        <v>24</v>
      </c>
      <c r="I2534" s="109">
        <f t="shared" si="587"/>
        <v>1043.28</v>
      </c>
      <c r="J2534" s="123">
        <v>1000</v>
      </c>
    </row>
    <row r="2535" spans="1:10" ht="15.75" thickBot="1" x14ac:dyDescent="0.3">
      <c r="A2535" s="31" t="s">
        <v>518</v>
      </c>
      <c r="B2535" s="43" t="s">
        <v>326</v>
      </c>
      <c r="C2535" s="52" t="s">
        <v>152</v>
      </c>
      <c r="D2535" s="72">
        <v>0.3</v>
      </c>
      <c r="E2535" s="42" t="s">
        <v>79</v>
      </c>
      <c r="F2535" s="73">
        <v>9.1999999999999993</v>
      </c>
      <c r="G2535" s="74">
        <f t="shared" si="586"/>
        <v>57.959999999999994</v>
      </c>
      <c r="H2535" s="43">
        <v>24</v>
      </c>
      <c r="I2535" s="328">
        <f t="shared" si="587"/>
        <v>1391.04</v>
      </c>
      <c r="J2535" s="124">
        <v>1300</v>
      </c>
    </row>
    <row r="2536" spans="1:10" ht="19.5" thickBot="1" x14ac:dyDescent="0.35">
      <c r="A2536" s="206"/>
      <c r="B2536" s="336"/>
      <c r="C2536" s="336"/>
      <c r="D2536" s="336"/>
      <c r="E2536" s="336"/>
      <c r="F2536" s="336"/>
      <c r="G2536" s="337"/>
      <c r="H2536" s="174" t="s">
        <v>171</v>
      </c>
      <c r="I2536" s="238">
        <f>SUM(I2530:I2535)</f>
        <v>7136.6399999999994</v>
      </c>
      <c r="J2536" s="104">
        <f>SUM(J2530:J2535)</f>
        <v>6700</v>
      </c>
    </row>
    <row r="2537" spans="1:10" x14ac:dyDescent="0.25">
      <c r="A2537" s="31" t="s">
        <v>519</v>
      </c>
      <c r="B2537" s="37" t="s">
        <v>322</v>
      </c>
      <c r="C2537" s="34" t="s">
        <v>114</v>
      </c>
      <c r="D2537" s="108">
        <v>10.5</v>
      </c>
      <c r="E2537" s="34" t="s">
        <v>79</v>
      </c>
      <c r="F2537" s="109">
        <v>6.4</v>
      </c>
      <c r="G2537" s="36">
        <f t="shared" ref="G2537:G2542" si="588">F2537*6.3</f>
        <v>40.32</v>
      </c>
      <c r="H2537" s="37">
        <v>24</v>
      </c>
      <c r="I2537" s="109">
        <f t="shared" ref="I2537:I2542" si="589">G2537*H2537</f>
        <v>967.68000000000006</v>
      </c>
      <c r="J2537" s="123">
        <v>900</v>
      </c>
    </row>
    <row r="2538" spans="1:10" x14ac:dyDescent="0.25">
      <c r="A2538" s="31" t="s">
        <v>519</v>
      </c>
      <c r="B2538" s="37" t="s">
        <v>323</v>
      </c>
      <c r="C2538" s="34" t="s">
        <v>86</v>
      </c>
      <c r="D2538" s="108">
        <v>6</v>
      </c>
      <c r="E2538" s="34" t="s">
        <v>79</v>
      </c>
      <c r="F2538" s="110">
        <v>10</v>
      </c>
      <c r="G2538" s="36">
        <f t="shared" si="588"/>
        <v>63</v>
      </c>
      <c r="H2538" s="37">
        <v>24</v>
      </c>
      <c r="I2538" s="109">
        <f t="shared" si="589"/>
        <v>1512</v>
      </c>
      <c r="J2538" s="123">
        <v>1400</v>
      </c>
    </row>
    <row r="2539" spans="1:10" x14ac:dyDescent="0.25">
      <c r="A2539" s="31" t="s">
        <v>519</v>
      </c>
      <c r="B2539" s="50" t="s">
        <v>324</v>
      </c>
      <c r="C2539" s="34" t="s">
        <v>443</v>
      </c>
      <c r="D2539" s="108" t="s">
        <v>38</v>
      </c>
      <c r="E2539" s="34" t="s">
        <v>79</v>
      </c>
      <c r="F2539" s="36">
        <v>3.8</v>
      </c>
      <c r="G2539" s="36">
        <f t="shared" si="588"/>
        <v>23.939999999999998</v>
      </c>
      <c r="H2539" s="37">
        <v>24</v>
      </c>
      <c r="I2539" s="109">
        <f t="shared" si="589"/>
        <v>574.55999999999995</v>
      </c>
      <c r="J2539" s="123">
        <v>500</v>
      </c>
    </row>
    <row r="2540" spans="1:10" x14ac:dyDescent="0.25">
      <c r="A2540" s="31" t="s">
        <v>519</v>
      </c>
      <c r="B2540" s="75" t="s">
        <v>317</v>
      </c>
      <c r="C2540" s="111" t="s">
        <v>156</v>
      </c>
      <c r="D2540" s="111">
        <v>40</v>
      </c>
      <c r="E2540" s="42" t="s">
        <v>79</v>
      </c>
      <c r="F2540" s="74">
        <v>10.8</v>
      </c>
      <c r="G2540" s="36">
        <f t="shared" si="588"/>
        <v>68.040000000000006</v>
      </c>
      <c r="H2540" s="37">
        <v>24</v>
      </c>
      <c r="I2540" s="109">
        <f t="shared" si="589"/>
        <v>1632.96</v>
      </c>
      <c r="J2540" s="123">
        <v>1600</v>
      </c>
    </row>
    <row r="2541" spans="1:10" x14ac:dyDescent="0.25">
      <c r="A2541" s="31" t="s">
        <v>519</v>
      </c>
      <c r="B2541" s="37" t="s">
        <v>325</v>
      </c>
      <c r="C2541" s="34" t="s">
        <v>158</v>
      </c>
      <c r="D2541" s="46">
        <v>31</v>
      </c>
      <c r="E2541" s="34" t="s">
        <v>79</v>
      </c>
      <c r="F2541" s="74">
        <v>7</v>
      </c>
      <c r="G2541" s="36">
        <f t="shared" si="588"/>
        <v>44.1</v>
      </c>
      <c r="H2541" s="37">
        <v>24</v>
      </c>
      <c r="I2541" s="109">
        <f t="shared" si="589"/>
        <v>1058.4000000000001</v>
      </c>
      <c r="J2541" s="123">
        <v>1000</v>
      </c>
    </row>
    <row r="2542" spans="1:10" ht="15.75" thickBot="1" x14ac:dyDescent="0.3">
      <c r="A2542" s="31" t="s">
        <v>519</v>
      </c>
      <c r="B2542" s="43" t="s">
        <v>326</v>
      </c>
      <c r="C2542" s="52" t="s">
        <v>152</v>
      </c>
      <c r="D2542" s="72">
        <v>0.3</v>
      </c>
      <c r="E2542" s="42" t="s">
        <v>79</v>
      </c>
      <c r="F2542" s="73">
        <v>9.3000000000000007</v>
      </c>
      <c r="G2542" s="74">
        <f t="shared" si="588"/>
        <v>58.59</v>
      </c>
      <c r="H2542" s="43">
        <v>24</v>
      </c>
      <c r="I2542" s="328">
        <f t="shared" si="589"/>
        <v>1406.16</v>
      </c>
      <c r="J2542" s="124">
        <v>1300</v>
      </c>
    </row>
    <row r="2543" spans="1:10" ht="19.5" thickBot="1" x14ac:dyDescent="0.35">
      <c r="A2543" s="206"/>
      <c r="B2543" s="336"/>
      <c r="C2543" s="336"/>
      <c r="D2543" s="336"/>
      <c r="E2543" s="336"/>
      <c r="F2543" s="336"/>
      <c r="G2543" s="337"/>
      <c r="H2543" s="174" t="s">
        <v>171</v>
      </c>
      <c r="I2543" s="238">
        <f>SUM(I2537:I2542)</f>
        <v>7151.76</v>
      </c>
      <c r="J2543" s="104">
        <f>SUM(J2537:J2542)</f>
        <v>6700</v>
      </c>
    </row>
    <row r="2544" spans="1:10" x14ac:dyDescent="0.25">
      <c r="A2544" s="31" t="s">
        <v>520</v>
      </c>
      <c r="B2544" s="37" t="s">
        <v>322</v>
      </c>
      <c r="C2544" s="34" t="s">
        <v>114</v>
      </c>
      <c r="D2544" s="108">
        <v>11</v>
      </c>
      <c r="E2544" s="34" t="s">
        <v>79</v>
      </c>
      <c r="F2544" s="109">
        <v>6.1</v>
      </c>
      <c r="G2544" s="36">
        <f t="shared" ref="G2544:G2549" si="590">F2544*6.3</f>
        <v>38.43</v>
      </c>
      <c r="H2544" s="37">
        <v>24</v>
      </c>
      <c r="I2544" s="109">
        <f t="shared" ref="I2544:I2549" si="591">G2544*H2544</f>
        <v>922.31999999999994</v>
      </c>
      <c r="J2544" s="123">
        <v>900</v>
      </c>
    </row>
    <row r="2545" spans="1:10" x14ac:dyDescent="0.25">
      <c r="A2545" s="31" t="s">
        <v>520</v>
      </c>
      <c r="B2545" s="37" t="s">
        <v>323</v>
      </c>
      <c r="C2545" s="34" t="s">
        <v>86</v>
      </c>
      <c r="D2545" s="108">
        <v>7</v>
      </c>
      <c r="E2545" s="34" t="s">
        <v>79</v>
      </c>
      <c r="F2545" s="110">
        <v>10</v>
      </c>
      <c r="G2545" s="36">
        <f t="shared" si="590"/>
        <v>63</v>
      </c>
      <c r="H2545" s="37">
        <v>24</v>
      </c>
      <c r="I2545" s="109">
        <f t="shared" si="591"/>
        <v>1512</v>
      </c>
      <c r="J2545" s="123">
        <v>1400</v>
      </c>
    </row>
    <row r="2546" spans="1:10" x14ac:dyDescent="0.25">
      <c r="A2546" s="31" t="s">
        <v>520</v>
      </c>
      <c r="B2546" s="50" t="s">
        <v>324</v>
      </c>
      <c r="C2546" s="34" t="s">
        <v>443</v>
      </c>
      <c r="D2546" s="108" t="s">
        <v>38</v>
      </c>
      <c r="E2546" s="34" t="s">
        <v>79</v>
      </c>
      <c r="F2546" s="36">
        <v>3.8</v>
      </c>
      <c r="G2546" s="36">
        <f t="shared" si="590"/>
        <v>23.939999999999998</v>
      </c>
      <c r="H2546" s="37">
        <v>24</v>
      </c>
      <c r="I2546" s="109">
        <f t="shared" si="591"/>
        <v>574.55999999999995</v>
      </c>
      <c r="J2546" s="123">
        <v>500</v>
      </c>
    </row>
    <row r="2547" spans="1:10" x14ac:dyDescent="0.25">
      <c r="A2547" s="31" t="s">
        <v>520</v>
      </c>
      <c r="B2547" s="75" t="s">
        <v>317</v>
      </c>
      <c r="C2547" s="111" t="s">
        <v>156</v>
      </c>
      <c r="D2547" s="111">
        <v>42</v>
      </c>
      <c r="E2547" s="42" t="s">
        <v>79</v>
      </c>
      <c r="F2547" s="74">
        <v>11</v>
      </c>
      <c r="G2547" s="36">
        <f t="shared" si="590"/>
        <v>69.3</v>
      </c>
      <c r="H2547" s="37">
        <v>24</v>
      </c>
      <c r="I2547" s="109">
        <f t="shared" si="591"/>
        <v>1663.1999999999998</v>
      </c>
      <c r="J2547" s="123">
        <v>1600</v>
      </c>
    </row>
    <row r="2548" spans="1:10" x14ac:dyDescent="0.25">
      <c r="A2548" s="31" t="s">
        <v>520</v>
      </c>
      <c r="B2548" s="37" t="s">
        <v>325</v>
      </c>
      <c r="C2548" s="34" t="s">
        <v>158</v>
      </c>
      <c r="D2548" s="46">
        <v>32</v>
      </c>
      <c r="E2548" s="34" t="s">
        <v>79</v>
      </c>
      <c r="F2548" s="74">
        <v>7.2</v>
      </c>
      <c r="G2548" s="36">
        <f t="shared" si="590"/>
        <v>45.36</v>
      </c>
      <c r="H2548" s="37">
        <v>24</v>
      </c>
      <c r="I2548" s="109">
        <f t="shared" si="591"/>
        <v>1088.6399999999999</v>
      </c>
      <c r="J2548" s="123">
        <v>1000</v>
      </c>
    </row>
    <row r="2549" spans="1:10" ht="15.75" thickBot="1" x14ac:dyDescent="0.3">
      <c r="A2549" s="31" t="s">
        <v>520</v>
      </c>
      <c r="B2549" s="43" t="s">
        <v>326</v>
      </c>
      <c r="C2549" s="52" t="s">
        <v>152</v>
      </c>
      <c r="D2549" s="72">
        <v>0.6</v>
      </c>
      <c r="E2549" s="42" t="s">
        <v>79</v>
      </c>
      <c r="F2549" s="73">
        <v>9.3000000000000007</v>
      </c>
      <c r="G2549" s="74">
        <f t="shared" si="590"/>
        <v>58.59</v>
      </c>
      <c r="H2549" s="43">
        <v>24</v>
      </c>
      <c r="I2549" s="328">
        <f t="shared" si="591"/>
        <v>1406.16</v>
      </c>
      <c r="J2549" s="124">
        <v>1300</v>
      </c>
    </row>
    <row r="2550" spans="1:10" ht="19.5" thickBot="1" x14ac:dyDescent="0.35">
      <c r="A2550" s="206"/>
      <c r="B2550" s="336"/>
      <c r="C2550" s="336"/>
      <c r="D2550" s="336"/>
      <c r="E2550" s="336"/>
      <c r="F2550" s="336"/>
      <c r="G2550" s="337"/>
      <c r="H2550" s="174" t="s">
        <v>171</v>
      </c>
      <c r="I2550" s="238">
        <f>SUM(I2544:I2549)</f>
        <v>7166.8799999999992</v>
      </c>
      <c r="J2550" s="104">
        <f>SUM(J2544:J2549)</f>
        <v>6700</v>
      </c>
    </row>
    <row r="2551" spans="1:10" x14ac:dyDescent="0.25">
      <c r="A2551" s="31" t="s">
        <v>521</v>
      </c>
      <c r="B2551" s="37" t="s">
        <v>322</v>
      </c>
      <c r="C2551" s="34" t="s">
        <v>114</v>
      </c>
      <c r="D2551" s="108">
        <v>11.89</v>
      </c>
      <c r="E2551" s="34" t="s">
        <v>79</v>
      </c>
      <c r="F2551" s="109">
        <v>6.2</v>
      </c>
      <c r="G2551" s="36">
        <f t="shared" ref="G2551:G2556" si="592">F2551*6.3</f>
        <v>39.06</v>
      </c>
      <c r="H2551" s="37">
        <v>24</v>
      </c>
      <c r="I2551" s="109">
        <f t="shared" ref="I2551:I2556" si="593">G2551*H2551</f>
        <v>937.44</v>
      </c>
      <c r="J2551" s="123">
        <v>900</v>
      </c>
    </row>
    <row r="2552" spans="1:10" x14ac:dyDescent="0.25">
      <c r="A2552" s="31" t="s">
        <v>521</v>
      </c>
      <c r="B2552" s="37" t="s">
        <v>323</v>
      </c>
      <c r="C2552" s="34" t="s">
        <v>86</v>
      </c>
      <c r="D2552" s="108">
        <v>7.9</v>
      </c>
      <c r="E2552" s="34" t="s">
        <v>79</v>
      </c>
      <c r="F2552" s="110">
        <v>9.8000000000000007</v>
      </c>
      <c r="G2552" s="36">
        <f t="shared" si="592"/>
        <v>61.74</v>
      </c>
      <c r="H2552" s="37">
        <v>24</v>
      </c>
      <c r="I2552" s="109">
        <f t="shared" si="593"/>
        <v>1481.76</v>
      </c>
      <c r="J2552" s="123">
        <v>1400</v>
      </c>
    </row>
    <row r="2553" spans="1:10" x14ac:dyDescent="0.25">
      <c r="A2553" s="31" t="s">
        <v>521</v>
      </c>
      <c r="B2553" s="50" t="s">
        <v>324</v>
      </c>
      <c r="C2553" s="34" t="s">
        <v>443</v>
      </c>
      <c r="D2553" s="108" t="s">
        <v>38</v>
      </c>
      <c r="E2553" s="34" t="s">
        <v>79</v>
      </c>
      <c r="F2553" s="36">
        <v>3.8</v>
      </c>
      <c r="G2553" s="36">
        <f t="shared" si="592"/>
        <v>23.939999999999998</v>
      </c>
      <c r="H2553" s="37">
        <v>24</v>
      </c>
      <c r="I2553" s="109">
        <f t="shared" si="593"/>
        <v>574.55999999999995</v>
      </c>
      <c r="J2553" s="123">
        <v>500</v>
      </c>
    </row>
    <row r="2554" spans="1:10" x14ac:dyDescent="0.25">
      <c r="A2554" s="31" t="s">
        <v>521</v>
      </c>
      <c r="B2554" s="75" t="s">
        <v>317</v>
      </c>
      <c r="C2554" s="111" t="s">
        <v>156</v>
      </c>
      <c r="D2554" s="111">
        <v>44</v>
      </c>
      <c r="E2554" s="42" t="s">
        <v>79</v>
      </c>
      <c r="F2554" s="74">
        <v>11</v>
      </c>
      <c r="G2554" s="36">
        <f t="shared" si="592"/>
        <v>69.3</v>
      </c>
      <c r="H2554" s="37">
        <v>24</v>
      </c>
      <c r="I2554" s="109">
        <f t="shared" si="593"/>
        <v>1663.1999999999998</v>
      </c>
      <c r="J2554" s="123">
        <v>1600</v>
      </c>
    </row>
    <row r="2555" spans="1:10" x14ac:dyDescent="0.25">
      <c r="A2555" s="31" t="s">
        <v>521</v>
      </c>
      <c r="B2555" s="37" t="s">
        <v>325</v>
      </c>
      <c r="C2555" s="34" t="s">
        <v>158</v>
      </c>
      <c r="D2555" s="46">
        <v>31.5</v>
      </c>
      <c r="E2555" s="34" t="s">
        <v>79</v>
      </c>
      <c r="F2555" s="74">
        <v>7.2</v>
      </c>
      <c r="G2555" s="36">
        <f t="shared" si="592"/>
        <v>45.36</v>
      </c>
      <c r="H2555" s="37">
        <v>24</v>
      </c>
      <c r="I2555" s="109">
        <f t="shared" si="593"/>
        <v>1088.6399999999999</v>
      </c>
      <c r="J2555" s="123">
        <v>1000</v>
      </c>
    </row>
    <row r="2556" spans="1:10" ht="15.75" thickBot="1" x14ac:dyDescent="0.3">
      <c r="A2556" s="31" t="s">
        <v>521</v>
      </c>
      <c r="B2556" s="43" t="s">
        <v>326</v>
      </c>
      <c r="C2556" s="52" t="s">
        <v>152</v>
      </c>
      <c r="D2556" s="72">
        <v>0.6</v>
      </c>
      <c r="E2556" s="42" t="s">
        <v>79</v>
      </c>
      <c r="F2556" s="73">
        <v>9.1999999999999993</v>
      </c>
      <c r="G2556" s="74">
        <f t="shared" si="592"/>
        <v>57.959999999999994</v>
      </c>
      <c r="H2556" s="43">
        <v>24</v>
      </c>
      <c r="I2556" s="328">
        <f t="shared" si="593"/>
        <v>1391.04</v>
      </c>
      <c r="J2556" s="124">
        <v>1300</v>
      </c>
    </row>
    <row r="2557" spans="1:10" ht="19.5" thickBot="1" x14ac:dyDescent="0.35">
      <c r="A2557" s="206"/>
      <c r="B2557" s="336"/>
      <c r="C2557" s="336"/>
      <c r="D2557" s="336"/>
      <c r="E2557" s="336"/>
      <c r="F2557" s="336"/>
      <c r="G2557" s="337"/>
      <c r="H2557" s="174" t="s">
        <v>171</v>
      </c>
      <c r="I2557" s="238">
        <f>SUM(I2551:I2556)</f>
        <v>7136.6399999999985</v>
      </c>
      <c r="J2557" s="104">
        <f>SUM(J2551:J2556)</f>
        <v>6700</v>
      </c>
    </row>
    <row r="2558" spans="1:10" x14ac:dyDescent="0.25">
      <c r="A2558" s="31" t="s">
        <v>522</v>
      </c>
      <c r="B2558" s="37" t="s">
        <v>322</v>
      </c>
      <c r="C2558" s="34" t="s">
        <v>114</v>
      </c>
      <c r="D2558" s="108">
        <v>8.1999999999999993</v>
      </c>
      <c r="E2558" s="34" t="s">
        <v>79</v>
      </c>
      <c r="F2558" s="109">
        <v>6.1</v>
      </c>
      <c r="G2558" s="36">
        <f t="shared" ref="G2558:G2563" si="594">F2558*6.3</f>
        <v>38.43</v>
      </c>
      <c r="H2558" s="37">
        <v>24</v>
      </c>
      <c r="I2558" s="109">
        <f t="shared" ref="I2558:I2563" si="595">G2558*H2558</f>
        <v>922.31999999999994</v>
      </c>
      <c r="J2558" s="123">
        <v>900</v>
      </c>
    </row>
    <row r="2559" spans="1:10" x14ac:dyDescent="0.25">
      <c r="A2559" s="31" t="s">
        <v>522</v>
      </c>
      <c r="B2559" s="37" t="s">
        <v>323</v>
      </c>
      <c r="C2559" s="34" t="s">
        <v>86</v>
      </c>
      <c r="D2559" s="108">
        <v>4.4000000000000004</v>
      </c>
      <c r="E2559" s="34" t="s">
        <v>79</v>
      </c>
      <c r="F2559" s="110">
        <v>9.8000000000000007</v>
      </c>
      <c r="G2559" s="36">
        <f t="shared" si="594"/>
        <v>61.74</v>
      </c>
      <c r="H2559" s="37">
        <v>24</v>
      </c>
      <c r="I2559" s="109">
        <f t="shared" si="595"/>
        <v>1481.76</v>
      </c>
      <c r="J2559" s="123">
        <v>1400</v>
      </c>
    </row>
    <row r="2560" spans="1:10" x14ac:dyDescent="0.25">
      <c r="A2560" s="31" t="s">
        <v>522</v>
      </c>
      <c r="B2560" s="50" t="s">
        <v>324</v>
      </c>
      <c r="C2560" s="34" t="s">
        <v>443</v>
      </c>
      <c r="D2560" s="108" t="s">
        <v>38</v>
      </c>
      <c r="E2560" s="34" t="s">
        <v>79</v>
      </c>
      <c r="F2560" s="36">
        <v>3.8</v>
      </c>
      <c r="G2560" s="36">
        <f t="shared" si="594"/>
        <v>23.939999999999998</v>
      </c>
      <c r="H2560" s="37">
        <v>24</v>
      </c>
      <c r="I2560" s="109">
        <f t="shared" si="595"/>
        <v>574.55999999999995</v>
      </c>
      <c r="J2560" s="123">
        <v>500</v>
      </c>
    </row>
    <row r="2561" spans="1:10" x14ac:dyDescent="0.25">
      <c r="A2561" s="31" t="s">
        <v>522</v>
      </c>
      <c r="B2561" s="75" t="s">
        <v>317</v>
      </c>
      <c r="C2561" s="111" t="s">
        <v>156</v>
      </c>
      <c r="D2561" s="111">
        <v>40</v>
      </c>
      <c r="E2561" s="42" t="s">
        <v>79</v>
      </c>
      <c r="F2561" s="74">
        <v>10.9</v>
      </c>
      <c r="G2561" s="36">
        <f t="shared" si="594"/>
        <v>68.67</v>
      </c>
      <c r="H2561" s="37">
        <v>24</v>
      </c>
      <c r="I2561" s="109">
        <f t="shared" si="595"/>
        <v>1648.08</v>
      </c>
      <c r="J2561" s="123">
        <v>1600</v>
      </c>
    </row>
    <row r="2562" spans="1:10" x14ac:dyDescent="0.25">
      <c r="A2562" s="31" t="s">
        <v>522</v>
      </c>
      <c r="B2562" s="37" t="s">
        <v>325</v>
      </c>
      <c r="C2562" s="34" t="s">
        <v>158</v>
      </c>
      <c r="D2562" s="46">
        <v>32</v>
      </c>
      <c r="E2562" s="34" t="s">
        <v>79</v>
      </c>
      <c r="F2562" s="74">
        <v>7.4</v>
      </c>
      <c r="G2562" s="36">
        <f t="shared" si="594"/>
        <v>46.62</v>
      </c>
      <c r="H2562" s="37">
        <v>24</v>
      </c>
      <c r="I2562" s="109">
        <f t="shared" si="595"/>
        <v>1118.8799999999999</v>
      </c>
      <c r="J2562" s="123">
        <v>1000</v>
      </c>
    </row>
    <row r="2563" spans="1:10" ht="15.75" thickBot="1" x14ac:dyDescent="0.3">
      <c r="A2563" s="31" t="s">
        <v>522</v>
      </c>
      <c r="B2563" s="43" t="s">
        <v>326</v>
      </c>
      <c r="C2563" s="52" t="s">
        <v>152</v>
      </c>
      <c r="D2563" s="72">
        <v>0.6</v>
      </c>
      <c r="E2563" s="42" t="s">
        <v>79</v>
      </c>
      <c r="F2563" s="73">
        <v>9.3000000000000007</v>
      </c>
      <c r="G2563" s="74">
        <f t="shared" si="594"/>
        <v>58.59</v>
      </c>
      <c r="H2563" s="43">
        <v>24</v>
      </c>
      <c r="I2563" s="328">
        <f t="shared" si="595"/>
        <v>1406.16</v>
      </c>
      <c r="J2563" s="124">
        <v>1300</v>
      </c>
    </row>
    <row r="2564" spans="1:10" ht="19.5" thickBot="1" x14ac:dyDescent="0.35">
      <c r="A2564" s="206"/>
      <c r="B2564" s="336"/>
      <c r="C2564" s="336"/>
      <c r="D2564" s="336"/>
      <c r="E2564" s="336"/>
      <c r="F2564" s="336"/>
      <c r="G2564" s="337"/>
      <c r="H2564" s="174" t="s">
        <v>171</v>
      </c>
      <c r="I2564" s="238">
        <f>SUM(I2558:I2563)</f>
        <v>7151.7599999999993</v>
      </c>
      <c r="J2564" s="104">
        <f>SUM(J2558:J2563)</f>
        <v>6700</v>
      </c>
    </row>
    <row r="2565" spans="1:10" x14ac:dyDescent="0.25">
      <c r="A2565" s="31" t="s">
        <v>523</v>
      </c>
      <c r="B2565" s="37" t="s">
        <v>322</v>
      </c>
      <c r="C2565" s="34" t="s">
        <v>114</v>
      </c>
      <c r="D2565" s="108">
        <v>7.11</v>
      </c>
      <c r="E2565" s="34" t="s">
        <v>79</v>
      </c>
      <c r="F2565" s="109">
        <v>6.11</v>
      </c>
      <c r="G2565" s="36">
        <f t="shared" ref="G2565:G2570" si="596">F2565*6.3</f>
        <v>38.493000000000002</v>
      </c>
      <c r="H2565" s="37">
        <v>24</v>
      </c>
      <c r="I2565" s="109">
        <f t="shared" ref="I2565:I2570" si="597">G2565*H2565</f>
        <v>923.83200000000011</v>
      </c>
      <c r="J2565" s="123">
        <v>900</v>
      </c>
    </row>
    <row r="2566" spans="1:10" x14ac:dyDescent="0.25">
      <c r="A2566" s="31" t="s">
        <v>523</v>
      </c>
      <c r="B2566" s="37" t="s">
        <v>323</v>
      </c>
      <c r="C2566" s="34" t="s">
        <v>86</v>
      </c>
      <c r="D2566" s="108">
        <v>2.25</v>
      </c>
      <c r="E2566" s="34" t="s">
        <v>79</v>
      </c>
      <c r="F2566" s="110">
        <v>9.73</v>
      </c>
      <c r="G2566" s="36">
        <f t="shared" si="596"/>
        <v>61.298999999999999</v>
      </c>
      <c r="H2566" s="37">
        <v>24</v>
      </c>
      <c r="I2566" s="109">
        <f t="shared" si="597"/>
        <v>1471.1759999999999</v>
      </c>
      <c r="J2566" s="123">
        <v>1400</v>
      </c>
    </row>
    <row r="2567" spans="1:10" x14ac:dyDescent="0.25">
      <c r="A2567" s="31" t="s">
        <v>523</v>
      </c>
      <c r="B2567" s="50" t="s">
        <v>324</v>
      </c>
      <c r="C2567" s="34" t="s">
        <v>443</v>
      </c>
      <c r="D2567" s="108" t="s">
        <v>38</v>
      </c>
      <c r="E2567" s="34" t="s">
        <v>79</v>
      </c>
      <c r="F2567" s="36">
        <v>3.75</v>
      </c>
      <c r="G2567" s="36">
        <f t="shared" si="596"/>
        <v>23.625</v>
      </c>
      <c r="H2567" s="37">
        <v>24</v>
      </c>
      <c r="I2567" s="109">
        <f t="shared" si="597"/>
        <v>567</v>
      </c>
      <c r="J2567" s="123">
        <v>500</v>
      </c>
    </row>
    <row r="2568" spans="1:10" x14ac:dyDescent="0.25">
      <c r="A2568" s="31" t="s">
        <v>523</v>
      </c>
      <c r="B2568" s="75" t="s">
        <v>317</v>
      </c>
      <c r="C2568" s="111" t="s">
        <v>156</v>
      </c>
      <c r="D2568" s="111">
        <v>36.86</v>
      </c>
      <c r="E2568" s="42" t="s">
        <v>79</v>
      </c>
      <c r="F2568" s="74">
        <v>10.91</v>
      </c>
      <c r="G2568" s="36">
        <f t="shared" si="596"/>
        <v>68.733000000000004</v>
      </c>
      <c r="H2568" s="37">
        <v>24</v>
      </c>
      <c r="I2568" s="109">
        <f t="shared" si="597"/>
        <v>1649.5920000000001</v>
      </c>
      <c r="J2568" s="123">
        <v>1600</v>
      </c>
    </row>
    <row r="2569" spans="1:10" x14ac:dyDescent="0.25">
      <c r="A2569" s="31" t="s">
        <v>523</v>
      </c>
      <c r="B2569" s="37" t="s">
        <v>325</v>
      </c>
      <c r="C2569" s="34" t="s">
        <v>158</v>
      </c>
      <c r="D2569" s="46">
        <v>31.99</v>
      </c>
      <c r="E2569" s="34" t="s">
        <v>79</v>
      </c>
      <c r="F2569" s="74">
        <v>7.43</v>
      </c>
      <c r="G2569" s="36">
        <f t="shared" si="596"/>
        <v>46.808999999999997</v>
      </c>
      <c r="H2569" s="37">
        <v>24</v>
      </c>
      <c r="I2569" s="109">
        <f t="shared" si="597"/>
        <v>1123.4159999999999</v>
      </c>
      <c r="J2569" s="123">
        <v>1000</v>
      </c>
    </row>
    <row r="2570" spans="1:10" ht="15.75" thickBot="1" x14ac:dyDescent="0.3">
      <c r="A2570" s="31" t="s">
        <v>523</v>
      </c>
      <c r="B2570" s="43" t="s">
        <v>326</v>
      </c>
      <c r="C2570" s="52" t="s">
        <v>152</v>
      </c>
      <c r="D2570" s="72">
        <v>0.5</v>
      </c>
      <c r="E2570" s="42" t="s">
        <v>79</v>
      </c>
      <c r="F2570" s="73">
        <v>9.2799999999999994</v>
      </c>
      <c r="G2570" s="74">
        <f t="shared" si="596"/>
        <v>58.463999999999992</v>
      </c>
      <c r="H2570" s="43">
        <v>24</v>
      </c>
      <c r="I2570" s="328">
        <f t="shared" si="597"/>
        <v>1403.1359999999997</v>
      </c>
      <c r="J2570" s="124">
        <v>1300</v>
      </c>
    </row>
    <row r="2571" spans="1:10" ht="19.5" thickBot="1" x14ac:dyDescent="0.35">
      <c r="A2571" s="220"/>
      <c r="B2571" s="335"/>
      <c r="C2571" s="335"/>
      <c r="D2571" s="335"/>
      <c r="E2571" s="335"/>
      <c r="F2571" s="335"/>
      <c r="G2571" s="335"/>
      <c r="H2571" s="174" t="s">
        <v>171</v>
      </c>
      <c r="I2571" s="238">
        <f>SUM(I2565:I2570)</f>
        <v>7138.152</v>
      </c>
      <c r="J2571" s="104">
        <f>SUM(J2565:J2570)</f>
        <v>6700</v>
      </c>
    </row>
    <row r="2572" spans="1:10" x14ac:dyDescent="0.25">
      <c r="A2572" s="31" t="s">
        <v>524</v>
      </c>
      <c r="B2572" s="37" t="s">
        <v>322</v>
      </c>
      <c r="C2572" s="34" t="s">
        <v>114</v>
      </c>
      <c r="D2572" s="108">
        <v>7.79</v>
      </c>
      <c r="E2572" s="34" t="s">
        <v>79</v>
      </c>
      <c r="F2572" s="109">
        <v>5.25</v>
      </c>
      <c r="G2572" s="36">
        <f t="shared" ref="G2572:G2577" si="598">F2572*6.3</f>
        <v>33.074999999999996</v>
      </c>
      <c r="H2572" s="37">
        <v>24</v>
      </c>
      <c r="I2572" s="109">
        <f t="shared" ref="I2572:I2577" si="599">G2572*H2572</f>
        <v>793.8</v>
      </c>
      <c r="J2572" s="123">
        <v>900</v>
      </c>
    </row>
    <row r="2573" spans="1:10" x14ac:dyDescent="0.25">
      <c r="A2573" s="31" t="s">
        <v>524</v>
      </c>
      <c r="B2573" s="37" t="s">
        <v>323</v>
      </c>
      <c r="C2573" s="34" t="s">
        <v>86</v>
      </c>
      <c r="D2573" s="108">
        <v>2.67</v>
      </c>
      <c r="E2573" s="34" t="s">
        <v>79</v>
      </c>
      <c r="F2573" s="110">
        <v>7.84</v>
      </c>
      <c r="G2573" s="36">
        <f t="shared" si="598"/>
        <v>49.391999999999996</v>
      </c>
      <c r="H2573" s="37">
        <v>24</v>
      </c>
      <c r="I2573" s="109">
        <f t="shared" si="599"/>
        <v>1185.4079999999999</v>
      </c>
      <c r="J2573" s="123">
        <v>1400</v>
      </c>
    </row>
    <row r="2574" spans="1:10" x14ac:dyDescent="0.25">
      <c r="A2574" s="31" t="s">
        <v>524</v>
      </c>
      <c r="B2574" s="50" t="s">
        <v>324</v>
      </c>
      <c r="C2574" s="34" t="s">
        <v>443</v>
      </c>
      <c r="D2574" s="108" t="s">
        <v>38</v>
      </c>
      <c r="E2574" s="34" t="s">
        <v>79</v>
      </c>
      <c r="F2574" s="36">
        <v>3.5</v>
      </c>
      <c r="G2574" s="36">
        <f t="shared" si="598"/>
        <v>22.05</v>
      </c>
      <c r="H2574" s="37">
        <v>24</v>
      </c>
      <c r="I2574" s="109">
        <f t="shared" si="599"/>
        <v>529.20000000000005</v>
      </c>
      <c r="J2574" s="123">
        <v>500</v>
      </c>
    </row>
    <row r="2575" spans="1:10" x14ac:dyDescent="0.25">
      <c r="A2575" s="31" t="s">
        <v>524</v>
      </c>
      <c r="B2575" s="75" t="s">
        <v>317</v>
      </c>
      <c r="C2575" s="111" t="s">
        <v>156</v>
      </c>
      <c r="D2575" s="111">
        <v>34.159999999999997</v>
      </c>
      <c r="E2575" s="42" t="s">
        <v>79</v>
      </c>
      <c r="F2575" s="74">
        <v>10.56</v>
      </c>
      <c r="G2575" s="36">
        <f t="shared" si="598"/>
        <v>66.528000000000006</v>
      </c>
      <c r="H2575" s="37">
        <v>24</v>
      </c>
      <c r="I2575" s="109">
        <f t="shared" si="599"/>
        <v>1596.672</v>
      </c>
      <c r="J2575" s="123">
        <v>1600</v>
      </c>
    </row>
    <row r="2576" spans="1:10" x14ac:dyDescent="0.25">
      <c r="A2576" s="31" t="s">
        <v>524</v>
      </c>
      <c r="B2576" s="37" t="s">
        <v>325</v>
      </c>
      <c r="C2576" s="34" t="s">
        <v>158</v>
      </c>
      <c r="D2576" s="46">
        <v>31.99</v>
      </c>
      <c r="E2576" s="34" t="s">
        <v>79</v>
      </c>
      <c r="F2576" s="74">
        <v>6.38</v>
      </c>
      <c r="G2576" s="36">
        <f t="shared" si="598"/>
        <v>40.193999999999996</v>
      </c>
      <c r="H2576" s="37">
        <v>24</v>
      </c>
      <c r="I2576" s="109">
        <f t="shared" si="599"/>
        <v>964.65599999999995</v>
      </c>
      <c r="J2576" s="123">
        <v>1000</v>
      </c>
    </row>
    <row r="2577" spans="1:10" ht="15.75" thickBot="1" x14ac:dyDescent="0.3">
      <c r="A2577" s="31" t="s">
        <v>524</v>
      </c>
      <c r="B2577" s="43" t="s">
        <v>326</v>
      </c>
      <c r="C2577" s="52" t="s">
        <v>152</v>
      </c>
      <c r="D2577" s="72">
        <v>0.5</v>
      </c>
      <c r="E2577" s="42" t="s">
        <v>79</v>
      </c>
      <c r="F2577" s="73">
        <v>8.8800000000000008</v>
      </c>
      <c r="G2577" s="74">
        <f t="shared" si="598"/>
        <v>55.944000000000003</v>
      </c>
      <c r="H2577" s="43">
        <v>24</v>
      </c>
      <c r="I2577" s="328">
        <f t="shared" si="599"/>
        <v>1342.6559999999999</v>
      </c>
      <c r="J2577" s="124">
        <v>1300</v>
      </c>
    </row>
    <row r="2578" spans="1:10" ht="19.5" thickBot="1" x14ac:dyDescent="0.35">
      <c r="A2578" s="220"/>
      <c r="B2578" s="335"/>
      <c r="C2578" s="335"/>
      <c r="D2578" s="335"/>
      <c r="E2578" s="335"/>
      <c r="F2578" s="335"/>
      <c r="G2578" s="335"/>
      <c r="H2578" s="174" t="s">
        <v>171</v>
      </c>
      <c r="I2578" s="238">
        <f>SUM(I2572:I2577)</f>
        <v>6412.3919999999998</v>
      </c>
      <c r="J2578" s="104">
        <f>SUM(J2572:J2577)</f>
        <v>6700</v>
      </c>
    </row>
    <row r="2579" spans="1:10" x14ac:dyDescent="0.25">
      <c r="A2579" s="31" t="s">
        <v>525</v>
      </c>
      <c r="B2579" s="37" t="s">
        <v>322</v>
      </c>
      <c r="C2579" s="34" t="s">
        <v>114</v>
      </c>
      <c r="D2579" s="108">
        <v>7.66</v>
      </c>
      <c r="E2579" s="34" t="s">
        <v>79</v>
      </c>
      <c r="F2579" s="109">
        <v>5.0599999999999996</v>
      </c>
      <c r="G2579" s="36">
        <f t="shared" ref="G2579:G2584" si="600">F2579*6.3</f>
        <v>31.877999999999997</v>
      </c>
      <c r="H2579" s="37">
        <v>24</v>
      </c>
      <c r="I2579" s="109">
        <f t="shared" ref="I2579:I2584" si="601">G2579*H2579</f>
        <v>765.07199999999989</v>
      </c>
      <c r="J2579" s="123">
        <v>900</v>
      </c>
    </row>
    <row r="2580" spans="1:10" x14ac:dyDescent="0.25">
      <c r="A2580" s="31" t="s">
        <v>525</v>
      </c>
      <c r="B2580" s="37" t="s">
        <v>323</v>
      </c>
      <c r="C2580" s="34" t="s">
        <v>86</v>
      </c>
      <c r="D2580" s="108">
        <v>2.61</v>
      </c>
      <c r="E2580" s="34" t="s">
        <v>79</v>
      </c>
      <c r="F2580" s="110">
        <v>8.15</v>
      </c>
      <c r="G2580" s="36">
        <f t="shared" si="600"/>
        <v>51.344999999999999</v>
      </c>
      <c r="H2580" s="37">
        <v>24</v>
      </c>
      <c r="I2580" s="109">
        <f t="shared" si="601"/>
        <v>1232.28</v>
      </c>
      <c r="J2580" s="123">
        <v>1400</v>
      </c>
    </row>
    <row r="2581" spans="1:10" x14ac:dyDescent="0.25">
      <c r="A2581" s="31" t="s">
        <v>525</v>
      </c>
      <c r="B2581" s="50" t="s">
        <v>324</v>
      </c>
      <c r="C2581" s="34" t="s">
        <v>443</v>
      </c>
      <c r="D2581" s="108" t="s">
        <v>38</v>
      </c>
      <c r="E2581" s="34" t="s">
        <v>79</v>
      </c>
      <c r="F2581" s="36">
        <v>3.56</v>
      </c>
      <c r="G2581" s="36">
        <f t="shared" si="600"/>
        <v>22.428000000000001</v>
      </c>
      <c r="H2581" s="37">
        <v>24</v>
      </c>
      <c r="I2581" s="109">
        <f t="shared" si="601"/>
        <v>538.27200000000005</v>
      </c>
      <c r="J2581" s="123">
        <v>500</v>
      </c>
    </row>
    <row r="2582" spans="1:10" x14ac:dyDescent="0.25">
      <c r="A2582" s="31" t="s">
        <v>525</v>
      </c>
      <c r="B2582" s="75" t="s">
        <v>317</v>
      </c>
      <c r="C2582" s="111" t="s">
        <v>156</v>
      </c>
      <c r="D2582" s="111">
        <v>35.869999999999997</v>
      </c>
      <c r="E2582" s="42" t="s">
        <v>79</v>
      </c>
      <c r="F2582" s="74">
        <v>10.45</v>
      </c>
      <c r="G2582" s="36">
        <f t="shared" si="600"/>
        <v>65.834999999999994</v>
      </c>
      <c r="H2582" s="37">
        <v>24</v>
      </c>
      <c r="I2582" s="109">
        <f t="shared" si="601"/>
        <v>1580.04</v>
      </c>
      <c r="J2582" s="123">
        <v>1600</v>
      </c>
    </row>
    <row r="2583" spans="1:10" x14ac:dyDescent="0.25">
      <c r="A2583" s="31" t="s">
        <v>525</v>
      </c>
      <c r="B2583" s="37" t="s">
        <v>325</v>
      </c>
      <c r="C2583" s="34" t="s">
        <v>158</v>
      </c>
      <c r="D2583" s="46">
        <v>31.13</v>
      </c>
      <c r="E2583" s="34" t="s">
        <v>79</v>
      </c>
      <c r="F2583" s="74">
        <v>6.66</v>
      </c>
      <c r="G2583" s="36">
        <f t="shared" si="600"/>
        <v>41.957999999999998</v>
      </c>
      <c r="H2583" s="37">
        <v>24</v>
      </c>
      <c r="I2583" s="109">
        <f t="shared" si="601"/>
        <v>1006.992</v>
      </c>
      <c r="J2583" s="123">
        <v>1000</v>
      </c>
    </row>
    <row r="2584" spans="1:10" ht="15.75" thickBot="1" x14ac:dyDescent="0.3">
      <c r="A2584" s="31" t="s">
        <v>525</v>
      </c>
      <c r="B2584" s="43" t="s">
        <v>326</v>
      </c>
      <c r="C2584" s="52" t="s">
        <v>152</v>
      </c>
      <c r="D2584" s="72">
        <v>0.4</v>
      </c>
      <c r="E2584" s="42" t="s">
        <v>79</v>
      </c>
      <c r="F2584" s="73">
        <v>9.23</v>
      </c>
      <c r="G2584" s="74">
        <f t="shared" si="600"/>
        <v>58.149000000000001</v>
      </c>
      <c r="H2584" s="43">
        <v>24</v>
      </c>
      <c r="I2584" s="328">
        <f t="shared" si="601"/>
        <v>1395.576</v>
      </c>
      <c r="J2584" s="124">
        <v>1300</v>
      </c>
    </row>
    <row r="2585" spans="1:10" ht="19.5" thickBot="1" x14ac:dyDescent="0.35">
      <c r="A2585" s="220"/>
      <c r="B2585" s="335"/>
      <c r="C2585" s="335"/>
      <c r="D2585" s="335"/>
      <c r="E2585" s="335"/>
      <c r="F2585" s="335"/>
      <c r="G2585" s="335"/>
      <c r="H2585" s="174" t="s">
        <v>171</v>
      </c>
      <c r="I2585" s="238">
        <f>SUM(I2579:I2584)</f>
        <v>6518.232</v>
      </c>
      <c r="J2585" s="104">
        <f>SUM(J2579:J2584)</f>
        <v>6700</v>
      </c>
    </row>
    <row r="2586" spans="1:10" x14ac:dyDescent="0.25">
      <c r="A2586" s="31" t="s">
        <v>526</v>
      </c>
      <c r="B2586" s="37" t="s">
        <v>322</v>
      </c>
      <c r="C2586" s="34" t="s">
        <v>114</v>
      </c>
      <c r="D2586" s="108">
        <v>7.79</v>
      </c>
      <c r="E2586" s="34" t="s">
        <v>79</v>
      </c>
      <c r="F2586" s="109">
        <v>5.8</v>
      </c>
      <c r="G2586" s="36">
        <f t="shared" ref="G2586:G2591" si="602">F2586*6.3</f>
        <v>36.54</v>
      </c>
      <c r="H2586" s="37">
        <v>23.5</v>
      </c>
      <c r="I2586" s="109">
        <f t="shared" ref="I2586:I2591" si="603">G2586*H2586</f>
        <v>858.68999999999994</v>
      </c>
      <c r="J2586" s="123">
        <v>900</v>
      </c>
    </row>
    <row r="2587" spans="1:10" x14ac:dyDescent="0.25">
      <c r="A2587" s="31" t="s">
        <v>526</v>
      </c>
      <c r="B2587" s="37" t="s">
        <v>323</v>
      </c>
      <c r="C2587" s="34" t="s">
        <v>86</v>
      </c>
      <c r="D2587" s="108">
        <v>2</v>
      </c>
      <c r="E2587" s="34" t="s">
        <v>79</v>
      </c>
      <c r="F2587" s="110">
        <v>9.6999999999999993</v>
      </c>
      <c r="G2587" s="36">
        <f t="shared" si="602"/>
        <v>61.109999999999992</v>
      </c>
      <c r="H2587" s="37">
        <v>23.5</v>
      </c>
      <c r="I2587" s="109">
        <f t="shared" si="603"/>
        <v>1436.0849999999998</v>
      </c>
      <c r="J2587" s="123">
        <v>1400</v>
      </c>
    </row>
    <row r="2588" spans="1:10" x14ac:dyDescent="0.25">
      <c r="A2588" s="31" t="s">
        <v>526</v>
      </c>
      <c r="B2588" s="50" t="s">
        <v>324</v>
      </c>
      <c r="C2588" s="34" t="s">
        <v>443</v>
      </c>
      <c r="D2588" s="108" t="s">
        <v>38</v>
      </c>
      <c r="E2588" s="34" t="s">
        <v>79</v>
      </c>
      <c r="F2588" s="36">
        <v>3.58</v>
      </c>
      <c r="G2588" s="36">
        <f t="shared" si="602"/>
        <v>22.553999999999998</v>
      </c>
      <c r="H2588" s="37">
        <v>23.5</v>
      </c>
      <c r="I2588" s="109">
        <f t="shared" si="603"/>
        <v>530.01900000000001</v>
      </c>
      <c r="J2588" s="123">
        <v>500</v>
      </c>
    </row>
    <row r="2589" spans="1:10" x14ac:dyDescent="0.25">
      <c r="A2589" s="31" t="s">
        <v>526</v>
      </c>
      <c r="B2589" s="75" t="s">
        <v>317</v>
      </c>
      <c r="C2589" s="111" t="s">
        <v>156</v>
      </c>
      <c r="D2589" s="111">
        <v>35.869999999999997</v>
      </c>
      <c r="E2589" s="42" t="s">
        <v>79</v>
      </c>
      <c r="F2589" s="74">
        <v>10.48</v>
      </c>
      <c r="G2589" s="36">
        <f t="shared" si="602"/>
        <v>66.024000000000001</v>
      </c>
      <c r="H2589" s="37">
        <v>23.5</v>
      </c>
      <c r="I2589" s="109">
        <f t="shared" si="603"/>
        <v>1551.5640000000001</v>
      </c>
      <c r="J2589" s="123">
        <v>1600</v>
      </c>
    </row>
    <row r="2590" spans="1:10" x14ac:dyDescent="0.25">
      <c r="A2590" s="31" t="s">
        <v>526</v>
      </c>
      <c r="B2590" s="37" t="s">
        <v>325</v>
      </c>
      <c r="C2590" s="34" t="s">
        <v>158</v>
      </c>
      <c r="D2590" s="46">
        <v>31.13</v>
      </c>
      <c r="E2590" s="34" t="s">
        <v>79</v>
      </c>
      <c r="F2590" s="74">
        <v>6.8</v>
      </c>
      <c r="G2590" s="36">
        <f t="shared" si="602"/>
        <v>42.839999999999996</v>
      </c>
      <c r="H2590" s="37">
        <v>23.5</v>
      </c>
      <c r="I2590" s="109">
        <f t="shared" si="603"/>
        <v>1006.7399999999999</v>
      </c>
      <c r="J2590" s="123">
        <v>1000</v>
      </c>
    </row>
    <row r="2591" spans="1:10" ht="15.75" thickBot="1" x14ac:dyDescent="0.3">
      <c r="A2591" s="31" t="s">
        <v>526</v>
      </c>
      <c r="B2591" s="43" t="s">
        <v>326</v>
      </c>
      <c r="C2591" s="52" t="s">
        <v>152</v>
      </c>
      <c r="D2591" s="72">
        <v>0.4</v>
      </c>
      <c r="E2591" s="42" t="s">
        <v>79</v>
      </c>
      <c r="F2591" s="73">
        <v>9.35</v>
      </c>
      <c r="G2591" s="74">
        <f t="shared" si="602"/>
        <v>58.904999999999994</v>
      </c>
      <c r="H2591" s="43">
        <v>23.5</v>
      </c>
      <c r="I2591" s="328">
        <f t="shared" si="603"/>
        <v>1384.2674999999999</v>
      </c>
      <c r="J2591" s="124">
        <v>1300</v>
      </c>
    </row>
    <row r="2592" spans="1:10" ht="19.5" thickBot="1" x14ac:dyDescent="0.35">
      <c r="A2592" s="220"/>
      <c r="B2592" s="335"/>
      <c r="C2592" s="335"/>
      <c r="D2592" s="335"/>
      <c r="E2592" s="335"/>
      <c r="F2592" s="335"/>
      <c r="G2592" s="335"/>
      <c r="H2592" s="174" t="s">
        <v>171</v>
      </c>
      <c r="I2592" s="238">
        <f>SUM(I2586:I2591)</f>
        <v>6767.3654999999999</v>
      </c>
      <c r="J2592" s="104">
        <f>SUM(J2586:J2591)</f>
        <v>6700</v>
      </c>
    </row>
    <row r="2593" spans="1:10" x14ac:dyDescent="0.25">
      <c r="A2593" s="31" t="s">
        <v>527</v>
      </c>
      <c r="B2593" s="37" t="s">
        <v>322</v>
      </c>
      <c r="C2593" s="34" t="s">
        <v>114</v>
      </c>
      <c r="D2593" s="108">
        <v>7.9</v>
      </c>
      <c r="E2593" s="34" t="s">
        <v>79</v>
      </c>
      <c r="F2593" s="109">
        <v>6.23</v>
      </c>
      <c r="G2593" s="36">
        <f t="shared" ref="G2593:G2598" si="604">F2593*6.3</f>
        <v>39.249000000000002</v>
      </c>
      <c r="H2593" s="37">
        <v>24</v>
      </c>
      <c r="I2593" s="109">
        <f t="shared" ref="I2593:I2598" si="605">G2593*H2593</f>
        <v>941.97600000000011</v>
      </c>
      <c r="J2593" s="123">
        <v>900</v>
      </c>
    </row>
    <row r="2594" spans="1:10" x14ac:dyDescent="0.25">
      <c r="A2594" s="31" t="s">
        <v>527</v>
      </c>
      <c r="B2594" s="37" t="s">
        <v>323</v>
      </c>
      <c r="C2594" s="34" t="s">
        <v>86</v>
      </c>
      <c r="D2594" s="108">
        <v>2.14</v>
      </c>
      <c r="E2594" s="34" t="s">
        <v>79</v>
      </c>
      <c r="F2594" s="110">
        <v>8.11</v>
      </c>
      <c r="G2594" s="36">
        <f t="shared" si="604"/>
        <v>51.092999999999996</v>
      </c>
      <c r="H2594" s="37">
        <v>24</v>
      </c>
      <c r="I2594" s="109">
        <f t="shared" si="605"/>
        <v>1226.232</v>
      </c>
      <c r="J2594" s="123">
        <v>1400</v>
      </c>
    </row>
    <row r="2595" spans="1:10" x14ac:dyDescent="0.25">
      <c r="A2595" s="31" t="s">
        <v>527</v>
      </c>
      <c r="B2595" s="50" t="s">
        <v>324</v>
      </c>
      <c r="C2595" s="34" t="s">
        <v>443</v>
      </c>
      <c r="D2595" s="108" t="s">
        <v>38</v>
      </c>
      <c r="E2595" s="34" t="s">
        <v>79</v>
      </c>
      <c r="F2595" s="36">
        <v>3.49</v>
      </c>
      <c r="G2595" s="36">
        <f t="shared" si="604"/>
        <v>21.987000000000002</v>
      </c>
      <c r="H2595" s="37">
        <v>24</v>
      </c>
      <c r="I2595" s="109">
        <f t="shared" si="605"/>
        <v>527.6880000000001</v>
      </c>
      <c r="J2595" s="123">
        <v>500</v>
      </c>
    </row>
    <row r="2596" spans="1:10" x14ac:dyDescent="0.25">
      <c r="A2596" s="31" t="s">
        <v>527</v>
      </c>
      <c r="B2596" s="75" t="s">
        <v>317</v>
      </c>
      <c r="C2596" s="111" t="s">
        <v>156</v>
      </c>
      <c r="D2596" s="111">
        <v>34.44</v>
      </c>
      <c r="E2596" s="42" t="s">
        <v>79</v>
      </c>
      <c r="F2596" s="74">
        <v>10.4</v>
      </c>
      <c r="G2596" s="36">
        <f t="shared" si="604"/>
        <v>65.52</v>
      </c>
      <c r="H2596" s="37">
        <v>24</v>
      </c>
      <c r="I2596" s="109">
        <f t="shared" si="605"/>
        <v>1572.48</v>
      </c>
      <c r="J2596" s="123">
        <v>1600</v>
      </c>
    </row>
    <row r="2597" spans="1:10" x14ac:dyDescent="0.25">
      <c r="A2597" s="31" t="s">
        <v>527</v>
      </c>
      <c r="B2597" s="37" t="s">
        <v>325</v>
      </c>
      <c r="C2597" s="34" t="s">
        <v>158</v>
      </c>
      <c r="D2597" s="46">
        <v>27.9</v>
      </c>
      <c r="E2597" s="34" t="s">
        <v>79</v>
      </c>
      <c r="F2597" s="74">
        <v>6.54</v>
      </c>
      <c r="G2597" s="36">
        <f t="shared" si="604"/>
        <v>41.201999999999998</v>
      </c>
      <c r="H2597" s="37">
        <v>24</v>
      </c>
      <c r="I2597" s="109">
        <f t="shared" si="605"/>
        <v>988.84799999999996</v>
      </c>
      <c r="J2597" s="123">
        <v>1000</v>
      </c>
    </row>
    <row r="2598" spans="1:10" ht="15.75" thickBot="1" x14ac:dyDescent="0.3">
      <c r="A2598" s="31" t="s">
        <v>527</v>
      </c>
      <c r="B2598" s="43" t="s">
        <v>326</v>
      </c>
      <c r="C2598" s="52" t="s">
        <v>152</v>
      </c>
      <c r="D2598" s="72">
        <v>0.3</v>
      </c>
      <c r="E2598" s="42" t="s">
        <v>79</v>
      </c>
      <c r="F2598" s="73">
        <v>9.0399999999999991</v>
      </c>
      <c r="G2598" s="74">
        <f t="shared" si="604"/>
        <v>56.951999999999991</v>
      </c>
      <c r="H2598" s="43">
        <v>24</v>
      </c>
      <c r="I2598" s="328">
        <f t="shared" si="605"/>
        <v>1366.8479999999997</v>
      </c>
      <c r="J2598" s="124">
        <v>1300</v>
      </c>
    </row>
    <row r="2599" spans="1:10" ht="19.5" thickBot="1" x14ac:dyDescent="0.35">
      <c r="A2599" s="220"/>
      <c r="B2599" s="335"/>
      <c r="C2599" s="335"/>
      <c r="D2599" s="335"/>
      <c r="E2599" s="335"/>
      <c r="F2599" s="335"/>
      <c r="G2599" s="335"/>
      <c r="H2599" s="174" t="s">
        <v>171</v>
      </c>
      <c r="I2599" s="238">
        <f>SUM(I2593:I2598)</f>
        <v>6624.0720000000001</v>
      </c>
      <c r="J2599" s="104">
        <f>SUM(J2593:J2598)</f>
        <v>6700</v>
      </c>
    </row>
    <row r="2600" spans="1:10" x14ac:dyDescent="0.25">
      <c r="A2600" s="31" t="s">
        <v>528</v>
      </c>
      <c r="B2600" s="37" t="s">
        <v>322</v>
      </c>
      <c r="C2600" s="34" t="s">
        <v>114</v>
      </c>
      <c r="D2600" s="108">
        <v>8.34</v>
      </c>
      <c r="E2600" s="34" t="s">
        <v>79</v>
      </c>
      <c r="F2600" s="109">
        <v>6</v>
      </c>
      <c r="G2600" s="36">
        <f t="shared" ref="G2600:G2605" si="606">F2600*6.3</f>
        <v>37.799999999999997</v>
      </c>
      <c r="H2600" s="37">
        <v>24</v>
      </c>
      <c r="I2600" s="109">
        <f t="shared" ref="I2600:I2605" si="607">G2600*H2600</f>
        <v>907.19999999999993</v>
      </c>
      <c r="J2600" s="123">
        <v>900</v>
      </c>
    </row>
    <row r="2601" spans="1:10" x14ac:dyDescent="0.25">
      <c r="A2601" s="31" t="s">
        <v>528</v>
      </c>
      <c r="B2601" s="37" t="s">
        <v>323</v>
      </c>
      <c r="C2601" s="34" t="s">
        <v>86</v>
      </c>
      <c r="D2601" s="108">
        <v>1.38</v>
      </c>
      <c r="E2601" s="34" t="s">
        <v>79</v>
      </c>
      <c r="F2601" s="110">
        <v>8.0399999999999991</v>
      </c>
      <c r="G2601" s="36">
        <f t="shared" si="606"/>
        <v>50.651999999999994</v>
      </c>
      <c r="H2601" s="37">
        <v>24</v>
      </c>
      <c r="I2601" s="109">
        <f t="shared" si="607"/>
        <v>1215.6479999999999</v>
      </c>
      <c r="J2601" s="123">
        <v>1400</v>
      </c>
    </row>
    <row r="2602" spans="1:10" x14ac:dyDescent="0.25">
      <c r="A2602" s="31" t="s">
        <v>528</v>
      </c>
      <c r="B2602" s="50" t="s">
        <v>324</v>
      </c>
      <c r="C2602" s="34" t="s">
        <v>443</v>
      </c>
      <c r="D2602" s="108" t="s">
        <v>38</v>
      </c>
      <c r="E2602" s="34" t="s">
        <v>79</v>
      </c>
      <c r="F2602" s="36">
        <v>3.58</v>
      </c>
      <c r="G2602" s="36">
        <f t="shared" si="606"/>
        <v>22.553999999999998</v>
      </c>
      <c r="H2602" s="37">
        <v>24</v>
      </c>
      <c r="I2602" s="109">
        <f t="shared" si="607"/>
        <v>541.29599999999994</v>
      </c>
      <c r="J2602" s="123">
        <v>500</v>
      </c>
    </row>
    <row r="2603" spans="1:10" x14ac:dyDescent="0.25">
      <c r="A2603" s="31" t="s">
        <v>528</v>
      </c>
      <c r="B2603" s="75" t="s">
        <v>317</v>
      </c>
      <c r="C2603" s="111" t="s">
        <v>156</v>
      </c>
      <c r="D2603" s="111">
        <v>36.64</v>
      </c>
      <c r="E2603" s="42" t="s">
        <v>79</v>
      </c>
      <c r="F2603" s="74">
        <v>10.5</v>
      </c>
      <c r="G2603" s="36">
        <f t="shared" si="606"/>
        <v>66.149999999999991</v>
      </c>
      <c r="H2603" s="37">
        <v>24</v>
      </c>
      <c r="I2603" s="109">
        <f t="shared" si="607"/>
        <v>1587.6</v>
      </c>
      <c r="J2603" s="123">
        <v>1600</v>
      </c>
    </row>
    <row r="2604" spans="1:10" x14ac:dyDescent="0.25">
      <c r="A2604" s="31" t="s">
        <v>528</v>
      </c>
      <c r="B2604" s="37" t="s">
        <v>325</v>
      </c>
      <c r="C2604" s="34" t="s">
        <v>158</v>
      </c>
      <c r="D2604" s="46">
        <v>32.42</v>
      </c>
      <c r="E2604" s="34" t="s">
        <v>79</v>
      </c>
      <c r="F2604" s="74">
        <v>6.83</v>
      </c>
      <c r="G2604" s="36">
        <f t="shared" si="606"/>
        <v>43.028999999999996</v>
      </c>
      <c r="H2604" s="37">
        <v>24</v>
      </c>
      <c r="I2604" s="109">
        <f t="shared" si="607"/>
        <v>1032.6959999999999</v>
      </c>
      <c r="J2604" s="123">
        <v>1000</v>
      </c>
    </row>
    <row r="2605" spans="1:10" ht="15.75" thickBot="1" x14ac:dyDescent="0.3">
      <c r="A2605" s="31" t="s">
        <v>528</v>
      </c>
      <c r="B2605" s="43" t="s">
        <v>326</v>
      </c>
      <c r="C2605" s="52" t="s">
        <v>152</v>
      </c>
      <c r="D2605" s="72">
        <v>0.17</v>
      </c>
      <c r="E2605" s="42" t="s">
        <v>79</v>
      </c>
      <c r="F2605" s="73">
        <v>9.42</v>
      </c>
      <c r="G2605" s="74">
        <f t="shared" si="606"/>
        <v>59.345999999999997</v>
      </c>
      <c r="H2605" s="43">
        <v>24</v>
      </c>
      <c r="I2605" s="328">
        <f t="shared" si="607"/>
        <v>1424.3039999999999</v>
      </c>
      <c r="J2605" s="124">
        <v>1300</v>
      </c>
    </row>
    <row r="2606" spans="1:10" ht="19.5" thickBot="1" x14ac:dyDescent="0.35">
      <c r="A2606" s="400"/>
      <c r="B2606" s="401"/>
      <c r="C2606" s="401"/>
      <c r="D2606" s="401"/>
      <c r="E2606" s="401"/>
      <c r="F2606" s="401"/>
      <c r="G2606" s="401"/>
      <c r="H2606" s="241" t="s">
        <v>171</v>
      </c>
      <c r="I2606" s="402">
        <f>SUM(I2600:I2605)</f>
        <v>6708.7439999999997</v>
      </c>
      <c r="J2606" s="245">
        <f>SUM(J2600:J2605)</f>
        <v>6700</v>
      </c>
    </row>
    <row r="2607" spans="1:10" x14ac:dyDescent="0.25">
      <c r="A2607" s="31" t="s">
        <v>529</v>
      </c>
      <c r="B2607" s="37" t="s">
        <v>322</v>
      </c>
      <c r="C2607" s="34" t="s">
        <v>114</v>
      </c>
      <c r="D2607" s="108">
        <v>5.64</v>
      </c>
      <c r="E2607" s="34" t="s">
        <v>79</v>
      </c>
      <c r="F2607" s="109">
        <v>5.93</v>
      </c>
      <c r="G2607" s="36">
        <f t="shared" ref="G2607:G2612" si="608">F2607*6.3</f>
        <v>37.358999999999995</v>
      </c>
      <c r="H2607" s="37">
        <v>21</v>
      </c>
      <c r="I2607" s="109">
        <f t="shared" ref="I2607:I2612" si="609">G2607*H2607</f>
        <v>784.53899999999987</v>
      </c>
      <c r="J2607" s="123">
        <v>900</v>
      </c>
    </row>
    <row r="2608" spans="1:10" x14ac:dyDescent="0.25">
      <c r="A2608" s="31" t="s">
        <v>529</v>
      </c>
      <c r="B2608" s="37" t="s">
        <v>323</v>
      </c>
      <c r="C2608" s="34" t="s">
        <v>86</v>
      </c>
      <c r="D2608" s="108">
        <v>0.71</v>
      </c>
      <c r="E2608" s="34" t="s">
        <v>79</v>
      </c>
      <c r="F2608" s="110">
        <v>9.65</v>
      </c>
      <c r="G2608" s="36">
        <f t="shared" si="608"/>
        <v>60.795000000000002</v>
      </c>
      <c r="H2608" s="37">
        <v>21</v>
      </c>
      <c r="I2608" s="109">
        <f t="shared" si="609"/>
        <v>1276.6949999999999</v>
      </c>
      <c r="J2608" s="123">
        <v>1400</v>
      </c>
    </row>
    <row r="2609" spans="1:10" x14ac:dyDescent="0.25">
      <c r="A2609" s="31" t="s">
        <v>529</v>
      </c>
      <c r="B2609" s="50" t="s">
        <v>324</v>
      </c>
      <c r="C2609" s="34" t="s">
        <v>443</v>
      </c>
      <c r="D2609" s="108" t="s">
        <v>38</v>
      </c>
      <c r="E2609" s="34" t="s">
        <v>79</v>
      </c>
      <c r="F2609" s="36">
        <v>3.2</v>
      </c>
      <c r="G2609" s="36">
        <f t="shared" si="608"/>
        <v>20.16</v>
      </c>
      <c r="H2609" s="37">
        <v>24</v>
      </c>
      <c r="I2609" s="109">
        <f t="shared" si="609"/>
        <v>483.84000000000003</v>
      </c>
      <c r="J2609" s="123">
        <v>500</v>
      </c>
    </row>
    <row r="2610" spans="1:10" x14ac:dyDescent="0.25">
      <c r="A2610" s="31" t="s">
        <v>529</v>
      </c>
      <c r="B2610" s="75" t="s">
        <v>317</v>
      </c>
      <c r="C2610" s="111" t="s">
        <v>156</v>
      </c>
      <c r="D2610" s="111">
        <v>23.54</v>
      </c>
      <c r="E2610" s="42" t="s">
        <v>79</v>
      </c>
      <c r="F2610" s="74">
        <v>10.45</v>
      </c>
      <c r="G2610" s="36">
        <f t="shared" si="608"/>
        <v>65.834999999999994</v>
      </c>
      <c r="H2610" s="37">
        <v>24</v>
      </c>
      <c r="I2610" s="109">
        <f t="shared" si="609"/>
        <v>1580.04</v>
      </c>
      <c r="J2610" s="123">
        <v>1600</v>
      </c>
    </row>
    <row r="2611" spans="1:10" x14ac:dyDescent="0.25">
      <c r="A2611" s="31" t="s">
        <v>529</v>
      </c>
      <c r="B2611" s="37" t="s">
        <v>325</v>
      </c>
      <c r="C2611" s="34" t="s">
        <v>158</v>
      </c>
      <c r="D2611" s="46">
        <v>7.53</v>
      </c>
      <c r="E2611" s="34" t="s">
        <v>79</v>
      </c>
      <c r="F2611" s="74">
        <v>4.67</v>
      </c>
      <c r="G2611" s="36">
        <f t="shared" si="608"/>
        <v>29.420999999999999</v>
      </c>
      <c r="H2611" s="37">
        <v>24</v>
      </c>
      <c r="I2611" s="109">
        <f t="shared" si="609"/>
        <v>706.10400000000004</v>
      </c>
      <c r="J2611" s="123">
        <v>1000</v>
      </c>
    </row>
    <row r="2612" spans="1:10" ht="15.75" thickBot="1" x14ac:dyDescent="0.3">
      <c r="A2612" s="31" t="s">
        <v>529</v>
      </c>
      <c r="B2612" s="43" t="s">
        <v>326</v>
      </c>
      <c r="C2612" s="52" t="s">
        <v>152</v>
      </c>
      <c r="D2612" s="72">
        <v>0.09</v>
      </c>
      <c r="E2612" s="42" t="s">
        <v>79</v>
      </c>
      <c r="F2612" s="73">
        <v>7.26</v>
      </c>
      <c r="G2612" s="74">
        <f t="shared" si="608"/>
        <v>45.738</v>
      </c>
      <c r="H2612" s="43">
        <v>24</v>
      </c>
      <c r="I2612" s="328">
        <f t="shared" si="609"/>
        <v>1097.712</v>
      </c>
      <c r="J2612" s="124">
        <v>1300</v>
      </c>
    </row>
    <row r="2613" spans="1:10" ht="19.5" thickBot="1" x14ac:dyDescent="0.35">
      <c r="A2613" s="220"/>
      <c r="B2613" s="335"/>
      <c r="C2613" s="335"/>
      <c r="D2613" s="335"/>
      <c r="E2613" s="335"/>
      <c r="F2613" s="335"/>
      <c r="G2613" s="335"/>
      <c r="H2613" s="174" t="s">
        <v>171</v>
      </c>
      <c r="I2613" s="238">
        <f>SUM(I2607:I2612)</f>
        <v>5928.93</v>
      </c>
      <c r="J2613" s="104">
        <f>SUM(J2607:J2612)</f>
        <v>6700</v>
      </c>
    </row>
    <row r="2614" spans="1:10" x14ac:dyDescent="0.25">
      <c r="A2614" s="31" t="s">
        <v>530</v>
      </c>
      <c r="B2614" s="37" t="s">
        <v>322</v>
      </c>
      <c r="C2614" s="34" t="s">
        <v>114</v>
      </c>
      <c r="D2614" s="108">
        <v>7.35</v>
      </c>
      <c r="E2614" s="34" t="s">
        <v>79</v>
      </c>
      <c r="F2614" s="109">
        <v>5.95</v>
      </c>
      <c r="G2614" s="36">
        <f t="shared" ref="G2614:G2619" si="610">F2614*6.3</f>
        <v>37.484999999999999</v>
      </c>
      <c r="H2614" s="37">
        <v>15</v>
      </c>
      <c r="I2614" s="109">
        <f t="shared" ref="I2614:I2619" si="611">G2614*H2614</f>
        <v>562.27499999999998</v>
      </c>
      <c r="J2614" s="123">
        <v>900</v>
      </c>
    </row>
    <row r="2615" spans="1:10" x14ac:dyDescent="0.25">
      <c r="A2615" s="31" t="s">
        <v>530</v>
      </c>
      <c r="B2615" s="37" t="s">
        <v>323</v>
      </c>
      <c r="C2615" s="34" t="s">
        <v>86</v>
      </c>
      <c r="D2615" s="108">
        <v>1.52</v>
      </c>
      <c r="E2615" s="34" t="s">
        <v>79</v>
      </c>
      <c r="F2615" s="110">
        <v>9.59</v>
      </c>
      <c r="G2615" s="36">
        <f t="shared" si="610"/>
        <v>60.416999999999994</v>
      </c>
      <c r="H2615" s="37">
        <v>15</v>
      </c>
      <c r="I2615" s="109">
        <f t="shared" si="611"/>
        <v>906.25499999999988</v>
      </c>
      <c r="J2615" s="123">
        <v>1400</v>
      </c>
    </row>
    <row r="2616" spans="1:10" x14ac:dyDescent="0.25">
      <c r="A2616" s="31" t="s">
        <v>530</v>
      </c>
      <c r="B2616" s="50" t="s">
        <v>324</v>
      </c>
      <c r="C2616" s="34" t="s">
        <v>443</v>
      </c>
      <c r="D2616" s="108" t="s">
        <v>38</v>
      </c>
      <c r="E2616" s="34" t="s">
        <v>79</v>
      </c>
      <c r="F2616" s="36">
        <v>3.35</v>
      </c>
      <c r="G2616" s="36">
        <f t="shared" si="610"/>
        <v>21.105</v>
      </c>
      <c r="H2616" s="37">
        <v>24</v>
      </c>
      <c r="I2616" s="109">
        <f t="shared" si="611"/>
        <v>506.52</v>
      </c>
      <c r="J2616" s="123">
        <v>500</v>
      </c>
    </row>
    <row r="2617" spans="1:10" x14ac:dyDescent="0.25">
      <c r="A2617" s="31" t="s">
        <v>531</v>
      </c>
      <c r="B2617" s="75" t="s">
        <v>317</v>
      </c>
      <c r="C2617" s="111" t="s">
        <v>156</v>
      </c>
      <c r="D2617" s="111">
        <v>34.64</v>
      </c>
      <c r="E2617" s="42" t="s">
        <v>79</v>
      </c>
      <c r="F2617" s="74">
        <v>10.45</v>
      </c>
      <c r="G2617" s="36">
        <f t="shared" si="610"/>
        <v>65.834999999999994</v>
      </c>
      <c r="H2617" s="37">
        <v>24</v>
      </c>
      <c r="I2617" s="109">
        <f t="shared" si="611"/>
        <v>1580.04</v>
      </c>
      <c r="J2617" s="123">
        <v>1600</v>
      </c>
    </row>
    <row r="2618" spans="1:10" x14ac:dyDescent="0.25">
      <c r="A2618" s="31" t="s">
        <v>530</v>
      </c>
      <c r="B2618" s="37" t="s">
        <v>325</v>
      </c>
      <c r="C2618" s="34" t="s">
        <v>158</v>
      </c>
      <c r="D2618" s="46">
        <v>33.1</v>
      </c>
      <c r="E2618" s="34" t="s">
        <v>79</v>
      </c>
      <c r="F2618" s="74">
        <v>6.49</v>
      </c>
      <c r="G2618" s="36">
        <f t="shared" si="610"/>
        <v>40.887</v>
      </c>
      <c r="H2618" s="37">
        <v>24</v>
      </c>
      <c r="I2618" s="109">
        <f t="shared" si="611"/>
        <v>981.28800000000001</v>
      </c>
      <c r="J2618" s="123">
        <v>1000</v>
      </c>
    </row>
    <row r="2619" spans="1:10" ht="15.75" thickBot="1" x14ac:dyDescent="0.3">
      <c r="A2619" s="31" t="s">
        <v>530</v>
      </c>
      <c r="B2619" s="43" t="s">
        <v>326</v>
      </c>
      <c r="C2619" s="52" t="s">
        <v>152</v>
      </c>
      <c r="D2619" s="72">
        <v>0</v>
      </c>
      <c r="E2619" s="42" t="s">
        <v>79</v>
      </c>
      <c r="F2619" s="73">
        <v>8.39</v>
      </c>
      <c r="G2619" s="74">
        <f t="shared" si="610"/>
        <v>52.856999999999999</v>
      </c>
      <c r="H2619" s="43">
        <v>24</v>
      </c>
      <c r="I2619" s="328">
        <f t="shared" si="611"/>
        <v>1268.568</v>
      </c>
      <c r="J2619" s="124">
        <v>1300</v>
      </c>
    </row>
    <row r="2620" spans="1:10" ht="19.5" thickBot="1" x14ac:dyDescent="0.35">
      <c r="A2620" s="220"/>
      <c r="B2620" s="335"/>
      <c r="C2620" s="335"/>
      <c r="D2620" s="335"/>
      <c r="E2620" s="335"/>
      <c r="F2620" s="335"/>
      <c r="G2620" s="335"/>
      <c r="H2620" s="174" t="s">
        <v>171</v>
      </c>
      <c r="I2620" s="238">
        <f>SUM(I2614:I2619)</f>
        <v>5804.9459999999999</v>
      </c>
      <c r="J2620" s="104">
        <f>SUM(J2614:J2619)</f>
        <v>6700</v>
      </c>
    </row>
    <row r="2621" spans="1:10" x14ac:dyDescent="0.25">
      <c r="A2621" s="31" t="s">
        <v>532</v>
      </c>
      <c r="B2621" s="151" t="s">
        <v>322</v>
      </c>
      <c r="C2621" s="50" t="s">
        <v>114</v>
      </c>
      <c r="D2621" s="152">
        <v>13.66</v>
      </c>
      <c r="E2621" s="50" t="s">
        <v>79</v>
      </c>
      <c r="F2621" s="153">
        <v>6.31</v>
      </c>
      <c r="G2621" s="51">
        <f t="shared" ref="G2621:G2626" si="612">F2621*6.3</f>
        <v>39.752999999999993</v>
      </c>
      <c r="H2621" s="151">
        <v>24</v>
      </c>
      <c r="I2621" s="153">
        <f t="shared" ref="I2621:I2626" si="613">G2621*H2621</f>
        <v>954.07199999999989</v>
      </c>
      <c r="J2621" s="154">
        <v>900</v>
      </c>
    </row>
    <row r="2622" spans="1:10" x14ac:dyDescent="0.25">
      <c r="A2622" s="31" t="s">
        <v>532</v>
      </c>
      <c r="B2622" s="37" t="s">
        <v>323</v>
      </c>
      <c r="C2622" s="34" t="s">
        <v>86</v>
      </c>
      <c r="D2622" s="108">
        <v>9.0399999999999991</v>
      </c>
      <c r="E2622" s="34" t="s">
        <v>79</v>
      </c>
      <c r="F2622" s="110">
        <v>9.8000000000000007</v>
      </c>
      <c r="G2622" s="36">
        <f t="shared" si="612"/>
        <v>61.74</v>
      </c>
      <c r="H2622" s="37">
        <v>24</v>
      </c>
      <c r="I2622" s="109">
        <f t="shared" si="613"/>
        <v>1481.76</v>
      </c>
      <c r="J2622" s="123">
        <v>1400</v>
      </c>
    </row>
    <row r="2623" spans="1:10" x14ac:dyDescent="0.25">
      <c r="A2623" s="31" t="s">
        <v>532</v>
      </c>
      <c r="B2623" s="50" t="s">
        <v>324</v>
      </c>
      <c r="C2623" s="34" t="s">
        <v>443</v>
      </c>
      <c r="D2623" s="108" t="s">
        <v>38</v>
      </c>
      <c r="E2623" s="34" t="s">
        <v>79</v>
      </c>
      <c r="F2623" s="403">
        <v>3.6</v>
      </c>
      <c r="G2623" s="36">
        <f t="shared" si="612"/>
        <v>22.68</v>
      </c>
      <c r="H2623" s="37">
        <v>24</v>
      </c>
      <c r="I2623" s="109">
        <f t="shared" si="613"/>
        <v>544.31999999999994</v>
      </c>
      <c r="J2623" s="123">
        <v>500</v>
      </c>
    </row>
    <row r="2624" spans="1:10" x14ac:dyDescent="0.25">
      <c r="A2624" s="31" t="s">
        <v>532</v>
      </c>
      <c r="B2624" s="75" t="s">
        <v>317</v>
      </c>
      <c r="C2624" s="111" t="s">
        <v>156</v>
      </c>
      <c r="D2624" s="111">
        <v>35.78</v>
      </c>
      <c r="E2624" s="42" t="s">
        <v>79</v>
      </c>
      <c r="F2624" s="74">
        <v>10.85</v>
      </c>
      <c r="G2624" s="36">
        <f t="shared" si="612"/>
        <v>68.35499999999999</v>
      </c>
      <c r="H2624" s="37">
        <v>24</v>
      </c>
      <c r="I2624" s="109">
        <f t="shared" si="613"/>
        <v>1640.5199999999998</v>
      </c>
      <c r="J2624" s="123">
        <v>1600</v>
      </c>
    </row>
    <row r="2625" spans="1:10" x14ac:dyDescent="0.25">
      <c r="A2625" s="31" t="s">
        <v>532</v>
      </c>
      <c r="B2625" s="37" t="s">
        <v>325</v>
      </c>
      <c r="C2625" s="34" t="s">
        <v>158</v>
      </c>
      <c r="D2625" s="46">
        <v>33.83</v>
      </c>
      <c r="E2625" s="34" t="s">
        <v>79</v>
      </c>
      <c r="F2625" s="74">
        <v>6.89</v>
      </c>
      <c r="G2625" s="36">
        <f t="shared" si="612"/>
        <v>43.406999999999996</v>
      </c>
      <c r="H2625" s="37">
        <v>24</v>
      </c>
      <c r="I2625" s="109">
        <f t="shared" si="613"/>
        <v>1041.768</v>
      </c>
      <c r="J2625" s="123">
        <v>1000</v>
      </c>
    </row>
    <row r="2626" spans="1:10" ht="15.75" thickBot="1" x14ac:dyDescent="0.3">
      <c r="A2626" s="31" t="s">
        <v>532</v>
      </c>
      <c r="B2626" s="43" t="s">
        <v>326</v>
      </c>
      <c r="C2626" s="52" t="s">
        <v>152</v>
      </c>
      <c r="D2626" s="72">
        <v>0</v>
      </c>
      <c r="E2626" s="42" t="s">
        <v>79</v>
      </c>
      <c r="F2626" s="73">
        <v>9.48</v>
      </c>
      <c r="G2626" s="74">
        <f t="shared" si="612"/>
        <v>59.724000000000004</v>
      </c>
      <c r="H2626" s="43">
        <v>24</v>
      </c>
      <c r="I2626" s="328">
        <f t="shared" si="613"/>
        <v>1433.3760000000002</v>
      </c>
      <c r="J2626" s="124">
        <v>1300</v>
      </c>
    </row>
    <row r="2627" spans="1:10" ht="19.5" thickBot="1" x14ac:dyDescent="0.35">
      <c r="A2627" s="220"/>
      <c r="B2627" s="335"/>
      <c r="C2627" s="335"/>
      <c r="D2627" s="335"/>
      <c r="E2627" s="335"/>
      <c r="F2627" s="335"/>
      <c r="G2627" s="335"/>
      <c r="H2627" s="174" t="s">
        <v>171</v>
      </c>
      <c r="I2627" s="238">
        <f>SUM(I2621:I2626)</f>
        <v>7095.8159999999998</v>
      </c>
      <c r="J2627" s="104">
        <f>SUM(J2621:J2626)</f>
        <v>6700</v>
      </c>
    </row>
    <row r="2628" spans="1:10" x14ac:dyDescent="0.25">
      <c r="A2628" s="31" t="s">
        <v>533</v>
      </c>
      <c r="B2628" s="37" t="s">
        <v>322</v>
      </c>
      <c r="C2628" s="34" t="s">
        <v>114</v>
      </c>
      <c r="D2628" s="108">
        <v>14.39</v>
      </c>
      <c r="E2628" s="34" t="s">
        <v>79</v>
      </c>
      <c r="F2628" s="109">
        <v>6.32</v>
      </c>
      <c r="G2628" s="36">
        <f t="shared" ref="G2628:G2633" si="614">F2628*6.3</f>
        <v>39.816000000000003</v>
      </c>
      <c r="H2628" s="37">
        <v>24</v>
      </c>
      <c r="I2628" s="109">
        <f t="shared" ref="I2628:I2633" si="615">G2628*H2628</f>
        <v>955.58400000000006</v>
      </c>
      <c r="J2628" s="123">
        <v>900</v>
      </c>
    </row>
    <row r="2629" spans="1:10" x14ac:dyDescent="0.25">
      <c r="A2629" s="31" t="s">
        <v>533</v>
      </c>
      <c r="B2629" s="37" t="s">
        <v>323</v>
      </c>
      <c r="C2629" s="34" t="s">
        <v>86</v>
      </c>
      <c r="D2629" s="108">
        <v>5.85</v>
      </c>
      <c r="E2629" s="34" t="s">
        <v>79</v>
      </c>
      <c r="F2629" s="110">
        <v>9.81</v>
      </c>
      <c r="G2629" s="36">
        <f t="shared" si="614"/>
        <v>61.803000000000004</v>
      </c>
      <c r="H2629" s="37">
        <v>24</v>
      </c>
      <c r="I2629" s="109">
        <f t="shared" si="615"/>
        <v>1483.2720000000002</v>
      </c>
      <c r="J2629" s="123">
        <v>1400</v>
      </c>
    </row>
    <row r="2630" spans="1:10" x14ac:dyDescent="0.25">
      <c r="A2630" s="31" t="s">
        <v>533</v>
      </c>
      <c r="B2630" s="50" t="s">
        <v>324</v>
      </c>
      <c r="C2630" s="34" t="s">
        <v>443</v>
      </c>
      <c r="D2630" s="108" t="s">
        <v>38</v>
      </c>
      <c r="E2630" s="34" t="s">
        <v>79</v>
      </c>
      <c r="F2630" s="403">
        <v>3.63</v>
      </c>
      <c r="G2630" s="36">
        <f t="shared" si="614"/>
        <v>22.869</v>
      </c>
      <c r="H2630" s="37">
        <v>24</v>
      </c>
      <c r="I2630" s="109">
        <f t="shared" si="615"/>
        <v>548.85599999999999</v>
      </c>
      <c r="J2630" s="123">
        <v>500</v>
      </c>
    </row>
    <row r="2631" spans="1:10" x14ac:dyDescent="0.25">
      <c r="A2631" s="31" t="s">
        <v>533</v>
      </c>
      <c r="B2631" s="75" t="s">
        <v>317</v>
      </c>
      <c r="C2631" s="111" t="s">
        <v>156</v>
      </c>
      <c r="D2631" s="111">
        <v>37.01</v>
      </c>
      <c r="E2631" s="42" t="s">
        <v>79</v>
      </c>
      <c r="F2631" s="74">
        <v>10.85</v>
      </c>
      <c r="G2631" s="36">
        <f t="shared" si="614"/>
        <v>68.35499999999999</v>
      </c>
      <c r="H2631" s="37">
        <v>24</v>
      </c>
      <c r="I2631" s="109">
        <f t="shared" si="615"/>
        <v>1640.5199999999998</v>
      </c>
      <c r="J2631" s="123">
        <v>1600</v>
      </c>
    </row>
    <row r="2632" spans="1:10" x14ac:dyDescent="0.25">
      <c r="A2632" s="31" t="s">
        <v>533</v>
      </c>
      <c r="B2632" s="37" t="s">
        <v>325</v>
      </c>
      <c r="C2632" s="34" t="s">
        <v>158</v>
      </c>
      <c r="D2632" s="46">
        <v>34.270000000000003</v>
      </c>
      <c r="E2632" s="34" t="s">
        <v>79</v>
      </c>
      <c r="F2632" s="74">
        <v>6.9</v>
      </c>
      <c r="G2632" s="36">
        <f t="shared" si="614"/>
        <v>43.47</v>
      </c>
      <c r="H2632" s="37">
        <v>24</v>
      </c>
      <c r="I2632" s="109">
        <f t="shared" si="615"/>
        <v>1043.28</v>
      </c>
      <c r="J2632" s="123">
        <v>1000</v>
      </c>
    </row>
    <row r="2633" spans="1:10" ht="15.75" thickBot="1" x14ac:dyDescent="0.3">
      <c r="A2633" s="31" t="s">
        <v>533</v>
      </c>
      <c r="B2633" s="43" t="s">
        <v>326</v>
      </c>
      <c r="C2633" s="52" t="s">
        <v>152</v>
      </c>
      <c r="D2633" s="72">
        <v>0</v>
      </c>
      <c r="E2633" s="42" t="s">
        <v>79</v>
      </c>
      <c r="F2633" s="73">
        <v>9.51</v>
      </c>
      <c r="G2633" s="74">
        <f t="shared" si="614"/>
        <v>59.912999999999997</v>
      </c>
      <c r="H2633" s="43">
        <v>24</v>
      </c>
      <c r="I2633" s="328">
        <f t="shared" si="615"/>
        <v>1437.9119999999998</v>
      </c>
      <c r="J2633" s="124">
        <v>1300</v>
      </c>
    </row>
    <row r="2634" spans="1:10" ht="19.5" thickBot="1" x14ac:dyDescent="0.35">
      <c r="A2634" s="220"/>
      <c r="B2634" s="335"/>
      <c r="C2634" s="335"/>
      <c r="D2634" s="335"/>
      <c r="E2634" s="335"/>
      <c r="F2634" s="335"/>
      <c r="G2634" s="335"/>
      <c r="H2634" s="174" t="s">
        <v>171</v>
      </c>
      <c r="I2634" s="238">
        <f>SUM(I2628:I2633)</f>
        <v>7109.4239999999991</v>
      </c>
      <c r="J2634" s="104">
        <f>SUM(J2628:J2633)</f>
        <v>6700</v>
      </c>
    </row>
    <row r="2635" spans="1:10" x14ac:dyDescent="0.25">
      <c r="A2635" s="31" t="s">
        <v>534</v>
      </c>
      <c r="B2635" s="37" t="s">
        <v>322</v>
      </c>
      <c r="C2635" s="34" t="s">
        <v>114</v>
      </c>
      <c r="D2635" s="108">
        <v>14.5</v>
      </c>
      <c r="E2635" s="34" t="s">
        <v>79</v>
      </c>
      <c r="F2635" s="109">
        <v>6.38</v>
      </c>
      <c r="G2635" s="36">
        <f t="shared" ref="G2635:G2640" si="616">F2635*6.3</f>
        <v>40.193999999999996</v>
      </c>
      <c r="H2635" s="37">
        <v>24</v>
      </c>
      <c r="I2635" s="109">
        <f t="shared" ref="I2635:I2640" si="617">G2635*H2635</f>
        <v>964.65599999999995</v>
      </c>
      <c r="J2635" s="123">
        <v>900</v>
      </c>
    </row>
    <row r="2636" spans="1:10" x14ac:dyDescent="0.25">
      <c r="A2636" s="31" t="s">
        <v>534</v>
      </c>
      <c r="B2636" s="37" t="s">
        <v>323</v>
      </c>
      <c r="C2636" s="34" t="s">
        <v>86</v>
      </c>
      <c r="D2636" s="108">
        <v>5.05</v>
      </c>
      <c r="E2636" s="34" t="s">
        <v>79</v>
      </c>
      <c r="F2636" s="110">
        <v>9.75</v>
      </c>
      <c r="G2636" s="36">
        <f t="shared" si="616"/>
        <v>61.424999999999997</v>
      </c>
      <c r="H2636" s="37">
        <v>24</v>
      </c>
      <c r="I2636" s="109">
        <f t="shared" si="617"/>
        <v>1474.1999999999998</v>
      </c>
      <c r="J2636" s="123">
        <v>1400</v>
      </c>
    </row>
    <row r="2637" spans="1:10" x14ac:dyDescent="0.25">
      <c r="A2637" s="31" t="s">
        <v>534</v>
      </c>
      <c r="B2637" s="50" t="s">
        <v>324</v>
      </c>
      <c r="C2637" s="34" t="s">
        <v>443</v>
      </c>
      <c r="D2637" s="108" t="s">
        <v>38</v>
      </c>
      <c r="E2637" s="34" t="s">
        <v>79</v>
      </c>
      <c r="F2637" s="403">
        <v>3.7</v>
      </c>
      <c r="G2637" s="36">
        <f t="shared" si="616"/>
        <v>23.31</v>
      </c>
      <c r="H2637" s="37">
        <v>24</v>
      </c>
      <c r="I2637" s="109">
        <f t="shared" si="617"/>
        <v>559.43999999999994</v>
      </c>
      <c r="J2637" s="123">
        <v>500</v>
      </c>
    </row>
    <row r="2638" spans="1:10" x14ac:dyDescent="0.25">
      <c r="A2638" s="31" t="s">
        <v>534</v>
      </c>
      <c r="B2638" s="75" t="s">
        <v>317</v>
      </c>
      <c r="C2638" s="111" t="s">
        <v>156</v>
      </c>
      <c r="D2638" s="111">
        <v>37.65</v>
      </c>
      <c r="E2638" s="42" t="s">
        <v>79</v>
      </c>
      <c r="F2638" s="74">
        <v>10.8</v>
      </c>
      <c r="G2638" s="36">
        <f t="shared" si="616"/>
        <v>68.040000000000006</v>
      </c>
      <c r="H2638" s="37">
        <v>24</v>
      </c>
      <c r="I2638" s="109">
        <f t="shared" si="617"/>
        <v>1632.96</v>
      </c>
      <c r="J2638" s="123">
        <v>1600</v>
      </c>
    </row>
    <row r="2639" spans="1:10" x14ac:dyDescent="0.25">
      <c r="A2639" s="31" t="s">
        <v>534</v>
      </c>
      <c r="B2639" s="37" t="s">
        <v>325</v>
      </c>
      <c r="C2639" s="34" t="s">
        <v>158</v>
      </c>
      <c r="D2639" s="46">
        <v>34.950000000000003</v>
      </c>
      <c r="E2639" s="34" t="s">
        <v>79</v>
      </c>
      <c r="F2639" s="74">
        <v>6.93</v>
      </c>
      <c r="G2639" s="36">
        <f t="shared" si="616"/>
        <v>43.658999999999999</v>
      </c>
      <c r="H2639" s="37">
        <v>24</v>
      </c>
      <c r="I2639" s="109">
        <f t="shared" si="617"/>
        <v>1047.816</v>
      </c>
      <c r="J2639" s="123">
        <v>1000</v>
      </c>
    </row>
    <row r="2640" spans="1:10" ht="15.75" thickBot="1" x14ac:dyDescent="0.3">
      <c r="A2640" s="31" t="s">
        <v>534</v>
      </c>
      <c r="B2640" s="43" t="s">
        <v>326</v>
      </c>
      <c r="C2640" s="52" t="s">
        <v>152</v>
      </c>
      <c r="D2640" s="72">
        <v>0</v>
      </c>
      <c r="E2640" s="42" t="s">
        <v>79</v>
      </c>
      <c r="F2640" s="73">
        <v>9.58</v>
      </c>
      <c r="G2640" s="74">
        <f t="shared" si="616"/>
        <v>60.353999999999999</v>
      </c>
      <c r="H2640" s="43">
        <v>24</v>
      </c>
      <c r="I2640" s="328">
        <f t="shared" si="617"/>
        <v>1448.4960000000001</v>
      </c>
      <c r="J2640" s="124">
        <v>1300</v>
      </c>
    </row>
    <row r="2641" spans="1:10" ht="19.5" thickBot="1" x14ac:dyDescent="0.35">
      <c r="A2641" s="220"/>
      <c r="B2641" s="335"/>
      <c r="C2641" s="335"/>
      <c r="D2641" s="335"/>
      <c r="E2641" s="335"/>
      <c r="F2641" s="335"/>
      <c r="G2641" s="335"/>
      <c r="H2641" s="174" t="s">
        <v>171</v>
      </c>
      <c r="I2641" s="238">
        <f>SUM(I2635:I2640)</f>
        <v>7127.5679999999993</v>
      </c>
      <c r="J2641" s="104">
        <f>SUM(J2635:J2640)</f>
        <v>6700</v>
      </c>
    </row>
    <row r="2642" spans="1:10" x14ac:dyDescent="0.25">
      <c r="A2642" s="31" t="s">
        <v>535</v>
      </c>
      <c r="B2642" s="37" t="s">
        <v>322</v>
      </c>
      <c r="C2642" s="34" t="s">
        <v>114</v>
      </c>
      <c r="D2642" s="108">
        <v>26.57</v>
      </c>
      <c r="E2642" s="34" t="s">
        <v>79</v>
      </c>
      <c r="F2642" s="109">
        <v>6.25</v>
      </c>
      <c r="G2642" s="36">
        <f t="shared" ref="G2642:G2647" si="618">F2642*6.3</f>
        <v>39.375</v>
      </c>
      <c r="H2642" s="37">
        <v>24</v>
      </c>
      <c r="I2642" s="109">
        <f t="shared" ref="I2642:I2647" si="619">G2642*H2642</f>
        <v>945</v>
      </c>
      <c r="J2642" s="123">
        <v>900</v>
      </c>
    </row>
    <row r="2643" spans="1:10" x14ac:dyDescent="0.25">
      <c r="A2643" s="31" t="s">
        <v>535</v>
      </c>
      <c r="B2643" s="37" t="s">
        <v>323</v>
      </c>
      <c r="C2643" s="34" t="s">
        <v>86</v>
      </c>
      <c r="D2643" s="108">
        <v>5.98</v>
      </c>
      <c r="E2643" s="34" t="s">
        <v>79</v>
      </c>
      <c r="F2643" s="110">
        <v>9.7899999999999991</v>
      </c>
      <c r="G2643" s="36">
        <f t="shared" si="618"/>
        <v>61.676999999999992</v>
      </c>
      <c r="H2643" s="37">
        <v>24</v>
      </c>
      <c r="I2643" s="109">
        <f t="shared" si="619"/>
        <v>1480.2479999999998</v>
      </c>
      <c r="J2643" s="123">
        <v>1400</v>
      </c>
    </row>
    <row r="2644" spans="1:10" x14ac:dyDescent="0.25">
      <c r="A2644" s="31" t="s">
        <v>535</v>
      </c>
      <c r="B2644" s="50" t="s">
        <v>324</v>
      </c>
      <c r="C2644" s="34" t="s">
        <v>443</v>
      </c>
      <c r="D2644" s="108" t="s">
        <v>38</v>
      </c>
      <c r="E2644" s="34" t="s">
        <v>79</v>
      </c>
      <c r="F2644" s="403">
        <v>3.7</v>
      </c>
      <c r="G2644" s="36">
        <f t="shared" si="618"/>
        <v>23.31</v>
      </c>
      <c r="H2644" s="37">
        <v>24</v>
      </c>
      <c r="I2644" s="109">
        <f t="shared" si="619"/>
        <v>559.43999999999994</v>
      </c>
      <c r="J2644" s="123">
        <v>500</v>
      </c>
    </row>
    <row r="2645" spans="1:10" x14ac:dyDescent="0.25">
      <c r="A2645" s="31" t="s">
        <v>535</v>
      </c>
      <c r="B2645" s="75" t="s">
        <v>317</v>
      </c>
      <c r="C2645" s="111" t="s">
        <v>156</v>
      </c>
      <c r="D2645" s="111">
        <v>37.880000000000003</v>
      </c>
      <c r="E2645" s="42" t="s">
        <v>79</v>
      </c>
      <c r="F2645" s="74">
        <v>10.85</v>
      </c>
      <c r="G2645" s="36">
        <f t="shared" si="618"/>
        <v>68.35499999999999</v>
      </c>
      <c r="H2645" s="37">
        <v>24</v>
      </c>
      <c r="I2645" s="109">
        <f t="shared" si="619"/>
        <v>1640.5199999999998</v>
      </c>
      <c r="J2645" s="123">
        <v>1600</v>
      </c>
    </row>
    <row r="2646" spans="1:10" x14ac:dyDescent="0.25">
      <c r="A2646" s="31" t="s">
        <v>535</v>
      </c>
      <c r="B2646" s="37" t="s">
        <v>325</v>
      </c>
      <c r="C2646" s="34" t="s">
        <v>158</v>
      </c>
      <c r="D2646" s="46">
        <v>35.42</v>
      </c>
      <c r="E2646" s="34" t="s">
        <v>79</v>
      </c>
      <c r="F2646" s="74">
        <v>6.91</v>
      </c>
      <c r="G2646" s="36">
        <f t="shared" si="618"/>
        <v>43.533000000000001</v>
      </c>
      <c r="H2646" s="37">
        <v>24</v>
      </c>
      <c r="I2646" s="109">
        <f t="shared" si="619"/>
        <v>1044.7919999999999</v>
      </c>
      <c r="J2646" s="123">
        <v>1000</v>
      </c>
    </row>
    <row r="2647" spans="1:10" ht="15.75" thickBot="1" x14ac:dyDescent="0.3">
      <c r="A2647" s="31" t="s">
        <v>535</v>
      </c>
      <c r="B2647" s="43" t="s">
        <v>326</v>
      </c>
      <c r="C2647" s="52" t="s">
        <v>152</v>
      </c>
      <c r="D2647" s="72">
        <v>0</v>
      </c>
      <c r="E2647" s="42" t="s">
        <v>79</v>
      </c>
      <c r="F2647" s="73">
        <v>9.61</v>
      </c>
      <c r="G2647" s="74">
        <f t="shared" si="618"/>
        <v>60.542999999999992</v>
      </c>
      <c r="H2647" s="43">
        <v>24</v>
      </c>
      <c r="I2647" s="328">
        <f t="shared" si="619"/>
        <v>1453.0319999999997</v>
      </c>
      <c r="J2647" s="124">
        <v>1300</v>
      </c>
    </row>
    <row r="2648" spans="1:10" ht="19.5" thickBot="1" x14ac:dyDescent="0.35">
      <c r="A2648" s="220"/>
      <c r="B2648" s="335"/>
      <c r="C2648" s="335"/>
      <c r="D2648" s="335"/>
      <c r="E2648" s="335"/>
      <c r="F2648" s="335"/>
      <c r="G2648" s="335"/>
      <c r="H2648" s="174" t="s">
        <v>171</v>
      </c>
      <c r="I2648" s="238">
        <f>SUM(I2642:I2647)</f>
        <v>7123.0319999999992</v>
      </c>
      <c r="J2648" s="104">
        <f>SUM(J2642:J2647)</f>
        <v>6700</v>
      </c>
    </row>
    <row r="2649" spans="1:10" x14ac:dyDescent="0.25">
      <c r="A2649" s="31" t="s">
        <v>536</v>
      </c>
      <c r="B2649" s="37" t="s">
        <v>322</v>
      </c>
      <c r="C2649" s="34" t="s">
        <v>114</v>
      </c>
      <c r="D2649" s="108">
        <v>28.77</v>
      </c>
      <c r="E2649" s="34" t="s">
        <v>79</v>
      </c>
      <c r="F2649" s="109">
        <v>6.38</v>
      </c>
      <c r="G2649" s="36">
        <f t="shared" ref="G2649:G2654" si="620">F2649*6.3</f>
        <v>40.193999999999996</v>
      </c>
      <c r="H2649" s="37">
        <v>24</v>
      </c>
      <c r="I2649" s="109">
        <f t="shared" ref="I2649:I2654" si="621">G2649*H2649</f>
        <v>964.65599999999995</v>
      </c>
      <c r="J2649" s="123">
        <v>900</v>
      </c>
    </row>
    <row r="2650" spans="1:10" x14ac:dyDescent="0.25">
      <c r="A2650" s="31" t="s">
        <v>536</v>
      </c>
      <c r="B2650" s="37" t="s">
        <v>323</v>
      </c>
      <c r="C2650" s="34" t="s">
        <v>86</v>
      </c>
      <c r="D2650" s="108">
        <v>6.04</v>
      </c>
      <c r="E2650" s="34" t="s">
        <v>79</v>
      </c>
      <c r="F2650" s="110">
        <v>9.8000000000000007</v>
      </c>
      <c r="G2650" s="36">
        <f t="shared" si="620"/>
        <v>61.74</v>
      </c>
      <c r="H2650" s="37">
        <v>24</v>
      </c>
      <c r="I2650" s="109">
        <f t="shared" si="621"/>
        <v>1481.76</v>
      </c>
      <c r="J2650" s="123">
        <v>1400</v>
      </c>
    </row>
    <row r="2651" spans="1:10" x14ac:dyDescent="0.25">
      <c r="A2651" s="31" t="s">
        <v>536</v>
      </c>
      <c r="B2651" s="50" t="s">
        <v>324</v>
      </c>
      <c r="C2651" s="34" t="s">
        <v>443</v>
      </c>
      <c r="D2651" s="108" t="s">
        <v>38</v>
      </c>
      <c r="E2651" s="34" t="s">
        <v>79</v>
      </c>
      <c r="F2651" s="403">
        <v>3.58</v>
      </c>
      <c r="G2651" s="36">
        <f t="shared" si="620"/>
        <v>22.553999999999998</v>
      </c>
      <c r="H2651" s="37">
        <v>24</v>
      </c>
      <c r="I2651" s="109">
        <f t="shared" si="621"/>
        <v>541.29599999999994</v>
      </c>
      <c r="J2651" s="123">
        <v>500</v>
      </c>
    </row>
    <row r="2652" spans="1:10" x14ac:dyDescent="0.25">
      <c r="A2652" s="31" t="s">
        <v>536</v>
      </c>
      <c r="B2652" s="75" t="s">
        <v>317</v>
      </c>
      <c r="C2652" s="111" t="s">
        <v>156</v>
      </c>
      <c r="D2652" s="111">
        <v>38.06</v>
      </c>
      <c r="E2652" s="42" t="s">
        <v>79</v>
      </c>
      <c r="F2652" s="74">
        <v>10.78</v>
      </c>
      <c r="G2652" s="36">
        <f t="shared" si="620"/>
        <v>67.913999999999987</v>
      </c>
      <c r="H2652" s="37">
        <v>24</v>
      </c>
      <c r="I2652" s="109">
        <f t="shared" si="621"/>
        <v>1629.9359999999997</v>
      </c>
      <c r="J2652" s="123">
        <v>1600</v>
      </c>
    </row>
    <row r="2653" spans="1:10" x14ac:dyDescent="0.25">
      <c r="A2653" s="31" t="s">
        <v>536</v>
      </c>
      <c r="B2653" s="37" t="s">
        <v>325</v>
      </c>
      <c r="C2653" s="34" t="s">
        <v>158</v>
      </c>
      <c r="D2653" s="46">
        <v>35.299999999999997</v>
      </c>
      <c r="E2653" s="34" t="s">
        <v>79</v>
      </c>
      <c r="F2653" s="74">
        <v>6.95</v>
      </c>
      <c r="G2653" s="36">
        <f t="shared" si="620"/>
        <v>43.784999999999997</v>
      </c>
      <c r="H2653" s="37">
        <v>24</v>
      </c>
      <c r="I2653" s="109">
        <f t="shared" si="621"/>
        <v>1050.8399999999999</v>
      </c>
      <c r="J2653" s="123">
        <v>1000</v>
      </c>
    </row>
    <row r="2654" spans="1:10" ht="15.75" thickBot="1" x14ac:dyDescent="0.3">
      <c r="A2654" s="31" t="s">
        <v>536</v>
      </c>
      <c r="B2654" s="43" t="s">
        <v>326</v>
      </c>
      <c r="C2654" s="52" t="s">
        <v>152</v>
      </c>
      <c r="D2654" s="72">
        <v>0</v>
      </c>
      <c r="E2654" s="42" t="s">
        <v>79</v>
      </c>
      <c r="F2654" s="73">
        <v>9.61</v>
      </c>
      <c r="G2654" s="74">
        <f t="shared" si="620"/>
        <v>60.542999999999992</v>
      </c>
      <c r="H2654" s="43">
        <v>24</v>
      </c>
      <c r="I2654" s="328">
        <f t="shared" si="621"/>
        <v>1453.0319999999997</v>
      </c>
      <c r="J2654" s="124">
        <v>1300</v>
      </c>
    </row>
    <row r="2655" spans="1:10" ht="19.5" thickBot="1" x14ac:dyDescent="0.35">
      <c r="A2655" s="220"/>
      <c r="B2655" s="335"/>
      <c r="C2655" s="335"/>
      <c r="D2655" s="335"/>
      <c r="E2655" s="335"/>
      <c r="F2655" s="335"/>
      <c r="G2655" s="335"/>
      <c r="H2655" s="174" t="s">
        <v>171</v>
      </c>
      <c r="I2655" s="238">
        <f>SUM(I2649:I2654)</f>
        <v>7121.5199999999986</v>
      </c>
      <c r="J2655" s="104">
        <f>SUM(J2649:J2654)</f>
        <v>6700</v>
      </c>
    </row>
    <row r="2656" spans="1:10" x14ac:dyDescent="0.25">
      <c r="A2656" s="31" t="s">
        <v>537</v>
      </c>
      <c r="B2656" s="37" t="s">
        <v>322</v>
      </c>
      <c r="C2656" s="34" t="s">
        <v>114</v>
      </c>
      <c r="D2656" s="108">
        <v>28.77</v>
      </c>
      <c r="E2656" s="34" t="s">
        <v>79</v>
      </c>
      <c r="F2656" s="109">
        <v>6.38</v>
      </c>
      <c r="G2656" s="36">
        <f t="shared" ref="G2656:G2661" si="622">F2656*6.3</f>
        <v>40.193999999999996</v>
      </c>
      <c r="H2656" s="37">
        <v>24</v>
      </c>
      <c r="I2656" s="109">
        <f t="shared" ref="I2656:I2661" si="623">G2656*H2656</f>
        <v>964.65599999999995</v>
      </c>
      <c r="J2656" s="123">
        <v>900</v>
      </c>
    </row>
    <row r="2657" spans="1:10" x14ac:dyDescent="0.25">
      <c r="A2657" s="31" t="s">
        <v>537</v>
      </c>
      <c r="B2657" s="37" t="s">
        <v>323</v>
      </c>
      <c r="C2657" s="34" t="s">
        <v>86</v>
      </c>
      <c r="D2657" s="108">
        <v>6.04</v>
      </c>
      <c r="E2657" s="34" t="s">
        <v>79</v>
      </c>
      <c r="F2657" s="110">
        <v>9.8000000000000007</v>
      </c>
      <c r="G2657" s="36">
        <f t="shared" si="622"/>
        <v>61.74</v>
      </c>
      <c r="H2657" s="37">
        <v>24</v>
      </c>
      <c r="I2657" s="109">
        <f t="shared" si="623"/>
        <v>1481.76</v>
      </c>
      <c r="J2657" s="123">
        <v>1400</v>
      </c>
    </row>
    <row r="2658" spans="1:10" x14ac:dyDescent="0.25">
      <c r="A2658" s="31" t="s">
        <v>537</v>
      </c>
      <c r="B2658" s="50" t="s">
        <v>324</v>
      </c>
      <c r="C2658" s="34" t="s">
        <v>443</v>
      </c>
      <c r="D2658" s="108" t="s">
        <v>38</v>
      </c>
      <c r="E2658" s="34" t="s">
        <v>79</v>
      </c>
      <c r="F2658" s="403">
        <v>3.58</v>
      </c>
      <c r="G2658" s="36">
        <f t="shared" si="622"/>
        <v>22.553999999999998</v>
      </c>
      <c r="H2658" s="37">
        <v>24</v>
      </c>
      <c r="I2658" s="109">
        <f t="shared" si="623"/>
        <v>541.29599999999994</v>
      </c>
      <c r="J2658" s="123">
        <v>500</v>
      </c>
    </row>
    <row r="2659" spans="1:10" x14ac:dyDescent="0.25">
      <c r="A2659" s="31" t="s">
        <v>537</v>
      </c>
      <c r="B2659" s="75" t="s">
        <v>317</v>
      </c>
      <c r="C2659" s="111" t="s">
        <v>156</v>
      </c>
      <c r="D2659" s="111">
        <v>38.06</v>
      </c>
      <c r="E2659" s="42" t="s">
        <v>79</v>
      </c>
      <c r="F2659" s="74">
        <v>10.78</v>
      </c>
      <c r="G2659" s="36">
        <f t="shared" si="622"/>
        <v>67.913999999999987</v>
      </c>
      <c r="H2659" s="37">
        <v>24</v>
      </c>
      <c r="I2659" s="109">
        <f t="shared" si="623"/>
        <v>1629.9359999999997</v>
      </c>
      <c r="J2659" s="123">
        <v>1600</v>
      </c>
    </row>
    <row r="2660" spans="1:10" x14ac:dyDescent="0.25">
      <c r="A2660" s="31" t="s">
        <v>537</v>
      </c>
      <c r="B2660" s="37" t="s">
        <v>325</v>
      </c>
      <c r="C2660" s="34" t="s">
        <v>158</v>
      </c>
      <c r="D2660" s="46">
        <v>35.299999999999997</v>
      </c>
      <c r="E2660" s="34" t="s">
        <v>79</v>
      </c>
      <c r="F2660" s="74">
        <v>6.95</v>
      </c>
      <c r="G2660" s="36">
        <f t="shared" si="622"/>
        <v>43.784999999999997</v>
      </c>
      <c r="H2660" s="37">
        <v>24</v>
      </c>
      <c r="I2660" s="109">
        <f t="shared" si="623"/>
        <v>1050.8399999999999</v>
      </c>
      <c r="J2660" s="123">
        <v>1000</v>
      </c>
    </row>
    <row r="2661" spans="1:10" ht="15.75" thickBot="1" x14ac:dyDescent="0.3">
      <c r="A2661" s="31" t="s">
        <v>537</v>
      </c>
      <c r="B2661" s="43" t="s">
        <v>326</v>
      </c>
      <c r="C2661" s="52" t="s">
        <v>152</v>
      </c>
      <c r="D2661" s="72">
        <v>0</v>
      </c>
      <c r="E2661" s="42" t="s">
        <v>79</v>
      </c>
      <c r="F2661" s="73">
        <v>9.61</v>
      </c>
      <c r="G2661" s="74">
        <f t="shared" si="622"/>
        <v>60.542999999999992</v>
      </c>
      <c r="H2661" s="43">
        <v>24</v>
      </c>
      <c r="I2661" s="328">
        <f t="shared" si="623"/>
        <v>1453.0319999999997</v>
      </c>
      <c r="J2661" s="124">
        <v>1300</v>
      </c>
    </row>
    <row r="2662" spans="1:10" ht="19.5" thickBot="1" x14ac:dyDescent="0.35">
      <c r="A2662" s="100"/>
      <c r="B2662" s="336"/>
      <c r="C2662" s="336"/>
      <c r="D2662" s="336"/>
      <c r="E2662" s="336"/>
      <c r="F2662" s="336"/>
      <c r="G2662" s="337"/>
      <c r="H2662" s="174" t="s">
        <v>171</v>
      </c>
      <c r="I2662" s="238">
        <f>SUM(I2656:I2661)</f>
        <v>7121.5199999999986</v>
      </c>
      <c r="J2662" s="104">
        <f>SUM(J2656:J2661)</f>
        <v>6700</v>
      </c>
    </row>
    <row r="2663" spans="1:10" x14ac:dyDescent="0.25">
      <c r="A2663" s="31" t="s">
        <v>538</v>
      </c>
      <c r="B2663" s="151" t="s">
        <v>322</v>
      </c>
      <c r="C2663" s="50" t="s">
        <v>114</v>
      </c>
      <c r="D2663" s="152">
        <v>28.77</v>
      </c>
      <c r="E2663" s="50" t="s">
        <v>79</v>
      </c>
      <c r="F2663" s="153">
        <v>5.99</v>
      </c>
      <c r="G2663" s="51">
        <f t="shared" ref="G2663:G2668" si="624">F2663*6.3</f>
        <v>37.737000000000002</v>
      </c>
      <c r="H2663" s="151">
        <v>24</v>
      </c>
      <c r="I2663" s="153">
        <f t="shared" ref="I2663:I2668" si="625">G2663*H2663</f>
        <v>905.6880000000001</v>
      </c>
      <c r="J2663" s="154">
        <v>900</v>
      </c>
    </row>
    <row r="2664" spans="1:10" x14ac:dyDescent="0.25">
      <c r="A2664" s="31" t="s">
        <v>538</v>
      </c>
      <c r="B2664" s="37" t="s">
        <v>323</v>
      </c>
      <c r="C2664" s="34" t="s">
        <v>86</v>
      </c>
      <c r="D2664" s="108">
        <v>6.04</v>
      </c>
      <c r="E2664" s="34" t="s">
        <v>79</v>
      </c>
      <c r="F2664" s="110">
        <v>9.27</v>
      </c>
      <c r="G2664" s="36">
        <f t="shared" si="624"/>
        <v>58.400999999999996</v>
      </c>
      <c r="H2664" s="37">
        <v>24</v>
      </c>
      <c r="I2664" s="109">
        <f t="shared" si="625"/>
        <v>1401.6239999999998</v>
      </c>
      <c r="J2664" s="123">
        <v>1400</v>
      </c>
    </row>
    <row r="2665" spans="1:10" x14ac:dyDescent="0.25">
      <c r="A2665" s="31" t="s">
        <v>538</v>
      </c>
      <c r="B2665" s="50" t="s">
        <v>324</v>
      </c>
      <c r="C2665" s="34" t="s">
        <v>443</v>
      </c>
      <c r="D2665" s="108" t="s">
        <v>38</v>
      </c>
      <c r="E2665" s="34" t="s">
        <v>79</v>
      </c>
      <c r="F2665" s="403">
        <v>3.58</v>
      </c>
      <c r="G2665" s="36">
        <f t="shared" si="624"/>
        <v>22.553999999999998</v>
      </c>
      <c r="H2665" s="37">
        <v>24</v>
      </c>
      <c r="I2665" s="109">
        <f t="shared" si="625"/>
        <v>541.29599999999994</v>
      </c>
      <c r="J2665" s="123">
        <v>500</v>
      </c>
    </row>
    <row r="2666" spans="1:10" x14ac:dyDescent="0.25">
      <c r="A2666" s="31" t="s">
        <v>538</v>
      </c>
      <c r="B2666" s="75" t="s">
        <v>317</v>
      </c>
      <c r="C2666" s="111" t="s">
        <v>156</v>
      </c>
      <c r="D2666" s="111">
        <v>38.06</v>
      </c>
      <c r="E2666" s="42" t="s">
        <v>79</v>
      </c>
      <c r="F2666" s="74">
        <v>9.6300000000000008</v>
      </c>
      <c r="G2666" s="36">
        <f t="shared" si="624"/>
        <v>60.669000000000004</v>
      </c>
      <c r="H2666" s="37">
        <v>24</v>
      </c>
      <c r="I2666" s="109">
        <f t="shared" si="625"/>
        <v>1456.056</v>
      </c>
      <c r="J2666" s="123">
        <v>1600</v>
      </c>
    </row>
    <row r="2667" spans="1:10" x14ac:dyDescent="0.25">
      <c r="A2667" s="31" t="s">
        <v>538</v>
      </c>
      <c r="B2667" s="37" t="s">
        <v>325</v>
      </c>
      <c r="C2667" s="34" t="s">
        <v>158</v>
      </c>
      <c r="D2667" s="46">
        <v>35.299999999999997</v>
      </c>
      <c r="E2667" s="34" t="s">
        <v>79</v>
      </c>
      <c r="F2667" s="74">
        <v>8.3800000000000008</v>
      </c>
      <c r="G2667" s="36">
        <f t="shared" si="624"/>
        <v>52.794000000000004</v>
      </c>
      <c r="H2667" s="37">
        <v>24</v>
      </c>
      <c r="I2667" s="109">
        <f t="shared" si="625"/>
        <v>1267.056</v>
      </c>
      <c r="J2667" s="123">
        <v>1000</v>
      </c>
    </row>
    <row r="2668" spans="1:10" ht="15.75" thickBot="1" x14ac:dyDescent="0.3">
      <c r="A2668" s="31" t="s">
        <v>538</v>
      </c>
      <c r="B2668" s="43" t="s">
        <v>326</v>
      </c>
      <c r="C2668" s="52" t="s">
        <v>152</v>
      </c>
      <c r="D2668" s="72">
        <v>0</v>
      </c>
      <c r="E2668" s="42" t="s">
        <v>79</v>
      </c>
      <c r="F2668" s="73">
        <v>10.44</v>
      </c>
      <c r="G2668" s="74">
        <f t="shared" si="624"/>
        <v>65.771999999999991</v>
      </c>
      <c r="H2668" s="43">
        <v>24</v>
      </c>
      <c r="I2668" s="328">
        <f t="shared" si="625"/>
        <v>1578.5279999999998</v>
      </c>
      <c r="J2668" s="124">
        <v>1300</v>
      </c>
    </row>
    <row r="2669" spans="1:10" ht="19.5" thickBot="1" x14ac:dyDescent="0.35">
      <c r="A2669" s="100"/>
      <c r="B2669" s="336"/>
      <c r="C2669" s="336"/>
      <c r="D2669" s="336"/>
      <c r="E2669" s="336"/>
      <c r="F2669" s="336"/>
      <c r="G2669" s="337"/>
      <c r="H2669" s="174" t="s">
        <v>171</v>
      </c>
      <c r="I2669" s="238">
        <f>SUM(I2663:I2668)</f>
        <v>7150.2479999999996</v>
      </c>
      <c r="J2669" s="104">
        <f>SUM(J2663:J2668)</f>
        <v>6700</v>
      </c>
    </row>
    <row r="2670" spans="1:10" x14ac:dyDescent="0.25">
      <c r="A2670" s="31" t="s">
        <v>539</v>
      </c>
      <c r="B2670" s="37" t="s">
        <v>322</v>
      </c>
      <c r="C2670" s="34" t="s">
        <v>114</v>
      </c>
      <c r="D2670" s="108">
        <v>28.77</v>
      </c>
      <c r="E2670" s="34" t="s">
        <v>79</v>
      </c>
      <c r="F2670" s="153">
        <v>5.85</v>
      </c>
      <c r="G2670" s="36">
        <f t="shared" ref="G2670:G2675" si="626">F2670*6.3</f>
        <v>36.854999999999997</v>
      </c>
      <c r="H2670" s="37">
        <v>24</v>
      </c>
      <c r="I2670" s="109">
        <f t="shared" ref="I2670:I2675" si="627">G2670*H2670</f>
        <v>884.52</v>
      </c>
      <c r="J2670" s="123">
        <v>900</v>
      </c>
    </row>
    <row r="2671" spans="1:10" x14ac:dyDescent="0.25">
      <c r="A2671" s="31" t="s">
        <v>539</v>
      </c>
      <c r="B2671" s="37" t="s">
        <v>323</v>
      </c>
      <c r="C2671" s="34" t="s">
        <v>86</v>
      </c>
      <c r="D2671" s="108">
        <v>6.04</v>
      </c>
      <c r="E2671" s="34" t="s">
        <v>79</v>
      </c>
      <c r="F2671" s="110">
        <v>9.27</v>
      </c>
      <c r="G2671" s="36">
        <f t="shared" si="626"/>
        <v>58.400999999999996</v>
      </c>
      <c r="H2671" s="37">
        <v>24</v>
      </c>
      <c r="I2671" s="109">
        <f t="shared" si="627"/>
        <v>1401.6239999999998</v>
      </c>
      <c r="J2671" s="123">
        <v>1400</v>
      </c>
    </row>
    <row r="2672" spans="1:10" x14ac:dyDescent="0.25">
      <c r="A2672" s="31" t="s">
        <v>539</v>
      </c>
      <c r="B2672" s="50" t="s">
        <v>324</v>
      </c>
      <c r="C2672" s="34" t="s">
        <v>443</v>
      </c>
      <c r="D2672" s="108" t="s">
        <v>38</v>
      </c>
      <c r="E2672" s="34" t="s">
        <v>79</v>
      </c>
      <c r="F2672" s="403">
        <v>3.58</v>
      </c>
      <c r="G2672" s="36">
        <f t="shared" si="626"/>
        <v>22.553999999999998</v>
      </c>
      <c r="H2672" s="37">
        <v>24</v>
      </c>
      <c r="I2672" s="109">
        <f t="shared" si="627"/>
        <v>541.29599999999994</v>
      </c>
      <c r="J2672" s="123">
        <v>500</v>
      </c>
    </row>
    <row r="2673" spans="1:10" x14ac:dyDescent="0.25">
      <c r="A2673" s="31" t="s">
        <v>539</v>
      </c>
      <c r="B2673" s="75" t="s">
        <v>317</v>
      </c>
      <c r="C2673" s="111" t="s">
        <v>156</v>
      </c>
      <c r="D2673" s="111">
        <v>38.06</v>
      </c>
      <c r="E2673" s="42" t="s">
        <v>79</v>
      </c>
      <c r="F2673" s="74">
        <v>9.67</v>
      </c>
      <c r="G2673" s="36">
        <f t="shared" si="626"/>
        <v>60.920999999999999</v>
      </c>
      <c r="H2673" s="37">
        <v>24</v>
      </c>
      <c r="I2673" s="109">
        <f t="shared" si="627"/>
        <v>1462.104</v>
      </c>
      <c r="J2673" s="123">
        <v>1600</v>
      </c>
    </row>
    <row r="2674" spans="1:10" x14ac:dyDescent="0.25">
      <c r="A2674" s="31" t="s">
        <v>539</v>
      </c>
      <c r="B2674" s="37" t="s">
        <v>325</v>
      </c>
      <c r="C2674" s="34" t="s">
        <v>158</v>
      </c>
      <c r="D2674" s="46">
        <v>35.299999999999997</v>
      </c>
      <c r="E2674" s="34" t="s">
        <v>79</v>
      </c>
      <c r="F2674" s="74">
        <v>8.65</v>
      </c>
      <c r="G2674" s="36">
        <f t="shared" si="626"/>
        <v>54.494999999999997</v>
      </c>
      <c r="H2674" s="37">
        <v>24</v>
      </c>
      <c r="I2674" s="109">
        <f t="shared" si="627"/>
        <v>1307.8799999999999</v>
      </c>
      <c r="J2674" s="123">
        <v>1000</v>
      </c>
    </row>
    <row r="2675" spans="1:10" ht="15.75" thickBot="1" x14ac:dyDescent="0.3">
      <c r="A2675" s="31" t="s">
        <v>539</v>
      </c>
      <c r="B2675" s="43" t="s">
        <v>326</v>
      </c>
      <c r="C2675" s="52" t="s">
        <v>152</v>
      </c>
      <c r="D2675" s="72">
        <v>0</v>
      </c>
      <c r="E2675" s="42" t="s">
        <v>79</v>
      </c>
      <c r="F2675" s="73">
        <v>10.3</v>
      </c>
      <c r="G2675" s="74">
        <f t="shared" si="626"/>
        <v>64.89</v>
      </c>
      <c r="H2675" s="43">
        <v>24</v>
      </c>
      <c r="I2675" s="399">
        <f t="shared" si="627"/>
        <v>1557.3600000000001</v>
      </c>
      <c r="J2675" s="124">
        <v>1300</v>
      </c>
    </row>
    <row r="2676" spans="1:10" ht="19.5" thickBot="1" x14ac:dyDescent="0.35">
      <c r="A2676" s="100"/>
      <c r="B2676" s="336"/>
      <c r="C2676" s="336"/>
      <c r="D2676" s="336"/>
      <c r="E2676" s="336"/>
      <c r="F2676" s="336"/>
      <c r="G2676" s="337"/>
      <c r="H2676" s="174" t="s">
        <v>171</v>
      </c>
      <c r="I2676" s="238">
        <f>SUM(I2670:I2675)</f>
        <v>7154.7839999999997</v>
      </c>
      <c r="J2676" s="104">
        <v>6700</v>
      </c>
    </row>
    <row r="2677" spans="1:10" x14ac:dyDescent="0.25">
      <c r="A2677" s="31" t="s">
        <v>540</v>
      </c>
      <c r="B2677" s="37" t="s">
        <v>322</v>
      </c>
      <c r="C2677" s="34" t="s">
        <v>114</v>
      </c>
      <c r="D2677" s="108">
        <v>28.77</v>
      </c>
      <c r="E2677" s="34" t="s">
        <v>79</v>
      </c>
      <c r="F2677" s="153">
        <v>5.5</v>
      </c>
      <c r="G2677" s="36">
        <f t="shared" ref="G2677:G2682" si="628">F2677*6.3</f>
        <v>34.65</v>
      </c>
      <c r="H2677" s="37">
        <v>24</v>
      </c>
      <c r="I2677" s="109">
        <f t="shared" ref="I2677:I2682" si="629">G2677*H2677</f>
        <v>831.59999999999991</v>
      </c>
      <c r="J2677" s="123">
        <v>900</v>
      </c>
    </row>
    <row r="2678" spans="1:10" x14ac:dyDescent="0.25">
      <c r="A2678" s="31" t="s">
        <v>540</v>
      </c>
      <c r="B2678" s="37" t="s">
        <v>323</v>
      </c>
      <c r="C2678" s="34" t="s">
        <v>86</v>
      </c>
      <c r="D2678" s="108">
        <v>6.04</v>
      </c>
      <c r="E2678" s="34" t="s">
        <v>79</v>
      </c>
      <c r="F2678" s="110">
        <v>9.5399999999999991</v>
      </c>
      <c r="G2678" s="36">
        <f t="shared" si="628"/>
        <v>60.10199999999999</v>
      </c>
      <c r="H2678" s="37">
        <f>H2677</f>
        <v>24</v>
      </c>
      <c r="I2678" s="109">
        <f t="shared" si="629"/>
        <v>1442.4479999999999</v>
      </c>
      <c r="J2678" s="123">
        <v>1400</v>
      </c>
    </row>
    <row r="2679" spans="1:10" x14ac:dyDescent="0.25">
      <c r="A2679" s="31" t="s">
        <v>540</v>
      </c>
      <c r="B2679" s="50" t="s">
        <v>324</v>
      </c>
      <c r="C2679" s="34" t="s">
        <v>443</v>
      </c>
      <c r="D2679" s="108" t="s">
        <v>38</v>
      </c>
      <c r="E2679" s="34" t="s">
        <v>79</v>
      </c>
      <c r="F2679" s="403">
        <v>3.58</v>
      </c>
      <c r="G2679" s="36">
        <f t="shared" si="628"/>
        <v>22.553999999999998</v>
      </c>
      <c r="H2679" s="37">
        <f>H2678</f>
        <v>24</v>
      </c>
      <c r="I2679" s="109">
        <f t="shared" si="629"/>
        <v>541.29599999999994</v>
      </c>
      <c r="J2679" s="123">
        <v>500</v>
      </c>
    </row>
    <row r="2680" spans="1:10" x14ac:dyDescent="0.25">
      <c r="A2680" s="31" t="s">
        <v>540</v>
      </c>
      <c r="B2680" s="75" t="s">
        <v>317</v>
      </c>
      <c r="C2680" s="111" t="s">
        <v>156</v>
      </c>
      <c r="D2680" s="111">
        <v>38.06</v>
      </c>
      <c r="E2680" s="42" t="s">
        <v>79</v>
      </c>
      <c r="F2680" s="74">
        <v>9.67</v>
      </c>
      <c r="G2680" s="36">
        <f t="shared" si="628"/>
        <v>60.920999999999999</v>
      </c>
      <c r="H2680" s="37">
        <f>H2679</f>
        <v>24</v>
      </c>
      <c r="I2680" s="109">
        <f t="shared" si="629"/>
        <v>1462.104</v>
      </c>
      <c r="J2680" s="123">
        <v>1600</v>
      </c>
    </row>
    <row r="2681" spans="1:10" x14ac:dyDescent="0.25">
      <c r="A2681" s="31" t="s">
        <v>540</v>
      </c>
      <c r="B2681" s="37" t="s">
        <v>325</v>
      </c>
      <c r="C2681" s="34" t="s">
        <v>158</v>
      </c>
      <c r="D2681" s="46">
        <v>35.299999999999997</v>
      </c>
      <c r="E2681" s="34" t="s">
        <v>79</v>
      </c>
      <c r="F2681" s="74">
        <v>8.3000000000000007</v>
      </c>
      <c r="G2681" s="36">
        <f t="shared" si="628"/>
        <v>52.290000000000006</v>
      </c>
      <c r="H2681" s="37">
        <f>H2680</f>
        <v>24</v>
      </c>
      <c r="I2681" s="109">
        <f t="shared" si="629"/>
        <v>1254.96</v>
      </c>
      <c r="J2681" s="123">
        <v>1000</v>
      </c>
    </row>
    <row r="2682" spans="1:10" ht="15.75" thickBot="1" x14ac:dyDescent="0.3">
      <c r="A2682" s="31" t="s">
        <v>540</v>
      </c>
      <c r="B2682" s="43" t="s">
        <v>326</v>
      </c>
      <c r="C2682" s="52" t="s">
        <v>152</v>
      </c>
      <c r="D2682" s="72">
        <v>0</v>
      </c>
      <c r="E2682" s="42" t="s">
        <v>79</v>
      </c>
      <c r="F2682" s="73">
        <v>10.4</v>
      </c>
      <c r="G2682" s="74">
        <f t="shared" si="628"/>
        <v>65.52</v>
      </c>
      <c r="H2682" s="43">
        <f>H2681</f>
        <v>24</v>
      </c>
      <c r="I2682" s="399">
        <f t="shared" si="629"/>
        <v>1572.48</v>
      </c>
      <c r="J2682" s="124">
        <v>1300</v>
      </c>
    </row>
    <row r="2683" spans="1:10" ht="19.5" thickBot="1" x14ac:dyDescent="0.35">
      <c r="A2683" s="100"/>
      <c r="B2683" s="336"/>
      <c r="C2683" s="336"/>
      <c r="D2683" s="336"/>
      <c r="E2683" s="336"/>
      <c r="F2683" s="336"/>
      <c r="G2683" s="337"/>
      <c r="H2683" s="174" t="s">
        <v>171</v>
      </c>
      <c r="I2683" s="238">
        <f>SUM(I2677:I2682)</f>
        <v>7104.887999999999</v>
      </c>
      <c r="J2683" s="104">
        <v>6700</v>
      </c>
    </row>
    <row r="2684" spans="1:10" x14ac:dyDescent="0.25">
      <c r="A2684" s="31" t="s">
        <v>541</v>
      </c>
      <c r="B2684" s="37" t="s">
        <v>322</v>
      </c>
      <c r="C2684" s="34" t="s">
        <v>114</v>
      </c>
      <c r="D2684" s="108">
        <v>28.77</v>
      </c>
      <c r="E2684" s="34" t="s">
        <v>79</v>
      </c>
      <c r="F2684" s="109">
        <v>6.1</v>
      </c>
      <c r="G2684" s="36">
        <f t="shared" ref="G2684:G2689" si="630">F2684*6.3</f>
        <v>38.43</v>
      </c>
      <c r="H2684" s="37">
        <v>24</v>
      </c>
      <c r="I2684" s="109">
        <f t="shared" ref="I2684:I2689" si="631">G2684*H2684</f>
        <v>922.31999999999994</v>
      </c>
      <c r="J2684" s="123">
        <v>900</v>
      </c>
    </row>
    <row r="2685" spans="1:10" x14ac:dyDescent="0.25">
      <c r="A2685" s="31" t="s">
        <v>541</v>
      </c>
      <c r="B2685" s="37" t="s">
        <v>323</v>
      </c>
      <c r="C2685" s="34" t="s">
        <v>86</v>
      </c>
      <c r="D2685" s="108">
        <v>6.04</v>
      </c>
      <c r="E2685" s="34" t="s">
        <v>79</v>
      </c>
      <c r="F2685" s="110">
        <v>9.8000000000000007</v>
      </c>
      <c r="G2685" s="36">
        <f t="shared" si="630"/>
        <v>61.74</v>
      </c>
      <c r="H2685" s="37">
        <f>H2684</f>
        <v>24</v>
      </c>
      <c r="I2685" s="109">
        <f t="shared" si="631"/>
        <v>1481.76</v>
      </c>
      <c r="J2685" s="123">
        <v>1400</v>
      </c>
    </row>
    <row r="2686" spans="1:10" x14ac:dyDescent="0.25">
      <c r="A2686" s="31" t="s">
        <v>541</v>
      </c>
      <c r="B2686" s="50" t="s">
        <v>324</v>
      </c>
      <c r="C2686" s="34" t="s">
        <v>443</v>
      </c>
      <c r="D2686" s="108" t="s">
        <v>38</v>
      </c>
      <c r="E2686" s="34" t="s">
        <v>79</v>
      </c>
      <c r="F2686" s="36">
        <v>3.8</v>
      </c>
      <c r="G2686" s="36">
        <f t="shared" si="630"/>
        <v>23.939999999999998</v>
      </c>
      <c r="H2686" s="37">
        <f>H2685</f>
        <v>24</v>
      </c>
      <c r="I2686" s="109">
        <f t="shared" si="631"/>
        <v>574.55999999999995</v>
      </c>
      <c r="J2686" s="123">
        <v>500</v>
      </c>
    </row>
    <row r="2687" spans="1:10" x14ac:dyDescent="0.25">
      <c r="A2687" s="31" t="s">
        <v>541</v>
      </c>
      <c r="B2687" s="75" t="s">
        <v>317</v>
      </c>
      <c r="C2687" s="111" t="s">
        <v>156</v>
      </c>
      <c r="D2687" s="111">
        <v>38.06</v>
      </c>
      <c r="E2687" s="42" t="s">
        <v>79</v>
      </c>
      <c r="F2687" s="74">
        <v>10.9</v>
      </c>
      <c r="G2687" s="36">
        <f t="shared" si="630"/>
        <v>68.67</v>
      </c>
      <c r="H2687" s="37">
        <f>H2686</f>
        <v>24</v>
      </c>
      <c r="I2687" s="109">
        <f t="shared" si="631"/>
        <v>1648.08</v>
      </c>
      <c r="J2687" s="123">
        <v>1600</v>
      </c>
    </row>
    <row r="2688" spans="1:10" x14ac:dyDescent="0.25">
      <c r="A2688" s="31" t="s">
        <v>541</v>
      </c>
      <c r="B2688" s="37" t="s">
        <v>325</v>
      </c>
      <c r="C2688" s="34" t="s">
        <v>158</v>
      </c>
      <c r="D2688" s="46">
        <v>35.299999999999997</v>
      </c>
      <c r="E2688" s="34" t="s">
        <v>79</v>
      </c>
      <c r="F2688" s="74">
        <v>7.4</v>
      </c>
      <c r="G2688" s="36">
        <f t="shared" si="630"/>
        <v>46.62</v>
      </c>
      <c r="H2688" s="37">
        <f>H2687</f>
        <v>24</v>
      </c>
      <c r="I2688" s="109">
        <f t="shared" si="631"/>
        <v>1118.8799999999999</v>
      </c>
      <c r="J2688" s="123">
        <v>1000</v>
      </c>
    </row>
    <row r="2689" spans="1:10" ht="15.75" thickBot="1" x14ac:dyDescent="0.3">
      <c r="A2689" s="31" t="s">
        <v>541</v>
      </c>
      <c r="B2689" s="43" t="s">
        <v>326</v>
      </c>
      <c r="C2689" s="52" t="s">
        <v>152</v>
      </c>
      <c r="D2689" s="72">
        <v>0</v>
      </c>
      <c r="E2689" s="42" t="s">
        <v>79</v>
      </c>
      <c r="F2689" s="73">
        <v>9.3000000000000007</v>
      </c>
      <c r="G2689" s="74">
        <f t="shared" si="630"/>
        <v>58.59</v>
      </c>
      <c r="H2689" s="43">
        <f>H2688</f>
        <v>24</v>
      </c>
      <c r="I2689" s="399">
        <f t="shared" si="631"/>
        <v>1406.16</v>
      </c>
      <c r="J2689" s="124">
        <v>1300</v>
      </c>
    </row>
    <row r="2690" spans="1:10" ht="19.5" thickBot="1" x14ac:dyDescent="0.35">
      <c r="A2690" s="100"/>
      <c r="B2690" s="336"/>
      <c r="C2690" s="336"/>
      <c r="D2690" s="336"/>
      <c r="E2690" s="336"/>
      <c r="F2690" s="336"/>
      <c r="G2690" s="337"/>
      <c r="H2690" s="174" t="s">
        <v>171</v>
      </c>
      <c r="I2690" s="238">
        <f>SUM(I2684:I2689)</f>
        <v>7151.7599999999993</v>
      </c>
      <c r="J2690" s="104">
        <v>6700</v>
      </c>
    </row>
    <row r="2691" spans="1:10" x14ac:dyDescent="0.25">
      <c r="A2691" s="31" t="s">
        <v>542</v>
      </c>
      <c r="B2691" s="37" t="s">
        <v>322</v>
      </c>
      <c r="C2691" s="34" t="s">
        <v>114</v>
      </c>
      <c r="D2691" s="108">
        <v>28.77</v>
      </c>
      <c r="E2691" s="34" t="s">
        <v>79</v>
      </c>
      <c r="F2691" s="109">
        <v>6.6</v>
      </c>
      <c r="G2691" s="36">
        <f t="shared" ref="G2691:G2696" si="632">F2691*6.3</f>
        <v>41.58</v>
      </c>
      <c r="H2691" s="37">
        <v>24</v>
      </c>
      <c r="I2691" s="109">
        <f t="shared" ref="I2691:I2696" si="633">G2691*H2691</f>
        <v>997.92</v>
      </c>
      <c r="J2691" s="123">
        <v>900</v>
      </c>
    </row>
    <row r="2692" spans="1:10" x14ac:dyDescent="0.25">
      <c r="A2692" s="31" t="s">
        <v>542</v>
      </c>
      <c r="B2692" s="37" t="s">
        <v>323</v>
      </c>
      <c r="C2692" s="34" t="s">
        <v>86</v>
      </c>
      <c r="D2692" s="108">
        <v>6.04</v>
      </c>
      <c r="E2692" s="34" t="s">
        <v>79</v>
      </c>
      <c r="F2692" s="110">
        <v>9.5</v>
      </c>
      <c r="G2692" s="36">
        <f t="shared" si="632"/>
        <v>59.85</v>
      </c>
      <c r="H2692" s="37">
        <f>H2691</f>
        <v>24</v>
      </c>
      <c r="I2692" s="109">
        <f t="shared" si="633"/>
        <v>1436.4</v>
      </c>
      <c r="J2692" s="123">
        <v>1400</v>
      </c>
    </row>
    <row r="2693" spans="1:10" x14ac:dyDescent="0.25">
      <c r="A2693" s="31" t="s">
        <v>542</v>
      </c>
      <c r="B2693" s="50" t="s">
        <v>324</v>
      </c>
      <c r="C2693" s="34" t="s">
        <v>443</v>
      </c>
      <c r="D2693" s="108" t="s">
        <v>38</v>
      </c>
      <c r="E2693" s="34" t="s">
        <v>79</v>
      </c>
      <c r="F2693" s="36">
        <v>3.8</v>
      </c>
      <c r="G2693" s="36">
        <f t="shared" si="632"/>
        <v>23.939999999999998</v>
      </c>
      <c r="H2693" s="37">
        <f>H2692</f>
        <v>24</v>
      </c>
      <c r="I2693" s="109">
        <f t="shared" si="633"/>
        <v>574.55999999999995</v>
      </c>
      <c r="J2693" s="123">
        <v>500</v>
      </c>
    </row>
    <row r="2694" spans="1:10" x14ac:dyDescent="0.25">
      <c r="A2694" s="31" t="s">
        <v>542</v>
      </c>
      <c r="B2694" s="75" t="s">
        <v>317</v>
      </c>
      <c r="C2694" s="111" t="s">
        <v>156</v>
      </c>
      <c r="D2694" s="111">
        <v>38.06</v>
      </c>
      <c r="E2694" s="42" t="s">
        <v>79</v>
      </c>
      <c r="F2694" s="74">
        <v>10.9</v>
      </c>
      <c r="G2694" s="36">
        <f t="shared" si="632"/>
        <v>68.67</v>
      </c>
      <c r="H2694" s="37">
        <f>H2693</f>
        <v>24</v>
      </c>
      <c r="I2694" s="109">
        <f t="shared" si="633"/>
        <v>1648.08</v>
      </c>
      <c r="J2694" s="123">
        <v>1600</v>
      </c>
    </row>
    <row r="2695" spans="1:10" x14ac:dyDescent="0.25">
      <c r="A2695" s="31" t="s">
        <v>542</v>
      </c>
      <c r="B2695" s="37" t="s">
        <v>325</v>
      </c>
      <c r="C2695" s="34" t="s">
        <v>158</v>
      </c>
      <c r="D2695" s="46">
        <v>35.299999999999997</v>
      </c>
      <c r="E2695" s="34" t="s">
        <v>79</v>
      </c>
      <c r="F2695" s="74">
        <v>6.9</v>
      </c>
      <c r="G2695" s="36">
        <f t="shared" si="632"/>
        <v>43.47</v>
      </c>
      <c r="H2695" s="37">
        <f>H2694</f>
        <v>24</v>
      </c>
      <c r="I2695" s="109">
        <f t="shared" si="633"/>
        <v>1043.28</v>
      </c>
      <c r="J2695" s="123">
        <v>1000</v>
      </c>
    </row>
    <row r="2696" spans="1:10" ht="15.75" thickBot="1" x14ac:dyDescent="0.3">
      <c r="A2696" s="31" t="s">
        <v>542</v>
      </c>
      <c r="B2696" s="43" t="s">
        <v>326</v>
      </c>
      <c r="C2696" s="52" t="s">
        <v>152</v>
      </c>
      <c r="D2696" s="72">
        <v>0</v>
      </c>
      <c r="E2696" s="42" t="s">
        <v>79</v>
      </c>
      <c r="F2696" s="73">
        <v>9.3000000000000007</v>
      </c>
      <c r="G2696" s="74">
        <f t="shared" si="632"/>
        <v>58.59</v>
      </c>
      <c r="H2696" s="43">
        <f>H2695</f>
        <v>24</v>
      </c>
      <c r="I2696" s="399">
        <f t="shared" si="633"/>
        <v>1406.16</v>
      </c>
      <c r="J2696" s="124">
        <v>1300</v>
      </c>
    </row>
    <row r="2697" spans="1:10" ht="19.5" thickBot="1" x14ac:dyDescent="0.35">
      <c r="A2697" s="336"/>
      <c r="B2697" s="336"/>
      <c r="C2697" s="336"/>
      <c r="D2697" s="336"/>
      <c r="E2697" s="336"/>
      <c r="F2697" s="336"/>
      <c r="G2697" s="337"/>
      <c r="H2697" s="174" t="s">
        <v>171</v>
      </c>
      <c r="I2697" s="238">
        <f>SUM(I2691:I2696)</f>
        <v>7106.4</v>
      </c>
      <c r="J2697" s="104">
        <v>6700</v>
      </c>
    </row>
    <row r="2698" spans="1:10" x14ac:dyDescent="0.25">
      <c r="A2698" s="31" t="s">
        <v>543</v>
      </c>
      <c r="B2698" s="37" t="s">
        <v>322</v>
      </c>
      <c r="C2698" s="34" t="s">
        <v>114</v>
      </c>
      <c r="D2698" s="108">
        <v>28.77</v>
      </c>
      <c r="E2698" s="34" t="s">
        <v>79</v>
      </c>
      <c r="F2698" s="109">
        <v>6.2</v>
      </c>
      <c r="G2698" s="36">
        <f t="shared" ref="G2698:G2703" si="634">F2698*6.3</f>
        <v>39.06</v>
      </c>
      <c r="H2698" s="37">
        <v>24</v>
      </c>
      <c r="I2698" s="109">
        <f t="shared" ref="I2698:I2703" si="635">G2698*H2698</f>
        <v>937.44</v>
      </c>
      <c r="J2698" s="123">
        <v>900</v>
      </c>
    </row>
    <row r="2699" spans="1:10" x14ac:dyDescent="0.25">
      <c r="A2699" s="31" t="s">
        <v>543</v>
      </c>
      <c r="B2699" s="37" t="s">
        <v>323</v>
      </c>
      <c r="C2699" s="34" t="s">
        <v>86</v>
      </c>
      <c r="D2699" s="108">
        <v>6.04</v>
      </c>
      <c r="E2699" s="34" t="s">
        <v>79</v>
      </c>
      <c r="F2699" s="110">
        <v>10.3</v>
      </c>
      <c r="G2699" s="36">
        <f t="shared" si="634"/>
        <v>64.89</v>
      </c>
      <c r="H2699" s="37">
        <f>H2698</f>
        <v>24</v>
      </c>
      <c r="I2699" s="109">
        <f t="shared" si="635"/>
        <v>1557.3600000000001</v>
      </c>
      <c r="J2699" s="123">
        <v>1400</v>
      </c>
    </row>
    <row r="2700" spans="1:10" x14ac:dyDescent="0.25">
      <c r="A2700" s="31" t="s">
        <v>543</v>
      </c>
      <c r="B2700" s="50" t="s">
        <v>324</v>
      </c>
      <c r="C2700" s="34" t="s">
        <v>443</v>
      </c>
      <c r="D2700" s="108" t="s">
        <v>38</v>
      </c>
      <c r="E2700" s="34" t="s">
        <v>79</v>
      </c>
      <c r="F2700" s="36">
        <v>3.8</v>
      </c>
      <c r="G2700" s="36">
        <f t="shared" si="634"/>
        <v>23.939999999999998</v>
      </c>
      <c r="H2700" s="37">
        <f>H2699</f>
        <v>24</v>
      </c>
      <c r="I2700" s="109">
        <f t="shared" si="635"/>
        <v>574.55999999999995</v>
      </c>
      <c r="J2700" s="123">
        <v>500</v>
      </c>
    </row>
    <row r="2701" spans="1:10" x14ac:dyDescent="0.25">
      <c r="A2701" s="31" t="s">
        <v>543</v>
      </c>
      <c r="B2701" s="75" t="s">
        <v>317</v>
      </c>
      <c r="C2701" s="111" t="s">
        <v>156</v>
      </c>
      <c r="D2701" s="111">
        <v>38.06</v>
      </c>
      <c r="E2701" s="42" t="s">
        <v>79</v>
      </c>
      <c r="F2701" s="74">
        <v>10.8</v>
      </c>
      <c r="G2701" s="36">
        <f t="shared" si="634"/>
        <v>68.040000000000006</v>
      </c>
      <c r="H2701" s="37">
        <f>H2700</f>
        <v>24</v>
      </c>
      <c r="I2701" s="109">
        <f t="shared" si="635"/>
        <v>1632.96</v>
      </c>
      <c r="J2701" s="123">
        <v>1600</v>
      </c>
    </row>
    <row r="2702" spans="1:10" x14ac:dyDescent="0.25">
      <c r="A2702" s="31" t="s">
        <v>543</v>
      </c>
      <c r="B2702" s="37" t="s">
        <v>325</v>
      </c>
      <c r="C2702" s="34" t="s">
        <v>158</v>
      </c>
      <c r="D2702" s="46">
        <v>35.299999999999997</v>
      </c>
      <c r="E2702" s="34" t="s">
        <v>79</v>
      </c>
      <c r="F2702" s="74">
        <v>6.9</v>
      </c>
      <c r="G2702" s="36">
        <f t="shared" si="634"/>
        <v>43.47</v>
      </c>
      <c r="H2702" s="37">
        <f>H2701</f>
        <v>24</v>
      </c>
      <c r="I2702" s="109">
        <f t="shared" si="635"/>
        <v>1043.28</v>
      </c>
      <c r="J2702" s="123">
        <v>1000</v>
      </c>
    </row>
    <row r="2703" spans="1:10" ht="15.75" thickBot="1" x14ac:dyDescent="0.3">
      <c r="A2703" s="31" t="s">
        <v>543</v>
      </c>
      <c r="B2703" s="43" t="s">
        <v>326</v>
      </c>
      <c r="C2703" s="52" t="s">
        <v>152</v>
      </c>
      <c r="D2703" s="72">
        <v>0</v>
      </c>
      <c r="E2703" s="42" t="s">
        <v>79</v>
      </c>
      <c r="F2703" s="73">
        <v>9.1999999999999993</v>
      </c>
      <c r="G2703" s="74">
        <f t="shared" si="634"/>
        <v>57.959999999999994</v>
      </c>
      <c r="H2703" s="43">
        <f>H2702</f>
        <v>24</v>
      </c>
      <c r="I2703" s="399">
        <f t="shared" si="635"/>
        <v>1391.04</v>
      </c>
      <c r="J2703" s="124">
        <v>1300</v>
      </c>
    </row>
    <row r="2704" spans="1:10" ht="19.5" thickBot="1" x14ac:dyDescent="0.35">
      <c r="A2704" s="336"/>
      <c r="B2704" s="336"/>
      <c r="C2704" s="336"/>
      <c r="D2704" s="336"/>
      <c r="E2704" s="336"/>
      <c r="F2704" s="336"/>
      <c r="G2704" s="337"/>
      <c r="H2704" s="174" t="s">
        <v>171</v>
      </c>
      <c r="I2704" s="238">
        <f>SUM(I2698:I2703)</f>
        <v>7136.6399999999994</v>
      </c>
      <c r="J2704" s="104">
        <v>6700</v>
      </c>
    </row>
    <row r="2705" spans="1:10" x14ac:dyDescent="0.25">
      <c r="A2705" s="31" t="s">
        <v>544</v>
      </c>
      <c r="B2705" s="37" t="s">
        <v>322</v>
      </c>
      <c r="C2705" s="34" t="s">
        <v>114</v>
      </c>
      <c r="D2705" s="108">
        <v>20.2</v>
      </c>
      <c r="E2705" s="34" t="s">
        <v>79</v>
      </c>
      <c r="F2705" s="109">
        <v>6.6</v>
      </c>
      <c r="G2705" s="36">
        <f t="shared" ref="G2705:G2710" si="636">F2705*6.3</f>
        <v>41.58</v>
      </c>
      <c r="H2705" s="37">
        <v>24</v>
      </c>
      <c r="I2705" s="109">
        <f t="shared" ref="I2705:I2710" si="637">G2705*H2705</f>
        <v>997.92</v>
      </c>
      <c r="J2705" s="123">
        <v>900</v>
      </c>
    </row>
    <row r="2706" spans="1:10" x14ac:dyDescent="0.25">
      <c r="A2706" s="31" t="s">
        <v>544</v>
      </c>
      <c r="B2706" s="37" t="s">
        <v>323</v>
      </c>
      <c r="C2706" s="34" t="s">
        <v>86</v>
      </c>
      <c r="D2706" s="108">
        <v>2.6</v>
      </c>
      <c r="E2706" s="34" t="s">
        <v>79</v>
      </c>
      <c r="F2706" s="110">
        <v>9.6</v>
      </c>
      <c r="G2706" s="36">
        <f t="shared" si="636"/>
        <v>60.48</v>
      </c>
      <c r="H2706" s="37">
        <f>H2705</f>
        <v>24</v>
      </c>
      <c r="I2706" s="109">
        <f t="shared" si="637"/>
        <v>1451.52</v>
      </c>
      <c r="J2706" s="123">
        <v>1400</v>
      </c>
    </row>
    <row r="2707" spans="1:10" x14ac:dyDescent="0.25">
      <c r="A2707" s="31" t="s">
        <v>544</v>
      </c>
      <c r="B2707" s="50" t="s">
        <v>324</v>
      </c>
      <c r="C2707" s="34" t="s">
        <v>443</v>
      </c>
      <c r="D2707" s="108" t="s">
        <v>38</v>
      </c>
      <c r="E2707" s="34" t="s">
        <v>79</v>
      </c>
      <c r="F2707" s="36">
        <v>3.8</v>
      </c>
      <c r="G2707" s="36">
        <f t="shared" si="636"/>
        <v>23.939999999999998</v>
      </c>
      <c r="H2707" s="37">
        <f>H2706</f>
        <v>24</v>
      </c>
      <c r="I2707" s="109">
        <f t="shared" si="637"/>
        <v>574.55999999999995</v>
      </c>
      <c r="J2707" s="123">
        <v>500</v>
      </c>
    </row>
    <row r="2708" spans="1:10" x14ac:dyDescent="0.25">
      <c r="A2708" s="31" t="s">
        <v>544</v>
      </c>
      <c r="B2708" s="75" t="s">
        <v>317</v>
      </c>
      <c r="C2708" s="111" t="s">
        <v>156</v>
      </c>
      <c r="D2708" s="111">
        <v>41</v>
      </c>
      <c r="E2708" s="42" t="s">
        <v>79</v>
      </c>
      <c r="F2708" s="74">
        <v>10.8</v>
      </c>
      <c r="G2708" s="36">
        <f t="shared" si="636"/>
        <v>68.040000000000006</v>
      </c>
      <c r="H2708" s="37">
        <f>H2707</f>
        <v>24</v>
      </c>
      <c r="I2708" s="109">
        <f t="shared" si="637"/>
        <v>1632.96</v>
      </c>
      <c r="J2708" s="123">
        <v>1600</v>
      </c>
    </row>
    <row r="2709" spans="1:10" x14ac:dyDescent="0.25">
      <c r="A2709" s="31" t="s">
        <v>544</v>
      </c>
      <c r="B2709" s="37" t="s">
        <v>325</v>
      </c>
      <c r="C2709" s="34" t="s">
        <v>158</v>
      </c>
      <c r="D2709" s="46">
        <v>21.36</v>
      </c>
      <c r="E2709" s="34" t="s">
        <v>79</v>
      </c>
      <c r="F2709" s="74">
        <v>6.8</v>
      </c>
      <c r="G2709" s="36">
        <f t="shared" si="636"/>
        <v>42.839999999999996</v>
      </c>
      <c r="H2709" s="37">
        <f>H2708</f>
        <v>24</v>
      </c>
      <c r="I2709" s="109">
        <f t="shared" si="637"/>
        <v>1028.1599999999999</v>
      </c>
      <c r="J2709" s="123">
        <v>1000</v>
      </c>
    </row>
    <row r="2710" spans="1:10" ht="15.75" thickBot="1" x14ac:dyDescent="0.3">
      <c r="A2710" s="31" t="s">
        <v>544</v>
      </c>
      <c r="B2710" s="43" t="s">
        <v>326</v>
      </c>
      <c r="C2710" s="52" t="s">
        <v>152</v>
      </c>
      <c r="D2710" s="72">
        <v>0</v>
      </c>
      <c r="E2710" s="42" t="s">
        <v>79</v>
      </c>
      <c r="F2710" s="73">
        <v>9.5</v>
      </c>
      <c r="G2710" s="74">
        <f t="shared" si="636"/>
        <v>59.85</v>
      </c>
      <c r="H2710" s="43">
        <f>H2709</f>
        <v>24</v>
      </c>
      <c r="I2710" s="399">
        <f t="shared" si="637"/>
        <v>1436.4</v>
      </c>
      <c r="J2710" s="124">
        <v>1300</v>
      </c>
    </row>
    <row r="2711" spans="1:10" ht="19.5" thickBot="1" x14ac:dyDescent="0.35">
      <c r="B2711" s="336"/>
      <c r="C2711" s="336"/>
      <c r="D2711" s="336"/>
      <c r="E2711" s="336"/>
      <c r="F2711" s="336"/>
      <c r="G2711" s="337"/>
      <c r="H2711" s="174" t="s">
        <v>171</v>
      </c>
      <c r="I2711" s="238">
        <f>SUM(I2705:I2710)</f>
        <v>7121.52</v>
      </c>
      <c r="J2711" s="104">
        <v>6700</v>
      </c>
    </row>
    <row r="2712" spans="1:10" x14ac:dyDescent="0.25">
      <c r="A2712" s="31" t="s">
        <v>545</v>
      </c>
      <c r="B2712" s="37" t="s">
        <v>322</v>
      </c>
      <c r="C2712" s="34" t="s">
        <v>114</v>
      </c>
      <c r="D2712" s="108">
        <v>20</v>
      </c>
      <c r="E2712" s="34" t="s">
        <v>79</v>
      </c>
      <c r="F2712" s="109">
        <v>6.2</v>
      </c>
      <c r="G2712" s="36">
        <f t="shared" ref="G2712:G2717" si="638">F2712*6.3</f>
        <v>39.06</v>
      </c>
      <c r="H2712" s="37">
        <v>24</v>
      </c>
      <c r="I2712" s="109">
        <f t="shared" ref="I2712:I2717" si="639">G2712*H2712</f>
        <v>937.44</v>
      </c>
      <c r="J2712" s="123">
        <v>900</v>
      </c>
    </row>
    <row r="2713" spans="1:10" x14ac:dyDescent="0.25">
      <c r="A2713" s="31" t="s">
        <v>545</v>
      </c>
      <c r="B2713" s="37" t="s">
        <v>323</v>
      </c>
      <c r="C2713" s="34" t="s">
        <v>86</v>
      </c>
      <c r="D2713" s="108">
        <v>2.54</v>
      </c>
      <c r="E2713" s="34" t="s">
        <v>79</v>
      </c>
      <c r="F2713" s="110">
        <v>11</v>
      </c>
      <c r="G2713" s="36">
        <f t="shared" si="638"/>
        <v>69.3</v>
      </c>
      <c r="H2713" s="37">
        <f>H2712</f>
        <v>24</v>
      </c>
      <c r="I2713" s="109">
        <f t="shared" si="639"/>
        <v>1663.1999999999998</v>
      </c>
      <c r="J2713" s="123">
        <v>1400</v>
      </c>
    </row>
    <row r="2714" spans="1:10" x14ac:dyDescent="0.25">
      <c r="A2714" s="31" t="s">
        <v>545</v>
      </c>
      <c r="B2714" s="50" t="s">
        <v>324</v>
      </c>
      <c r="C2714" s="34" t="s">
        <v>443</v>
      </c>
      <c r="D2714" s="108" t="s">
        <v>38</v>
      </c>
      <c r="E2714" s="34" t="s">
        <v>79</v>
      </c>
      <c r="F2714" s="36">
        <v>3.8</v>
      </c>
      <c r="G2714" s="36">
        <f t="shared" si="638"/>
        <v>23.939999999999998</v>
      </c>
      <c r="H2714" s="37">
        <f>H2713</f>
        <v>24</v>
      </c>
      <c r="I2714" s="109">
        <f t="shared" si="639"/>
        <v>574.55999999999995</v>
      </c>
      <c r="J2714" s="123">
        <v>500</v>
      </c>
    </row>
    <row r="2715" spans="1:10" x14ac:dyDescent="0.25">
      <c r="A2715" s="31" t="s">
        <v>545</v>
      </c>
      <c r="B2715" s="75" t="s">
        <v>317</v>
      </c>
      <c r="C2715" s="111" t="s">
        <v>156</v>
      </c>
      <c r="D2715" s="111">
        <v>40</v>
      </c>
      <c r="E2715" s="42" t="s">
        <v>79</v>
      </c>
      <c r="F2715" s="74">
        <v>10.8</v>
      </c>
      <c r="G2715" s="36">
        <f t="shared" si="638"/>
        <v>68.040000000000006</v>
      </c>
      <c r="H2715" s="37">
        <f>H2714</f>
        <v>24</v>
      </c>
      <c r="I2715" s="109">
        <f t="shared" si="639"/>
        <v>1632.96</v>
      </c>
      <c r="J2715" s="123">
        <v>1600</v>
      </c>
    </row>
    <row r="2716" spans="1:10" x14ac:dyDescent="0.25">
      <c r="A2716" s="31" t="s">
        <v>545</v>
      </c>
      <c r="B2716" s="37" t="s">
        <v>325</v>
      </c>
      <c r="C2716" s="34" t="s">
        <v>158</v>
      </c>
      <c r="D2716" s="46">
        <v>20.88</v>
      </c>
      <c r="E2716" s="34" t="s">
        <v>79</v>
      </c>
      <c r="F2716" s="74">
        <v>6.55</v>
      </c>
      <c r="G2716" s="36">
        <f t="shared" si="638"/>
        <v>41.265000000000001</v>
      </c>
      <c r="H2716" s="37">
        <f>H2715</f>
        <v>24</v>
      </c>
      <c r="I2716" s="109">
        <f t="shared" si="639"/>
        <v>990.36</v>
      </c>
      <c r="J2716" s="123">
        <v>1000</v>
      </c>
    </row>
    <row r="2717" spans="1:10" ht="15.75" thickBot="1" x14ac:dyDescent="0.3">
      <c r="A2717" s="31" t="s">
        <v>545</v>
      </c>
      <c r="B2717" s="43" t="s">
        <v>326</v>
      </c>
      <c r="C2717" s="52" t="s">
        <v>152</v>
      </c>
      <c r="D2717" s="72">
        <v>0</v>
      </c>
      <c r="E2717" s="42" t="s">
        <v>79</v>
      </c>
      <c r="F2717" s="73">
        <v>9</v>
      </c>
      <c r="G2717" s="74">
        <f t="shared" si="638"/>
        <v>56.699999999999996</v>
      </c>
      <c r="H2717" s="43">
        <f>H2716</f>
        <v>24</v>
      </c>
      <c r="I2717" s="399">
        <f t="shared" si="639"/>
        <v>1360.8</v>
      </c>
      <c r="J2717" s="124">
        <v>1300</v>
      </c>
    </row>
    <row r="2718" spans="1:10" ht="19.5" thickBot="1" x14ac:dyDescent="0.35">
      <c r="B2718" s="336"/>
      <c r="C2718" s="336"/>
      <c r="D2718" s="336"/>
      <c r="E2718" s="336"/>
      <c r="F2718" s="336"/>
      <c r="G2718" s="337"/>
      <c r="H2718" s="174" t="s">
        <v>171</v>
      </c>
      <c r="I2718" s="238">
        <f>SUM(I2712:I2717)</f>
        <v>7159.32</v>
      </c>
      <c r="J2718" s="104">
        <v>6700</v>
      </c>
    </row>
    <row r="2719" spans="1:10" x14ac:dyDescent="0.25">
      <c r="A2719" s="31" t="s">
        <v>546</v>
      </c>
      <c r="B2719" s="37" t="s">
        <v>322</v>
      </c>
      <c r="C2719" s="34" t="s">
        <v>114</v>
      </c>
      <c r="D2719" s="108">
        <v>29</v>
      </c>
      <c r="E2719" s="34" t="s">
        <v>79</v>
      </c>
      <c r="F2719" s="109">
        <v>6.3</v>
      </c>
      <c r="G2719" s="36">
        <f t="shared" ref="G2719:G2724" si="640">F2719*6.3</f>
        <v>39.69</v>
      </c>
      <c r="H2719" s="37">
        <v>24</v>
      </c>
      <c r="I2719" s="109">
        <f t="shared" ref="I2719:I2724" si="641">G2719*H2719</f>
        <v>952.56</v>
      </c>
      <c r="J2719" s="123">
        <v>900</v>
      </c>
    </row>
    <row r="2720" spans="1:10" x14ac:dyDescent="0.25">
      <c r="A2720" s="31" t="s">
        <v>546</v>
      </c>
      <c r="B2720" s="37" t="s">
        <v>323</v>
      </c>
      <c r="C2720" s="34" t="s">
        <v>86</v>
      </c>
      <c r="D2720" s="108">
        <v>5.8</v>
      </c>
      <c r="E2720" s="34" t="s">
        <v>79</v>
      </c>
      <c r="F2720" s="110">
        <v>11.3</v>
      </c>
      <c r="G2720" s="36">
        <f t="shared" si="640"/>
        <v>71.19</v>
      </c>
      <c r="H2720" s="37">
        <f>H2719</f>
        <v>24</v>
      </c>
      <c r="I2720" s="109">
        <f t="shared" si="641"/>
        <v>1708.56</v>
      </c>
      <c r="J2720" s="123">
        <v>1400</v>
      </c>
    </row>
    <row r="2721" spans="1:10" x14ac:dyDescent="0.25">
      <c r="A2721" s="31" t="s">
        <v>546</v>
      </c>
      <c r="B2721" s="50" t="s">
        <v>324</v>
      </c>
      <c r="C2721" s="34" t="s">
        <v>443</v>
      </c>
      <c r="D2721" s="108" t="s">
        <v>38</v>
      </c>
      <c r="E2721" s="34" t="s">
        <v>79</v>
      </c>
      <c r="F2721" s="36">
        <v>3.8</v>
      </c>
      <c r="G2721" s="36">
        <f t="shared" si="640"/>
        <v>23.939999999999998</v>
      </c>
      <c r="H2721" s="37">
        <f>H2720</f>
        <v>24</v>
      </c>
      <c r="I2721" s="109">
        <f t="shared" si="641"/>
        <v>574.55999999999995</v>
      </c>
      <c r="J2721" s="123">
        <v>500</v>
      </c>
    </row>
    <row r="2722" spans="1:10" x14ac:dyDescent="0.25">
      <c r="A2722" s="31" t="s">
        <v>546</v>
      </c>
      <c r="B2722" s="75" t="s">
        <v>317</v>
      </c>
      <c r="C2722" s="111" t="s">
        <v>156</v>
      </c>
      <c r="D2722" s="111">
        <v>40</v>
      </c>
      <c r="E2722" s="42" t="s">
        <v>79</v>
      </c>
      <c r="F2722" s="74">
        <v>10</v>
      </c>
      <c r="G2722" s="36">
        <f t="shared" si="640"/>
        <v>63</v>
      </c>
      <c r="H2722" s="37">
        <f>H2721</f>
        <v>24</v>
      </c>
      <c r="I2722" s="109">
        <f t="shared" si="641"/>
        <v>1512</v>
      </c>
      <c r="J2722" s="123">
        <v>1600</v>
      </c>
    </row>
    <row r="2723" spans="1:10" x14ac:dyDescent="0.25">
      <c r="A2723" s="31" t="s">
        <v>546</v>
      </c>
      <c r="B2723" s="37" t="s">
        <v>325</v>
      </c>
      <c r="C2723" s="34" t="s">
        <v>158</v>
      </c>
      <c r="D2723" s="46">
        <v>21.4</v>
      </c>
      <c r="E2723" s="34" t="s">
        <v>79</v>
      </c>
      <c r="F2723" s="74">
        <v>6.7</v>
      </c>
      <c r="G2723" s="36">
        <f t="shared" si="640"/>
        <v>42.21</v>
      </c>
      <c r="H2723" s="37">
        <f>H2722</f>
        <v>24</v>
      </c>
      <c r="I2723" s="109">
        <f t="shared" si="641"/>
        <v>1013.04</v>
      </c>
      <c r="J2723" s="123">
        <v>1000</v>
      </c>
    </row>
    <row r="2724" spans="1:10" ht="15.75" thickBot="1" x14ac:dyDescent="0.3">
      <c r="A2724" s="31" t="s">
        <v>546</v>
      </c>
      <c r="B2724" s="43" t="s">
        <v>326</v>
      </c>
      <c r="C2724" s="52" t="s">
        <v>152</v>
      </c>
      <c r="D2724" s="72">
        <v>0</v>
      </c>
      <c r="E2724" s="42" t="s">
        <v>79</v>
      </c>
      <c r="F2724" s="73">
        <v>8.9</v>
      </c>
      <c r="G2724" s="74">
        <f t="shared" si="640"/>
        <v>56.07</v>
      </c>
      <c r="H2724" s="43">
        <f>H2723</f>
        <v>24</v>
      </c>
      <c r="I2724" s="399">
        <f t="shared" si="641"/>
        <v>1345.68</v>
      </c>
      <c r="J2724" s="124">
        <v>1300</v>
      </c>
    </row>
    <row r="2725" spans="1:10" ht="19.5" thickBot="1" x14ac:dyDescent="0.35">
      <c r="B2725" s="336"/>
      <c r="C2725" s="336"/>
      <c r="D2725" s="336"/>
      <c r="E2725" s="336"/>
      <c r="F2725" s="336"/>
      <c r="G2725" s="337"/>
      <c r="H2725" s="174" t="s">
        <v>171</v>
      </c>
      <c r="I2725" s="238">
        <f>SUM(I2719:I2724)</f>
        <v>7106.4000000000005</v>
      </c>
      <c r="J2725" s="104">
        <v>6700</v>
      </c>
    </row>
    <row r="2726" spans="1:10" x14ac:dyDescent="0.25">
      <c r="A2726" s="31" t="s">
        <v>547</v>
      </c>
      <c r="B2726" s="37" t="s">
        <v>322</v>
      </c>
      <c r="C2726" s="34" t="s">
        <v>114</v>
      </c>
      <c r="D2726" s="108">
        <v>21.8</v>
      </c>
      <c r="E2726" s="34" t="s">
        <v>79</v>
      </c>
      <c r="F2726" s="109">
        <v>7</v>
      </c>
      <c r="G2726" s="36">
        <f t="shared" ref="G2726:G2731" si="642">F2726*6.3</f>
        <v>44.1</v>
      </c>
      <c r="H2726" s="37">
        <v>24</v>
      </c>
      <c r="I2726" s="109">
        <f t="shared" ref="I2726:I2731" si="643">G2726*H2726</f>
        <v>1058.4000000000001</v>
      </c>
      <c r="J2726" s="123">
        <v>900</v>
      </c>
    </row>
    <row r="2727" spans="1:10" x14ac:dyDescent="0.25">
      <c r="A2727" s="31" t="s">
        <v>547</v>
      </c>
      <c r="B2727" s="37" t="s">
        <v>323</v>
      </c>
      <c r="C2727" s="34" t="s">
        <v>86</v>
      </c>
      <c r="D2727" s="108">
        <v>3.5</v>
      </c>
      <c r="E2727" s="34" t="s">
        <v>79</v>
      </c>
      <c r="F2727" s="110">
        <v>9.5</v>
      </c>
      <c r="G2727" s="36">
        <f t="shared" si="642"/>
        <v>59.85</v>
      </c>
      <c r="H2727" s="37">
        <f>H2726</f>
        <v>24</v>
      </c>
      <c r="I2727" s="109">
        <f t="shared" si="643"/>
        <v>1436.4</v>
      </c>
      <c r="J2727" s="123">
        <v>1400</v>
      </c>
    </row>
    <row r="2728" spans="1:10" x14ac:dyDescent="0.25">
      <c r="A2728" s="31" t="s">
        <v>547</v>
      </c>
      <c r="B2728" s="50" t="s">
        <v>324</v>
      </c>
      <c r="C2728" s="34" t="s">
        <v>443</v>
      </c>
      <c r="D2728" s="108" t="s">
        <v>38</v>
      </c>
      <c r="E2728" s="34" t="s">
        <v>79</v>
      </c>
      <c r="F2728" s="36">
        <v>3.8</v>
      </c>
      <c r="G2728" s="36">
        <f t="shared" si="642"/>
        <v>23.939999999999998</v>
      </c>
      <c r="H2728" s="37">
        <f>H2727</f>
        <v>24</v>
      </c>
      <c r="I2728" s="109">
        <f t="shared" si="643"/>
        <v>574.55999999999995</v>
      </c>
      <c r="J2728" s="123">
        <v>500</v>
      </c>
    </row>
    <row r="2729" spans="1:10" x14ac:dyDescent="0.25">
      <c r="A2729" s="31" t="s">
        <v>547</v>
      </c>
      <c r="B2729" s="75" t="s">
        <v>317</v>
      </c>
      <c r="C2729" s="111" t="s">
        <v>156</v>
      </c>
      <c r="D2729" s="111">
        <v>37.799999999999997</v>
      </c>
      <c r="E2729" s="42" t="s">
        <v>79</v>
      </c>
      <c r="F2729" s="74">
        <v>10</v>
      </c>
      <c r="G2729" s="36">
        <f t="shared" si="642"/>
        <v>63</v>
      </c>
      <c r="H2729" s="37">
        <f>H2728</f>
        <v>24</v>
      </c>
      <c r="I2729" s="109">
        <f t="shared" si="643"/>
        <v>1512</v>
      </c>
      <c r="J2729" s="123">
        <v>1600</v>
      </c>
    </row>
    <row r="2730" spans="1:10" x14ac:dyDescent="0.25">
      <c r="A2730" s="31" t="s">
        <v>547</v>
      </c>
      <c r="B2730" s="37" t="s">
        <v>325</v>
      </c>
      <c r="C2730" s="34" t="s">
        <v>158</v>
      </c>
      <c r="D2730" s="46">
        <v>21.4</v>
      </c>
      <c r="E2730" s="34" t="s">
        <v>79</v>
      </c>
      <c r="F2730" s="74">
        <v>6.75</v>
      </c>
      <c r="G2730" s="36">
        <f t="shared" si="642"/>
        <v>42.524999999999999</v>
      </c>
      <c r="H2730" s="37">
        <f>H2729</f>
        <v>24</v>
      </c>
      <c r="I2730" s="109">
        <f t="shared" si="643"/>
        <v>1020.5999999999999</v>
      </c>
      <c r="J2730" s="123">
        <v>1000</v>
      </c>
    </row>
    <row r="2731" spans="1:10" ht="15.75" thickBot="1" x14ac:dyDescent="0.3">
      <c r="A2731" s="31" t="s">
        <v>547</v>
      </c>
      <c r="B2731" s="43" t="s">
        <v>326</v>
      </c>
      <c r="C2731" s="52" t="s">
        <v>152</v>
      </c>
      <c r="D2731" s="72">
        <v>0</v>
      </c>
      <c r="E2731" s="42" t="s">
        <v>79</v>
      </c>
      <c r="F2731" s="73">
        <v>9.4</v>
      </c>
      <c r="G2731" s="74">
        <f t="shared" si="642"/>
        <v>59.22</v>
      </c>
      <c r="H2731" s="43">
        <f>H2730</f>
        <v>24</v>
      </c>
      <c r="I2731" s="399">
        <f t="shared" si="643"/>
        <v>1421.28</v>
      </c>
      <c r="J2731" s="124">
        <v>1300</v>
      </c>
    </row>
    <row r="2732" spans="1:10" ht="19.5" thickBot="1" x14ac:dyDescent="0.35">
      <c r="B2732" s="336"/>
      <c r="C2732" s="336"/>
      <c r="D2732" s="336"/>
      <c r="E2732" s="336"/>
      <c r="F2732" s="336"/>
      <c r="G2732" s="337"/>
      <c r="H2732" s="174" t="s">
        <v>171</v>
      </c>
      <c r="I2732" s="238">
        <f>SUM(I2726:I2731)</f>
        <v>7023.2400000000007</v>
      </c>
      <c r="J2732" s="104">
        <v>6700</v>
      </c>
    </row>
    <row r="2733" spans="1:10" x14ac:dyDescent="0.25">
      <c r="A2733" s="31" t="s">
        <v>548</v>
      </c>
      <c r="B2733" s="37" t="s">
        <v>322</v>
      </c>
      <c r="C2733" s="34" t="s">
        <v>114</v>
      </c>
      <c r="D2733" s="108">
        <v>21</v>
      </c>
      <c r="E2733" s="34" t="s">
        <v>79</v>
      </c>
      <c r="F2733" s="109">
        <v>6.4</v>
      </c>
      <c r="G2733" s="36">
        <f t="shared" ref="G2733:G2738" si="644">F2733*6.3</f>
        <v>40.32</v>
      </c>
      <c r="H2733" s="37">
        <v>24</v>
      </c>
      <c r="I2733" s="109">
        <f t="shared" ref="I2733:I2738" si="645">G2733*H2733</f>
        <v>967.68000000000006</v>
      </c>
      <c r="J2733" s="123">
        <v>900</v>
      </c>
    </row>
    <row r="2734" spans="1:10" x14ac:dyDescent="0.25">
      <c r="A2734" s="31" t="s">
        <v>548</v>
      </c>
      <c r="B2734" s="37" t="s">
        <v>323</v>
      </c>
      <c r="C2734" s="34" t="s">
        <v>86</v>
      </c>
      <c r="D2734" s="108">
        <v>3.4</v>
      </c>
      <c r="E2734" s="34" t="s">
        <v>79</v>
      </c>
      <c r="F2734" s="110">
        <v>10</v>
      </c>
      <c r="G2734" s="36">
        <f t="shared" si="644"/>
        <v>63</v>
      </c>
      <c r="H2734" s="37">
        <f>H2733</f>
        <v>24</v>
      </c>
      <c r="I2734" s="109">
        <f t="shared" si="645"/>
        <v>1512</v>
      </c>
      <c r="J2734" s="123">
        <v>1400</v>
      </c>
    </row>
    <row r="2735" spans="1:10" x14ac:dyDescent="0.25">
      <c r="A2735" s="31" t="s">
        <v>548</v>
      </c>
      <c r="B2735" s="50" t="s">
        <v>324</v>
      </c>
      <c r="C2735" s="34" t="s">
        <v>443</v>
      </c>
      <c r="D2735" s="108" t="s">
        <v>38</v>
      </c>
      <c r="E2735" s="34" t="s">
        <v>79</v>
      </c>
      <c r="F2735" s="36">
        <v>3.8</v>
      </c>
      <c r="G2735" s="36">
        <f t="shared" si="644"/>
        <v>23.939999999999998</v>
      </c>
      <c r="H2735" s="37">
        <f>H2734</f>
        <v>24</v>
      </c>
      <c r="I2735" s="109">
        <f t="shared" si="645"/>
        <v>574.55999999999995</v>
      </c>
      <c r="J2735" s="123">
        <v>500</v>
      </c>
    </row>
    <row r="2736" spans="1:10" x14ac:dyDescent="0.25">
      <c r="A2736" s="31" t="s">
        <v>548</v>
      </c>
      <c r="B2736" s="75" t="s">
        <v>317</v>
      </c>
      <c r="C2736" s="111" t="s">
        <v>156</v>
      </c>
      <c r="D2736" s="111">
        <v>37.799999999999997</v>
      </c>
      <c r="E2736" s="42" t="s">
        <v>79</v>
      </c>
      <c r="F2736" s="74">
        <v>10</v>
      </c>
      <c r="G2736" s="36">
        <f t="shared" si="644"/>
        <v>63</v>
      </c>
      <c r="H2736" s="37">
        <f>H2735</f>
        <v>24</v>
      </c>
      <c r="I2736" s="109">
        <f t="shared" si="645"/>
        <v>1512</v>
      </c>
      <c r="J2736" s="123">
        <v>1600</v>
      </c>
    </row>
    <row r="2737" spans="1:10" x14ac:dyDescent="0.25">
      <c r="A2737" s="31" t="s">
        <v>548</v>
      </c>
      <c r="B2737" s="37" t="s">
        <v>325</v>
      </c>
      <c r="C2737" s="34" t="s">
        <v>158</v>
      </c>
      <c r="D2737" s="46">
        <v>20.399999999999999</v>
      </c>
      <c r="E2737" s="34" t="s">
        <v>79</v>
      </c>
      <c r="F2737" s="74">
        <v>6.8</v>
      </c>
      <c r="G2737" s="36">
        <f t="shared" si="644"/>
        <v>42.839999999999996</v>
      </c>
      <c r="H2737" s="37">
        <f>H2736</f>
        <v>24</v>
      </c>
      <c r="I2737" s="109">
        <f t="shared" si="645"/>
        <v>1028.1599999999999</v>
      </c>
      <c r="J2737" s="123">
        <v>1000</v>
      </c>
    </row>
    <row r="2738" spans="1:10" ht="15.75" thickBot="1" x14ac:dyDescent="0.3">
      <c r="A2738" s="31" t="s">
        <v>548</v>
      </c>
      <c r="B2738" s="43" t="s">
        <v>326</v>
      </c>
      <c r="C2738" s="52" t="s">
        <v>152</v>
      </c>
      <c r="D2738" s="72">
        <v>0</v>
      </c>
      <c r="E2738" s="42" t="s">
        <v>79</v>
      </c>
      <c r="F2738" s="73">
        <v>9.5</v>
      </c>
      <c r="G2738" s="74">
        <f t="shared" si="644"/>
        <v>59.85</v>
      </c>
      <c r="H2738" s="43">
        <f>H2737</f>
        <v>24</v>
      </c>
      <c r="I2738" s="399">
        <f t="shared" si="645"/>
        <v>1436.4</v>
      </c>
      <c r="J2738" s="124">
        <v>1300</v>
      </c>
    </row>
    <row r="2739" spans="1:10" ht="19.5" thickBot="1" x14ac:dyDescent="0.35">
      <c r="B2739" s="336"/>
      <c r="C2739" s="336"/>
      <c r="D2739" s="336"/>
      <c r="E2739" s="336"/>
      <c r="F2739" s="336"/>
      <c r="G2739" s="337"/>
      <c r="H2739" s="174" t="s">
        <v>171</v>
      </c>
      <c r="I2739" s="238">
        <f>SUM(I2733:I2738)</f>
        <v>7030.7999999999993</v>
      </c>
      <c r="J2739" s="104">
        <v>6700</v>
      </c>
    </row>
    <row r="2740" spans="1:10" x14ac:dyDescent="0.25">
      <c r="A2740" s="31" t="s">
        <v>549</v>
      </c>
      <c r="B2740" s="37" t="s">
        <v>322</v>
      </c>
      <c r="C2740" s="34" t="s">
        <v>114</v>
      </c>
      <c r="D2740" s="108">
        <v>20</v>
      </c>
      <c r="E2740" s="34" t="s">
        <v>79</v>
      </c>
      <c r="F2740" s="109">
        <v>6.4</v>
      </c>
      <c r="G2740" s="36">
        <f t="shared" ref="G2740:G2745" si="646">F2740*6.3</f>
        <v>40.32</v>
      </c>
      <c r="H2740" s="37">
        <v>24</v>
      </c>
      <c r="I2740" s="109">
        <f t="shared" ref="I2740:I2745" si="647">G2740*H2740</f>
        <v>967.68000000000006</v>
      </c>
      <c r="J2740" s="123">
        <v>900</v>
      </c>
    </row>
    <row r="2741" spans="1:10" x14ac:dyDescent="0.25">
      <c r="A2741" s="31" t="s">
        <v>549</v>
      </c>
      <c r="B2741" s="37" t="s">
        <v>323</v>
      </c>
      <c r="C2741" s="34" t="s">
        <v>86</v>
      </c>
      <c r="D2741" s="108">
        <v>2.9</v>
      </c>
      <c r="E2741" s="34" t="s">
        <v>79</v>
      </c>
      <c r="F2741" s="110">
        <v>9.8000000000000007</v>
      </c>
      <c r="G2741" s="36">
        <f t="shared" si="646"/>
        <v>61.74</v>
      </c>
      <c r="H2741" s="37">
        <f>H2740</f>
        <v>24</v>
      </c>
      <c r="I2741" s="109">
        <f t="shared" si="647"/>
        <v>1481.76</v>
      </c>
      <c r="J2741" s="123">
        <v>1400</v>
      </c>
    </row>
    <row r="2742" spans="1:10" x14ac:dyDescent="0.25">
      <c r="A2742" s="31" t="s">
        <v>549</v>
      </c>
      <c r="B2742" s="50" t="s">
        <v>324</v>
      </c>
      <c r="C2742" s="34" t="s">
        <v>443</v>
      </c>
      <c r="D2742" s="108" t="s">
        <v>38</v>
      </c>
      <c r="E2742" s="34" t="s">
        <v>79</v>
      </c>
      <c r="F2742" s="36">
        <v>3.8</v>
      </c>
      <c r="G2742" s="36">
        <f t="shared" si="646"/>
        <v>23.939999999999998</v>
      </c>
      <c r="H2742" s="37">
        <f>H2741</f>
        <v>24</v>
      </c>
      <c r="I2742" s="109">
        <f t="shared" si="647"/>
        <v>574.55999999999995</v>
      </c>
      <c r="J2742" s="123">
        <v>500</v>
      </c>
    </row>
    <row r="2743" spans="1:10" x14ac:dyDescent="0.25">
      <c r="A2743" s="31" t="s">
        <v>549</v>
      </c>
      <c r="B2743" s="75" t="s">
        <v>317</v>
      </c>
      <c r="C2743" s="111" t="s">
        <v>156</v>
      </c>
      <c r="D2743" s="111">
        <v>37.799999999999997</v>
      </c>
      <c r="E2743" s="42" t="s">
        <v>79</v>
      </c>
      <c r="F2743" s="74">
        <v>10</v>
      </c>
      <c r="G2743" s="36">
        <f t="shared" si="646"/>
        <v>63</v>
      </c>
      <c r="H2743" s="37">
        <f>H2742</f>
        <v>24</v>
      </c>
      <c r="I2743" s="109">
        <f t="shared" si="647"/>
        <v>1512</v>
      </c>
      <c r="J2743" s="123">
        <v>1600</v>
      </c>
    </row>
    <row r="2744" spans="1:10" x14ac:dyDescent="0.25">
      <c r="A2744" s="31" t="s">
        <v>549</v>
      </c>
      <c r="B2744" s="37" t="s">
        <v>325</v>
      </c>
      <c r="C2744" s="34" t="s">
        <v>158</v>
      </c>
      <c r="D2744" s="46">
        <v>20.399999999999999</v>
      </c>
      <c r="E2744" s="34" t="s">
        <v>79</v>
      </c>
      <c r="F2744" s="74">
        <v>6.78</v>
      </c>
      <c r="G2744" s="36">
        <f t="shared" si="646"/>
        <v>42.713999999999999</v>
      </c>
      <c r="H2744" s="37">
        <f>H2743</f>
        <v>24</v>
      </c>
      <c r="I2744" s="109">
        <f t="shared" si="647"/>
        <v>1025.136</v>
      </c>
      <c r="J2744" s="123">
        <v>1000</v>
      </c>
    </row>
    <row r="2745" spans="1:10" ht="15.75" thickBot="1" x14ac:dyDescent="0.3">
      <c r="A2745" s="31" t="s">
        <v>549</v>
      </c>
      <c r="B2745" s="43" t="s">
        <v>326</v>
      </c>
      <c r="C2745" s="52" t="s">
        <v>152</v>
      </c>
      <c r="D2745" s="72">
        <v>0</v>
      </c>
      <c r="E2745" s="42" t="s">
        <v>79</v>
      </c>
      <c r="F2745" s="73">
        <v>9.59</v>
      </c>
      <c r="G2745" s="74">
        <f t="shared" si="646"/>
        <v>60.416999999999994</v>
      </c>
      <c r="H2745" s="43">
        <f>H2744</f>
        <v>24</v>
      </c>
      <c r="I2745" s="399">
        <f t="shared" si="647"/>
        <v>1450.0079999999998</v>
      </c>
      <c r="J2745" s="124">
        <v>1300</v>
      </c>
    </row>
    <row r="2746" spans="1:10" ht="19.5" thickBot="1" x14ac:dyDescent="0.35">
      <c r="B2746" s="336"/>
      <c r="C2746" s="336"/>
      <c r="D2746" s="336"/>
      <c r="E2746" s="336"/>
      <c r="F2746" s="336"/>
      <c r="G2746" s="337"/>
      <c r="H2746" s="174" t="s">
        <v>171</v>
      </c>
      <c r="I2746" s="238">
        <f>SUM(I2740:I2745)</f>
        <v>7011.1440000000002</v>
      </c>
      <c r="J2746" s="104">
        <v>6700</v>
      </c>
    </row>
    <row r="2747" spans="1:10" x14ac:dyDescent="0.25">
      <c r="A2747" s="31" t="s">
        <v>550</v>
      </c>
      <c r="B2747" s="37" t="s">
        <v>322</v>
      </c>
      <c r="C2747" s="34" t="s">
        <v>114</v>
      </c>
      <c r="D2747" s="108">
        <v>21.2</v>
      </c>
      <c r="E2747" s="34" t="s">
        <v>79</v>
      </c>
      <c r="F2747" s="109">
        <v>7.26</v>
      </c>
      <c r="G2747" s="36">
        <f t="shared" ref="G2747:G2752" si="648">F2747*6.3</f>
        <v>45.738</v>
      </c>
      <c r="H2747" s="37">
        <v>24</v>
      </c>
      <c r="I2747" s="109">
        <f t="shared" ref="I2747:I2752" si="649">G2747*H2747</f>
        <v>1097.712</v>
      </c>
      <c r="J2747" s="123">
        <v>900</v>
      </c>
    </row>
    <row r="2748" spans="1:10" x14ac:dyDescent="0.25">
      <c r="A2748" s="31" t="s">
        <v>550</v>
      </c>
      <c r="B2748" s="37" t="s">
        <v>323</v>
      </c>
      <c r="C2748" s="34" t="s">
        <v>86</v>
      </c>
      <c r="D2748" s="108">
        <v>3.01</v>
      </c>
      <c r="E2748" s="34" t="s">
        <v>79</v>
      </c>
      <c r="F2748" s="110">
        <v>10.5</v>
      </c>
      <c r="G2748" s="36">
        <f t="shared" si="648"/>
        <v>66.149999999999991</v>
      </c>
      <c r="H2748" s="37">
        <f>H2747</f>
        <v>24</v>
      </c>
      <c r="I2748" s="109">
        <f t="shared" si="649"/>
        <v>1587.6</v>
      </c>
      <c r="J2748" s="123">
        <v>1400</v>
      </c>
    </row>
    <row r="2749" spans="1:10" x14ac:dyDescent="0.25">
      <c r="A2749" s="31" t="s">
        <v>550</v>
      </c>
      <c r="B2749" s="50" t="s">
        <v>324</v>
      </c>
      <c r="C2749" s="34" t="s">
        <v>443</v>
      </c>
      <c r="D2749" s="108" t="s">
        <v>38</v>
      </c>
      <c r="E2749" s="34" t="s">
        <v>79</v>
      </c>
      <c r="F2749" s="36">
        <v>3.8</v>
      </c>
      <c r="G2749" s="36">
        <f t="shared" si="648"/>
        <v>23.939999999999998</v>
      </c>
      <c r="H2749" s="37">
        <f>H2748</f>
        <v>24</v>
      </c>
      <c r="I2749" s="109">
        <f t="shared" si="649"/>
        <v>574.55999999999995</v>
      </c>
      <c r="J2749" s="123">
        <v>500</v>
      </c>
    </row>
    <row r="2750" spans="1:10" x14ac:dyDescent="0.25">
      <c r="A2750" s="31" t="s">
        <v>550</v>
      </c>
      <c r="B2750" s="75" t="s">
        <v>317</v>
      </c>
      <c r="C2750" s="111" t="s">
        <v>156</v>
      </c>
      <c r="D2750" s="111">
        <v>37.799999999999997</v>
      </c>
      <c r="E2750" s="42" t="s">
        <v>79</v>
      </c>
      <c r="F2750" s="74">
        <v>10</v>
      </c>
      <c r="G2750" s="36">
        <f t="shared" si="648"/>
        <v>63</v>
      </c>
      <c r="H2750" s="37">
        <f>H2749</f>
        <v>24</v>
      </c>
      <c r="I2750" s="109">
        <f t="shared" si="649"/>
        <v>1512</v>
      </c>
      <c r="J2750" s="123">
        <v>1600</v>
      </c>
    </row>
    <row r="2751" spans="1:10" x14ac:dyDescent="0.25">
      <c r="A2751" s="31" t="s">
        <v>550</v>
      </c>
      <c r="B2751" s="37" t="s">
        <v>325</v>
      </c>
      <c r="C2751" s="34" t="s">
        <v>158</v>
      </c>
      <c r="D2751" s="46">
        <v>20.399999999999999</v>
      </c>
      <c r="E2751" s="34" t="s">
        <v>79</v>
      </c>
      <c r="F2751" s="74">
        <v>6.7</v>
      </c>
      <c r="G2751" s="36">
        <f t="shared" si="648"/>
        <v>42.21</v>
      </c>
      <c r="H2751" s="37">
        <f>H2750</f>
        <v>24</v>
      </c>
      <c r="I2751" s="109">
        <f t="shared" si="649"/>
        <v>1013.04</v>
      </c>
      <c r="J2751" s="123">
        <v>1000</v>
      </c>
    </row>
    <row r="2752" spans="1:10" ht="15.75" thickBot="1" x14ac:dyDescent="0.3">
      <c r="A2752" s="31" t="s">
        <v>550</v>
      </c>
      <c r="B2752" s="43" t="s">
        <v>326</v>
      </c>
      <c r="C2752" s="52" t="s">
        <v>152</v>
      </c>
      <c r="D2752" s="72">
        <v>0</v>
      </c>
      <c r="E2752" s="42" t="s">
        <v>79</v>
      </c>
      <c r="F2752" s="73">
        <v>9.1999999999999993</v>
      </c>
      <c r="G2752" s="74">
        <f t="shared" si="648"/>
        <v>57.959999999999994</v>
      </c>
      <c r="H2752" s="43">
        <f>H2751</f>
        <v>24</v>
      </c>
      <c r="I2752" s="399">
        <f t="shared" si="649"/>
        <v>1391.04</v>
      </c>
      <c r="J2752" s="124">
        <v>1300</v>
      </c>
    </row>
    <row r="2753" spans="1:10" ht="19.5" thickBot="1" x14ac:dyDescent="0.35">
      <c r="A2753" s="206"/>
      <c r="B2753" s="336"/>
      <c r="C2753" s="336"/>
      <c r="D2753" s="336"/>
      <c r="E2753" s="336"/>
      <c r="F2753" s="336"/>
      <c r="G2753" s="337"/>
      <c r="H2753" s="174" t="s">
        <v>171</v>
      </c>
      <c r="I2753" s="238">
        <f>SUM(I2747:I2752)</f>
        <v>7175.9519999999993</v>
      </c>
      <c r="J2753" s="104">
        <v>6700</v>
      </c>
    </row>
    <row r="2754" spans="1:10" x14ac:dyDescent="0.25">
      <c r="A2754" s="31" t="s">
        <v>551</v>
      </c>
      <c r="B2754" s="151" t="s">
        <v>322</v>
      </c>
      <c r="C2754" s="50" t="s">
        <v>114</v>
      </c>
      <c r="D2754" s="152">
        <v>18.670000000000002</v>
      </c>
      <c r="E2754" s="50" t="s">
        <v>79</v>
      </c>
      <c r="F2754" s="153">
        <v>6.35</v>
      </c>
      <c r="G2754" s="51">
        <f t="shared" ref="G2754:G2759" si="650">F2754*6.3</f>
        <v>40.004999999999995</v>
      </c>
      <c r="H2754" s="151">
        <v>24</v>
      </c>
      <c r="I2754" s="153">
        <f t="shared" ref="I2754:I2759" si="651">G2754*H2754</f>
        <v>960.11999999999989</v>
      </c>
      <c r="J2754" s="154">
        <v>900</v>
      </c>
    </row>
    <row r="2755" spans="1:10" x14ac:dyDescent="0.25">
      <c r="A2755" s="31" t="s">
        <v>551</v>
      </c>
      <c r="B2755" s="37" t="s">
        <v>323</v>
      </c>
      <c r="C2755" s="34" t="s">
        <v>86</v>
      </c>
      <c r="D2755" s="108">
        <v>2</v>
      </c>
      <c r="E2755" s="34" t="s">
        <v>79</v>
      </c>
      <c r="F2755" s="110">
        <v>9.4</v>
      </c>
      <c r="G2755" s="36">
        <f t="shared" si="650"/>
        <v>59.22</v>
      </c>
      <c r="H2755" s="37">
        <v>24</v>
      </c>
      <c r="I2755" s="109">
        <f t="shared" si="651"/>
        <v>1421.28</v>
      </c>
      <c r="J2755" s="123">
        <v>1400</v>
      </c>
    </row>
    <row r="2756" spans="1:10" x14ac:dyDescent="0.25">
      <c r="A2756" s="31" t="s">
        <v>551</v>
      </c>
      <c r="B2756" s="50" t="s">
        <v>324</v>
      </c>
      <c r="C2756" s="34" t="s">
        <v>443</v>
      </c>
      <c r="D2756" s="108" t="s">
        <v>38</v>
      </c>
      <c r="E2756" s="34" t="s">
        <v>79</v>
      </c>
      <c r="F2756" s="36">
        <v>3.65</v>
      </c>
      <c r="G2756" s="36">
        <f t="shared" si="650"/>
        <v>22.994999999999997</v>
      </c>
      <c r="H2756" s="37">
        <v>24</v>
      </c>
      <c r="I2756" s="109">
        <f t="shared" si="651"/>
        <v>551.87999999999988</v>
      </c>
      <c r="J2756" s="123">
        <v>500</v>
      </c>
    </row>
    <row r="2757" spans="1:10" x14ac:dyDescent="0.25">
      <c r="A2757" s="31" t="s">
        <v>551</v>
      </c>
      <c r="B2757" s="75" t="s">
        <v>317</v>
      </c>
      <c r="C2757" s="111" t="s">
        <v>156</v>
      </c>
      <c r="D2757" s="111">
        <v>35.299999999999997</v>
      </c>
      <c r="E2757" s="42" t="s">
        <v>79</v>
      </c>
      <c r="F2757" s="74">
        <v>10.5</v>
      </c>
      <c r="G2757" s="36">
        <f t="shared" si="650"/>
        <v>66.149999999999991</v>
      </c>
      <c r="H2757" s="37">
        <v>24</v>
      </c>
      <c r="I2757" s="109">
        <f t="shared" si="651"/>
        <v>1587.6</v>
      </c>
      <c r="J2757" s="123">
        <v>1600</v>
      </c>
    </row>
    <row r="2758" spans="1:10" x14ac:dyDescent="0.25">
      <c r="A2758" s="31" t="s">
        <v>551</v>
      </c>
      <c r="B2758" s="37" t="s">
        <v>325</v>
      </c>
      <c r="C2758" s="34" t="s">
        <v>158</v>
      </c>
      <c r="D2758" s="46">
        <v>16.82</v>
      </c>
      <c r="E2758" s="34" t="s">
        <v>79</v>
      </c>
      <c r="F2758" s="74">
        <v>6.32</v>
      </c>
      <c r="G2758" s="36">
        <f t="shared" si="650"/>
        <v>39.816000000000003</v>
      </c>
      <c r="H2758" s="37">
        <v>24</v>
      </c>
      <c r="I2758" s="109">
        <f t="shared" si="651"/>
        <v>955.58400000000006</v>
      </c>
      <c r="J2758" s="123">
        <v>1000</v>
      </c>
    </row>
    <row r="2759" spans="1:10" ht="15.75" thickBot="1" x14ac:dyDescent="0.3">
      <c r="A2759" s="31" t="s">
        <v>551</v>
      </c>
      <c r="B2759" s="43" t="s">
        <v>326</v>
      </c>
      <c r="C2759" s="52" t="s">
        <v>152</v>
      </c>
      <c r="D2759" s="72">
        <v>0</v>
      </c>
      <c r="E2759" s="42" t="s">
        <v>79</v>
      </c>
      <c r="F2759" s="73">
        <v>8.5500000000000007</v>
      </c>
      <c r="G2759" s="74">
        <f t="shared" si="650"/>
        <v>53.865000000000002</v>
      </c>
      <c r="H2759" s="43">
        <v>24</v>
      </c>
      <c r="I2759" s="399">
        <f t="shared" si="651"/>
        <v>1292.76</v>
      </c>
      <c r="J2759" s="124">
        <v>1300</v>
      </c>
    </row>
    <row r="2760" spans="1:10" ht="18.75" x14ac:dyDescent="0.3">
      <c r="A2760" s="251"/>
      <c r="B2760" s="394"/>
      <c r="C2760" s="394"/>
      <c r="D2760" s="394"/>
      <c r="E2760" s="394"/>
      <c r="F2760" s="394"/>
      <c r="G2760" s="395"/>
      <c r="H2760" s="178" t="s">
        <v>171</v>
      </c>
      <c r="I2760" s="396">
        <f>SUM(I2754:I2759)</f>
        <v>6769.2239999999993</v>
      </c>
      <c r="J2760" s="180">
        <v>6700</v>
      </c>
    </row>
    <row r="2761" spans="1:10" x14ac:dyDescent="0.25">
      <c r="A2761" s="46" t="s">
        <v>553</v>
      </c>
      <c r="B2761" s="46" t="s">
        <v>322</v>
      </c>
      <c r="C2761" s="46" t="s">
        <v>114</v>
      </c>
      <c r="D2761" s="46">
        <v>18.850000000000001</v>
      </c>
      <c r="E2761" s="46" t="s">
        <v>79</v>
      </c>
      <c r="F2761" s="46">
        <v>6.51</v>
      </c>
      <c r="G2761" s="46">
        <v>41.01</v>
      </c>
      <c r="H2761" s="46">
        <v>24</v>
      </c>
      <c r="I2761" s="46">
        <v>984.31</v>
      </c>
      <c r="J2761" s="46">
        <v>900</v>
      </c>
    </row>
    <row r="2762" spans="1:10" x14ac:dyDescent="0.25">
      <c r="A2762" s="46" t="s">
        <v>553</v>
      </c>
      <c r="B2762" s="46" t="s">
        <v>323</v>
      </c>
      <c r="C2762" s="46" t="s">
        <v>86</v>
      </c>
      <c r="D2762" s="46">
        <v>1.57</v>
      </c>
      <c r="E2762" s="46" t="s">
        <v>79</v>
      </c>
      <c r="F2762" s="46">
        <v>9.82</v>
      </c>
      <c r="G2762" s="46">
        <v>61.87</v>
      </c>
      <c r="H2762" s="46">
        <v>24</v>
      </c>
      <c r="I2762" s="46">
        <v>1484.78</v>
      </c>
      <c r="J2762" s="46">
        <v>1400</v>
      </c>
    </row>
    <row r="2763" spans="1:10" x14ac:dyDescent="0.25">
      <c r="A2763" s="46" t="s">
        <v>553</v>
      </c>
      <c r="B2763" s="46" t="s">
        <v>324</v>
      </c>
      <c r="C2763" s="46" t="s">
        <v>443</v>
      </c>
      <c r="D2763" s="46" t="s">
        <v>38</v>
      </c>
      <c r="E2763" s="46" t="s">
        <v>79</v>
      </c>
      <c r="F2763" s="46">
        <v>3.75</v>
      </c>
      <c r="G2763" s="46">
        <v>23.63</v>
      </c>
      <c r="H2763" s="46">
        <v>24</v>
      </c>
      <c r="I2763" s="46">
        <v>567</v>
      </c>
      <c r="J2763" s="46">
        <v>500</v>
      </c>
    </row>
    <row r="2764" spans="1:10" x14ac:dyDescent="0.25">
      <c r="A2764" s="46" t="s">
        <v>553</v>
      </c>
      <c r="B2764" s="46" t="s">
        <v>317</v>
      </c>
      <c r="C2764" s="46" t="s">
        <v>156</v>
      </c>
      <c r="D2764" s="46">
        <v>37.130000000000003</v>
      </c>
      <c r="E2764" s="46" t="s">
        <v>79</v>
      </c>
      <c r="F2764" s="46">
        <v>10.56</v>
      </c>
      <c r="G2764" s="46">
        <v>66.53</v>
      </c>
      <c r="H2764" s="46">
        <v>24</v>
      </c>
      <c r="I2764" s="46">
        <v>1596.67</v>
      </c>
      <c r="J2764" s="46">
        <v>1600</v>
      </c>
    </row>
    <row r="2765" spans="1:10" x14ac:dyDescent="0.25">
      <c r="A2765" s="46" t="s">
        <v>553</v>
      </c>
      <c r="B2765" s="46" t="s">
        <v>325</v>
      </c>
      <c r="C2765" s="46" t="s">
        <v>158</v>
      </c>
      <c r="D2765" s="46">
        <v>16.82</v>
      </c>
      <c r="E2765" s="46" t="s">
        <v>79</v>
      </c>
      <c r="F2765" s="46">
        <v>6.66</v>
      </c>
      <c r="G2765" s="46">
        <v>41.96</v>
      </c>
      <c r="H2765" s="46">
        <v>24</v>
      </c>
      <c r="I2765" s="46">
        <v>1006.99</v>
      </c>
      <c r="J2765" s="46">
        <v>1000</v>
      </c>
    </row>
    <row r="2766" spans="1:10" ht="15.75" thickBot="1" x14ac:dyDescent="0.3">
      <c r="A2766" s="52" t="s">
        <v>553</v>
      </c>
      <c r="B2766" s="52" t="s">
        <v>326</v>
      </c>
      <c r="C2766" s="52" t="s">
        <v>152</v>
      </c>
      <c r="D2766" s="52">
        <v>0</v>
      </c>
      <c r="E2766" s="52" t="s">
        <v>79</v>
      </c>
      <c r="F2766" s="52">
        <v>9</v>
      </c>
      <c r="G2766" s="52">
        <v>56.7</v>
      </c>
      <c r="H2766" s="52">
        <v>24</v>
      </c>
      <c r="I2766" s="52">
        <v>1360.8</v>
      </c>
      <c r="J2766" s="52">
        <v>1300</v>
      </c>
    </row>
    <row r="2767" spans="1:10" ht="19.5" thickBot="1" x14ac:dyDescent="0.35">
      <c r="A2767" s="407"/>
      <c r="B2767" s="408"/>
      <c r="C2767" s="408"/>
      <c r="D2767" s="409"/>
      <c r="E2767" s="408"/>
      <c r="F2767" s="408"/>
      <c r="G2767" s="408"/>
      <c r="H2767" s="392" t="s">
        <v>171</v>
      </c>
      <c r="I2767" s="408">
        <v>7000.56</v>
      </c>
      <c r="J2767" s="410">
        <v>6700</v>
      </c>
    </row>
    <row r="2768" spans="1:10" x14ac:dyDescent="0.25">
      <c r="A2768" s="31" t="s">
        <v>552</v>
      </c>
      <c r="B2768" s="151" t="s">
        <v>322</v>
      </c>
      <c r="C2768" s="50" t="s">
        <v>114</v>
      </c>
      <c r="D2768" s="152">
        <v>17.760000000000002</v>
      </c>
      <c r="E2768" s="50" t="s">
        <v>79</v>
      </c>
      <c r="F2768" s="153">
        <v>6.55</v>
      </c>
      <c r="G2768" s="51">
        <f t="shared" ref="G2768:G2773" si="652">F2768*6.3</f>
        <v>41.265000000000001</v>
      </c>
      <c r="H2768" s="151">
        <v>24</v>
      </c>
      <c r="I2768" s="153">
        <f t="shared" ref="I2768:I2773" si="653">G2768*H2768</f>
        <v>990.36</v>
      </c>
      <c r="J2768" s="154">
        <v>900</v>
      </c>
    </row>
    <row r="2769" spans="1:10" x14ac:dyDescent="0.25">
      <c r="A2769" s="31" t="s">
        <v>552</v>
      </c>
      <c r="B2769" s="37" t="s">
        <v>323</v>
      </c>
      <c r="C2769" s="34" t="s">
        <v>86</v>
      </c>
      <c r="D2769" s="108">
        <v>1.2</v>
      </c>
      <c r="E2769" s="34" t="s">
        <v>79</v>
      </c>
      <c r="F2769" s="110">
        <v>9.86</v>
      </c>
      <c r="G2769" s="36">
        <f t="shared" si="652"/>
        <v>62.117999999999995</v>
      </c>
      <c r="H2769" s="37">
        <v>24</v>
      </c>
      <c r="I2769" s="109">
        <f t="shared" si="653"/>
        <v>1490.8319999999999</v>
      </c>
      <c r="J2769" s="123">
        <v>1400</v>
      </c>
    </row>
    <row r="2770" spans="1:10" x14ac:dyDescent="0.25">
      <c r="A2770" s="31" t="s">
        <v>552</v>
      </c>
      <c r="B2770" s="50" t="s">
        <v>324</v>
      </c>
      <c r="C2770" s="34" t="s">
        <v>443</v>
      </c>
      <c r="D2770" s="108" t="s">
        <v>38</v>
      </c>
      <c r="E2770" s="34" t="s">
        <v>79</v>
      </c>
      <c r="F2770" s="36">
        <v>3.81</v>
      </c>
      <c r="G2770" s="36">
        <f t="shared" si="652"/>
        <v>24.003</v>
      </c>
      <c r="H2770" s="37">
        <v>24</v>
      </c>
      <c r="I2770" s="109">
        <f t="shared" si="653"/>
        <v>576.072</v>
      </c>
      <c r="J2770" s="123">
        <v>500</v>
      </c>
    </row>
    <row r="2771" spans="1:10" x14ac:dyDescent="0.25">
      <c r="A2771" s="31" t="s">
        <v>552</v>
      </c>
      <c r="B2771" s="75" t="s">
        <v>317</v>
      </c>
      <c r="C2771" s="111" t="s">
        <v>156</v>
      </c>
      <c r="D2771" s="111">
        <v>37.32</v>
      </c>
      <c r="E2771" s="42" t="s">
        <v>79</v>
      </c>
      <c r="F2771" s="74">
        <v>10.6</v>
      </c>
      <c r="G2771" s="36">
        <f t="shared" si="652"/>
        <v>66.78</v>
      </c>
      <c r="H2771" s="37">
        <v>24</v>
      </c>
      <c r="I2771" s="109">
        <f t="shared" si="653"/>
        <v>1602.72</v>
      </c>
      <c r="J2771" s="123">
        <v>1600</v>
      </c>
    </row>
    <row r="2772" spans="1:10" x14ac:dyDescent="0.25">
      <c r="A2772" s="31" t="s">
        <v>552</v>
      </c>
      <c r="B2772" s="37" t="s">
        <v>325</v>
      </c>
      <c r="C2772" s="34" t="s">
        <v>158</v>
      </c>
      <c r="D2772" s="46">
        <v>20.86</v>
      </c>
      <c r="E2772" s="34" t="s">
        <v>79</v>
      </c>
      <c r="F2772" s="74">
        <v>6.81</v>
      </c>
      <c r="G2772" s="36">
        <f t="shared" si="652"/>
        <v>42.902999999999999</v>
      </c>
      <c r="H2772" s="37">
        <v>24</v>
      </c>
      <c r="I2772" s="109">
        <f t="shared" si="653"/>
        <v>1029.672</v>
      </c>
      <c r="J2772" s="123">
        <v>1000</v>
      </c>
    </row>
    <row r="2773" spans="1:10" ht="15.75" thickBot="1" x14ac:dyDescent="0.3">
      <c r="A2773" s="31" t="s">
        <v>552</v>
      </c>
      <c r="B2773" s="43" t="s">
        <v>326</v>
      </c>
      <c r="C2773" s="52" t="s">
        <v>152</v>
      </c>
      <c r="D2773" s="72">
        <v>0</v>
      </c>
      <c r="E2773" s="42" t="s">
        <v>79</v>
      </c>
      <c r="F2773" s="73">
        <v>9.35</v>
      </c>
      <c r="G2773" s="74">
        <f t="shared" si="652"/>
        <v>58.904999999999994</v>
      </c>
      <c r="H2773" s="43">
        <v>24</v>
      </c>
      <c r="I2773" s="399">
        <f t="shared" si="653"/>
        <v>1413.7199999999998</v>
      </c>
      <c r="J2773" s="124">
        <v>1300</v>
      </c>
    </row>
    <row r="2774" spans="1:10" ht="19.5" thickBot="1" x14ac:dyDescent="0.35">
      <c r="A2774" s="206"/>
      <c r="B2774" s="336"/>
      <c r="C2774" s="336"/>
      <c r="D2774" s="336"/>
      <c r="E2774" s="336"/>
      <c r="F2774" s="336"/>
      <c r="G2774" s="337"/>
      <c r="H2774" s="174" t="s">
        <v>171</v>
      </c>
      <c r="I2774" s="238">
        <f>SUM(I2768:I2773)</f>
        <v>7103.3760000000002</v>
      </c>
      <c r="J2774" s="104">
        <v>6700</v>
      </c>
    </row>
    <row r="2775" spans="1:10" x14ac:dyDescent="0.25">
      <c r="A2775" s="31" t="s">
        <v>554</v>
      </c>
      <c r="B2775" s="37" t="s">
        <v>322</v>
      </c>
      <c r="C2775" s="34" t="s">
        <v>114</v>
      </c>
      <c r="D2775" s="108">
        <v>17.579999999999998</v>
      </c>
      <c r="E2775" s="34" t="s">
        <v>79</v>
      </c>
      <c r="F2775" s="109">
        <v>6.53</v>
      </c>
      <c r="G2775" s="36">
        <f t="shared" ref="G2775:G2780" si="654">F2775*6.3</f>
        <v>41.139000000000003</v>
      </c>
      <c r="H2775" s="37">
        <v>24</v>
      </c>
      <c r="I2775" s="109">
        <f t="shared" ref="I2775:I2780" si="655">G2775*H2775</f>
        <v>987.33600000000001</v>
      </c>
      <c r="J2775" s="123">
        <v>900</v>
      </c>
    </row>
    <row r="2776" spans="1:10" x14ac:dyDescent="0.25">
      <c r="A2776" s="31" t="s">
        <v>554</v>
      </c>
      <c r="B2776" s="37" t="s">
        <v>323</v>
      </c>
      <c r="C2776" s="34" t="s">
        <v>86</v>
      </c>
      <c r="D2776" s="108">
        <v>0.96</v>
      </c>
      <c r="E2776" s="34" t="s">
        <v>79</v>
      </c>
      <c r="F2776" s="110">
        <v>9.8800000000000008</v>
      </c>
      <c r="G2776" s="36">
        <f t="shared" si="654"/>
        <v>62.244</v>
      </c>
      <c r="H2776" s="37">
        <v>24</v>
      </c>
      <c r="I2776" s="109">
        <f t="shared" si="655"/>
        <v>1493.856</v>
      </c>
      <c r="J2776" s="123">
        <v>1400</v>
      </c>
    </row>
    <row r="2777" spans="1:10" x14ac:dyDescent="0.25">
      <c r="A2777" s="31" t="s">
        <v>554</v>
      </c>
      <c r="B2777" s="50" t="s">
        <v>324</v>
      </c>
      <c r="C2777" s="34" t="s">
        <v>443</v>
      </c>
      <c r="D2777" s="108" t="s">
        <v>38</v>
      </c>
      <c r="E2777" s="34" t="s">
        <v>79</v>
      </c>
      <c r="F2777" s="36">
        <v>3.8</v>
      </c>
      <c r="G2777" s="36">
        <f t="shared" si="654"/>
        <v>23.939999999999998</v>
      </c>
      <c r="H2777" s="37">
        <v>24</v>
      </c>
      <c r="I2777" s="109">
        <f t="shared" si="655"/>
        <v>574.55999999999995</v>
      </c>
      <c r="J2777" s="123">
        <v>500</v>
      </c>
    </row>
    <row r="2778" spans="1:10" x14ac:dyDescent="0.25">
      <c r="A2778" s="31" t="s">
        <v>554</v>
      </c>
      <c r="B2778" s="75" t="s">
        <v>317</v>
      </c>
      <c r="C2778" s="111" t="s">
        <v>156</v>
      </c>
      <c r="D2778" s="111">
        <v>37.22</v>
      </c>
      <c r="E2778" s="42" t="s">
        <v>79</v>
      </c>
      <c r="F2778" s="74">
        <v>10.62</v>
      </c>
      <c r="G2778" s="36">
        <f t="shared" si="654"/>
        <v>66.905999999999992</v>
      </c>
      <c r="H2778" s="37">
        <v>24</v>
      </c>
      <c r="I2778" s="109">
        <f t="shared" si="655"/>
        <v>1605.7439999999997</v>
      </c>
      <c r="J2778" s="123">
        <v>1600</v>
      </c>
    </row>
    <row r="2779" spans="1:10" x14ac:dyDescent="0.25">
      <c r="A2779" s="31" t="s">
        <v>554</v>
      </c>
      <c r="B2779" s="37" t="s">
        <v>325</v>
      </c>
      <c r="C2779" s="34" t="s">
        <v>158</v>
      </c>
      <c r="D2779" s="46">
        <v>20.68</v>
      </c>
      <c r="E2779" s="34" t="s">
        <v>79</v>
      </c>
      <c r="F2779" s="74">
        <v>6.87</v>
      </c>
      <c r="G2779" s="36">
        <f t="shared" si="654"/>
        <v>43.280999999999999</v>
      </c>
      <c r="H2779" s="37">
        <v>24</v>
      </c>
      <c r="I2779" s="109">
        <f t="shared" si="655"/>
        <v>1038.7439999999999</v>
      </c>
      <c r="J2779" s="123">
        <v>1000</v>
      </c>
    </row>
    <row r="2780" spans="1:10" ht="15.75" thickBot="1" x14ac:dyDescent="0.3">
      <c r="A2780" s="31" t="s">
        <v>554</v>
      </c>
      <c r="B2780" s="43" t="s">
        <v>326</v>
      </c>
      <c r="C2780" s="52" t="s">
        <v>152</v>
      </c>
      <c r="D2780" s="72">
        <v>0</v>
      </c>
      <c r="E2780" s="42" t="s">
        <v>79</v>
      </c>
      <c r="F2780" s="73">
        <v>9.3699999999999992</v>
      </c>
      <c r="G2780" s="74">
        <f t="shared" si="654"/>
        <v>59.030999999999992</v>
      </c>
      <c r="H2780" s="43">
        <v>24</v>
      </c>
      <c r="I2780" s="399">
        <f t="shared" si="655"/>
        <v>1416.7439999999997</v>
      </c>
      <c r="J2780" s="124">
        <v>1300</v>
      </c>
    </row>
    <row r="2781" spans="1:10" ht="19.5" thickBot="1" x14ac:dyDescent="0.35">
      <c r="A2781" s="206"/>
      <c r="B2781" s="336"/>
      <c r="C2781" s="336"/>
      <c r="D2781" s="336"/>
      <c r="E2781" s="336"/>
      <c r="F2781" s="336"/>
      <c r="G2781" s="337"/>
      <c r="H2781" s="174" t="s">
        <v>171</v>
      </c>
      <c r="I2781" s="238">
        <f>SUM(I2775:I2780)</f>
        <v>7116.9839999999986</v>
      </c>
      <c r="J2781" s="104">
        <v>6700</v>
      </c>
    </row>
    <row r="2782" spans="1:10" x14ac:dyDescent="0.25">
      <c r="A2782" s="31" t="s">
        <v>555</v>
      </c>
      <c r="B2782" s="37" t="s">
        <v>322</v>
      </c>
      <c r="C2782" s="34" t="s">
        <v>114</v>
      </c>
      <c r="D2782" s="108">
        <v>17.45</v>
      </c>
      <c r="E2782" s="34" t="s">
        <v>79</v>
      </c>
      <c r="F2782" s="109">
        <v>6.56</v>
      </c>
      <c r="G2782" s="36">
        <f t="shared" ref="G2782:G2787" si="656">F2782*6.3</f>
        <v>41.327999999999996</v>
      </c>
      <c r="H2782" s="37">
        <v>24</v>
      </c>
      <c r="I2782" s="109">
        <f t="shared" ref="I2782:I2787" si="657">G2782*H2782</f>
        <v>991.87199999999984</v>
      </c>
      <c r="J2782" s="123">
        <v>900</v>
      </c>
    </row>
    <row r="2783" spans="1:10" x14ac:dyDescent="0.25">
      <c r="A2783" s="31" t="s">
        <v>555</v>
      </c>
      <c r="B2783" s="37" t="s">
        <v>323</v>
      </c>
      <c r="C2783" s="34" t="s">
        <v>86</v>
      </c>
      <c r="D2783" s="108">
        <v>0.92</v>
      </c>
      <c r="E2783" s="34" t="s">
        <v>79</v>
      </c>
      <c r="F2783" s="110">
        <v>9.8699999999999992</v>
      </c>
      <c r="G2783" s="36">
        <f t="shared" si="656"/>
        <v>62.18099999999999</v>
      </c>
      <c r="H2783" s="37">
        <v>24</v>
      </c>
      <c r="I2783" s="109">
        <f t="shared" si="657"/>
        <v>1492.3439999999998</v>
      </c>
      <c r="J2783" s="123">
        <v>1400</v>
      </c>
    </row>
    <row r="2784" spans="1:10" x14ac:dyDescent="0.25">
      <c r="A2784" s="31" t="s">
        <v>555</v>
      </c>
      <c r="B2784" s="50" t="s">
        <v>324</v>
      </c>
      <c r="C2784" s="34" t="s">
        <v>443</v>
      </c>
      <c r="D2784" s="108" t="s">
        <v>38</v>
      </c>
      <c r="E2784" s="34" t="s">
        <v>79</v>
      </c>
      <c r="F2784" s="36">
        <v>3.84</v>
      </c>
      <c r="G2784" s="36">
        <f t="shared" si="656"/>
        <v>24.192</v>
      </c>
      <c r="H2784" s="37">
        <v>24</v>
      </c>
      <c r="I2784" s="109">
        <f t="shared" si="657"/>
        <v>580.60799999999995</v>
      </c>
      <c r="J2784" s="123">
        <v>500</v>
      </c>
    </row>
    <row r="2785" spans="1:10" x14ac:dyDescent="0.25">
      <c r="A2785" s="31" t="s">
        <v>555</v>
      </c>
      <c r="B2785" s="75" t="s">
        <v>317</v>
      </c>
      <c r="C2785" s="111" t="s">
        <v>156</v>
      </c>
      <c r="D2785" s="111">
        <v>37.5</v>
      </c>
      <c r="E2785" s="42" t="s">
        <v>79</v>
      </c>
      <c r="F2785" s="74">
        <v>10.65</v>
      </c>
      <c r="G2785" s="36">
        <f t="shared" si="656"/>
        <v>67.094999999999999</v>
      </c>
      <c r="H2785" s="37">
        <v>24</v>
      </c>
      <c r="I2785" s="109">
        <f t="shared" si="657"/>
        <v>1610.28</v>
      </c>
      <c r="J2785" s="123">
        <v>1600</v>
      </c>
    </row>
    <row r="2786" spans="1:10" x14ac:dyDescent="0.25">
      <c r="A2786" s="31" t="s">
        <v>555</v>
      </c>
      <c r="B2786" s="37" t="s">
        <v>325</v>
      </c>
      <c r="C2786" s="34" t="s">
        <v>158</v>
      </c>
      <c r="D2786" s="46">
        <v>21.29</v>
      </c>
      <c r="E2786" s="34" t="s">
        <v>79</v>
      </c>
      <c r="F2786" s="74">
        <v>6.88</v>
      </c>
      <c r="G2786" s="36">
        <f t="shared" si="656"/>
        <v>43.344000000000001</v>
      </c>
      <c r="H2786" s="37">
        <v>24</v>
      </c>
      <c r="I2786" s="109">
        <f t="shared" si="657"/>
        <v>1040.2560000000001</v>
      </c>
      <c r="J2786" s="123">
        <v>1000</v>
      </c>
    </row>
    <row r="2787" spans="1:10" ht="15.75" thickBot="1" x14ac:dyDescent="0.3">
      <c r="A2787" s="31" t="s">
        <v>555</v>
      </c>
      <c r="B2787" s="43" t="s">
        <v>326</v>
      </c>
      <c r="C2787" s="52" t="s">
        <v>152</v>
      </c>
      <c r="D2787" s="72">
        <v>0</v>
      </c>
      <c r="E2787" s="42" t="s">
        <v>79</v>
      </c>
      <c r="F2787" s="73">
        <v>9.35</v>
      </c>
      <c r="G2787" s="74">
        <f t="shared" si="656"/>
        <v>58.904999999999994</v>
      </c>
      <c r="H2787" s="43">
        <v>24</v>
      </c>
      <c r="I2787" s="399">
        <f t="shared" si="657"/>
        <v>1413.7199999999998</v>
      </c>
      <c r="J2787" s="124">
        <v>1300</v>
      </c>
    </row>
    <row r="2788" spans="1:10" ht="19.5" thickBot="1" x14ac:dyDescent="0.35">
      <c r="A2788" s="206"/>
      <c r="B2788" s="336"/>
      <c r="C2788" s="336"/>
      <c r="D2788" s="336"/>
      <c r="E2788" s="336"/>
      <c r="F2788" s="336"/>
      <c r="G2788" s="337"/>
      <c r="H2788" s="174" t="s">
        <v>171</v>
      </c>
      <c r="I2788" s="238">
        <f>SUM(I2782:I2787)</f>
        <v>7129.08</v>
      </c>
      <c r="J2788" s="104">
        <v>6700</v>
      </c>
    </row>
    <row r="2789" spans="1:10" x14ac:dyDescent="0.25">
      <c r="A2789" s="31" t="s">
        <v>556</v>
      </c>
      <c r="B2789" s="31" t="s">
        <v>322</v>
      </c>
      <c r="C2789" s="34" t="s">
        <v>114</v>
      </c>
      <c r="D2789" s="108">
        <v>16.91</v>
      </c>
      <c r="E2789" s="34" t="s">
        <v>79</v>
      </c>
      <c r="F2789" s="109">
        <v>6.55</v>
      </c>
      <c r="G2789" s="36">
        <f t="shared" ref="G2789:G2794" si="658">F2789*6.3</f>
        <v>41.265000000000001</v>
      </c>
      <c r="H2789" s="37">
        <v>24</v>
      </c>
      <c r="I2789" s="109">
        <f t="shared" ref="I2789:I2794" si="659">G2789*H2789</f>
        <v>990.36</v>
      </c>
      <c r="J2789" s="123">
        <v>900</v>
      </c>
    </row>
    <row r="2790" spans="1:10" x14ac:dyDescent="0.25">
      <c r="A2790" s="31" t="s">
        <v>556</v>
      </c>
      <c r="B2790" s="31" t="s">
        <v>323</v>
      </c>
      <c r="C2790" s="34" t="s">
        <v>86</v>
      </c>
      <c r="D2790" s="108">
        <v>0.65</v>
      </c>
      <c r="E2790" s="34" t="s">
        <v>79</v>
      </c>
      <c r="F2790" s="110">
        <v>9.8699999999999992</v>
      </c>
      <c r="G2790" s="36">
        <f t="shared" si="658"/>
        <v>62.18099999999999</v>
      </c>
      <c r="H2790" s="37">
        <v>24</v>
      </c>
      <c r="I2790" s="109">
        <f t="shared" si="659"/>
        <v>1492.3439999999998</v>
      </c>
      <c r="J2790" s="123">
        <v>1400</v>
      </c>
    </row>
    <row r="2791" spans="1:10" x14ac:dyDescent="0.25">
      <c r="A2791" s="31" t="s">
        <v>556</v>
      </c>
      <c r="B2791" s="31" t="s">
        <v>324</v>
      </c>
      <c r="C2791" s="34" t="s">
        <v>443</v>
      </c>
      <c r="D2791" s="108" t="s">
        <v>38</v>
      </c>
      <c r="E2791" s="34" t="s">
        <v>79</v>
      </c>
      <c r="F2791" s="36">
        <v>3.88</v>
      </c>
      <c r="G2791" s="36">
        <f t="shared" si="658"/>
        <v>24.443999999999999</v>
      </c>
      <c r="H2791" s="37">
        <v>24</v>
      </c>
      <c r="I2791" s="109">
        <f t="shared" si="659"/>
        <v>586.65599999999995</v>
      </c>
      <c r="J2791" s="123">
        <v>500</v>
      </c>
    </row>
    <row r="2792" spans="1:10" x14ac:dyDescent="0.25">
      <c r="A2792" s="31" t="s">
        <v>556</v>
      </c>
      <c r="B2792" s="31" t="s">
        <v>317</v>
      </c>
      <c r="C2792" s="111" t="s">
        <v>156</v>
      </c>
      <c r="D2792" s="111">
        <v>37.6</v>
      </c>
      <c r="E2792" s="42" t="s">
        <v>79</v>
      </c>
      <c r="F2792" s="74">
        <v>10.61</v>
      </c>
      <c r="G2792" s="36">
        <f t="shared" si="658"/>
        <v>66.842999999999989</v>
      </c>
      <c r="H2792" s="37">
        <v>24</v>
      </c>
      <c r="I2792" s="109">
        <f t="shared" si="659"/>
        <v>1604.2319999999997</v>
      </c>
      <c r="J2792" s="123">
        <v>1600</v>
      </c>
    </row>
    <row r="2793" spans="1:10" x14ac:dyDescent="0.25">
      <c r="A2793" s="31" t="s">
        <v>556</v>
      </c>
      <c r="B2793" s="31" t="s">
        <v>325</v>
      </c>
      <c r="C2793" s="34" t="s">
        <v>158</v>
      </c>
      <c r="D2793" s="46">
        <v>21.29</v>
      </c>
      <c r="E2793" s="34" t="s">
        <v>79</v>
      </c>
      <c r="F2793" s="74">
        <v>6.92</v>
      </c>
      <c r="G2793" s="36">
        <f t="shared" si="658"/>
        <v>43.595999999999997</v>
      </c>
      <c r="H2793" s="37">
        <v>24</v>
      </c>
      <c r="I2793" s="109">
        <f t="shared" si="659"/>
        <v>1046.3039999999999</v>
      </c>
      <c r="J2793" s="123">
        <v>1000</v>
      </c>
    </row>
    <row r="2794" spans="1:10" ht="15.75" thickBot="1" x14ac:dyDescent="0.3">
      <c r="A2794" s="31" t="s">
        <v>556</v>
      </c>
      <c r="B2794" s="31" t="s">
        <v>326</v>
      </c>
      <c r="C2794" s="52" t="s">
        <v>152</v>
      </c>
      <c r="D2794" s="72">
        <v>0</v>
      </c>
      <c r="E2794" s="42" t="s">
        <v>79</v>
      </c>
      <c r="F2794" s="73">
        <v>9.5299999999999994</v>
      </c>
      <c r="G2794" s="74">
        <f t="shared" si="658"/>
        <v>60.038999999999994</v>
      </c>
      <c r="H2794" s="43">
        <v>24</v>
      </c>
      <c r="I2794" s="399">
        <f t="shared" si="659"/>
        <v>1440.9359999999999</v>
      </c>
      <c r="J2794" s="124">
        <v>1300</v>
      </c>
    </row>
    <row r="2795" spans="1:10" ht="19.5" thickBot="1" x14ac:dyDescent="0.35">
      <c r="A2795" s="220"/>
      <c r="B2795" s="221"/>
      <c r="C2795" s="335"/>
      <c r="D2795" s="335"/>
      <c r="E2795" s="335"/>
      <c r="F2795" s="335"/>
      <c r="G2795" s="335"/>
      <c r="H2795" s="174" t="s">
        <v>171</v>
      </c>
      <c r="I2795" s="238">
        <f>SUM(I2789:I2794)</f>
        <v>7160.8319999999994</v>
      </c>
      <c r="J2795" s="104">
        <v>6700</v>
      </c>
    </row>
    <row r="2796" spans="1:10" x14ac:dyDescent="0.25">
      <c r="A2796" s="31" t="s">
        <v>557</v>
      </c>
      <c r="B2796" s="37" t="s">
        <v>322</v>
      </c>
      <c r="C2796" s="34" t="s">
        <v>114</v>
      </c>
      <c r="D2796" s="108">
        <v>16.25</v>
      </c>
      <c r="E2796" s="34" t="s">
        <v>79</v>
      </c>
      <c r="F2796" s="109">
        <v>6.37</v>
      </c>
      <c r="G2796" s="36">
        <f t="shared" ref="G2796:G2801" si="660">F2796*6.3</f>
        <v>40.131</v>
      </c>
      <c r="H2796" s="37">
        <v>24</v>
      </c>
      <c r="I2796" s="109">
        <f t="shared" ref="I2796:I2801" si="661">G2796*H2796</f>
        <v>963.14400000000001</v>
      </c>
      <c r="J2796" s="123">
        <v>900</v>
      </c>
    </row>
    <row r="2797" spans="1:10" x14ac:dyDescent="0.25">
      <c r="A2797" s="31" t="s">
        <v>557</v>
      </c>
      <c r="B2797" s="37" t="s">
        <v>323</v>
      </c>
      <c r="C2797" s="34" t="s">
        <v>86</v>
      </c>
      <c r="D2797" s="108">
        <v>0.35</v>
      </c>
      <c r="E2797" s="34" t="s">
        <v>79</v>
      </c>
      <c r="F2797" s="110">
        <v>9.42</v>
      </c>
      <c r="G2797" s="36">
        <f t="shared" si="660"/>
        <v>59.345999999999997</v>
      </c>
      <c r="H2797" s="37">
        <v>24</v>
      </c>
      <c r="I2797" s="109">
        <f t="shared" si="661"/>
        <v>1424.3039999999999</v>
      </c>
      <c r="J2797" s="123">
        <v>1400</v>
      </c>
    </row>
    <row r="2798" spans="1:10" x14ac:dyDescent="0.25">
      <c r="A2798" s="31" t="s">
        <v>557</v>
      </c>
      <c r="B2798" s="50" t="s">
        <v>324</v>
      </c>
      <c r="C2798" s="34" t="s">
        <v>443</v>
      </c>
      <c r="D2798" s="108" t="s">
        <v>38</v>
      </c>
      <c r="E2798" s="34" t="s">
        <v>79</v>
      </c>
      <c r="F2798" s="36">
        <v>3.5</v>
      </c>
      <c r="G2798" s="36">
        <f t="shared" si="660"/>
        <v>22.05</v>
      </c>
      <c r="H2798" s="37">
        <v>24</v>
      </c>
      <c r="I2798" s="109">
        <f t="shared" si="661"/>
        <v>529.20000000000005</v>
      </c>
      <c r="J2798" s="123">
        <v>500</v>
      </c>
    </row>
    <row r="2799" spans="1:10" x14ac:dyDescent="0.25">
      <c r="A2799" s="31" t="s">
        <v>557</v>
      </c>
      <c r="B2799" s="75" t="s">
        <v>317</v>
      </c>
      <c r="C2799" s="111" t="s">
        <v>156</v>
      </c>
      <c r="D2799" s="111">
        <v>34.25</v>
      </c>
      <c r="E2799" s="42" t="s">
        <v>79</v>
      </c>
      <c r="F2799" s="74">
        <v>10.23</v>
      </c>
      <c r="G2799" s="36">
        <f t="shared" si="660"/>
        <v>64.448999999999998</v>
      </c>
      <c r="H2799" s="37">
        <v>24</v>
      </c>
      <c r="I2799" s="109">
        <f t="shared" si="661"/>
        <v>1546.7759999999998</v>
      </c>
      <c r="J2799" s="123">
        <v>1600</v>
      </c>
    </row>
    <row r="2800" spans="1:10" x14ac:dyDescent="0.25">
      <c r="A2800" s="31" t="s">
        <v>557</v>
      </c>
      <c r="B2800" s="37" t="s">
        <v>325</v>
      </c>
      <c r="C2800" s="34" t="s">
        <v>158</v>
      </c>
      <c r="D2800" s="46">
        <v>25.62</v>
      </c>
      <c r="E2800" s="34" t="s">
        <v>79</v>
      </c>
      <c r="F2800" s="74">
        <v>7.4</v>
      </c>
      <c r="G2800" s="36">
        <f t="shared" si="660"/>
        <v>46.62</v>
      </c>
      <c r="H2800" s="37">
        <v>24</v>
      </c>
      <c r="I2800" s="109">
        <f t="shared" si="661"/>
        <v>1118.8799999999999</v>
      </c>
      <c r="J2800" s="123">
        <v>1000</v>
      </c>
    </row>
    <row r="2801" spans="1:10" ht="15.75" thickBot="1" x14ac:dyDescent="0.3">
      <c r="A2801" s="31" t="s">
        <v>557</v>
      </c>
      <c r="B2801" s="43" t="s">
        <v>326</v>
      </c>
      <c r="C2801" s="52" t="s">
        <v>152</v>
      </c>
      <c r="D2801" s="72">
        <v>0</v>
      </c>
      <c r="E2801" s="42" t="s">
        <v>79</v>
      </c>
      <c r="F2801" s="73">
        <v>9.1999999999999993</v>
      </c>
      <c r="G2801" s="74">
        <f t="shared" si="660"/>
        <v>57.959999999999994</v>
      </c>
      <c r="H2801" s="43">
        <v>24</v>
      </c>
      <c r="I2801" s="399">
        <f t="shared" si="661"/>
        <v>1391.04</v>
      </c>
      <c r="J2801" s="124">
        <v>1300</v>
      </c>
    </row>
    <row r="2802" spans="1:10" ht="19.5" thickBot="1" x14ac:dyDescent="0.35">
      <c r="A2802" s="220"/>
      <c r="B2802" s="335"/>
      <c r="C2802" s="335"/>
      <c r="D2802" s="335"/>
      <c r="E2802" s="335"/>
      <c r="F2802" s="335"/>
      <c r="G2802" s="335"/>
      <c r="H2802" s="174" t="s">
        <v>171</v>
      </c>
      <c r="I2802" s="238">
        <f>SUM(I2796:I2801)</f>
        <v>6973.3440000000001</v>
      </c>
      <c r="J2802" s="104">
        <v>6700</v>
      </c>
    </row>
    <row r="2803" spans="1:10" x14ac:dyDescent="0.25">
      <c r="A2803" s="31" t="s">
        <v>558</v>
      </c>
      <c r="B2803" s="37" t="s">
        <v>322</v>
      </c>
      <c r="C2803" s="34" t="s">
        <v>114</v>
      </c>
      <c r="D2803" s="108">
        <v>16.239999999999998</v>
      </c>
      <c r="E2803" s="34" t="s">
        <v>79</v>
      </c>
      <c r="F2803" s="109">
        <v>6.47</v>
      </c>
      <c r="G2803" s="36">
        <f t="shared" ref="G2803:G2808" si="662">F2803*6.3</f>
        <v>40.760999999999996</v>
      </c>
      <c r="H2803" s="37">
        <v>24</v>
      </c>
      <c r="I2803" s="109">
        <f t="shared" ref="I2803:I2808" si="663">G2803*H2803</f>
        <v>978.2639999999999</v>
      </c>
      <c r="J2803" s="123">
        <v>900</v>
      </c>
    </row>
    <row r="2804" spans="1:10" x14ac:dyDescent="0.25">
      <c r="A2804" s="31" t="s">
        <v>558</v>
      </c>
      <c r="B2804" s="37" t="s">
        <v>323</v>
      </c>
      <c r="C2804" s="34" t="s">
        <v>86</v>
      </c>
      <c r="D2804" s="108">
        <v>0.35</v>
      </c>
      <c r="E2804" s="34" t="s">
        <v>79</v>
      </c>
      <c r="F2804" s="110">
        <v>9.4600000000000009</v>
      </c>
      <c r="G2804" s="36">
        <f t="shared" si="662"/>
        <v>59.598000000000006</v>
      </c>
      <c r="H2804" s="37">
        <v>24</v>
      </c>
      <c r="I2804" s="109">
        <f t="shared" si="663"/>
        <v>1430.3520000000001</v>
      </c>
      <c r="J2804" s="123">
        <v>1400</v>
      </c>
    </row>
    <row r="2805" spans="1:10" x14ac:dyDescent="0.25">
      <c r="A2805" s="31" t="s">
        <v>558</v>
      </c>
      <c r="B2805" s="50" t="s">
        <v>324</v>
      </c>
      <c r="C2805" s="34" t="s">
        <v>443</v>
      </c>
      <c r="D2805" s="108" t="s">
        <v>38</v>
      </c>
      <c r="E2805" s="34" t="s">
        <v>79</v>
      </c>
      <c r="F2805" s="36">
        <v>3.69</v>
      </c>
      <c r="G2805" s="36">
        <f t="shared" si="662"/>
        <v>23.247</v>
      </c>
      <c r="H2805" s="37">
        <v>24</v>
      </c>
      <c r="I2805" s="109">
        <f t="shared" si="663"/>
        <v>557.928</v>
      </c>
      <c r="J2805" s="123">
        <v>500</v>
      </c>
    </row>
    <row r="2806" spans="1:10" x14ac:dyDescent="0.25">
      <c r="A2806" s="31" t="s">
        <v>558</v>
      </c>
      <c r="B2806" s="75" t="s">
        <v>317</v>
      </c>
      <c r="C2806" s="111" t="s">
        <v>156</v>
      </c>
      <c r="D2806" s="111">
        <v>36.549999999999997</v>
      </c>
      <c r="E2806" s="42" t="s">
        <v>79</v>
      </c>
      <c r="F2806" s="74">
        <v>10.25</v>
      </c>
      <c r="G2806" s="36">
        <f t="shared" si="662"/>
        <v>64.575000000000003</v>
      </c>
      <c r="H2806" s="37">
        <v>24</v>
      </c>
      <c r="I2806" s="109">
        <f t="shared" si="663"/>
        <v>1549.8000000000002</v>
      </c>
      <c r="J2806" s="123">
        <v>1600</v>
      </c>
    </row>
    <row r="2807" spans="1:10" x14ac:dyDescent="0.25">
      <c r="A2807" s="31" t="s">
        <v>558</v>
      </c>
      <c r="B2807" s="37" t="s">
        <v>325</v>
      </c>
      <c r="C2807" s="34" t="s">
        <v>158</v>
      </c>
      <c r="D2807" s="46">
        <v>29.95</v>
      </c>
      <c r="E2807" s="34" t="s">
        <v>79</v>
      </c>
      <c r="F2807" s="74">
        <v>6.78</v>
      </c>
      <c r="G2807" s="36">
        <f t="shared" si="662"/>
        <v>42.713999999999999</v>
      </c>
      <c r="H2807" s="37">
        <v>24</v>
      </c>
      <c r="I2807" s="109">
        <f t="shared" si="663"/>
        <v>1025.136</v>
      </c>
      <c r="J2807" s="123">
        <v>1000</v>
      </c>
    </row>
    <row r="2808" spans="1:10" ht="15.75" thickBot="1" x14ac:dyDescent="0.3">
      <c r="A2808" s="31" t="s">
        <v>558</v>
      </c>
      <c r="B2808" s="43" t="s">
        <v>326</v>
      </c>
      <c r="C2808" s="52" t="s">
        <v>152</v>
      </c>
      <c r="D2808" s="72">
        <v>0</v>
      </c>
      <c r="E2808" s="42" t="s">
        <v>79</v>
      </c>
      <c r="F2808" s="73">
        <v>9.16</v>
      </c>
      <c r="G2808" s="74">
        <f t="shared" si="662"/>
        <v>57.707999999999998</v>
      </c>
      <c r="H2808" s="43">
        <v>24</v>
      </c>
      <c r="I2808" s="399">
        <f t="shared" si="663"/>
        <v>1384.992</v>
      </c>
      <c r="J2808" s="124">
        <v>1300</v>
      </c>
    </row>
    <row r="2809" spans="1:10" ht="19.5" thickBot="1" x14ac:dyDescent="0.35">
      <c r="A2809" s="220"/>
      <c r="B2809" s="335"/>
      <c r="C2809" s="335"/>
      <c r="D2809" s="335"/>
      <c r="E2809" s="335"/>
      <c r="F2809" s="335"/>
      <c r="G2809" s="335"/>
      <c r="H2809" s="174" t="s">
        <v>171</v>
      </c>
      <c r="I2809" s="238">
        <f>SUM(I2803:I2808)</f>
        <v>6926.4719999999998</v>
      </c>
      <c r="J2809" s="104">
        <v>6700</v>
      </c>
    </row>
    <row r="2810" spans="1:10" x14ac:dyDescent="0.25">
      <c r="A2810" s="31" t="s">
        <v>559</v>
      </c>
      <c r="B2810" s="37" t="s">
        <v>322</v>
      </c>
      <c r="C2810" s="34" t="s">
        <v>114</v>
      </c>
      <c r="D2810" s="108">
        <v>16.29</v>
      </c>
      <c r="E2810" s="34" t="s">
        <v>79</v>
      </c>
      <c r="F2810" s="109">
        <v>6.54</v>
      </c>
      <c r="G2810" s="36">
        <f t="shared" ref="G2810:G2815" si="664">F2810*6.3</f>
        <v>41.201999999999998</v>
      </c>
      <c r="H2810" s="37">
        <v>24</v>
      </c>
      <c r="I2810" s="109">
        <f t="shared" ref="I2810:I2815" si="665">G2810*H2810</f>
        <v>988.84799999999996</v>
      </c>
      <c r="J2810" s="123">
        <v>900</v>
      </c>
    </row>
    <row r="2811" spans="1:10" x14ac:dyDescent="0.25">
      <c r="A2811" s="31" t="s">
        <v>559</v>
      </c>
      <c r="B2811" s="37" t="s">
        <v>323</v>
      </c>
      <c r="C2811" s="34" t="s">
        <v>86</v>
      </c>
      <c r="D2811" s="108">
        <v>0.35</v>
      </c>
      <c r="E2811" s="34" t="s">
        <v>79</v>
      </c>
      <c r="F2811" s="110">
        <v>9.84</v>
      </c>
      <c r="G2811" s="36">
        <f t="shared" si="664"/>
        <v>61.991999999999997</v>
      </c>
      <c r="H2811" s="37">
        <v>24</v>
      </c>
      <c r="I2811" s="109">
        <f t="shared" si="665"/>
        <v>1487.808</v>
      </c>
      <c r="J2811" s="123">
        <v>1400</v>
      </c>
    </row>
    <row r="2812" spans="1:10" x14ac:dyDescent="0.25">
      <c r="A2812" s="31" t="s">
        <v>559</v>
      </c>
      <c r="B2812" s="50" t="s">
        <v>324</v>
      </c>
      <c r="C2812" s="34" t="s">
        <v>443</v>
      </c>
      <c r="D2812" s="108" t="s">
        <v>38</v>
      </c>
      <c r="E2812" s="34" t="s">
        <v>79</v>
      </c>
      <c r="F2812" s="36">
        <v>3.85</v>
      </c>
      <c r="G2812" s="36">
        <f t="shared" si="664"/>
        <v>24.254999999999999</v>
      </c>
      <c r="H2812" s="37">
        <v>24</v>
      </c>
      <c r="I2812" s="109">
        <f t="shared" si="665"/>
        <v>582.12</v>
      </c>
      <c r="J2812" s="123">
        <v>500</v>
      </c>
    </row>
    <row r="2813" spans="1:10" x14ac:dyDescent="0.25">
      <c r="A2813" s="31" t="s">
        <v>559</v>
      </c>
      <c r="B2813" s="75" t="s">
        <v>317</v>
      </c>
      <c r="C2813" s="111" t="s">
        <v>156</v>
      </c>
      <c r="D2813" s="111">
        <v>36.549999999999997</v>
      </c>
      <c r="E2813" s="42" t="s">
        <v>79</v>
      </c>
      <c r="F2813" s="74">
        <v>10.6</v>
      </c>
      <c r="G2813" s="36">
        <f t="shared" si="664"/>
        <v>66.78</v>
      </c>
      <c r="H2813" s="37">
        <v>24</v>
      </c>
      <c r="I2813" s="109">
        <f t="shared" si="665"/>
        <v>1602.72</v>
      </c>
      <c r="J2813" s="123">
        <v>1600</v>
      </c>
    </row>
    <row r="2814" spans="1:10" x14ac:dyDescent="0.25">
      <c r="A2814" s="31" t="s">
        <v>559</v>
      </c>
      <c r="B2814" s="37" t="s">
        <v>325</v>
      </c>
      <c r="C2814" s="34" t="s">
        <v>158</v>
      </c>
      <c r="D2814" s="46">
        <v>20.190000000000001</v>
      </c>
      <c r="E2814" s="34" t="s">
        <v>79</v>
      </c>
      <c r="F2814" s="74">
        <v>7.17</v>
      </c>
      <c r="G2814" s="36">
        <f t="shared" si="664"/>
        <v>45.170999999999999</v>
      </c>
      <c r="H2814" s="37">
        <v>24</v>
      </c>
      <c r="I2814" s="109">
        <f t="shared" si="665"/>
        <v>1084.104</v>
      </c>
      <c r="J2814" s="123">
        <v>1000</v>
      </c>
    </row>
    <row r="2815" spans="1:10" ht="15.75" thickBot="1" x14ac:dyDescent="0.3">
      <c r="A2815" s="31" t="s">
        <v>559</v>
      </c>
      <c r="B2815" s="43" t="s">
        <v>326</v>
      </c>
      <c r="C2815" s="52" t="s">
        <v>152</v>
      </c>
      <c r="D2815" s="72">
        <v>0</v>
      </c>
      <c r="E2815" s="42" t="s">
        <v>79</v>
      </c>
      <c r="F2815" s="73">
        <v>9.15</v>
      </c>
      <c r="G2815" s="74">
        <f t="shared" si="664"/>
        <v>57.645000000000003</v>
      </c>
      <c r="H2815" s="43">
        <v>24</v>
      </c>
      <c r="I2815" s="399">
        <f t="shared" si="665"/>
        <v>1383.48</v>
      </c>
      <c r="J2815" s="124">
        <v>1300</v>
      </c>
    </row>
    <row r="2816" spans="1:10" ht="19.5" thickBot="1" x14ac:dyDescent="0.35">
      <c r="A2816" s="206"/>
      <c r="B2816" s="336"/>
      <c r="C2816" s="336"/>
      <c r="D2816" s="336"/>
      <c r="E2816" s="336"/>
      <c r="F2816" s="336"/>
      <c r="G2816" s="337"/>
      <c r="H2816" s="174" t="s">
        <v>171</v>
      </c>
      <c r="I2816" s="238">
        <f>SUM(I2810:I2815)</f>
        <v>7129.08</v>
      </c>
      <c r="J2816" s="104">
        <v>6700</v>
      </c>
    </row>
    <row r="2817" spans="1:11" x14ac:dyDescent="0.25">
      <c r="A2817" s="31" t="s">
        <v>560</v>
      </c>
      <c r="B2817" s="37" t="s">
        <v>322</v>
      </c>
      <c r="C2817" s="34" t="s">
        <v>114</v>
      </c>
      <c r="D2817" s="108">
        <v>16.29</v>
      </c>
      <c r="E2817" s="34" t="s">
        <v>79</v>
      </c>
      <c r="F2817" s="109">
        <v>6.49</v>
      </c>
      <c r="G2817" s="36">
        <f t="shared" ref="G2817:G2822" si="666">F2817*6.3</f>
        <v>40.887</v>
      </c>
      <c r="H2817" s="37">
        <v>24</v>
      </c>
      <c r="I2817" s="109">
        <f t="shared" ref="I2817:I2822" si="667">G2817*H2817</f>
        <v>981.28800000000001</v>
      </c>
      <c r="J2817" s="123">
        <v>900</v>
      </c>
    </row>
    <row r="2818" spans="1:11" x14ac:dyDescent="0.25">
      <c r="A2818" s="31" t="s">
        <v>560</v>
      </c>
      <c r="B2818" s="37" t="s">
        <v>323</v>
      </c>
      <c r="C2818" s="34" t="s">
        <v>86</v>
      </c>
      <c r="D2818" s="108">
        <v>0.35</v>
      </c>
      <c r="E2818" s="34" t="s">
        <v>79</v>
      </c>
      <c r="F2818" s="110">
        <v>9.7799999999999994</v>
      </c>
      <c r="G2818" s="36">
        <f t="shared" si="666"/>
        <v>61.613999999999997</v>
      </c>
      <c r="H2818" s="37">
        <v>24</v>
      </c>
      <c r="I2818" s="109">
        <f t="shared" si="667"/>
        <v>1478.7359999999999</v>
      </c>
      <c r="J2818" s="123">
        <v>1400</v>
      </c>
    </row>
    <row r="2819" spans="1:11" x14ac:dyDescent="0.25">
      <c r="A2819" s="31" t="s">
        <v>560</v>
      </c>
      <c r="B2819" s="50" t="s">
        <v>324</v>
      </c>
      <c r="C2819" s="34" t="s">
        <v>443</v>
      </c>
      <c r="D2819" s="108" t="s">
        <v>38</v>
      </c>
      <c r="E2819" s="34" t="s">
        <v>79</v>
      </c>
      <c r="F2819" s="36">
        <v>3.76</v>
      </c>
      <c r="G2819" s="36">
        <f t="shared" si="666"/>
        <v>23.687999999999999</v>
      </c>
      <c r="H2819" s="37">
        <v>24</v>
      </c>
      <c r="I2819" s="109">
        <f t="shared" si="667"/>
        <v>568.51199999999994</v>
      </c>
      <c r="J2819" s="123">
        <v>500</v>
      </c>
    </row>
    <row r="2820" spans="1:11" x14ac:dyDescent="0.25">
      <c r="A2820" s="31" t="s">
        <v>560</v>
      </c>
      <c r="B2820" s="75" t="s">
        <v>317</v>
      </c>
      <c r="C2820" s="111" t="s">
        <v>156</v>
      </c>
      <c r="D2820" s="111">
        <v>36.83</v>
      </c>
      <c r="E2820" s="42" t="s">
        <v>79</v>
      </c>
      <c r="F2820" s="74">
        <v>10.54</v>
      </c>
      <c r="G2820" s="36">
        <f t="shared" si="666"/>
        <v>66.401999999999987</v>
      </c>
      <c r="H2820" s="37">
        <v>24</v>
      </c>
      <c r="I2820" s="109">
        <f t="shared" si="667"/>
        <v>1593.6479999999997</v>
      </c>
      <c r="J2820" s="123">
        <v>1600</v>
      </c>
    </row>
    <row r="2821" spans="1:11" x14ac:dyDescent="0.25">
      <c r="A2821" s="31" t="s">
        <v>560</v>
      </c>
      <c r="B2821" s="37" t="s">
        <v>325</v>
      </c>
      <c r="C2821" s="34" t="s">
        <v>158</v>
      </c>
      <c r="D2821" s="46">
        <v>20.190000000000001</v>
      </c>
      <c r="E2821" s="34" t="s">
        <v>79</v>
      </c>
      <c r="F2821" s="74">
        <v>7.1</v>
      </c>
      <c r="G2821" s="36">
        <f t="shared" si="666"/>
        <v>44.73</v>
      </c>
      <c r="H2821" s="37">
        <v>24</v>
      </c>
      <c r="I2821" s="109">
        <f t="shared" si="667"/>
        <v>1073.52</v>
      </c>
      <c r="J2821" s="123">
        <v>1000</v>
      </c>
    </row>
    <row r="2822" spans="1:11" ht="24.75" customHeight="1" thickBot="1" x14ac:dyDescent="0.3">
      <c r="A2822" s="31" t="s">
        <v>560</v>
      </c>
      <c r="B2822" s="43" t="s">
        <v>326</v>
      </c>
      <c r="C2822" s="52" t="s">
        <v>152</v>
      </c>
      <c r="D2822" s="72">
        <v>0</v>
      </c>
      <c r="E2822" s="42" t="s">
        <v>79</v>
      </c>
      <c r="F2822" s="73">
        <v>8.7100000000000009</v>
      </c>
      <c r="G2822" s="74">
        <f t="shared" si="666"/>
        <v>54.873000000000005</v>
      </c>
      <c r="H2822" s="43">
        <v>24</v>
      </c>
      <c r="I2822" s="399">
        <f t="shared" si="667"/>
        <v>1316.9520000000002</v>
      </c>
      <c r="J2822" s="124">
        <v>1300</v>
      </c>
    </row>
    <row r="2823" spans="1:11" ht="19.5" thickBot="1" x14ac:dyDescent="0.35">
      <c r="A2823" s="206"/>
      <c r="B2823" s="336"/>
      <c r="C2823" s="336"/>
      <c r="D2823" s="336"/>
      <c r="E2823" s="336"/>
      <c r="F2823" s="336"/>
      <c r="G2823" s="337"/>
      <c r="H2823" s="174" t="s">
        <v>171</v>
      </c>
      <c r="I2823" s="238">
        <f>SUM(I2817:I2822)</f>
        <v>7012.6559999999999</v>
      </c>
      <c r="J2823" s="104">
        <v>6700</v>
      </c>
    </row>
    <row r="2824" spans="1:11" x14ac:dyDescent="0.25">
      <c r="A2824" s="31" t="s">
        <v>561</v>
      </c>
      <c r="B2824" s="31" t="s">
        <v>322</v>
      </c>
      <c r="C2824" s="31" t="s">
        <v>114</v>
      </c>
      <c r="D2824" s="49">
        <v>16.41</v>
      </c>
      <c r="E2824" s="31" t="s">
        <v>79</v>
      </c>
      <c r="F2824" s="31">
        <v>6.64</v>
      </c>
      <c r="G2824" s="31">
        <v>41.831999999999994</v>
      </c>
      <c r="H2824" s="31">
        <v>24</v>
      </c>
      <c r="I2824" s="31">
        <v>1003.9679999999998</v>
      </c>
      <c r="J2824" s="31">
        <v>900</v>
      </c>
    </row>
    <row r="2825" spans="1:11" x14ac:dyDescent="0.25">
      <c r="A2825" s="31" t="s">
        <v>561</v>
      </c>
      <c r="B2825" s="31" t="s">
        <v>323</v>
      </c>
      <c r="C2825" s="31" t="s">
        <v>86</v>
      </c>
      <c r="D2825" s="46">
        <v>0.35</v>
      </c>
      <c r="E2825" s="31" t="s">
        <v>79</v>
      </c>
      <c r="F2825" s="31">
        <v>9.82</v>
      </c>
      <c r="G2825" s="31">
        <v>61.866</v>
      </c>
      <c r="H2825" s="31">
        <v>24</v>
      </c>
      <c r="I2825" s="31">
        <v>1484.7840000000001</v>
      </c>
      <c r="J2825" s="31">
        <v>1400</v>
      </c>
    </row>
    <row r="2826" spans="1:11" x14ac:dyDescent="0.25">
      <c r="A2826" s="31" t="s">
        <v>561</v>
      </c>
      <c r="B2826" s="31" t="s">
        <v>324</v>
      </c>
      <c r="C2826" s="31" t="s">
        <v>443</v>
      </c>
      <c r="D2826" s="46" t="s">
        <v>38</v>
      </c>
      <c r="E2826" s="31" t="s">
        <v>79</v>
      </c>
      <c r="F2826" s="31">
        <v>3.83</v>
      </c>
      <c r="G2826" s="31">
        <v>24.129000000000001</v>
      </c>
      <c r="H2826" s="31">
        <v>24</v>
      </c>
      <c r="I2826" s="31">
        <v>579.096</v>
      </c>
      <c r="J2826" s="31">
        <v>500</v>
      </c>
    </row>
    <row r="2827" spans="1:11" x14ac:dyDescent="0.25">
      <c r="A2827" s="31" t="s">
        <v>561</v>
      </c>
      <c r="B2827" s="31" t="s">
        <v>317</v>
      </c>
      <c r="C2827" s="31" t="s">
        <v>156</v>
      </c>
      <c r="D2827" s="46">
        <v>37.01</v>
      </c>
      <c r="E2827" s="31" t="s">
        <v>79</v>
      </c>
      <c r="F2827" s="31">
        <v>10.63</v>
      </c>
      <c r="G2827" s="31">
        <v>66.969000000000008</v>
      </c>
      <c r="H2827" s="31">
        <v>24</v>
      </c>
      <c r="I2827" s="31">
        <v>1607.2560000000003</v>
      </c>
      <c r="J2827" s="31">
        <v>1600</v>
      </c>
    </row>
    <row r="2828" spans="1:11" x14ac:dyDescent="0.25">
      <c r="A2828" s="31" t="s">
        <v>561</v>
      </c>
      <c r="B2828" s="31" t="s">
        <v>325</v>
      </c>
      <c r="C2828" s="31" t="s">
        <v>158</v>
      </c>
      <c r="D2828" s="46">
        <v>20.43</v>
      </c>
      <c r="E2828" s="31" t="s">
        <v>79</v>
      </c>
      <c r="F2828" s="31">
        <v>7.21</v>
      </c>
      <c r="G2828" s="31">
        <v>45.423000000000002</v>
      </c>
      <c r="H2828" s="31">
        <v>24</v>
      </c>
      <c r="I2828" s="31">
        <v>1090.152</v>
      </c>
      <c r="J2828" s="31">
        <v>1000</v>
      </c>
    </row>
    <row r="2829" spans="1:11" ht="15.75" thickBot="1" x14ac:dyDescent="0.3">
      <c r="A2829" s="31" t="s">
        <v>561</v>
      </c>
      <c r="B2829" s="31" t="s">
        <v>326</v>
      </c>
      <c r="C2829" s="31" t="s">
        <v>152</v>
      </c>
      <c r="D2829" s="52">
        <v>0</v>
      </c>
      <c r="E2829" s="31" t="s">
        <v>79</v>
      </c>
      <c r="F2829" s="31">
        <v>8.94</v>
      </c>
      <c r="G2829" s="31">
        <v>56.321999999999996</v>
      </c>
      <c r="H2829" s="31">
        <v>24</v>
      </c>
      <c r="I2829" s="31">
        <v>1351.7279999999998</v>
      </c>
      <c r="J2829" s="31">
        <v>1300</v>
      </c>
    </row>
    <row r="2830" spans="1:11" s="413" customFormat="1" ht="19.5" thickBot="1" x14ac:dyDescent="0.35">
      <c r="A2830" s="411"/>
      <c r="B2830" s="259"/>
      <c r="C2830" s="259"/>
      <c r="D2830" s="259"/>
      <c r="E2830" s="259"/>
      <c r="F2830" s="259"/>
      <c r="G2830" s="259"/>
      <c r="H2830" s="259" t="s">
        <v>171</v>
      </c>
      <c r="I2830" s="221">
        <v>7116.9840000000004</v>
      </c>
      <c r="J2830" s="279">
        <v>6700</v>
      </c>
      <c r="K2830" s="412"/>
    </row>
    <row r="2831" spans="1:11" x14ac:dyDescent="0.25">
      <c r="A2831" s="31" t="s">
        <v>562</v>
      </c>
      <c r="B2831" s="37" t="s">
        <v>322</v>
      </c>
      <c r="C2831" s="34" t="s">
        <v>114</v>
      </c>
      <c r="D2831" s="108">
        <v>15.19</v>
      </c>
      <c r="E2831" s="34" t="s">
        <v>79</v>
      </c>
      <c r="F2831" s="109">
        <v>6.45</v>
      </c>
      <c r="G2831" s="36">
        <f t="shared" ref="G2831:G2836" si="668">F2831*6.3</f>
        <v>40.634999999999998</v>
      </c>
      <c r="H2831" s="37">
        <v>24</v>
      </c>
      <c r="I2831" s="109">
        <f t="shared" ref="I2831:I2836" si="669">G2831*H2831</f>
        <v>975.24</v>
      </c>
      <c r="J2831" s="123">
        <v>900</v>
      </c>
    </row>
    <row r="2832" spans="1:11" x14ac:dyDescent="0.25">
      <c r="A2832" s="31" t="s">
        <v>562</v>
      </c>
      <c r="B2832" s="37" t="s">
        <v>323</v>
      </c>
      <c r="C2832" s="34" t="s">
        <v>86</v>
      </c>
      <c r="D2832" s="108">
        <v>0</v>
      </c>
      <c r="E2832" s="34" t="s">
        <v>79</v>
      </c>
      <c r="F2832" s="110">
        <v>9.65</v>
      </c>
      <c r="G2832" s="36">
        <f t="shared" si="668"/>
        <v>60.795000000000002</v>
      </c>
      <c r="H2832" s="37">
        <v>24</v>
      </c>
      <c r="I2832" s="109">
        <f t="shared" si="669"/>
        <v>1459.08</v>
      </c>
      <c r="J2832" s="123">
        <v>1400</v>
      </c>
    </row>
    <row r="2833" spans="1:10" x14ac:dyDescent="0.25">
      <c r="A2833" s="31" t="s">
        <v>562</v>
      </c>
      <c r="B2833" s="50" t="s">
        <v>324</v>
      </c>
      <c r="C2833" s="34" t="s">
        <v>443</v>
      </c>
      <c r="D2833" s="108" t="s">
        <v>38</v>
      </c>
      <c r="E2833" s="34" t="s">
        <v>79</v>
      </c>
      <c r="F2833" s="36">
        <v>3.65</v>
      </c>
      <c r="G2833" s="36">
        <f t="shared" si="668"/>
        <v>22.994999999999997</v>
      </c>
      <c r="H2833" s="37">
        <v>24</v>
      </c>
      <c r="I2833" s="109">
        <f t="shared" si="669"/>
        <v>551.87999999999988</v>
      </c>
      <c r="J2833" s="123">
        <v>500</v>
      </c>
    </row>
    <row r="2834" spans="1:10" x14ac:dyDescent="0.25">
      <c r="A2834" s="31" t="s">
        <v>562</v>
      </c>
      <c r="B2834" s="75" t="s">
        <v>317</v>
      </c>
      <c r="C2834" s="111" t="s">
        <v>156</v>
      </c>
      <c r="D2834" s="111">
        <v>34.44</v>
      </c>
      <c r="E2834" s="42" t="s">
        <v>79</v>
      </c>
      <c r="F2834" s="74">
        <v>10.6</v>
      </c>
      <c r="G2834" s="36">
        <f t="shared" si="668"/>
        <v>66.78</v>
      </c>
      <c r="H2834" s="37">
        <v>24</v>
      </c>
      <c r="I2834" s="109">
        <f t="shared" si="669"/>
        <v>1602.72</v>
      </c>
      <c r="J2834" s="123">
        <v>1600</v>
      </c>
    </row>
    <row r="2835" spans="1:10" x14ac:dyDescent="0.25">
      <c r="A2835" s="31" t="s">
        <v>562</v>
      </c>
      <c r="B2835" s="37" t="s">
        <v>325</v>
      </c>
      <c r="C2835" s="34" t="s">
        <v>158</v>
      </c>
      <c r="D2835" s="46">
        <v>15.29</v>
      </c>
      <c r="E2835" s="34" t="s">
        <v>79</v>
      </c>
      <c r="F2835" s="74">
        <v>6.92</v>
      </c>
      <c r="G2835" s="36">
        <f t="shared" si="668"/>
        <v>43.595999999999997</v>
      </c>
      <c r="H2835" s="37">
        <v>24</v>
      </c>
      <c r="I2835" s="109">
        <f t="shared" si="669"/>
        <v>1046.3039999999999</v>
      </c>
      <c r="J2835" s="123">
        <v>1000</v>
      </c>
    </row>
    <row r="2836" spans="1:10" x14ac:dyDescent="0.25">
      <c r="A2836" s="31" t="s">
        <v>562</v>
      </c>
      <c r="B2836" s="43" t="s">
        <v>326</v>
      </c>
      <c r="C2836" s="52" t="s">
        <v>152</v>
      </c>
      <c r="D2836" s="72">
        <v>0</v>
      </c>
      <c r="E2836" s="42" t="s">
        <v>79</v>
      </c>
      <c r="F2836" s="73">
        <v>8.59</v>
      </c>
      <c r="G2836" s="74">
        <f t="shared" si="668"/>
        <v>54.116999999999997</v>
      </c>
      <c r="H2836" s="43">
        <v>24</v>
      </c>
      <c r="I2836" s="399">
        <f t="shared" si="669"/>
        <v>1298.808</v>
      </c>
      <c r="J2836" s="124">
        <v>1300</v>
      </c>
    </row>
    <row r="2837" spans="1:10" ht="18.75" x14ac:dyDescent="0.3">
      <c r="A2837" s="233"/>
      <c r="B2837" s="334"/>
      <c r="C2837" s="334"/>
      <c r="D2837" s="334"/>
      <c r="E2837" s="334"/>
      <c r="F2837" s="334"/>
      <c r="G2837" s="334"/>
      <c r="H2837" s="99" t="s">
        <v>171</v>
      </c>
      <c r="I2837" s="330">
        <f>SUM(I2831:I2836)</f>
        <v>6934.0320000000002</v>
      </c>
      <c r="J2837" s="33">
        <v>6700</v>
      </c>
    </row>
    <row r="2838" spans="1:10" x14ac:dyDescent="0.25">
      <c r="A2838" s="31" t="s">
        <v>563</v>
      </c>
      <c r="B2838" s="37" t="s">
        <v>322</v>
      </c>
      <c r="C2838" s="34" t="s">
        <v>114</v>
      </c>
      <c r="D2838" s="108">
        <v>16.5</v>
      </c>
      <c r="E2838" s="34" t="s">
        <v>79</v>
      </c>
      <c r="F2838" s="109">
        <v>6.7</v>
      </c>
      <c r="G2838" s="36">
        <f t="shared" ref="G2838:G2843" si="670">F2838*6.3</f>
        <v>42.21</v>
      </c>
      <c r="H2838" s="37">
        <v>24</v>
      </c>
      <c r="I2838" s="109">
        <f t="shared" ref="I2838:I2843" si="671">G2838*H2838</f>
        <v>1013.04</v>
      </c>
      <c r="J2838" s="123">
        <v>900</v>
      </c>
    </row>
    <row r="2839" spans="1:10" x14ac:dyDescent="0.25">
      <c r="A2839" s="31" t="s">
        <v>563</v>
      </c>
      <c r="B2839" s="37" t="s">
        <v>323</v>
      </c>
      <c r="C2839" s="34" t="s">
        <v>86</v>
      </c>
      <c r="D2839" s="108">
        <v>0</v>
      </c>
      <c r="E2839" s="34" t="s">
        <v>79</v>
      </c>
      <c r="F2839" s="110">
        <v>10</v>
      </c>
      <c r="G2839" s="36">
        <f t="shared" si="670"/>
        <v>63</v>
      </c>
      <c r="H2839" s="37">
        <v>24</v>
      </c>
      <c r="I2839" s="109">
        <f t="shared" si="671"/>
        <v>1512</v>
      </c>
      <c r="J2839" s="123">
        <v>1400</v>
      </c>
    </row>
    <row r="2840" spans="1:10" x14ac:dyDescent="0.25">
      <c r="A2840" s="31" t="s">
        <v>563</v>
      </c>
      <c r="B2840" s="50" t="s">
        <v>324</v>
      </c>
      <c r="C2840" s="34" t="s">
        <v>443</v>
      </c>
      <c r="D2840" s="108" t="s">
        <v>38</v>
      </c>
      <c r="E2840" s="34" t="s">
        <v>79</v>
      </c>
      <c r="F2840" s="36">
        <v>3.7</v>
      </c>
      <c r="G2840" s="36">
        <f t="shared" si="670"/>
        <v>23.31</v>
      </c>
      <c r="H2840" s="37">
        <v>24</v>
      </c>
      <c r="I2840" s="109">
        <f t="shared" si="671"/>
        <v>559.43999999999994</v>
      </c>
      <c r="J2840" s="123">
        <v>500</v>
      </c>
    </row>
    <row r="2841" spans="1:10" x14ac:dyDescent="0.25">
      <c r="A2841" s="31" t="s">
        <v>563</v>
      </c>
      <c r="B2841" s="75" t="s">
        <v>317</v>
      </c>
      <c r="C2841" s="111" t="s">
        <v>156</v>
      </c>
      <c r="D2841" s="111">
        <v>39.4</v>
      </c>
      <c r="E2841" s="42" t="s">
        <v>79</v>
      </c>
      <c r="F2841" s="74">
        <v>10.63</v>
      </c>
      <c r="G2841" s="36">
        <f t="shared" si="670"/>
        <v>66.969000000000008</v>
      </c>
      <c r="H2841" s="37">
        <v>24</v>
      </c>
      <c r="I2841" s="109">
        <f t="shared" si="671"/>
        <v>1607.2560000000003</v>
      </c>
      <c r="J2841" s="123">
        <v>1600</v>
      </c>
    </row>
    <row r="2842" spans="1:10" x14ac:dyDescent="0.25">
      <c r="A2842" s="31" t="s">
        <v>563</v>
      </c>
      <c r="B2842" s="37" t="s">
        <v>325</v>
      </c>
      <c r="C2842" s="34" t="s">
        <v>158</v>
      </c>
      <c r="D2842" s="46">
        <v>16.399999999999999</v>
      </c>
      <c r="E2842" s="34" t="s">
        <v>79</v>
      </c>
      <c r="F2842" s="74">
        <v>7.1</v>
      </c>
      <c r="G2842" s="36">
        <f t="shared" si="670"/>
        <v>44.73</v>
      </c>
      <c r="H2842" s="37">
        <v>24</v>
      </c>
      <c r="I2842" s="109">
        <f t="shared" si="671"/>
        <v>1073.52</v>
      </c>
      <c r="J2842" s="123">
        <v>1000</v>
      </c>
    </row>
    <row r="2843" spans="1:10" ht="15.75" thickBot="1" x14ac:dyDescent="0.3">
      <c r="A2843" s="31" t="s">
        <v>563</v>
      </c>
      <c r="B2843" s="43" t="s">
        <v>326</v>
      </c>
      <c r="C2843" s="52" t="s">
        <v>152</v>
      </c>
      <c r="D2843" s="72">
        <v>0</v>
      </c>
      <c r="E2843" s="42" t="s">
        <v>79</v>
      </c>
      <c r="F2843" s="73">
        <v>9.1999999999999993</v>
      </c>
      <c r="G2843" s="74">
        <f t="shared" si="670"/>
        <v>57.959999999999994</v>
      </c>
      <c r="H2843" s="43">
        <v>24</v>
      </c>
      <c r="I2843" s="399">
        <f t="shared" si="671"/>
        <v>1391.04</v>
      </c>
      <c r="J2843" s="124">
        <v>1300</v>
      </c>
    </row>
    <row r="2844" spans="1:10" ht="19.5" thickBot="1" x14ac:dyDescent="0.35">
      <c r="A2844" s="336"/>
      <c r="B2844" s="336"/>
      <c r="C2844" s="336"/>
      <c r="D2844" s="336"/>
      <c r="E2844" s="336"/>
      <c r="F2844" s="336"/>
      <c r="G2844" s="337"/>
      <c r="H2844" s="174" t="s">
        <v>171</v>
      </c>
      <c r="I2844" s="238">
        <f>SUM(I2838:I2843)</f>
        <v>7156.2960000000012</v>
      </c>
      <c r="J2844" s="104">
        <v>6700</v>
      </c>
    </row>
    <row r="2845" spans="1:10" x14ac:dyDescent="0.25">
      <c r="A2845" s="31" t="s">
        <v>564</v>
      </c>
      <c r="B2845" s="37" t="s">
        <v>322</v>
      </c>
      <c r="C2845" s="34" t="s">
        <v>114</v>
      </c>
      <c r="D2845" s="108">
        <v>14.8</v>
      </c>
      <c r="E2845" s="34" t="s">
        <v>79</v>
      </c>
      <c r="F2845" s="109">
        <v>7</v>
      </c>
      <c r="G2845" s="36">
        <f t="shared" ref="G2845:G2850" si="672">F2845*6.3</f>
        <v>44.1</v>
      </c>
      <c r="H2845" s="37">
        <v>24</v>
      </c>
      <c r="I2845" s="109">
        <f t="shared" ref="I2845:I2850" si="673">G2845*H2845</f>
        <v>1058.4000000000001</v>
      </c>
      <c r="J2845" s="123">
        <v>900</v>
      </c>
    </row>
    <row r="2846" spans="1:10" x14ac:dyDescent="0.25">
      <c r="A2846" s="31" t="s">
        <v>564</v>
      </c>
      <c r="B2846" s="37" t="s">
        <v>323</v>
      </c>
      <c r="C2846" s="34" t="s">
        <v>86</v>
      </c>
      <c r="D2846" s="108">
        <v>0</v>
      </c>
      <c r="E2846" s="34" t="s">
        <v>79</v>
      </c>
      <c r="F2846" s="110">
        <v>10.4</v>
      </c>
      <c r="G2846" s="36">
        <f t="shared" si="672"/>
        <v>65.52</v>
      </c>
      <c r="H2846" s="37">
        <v>24</v>
      </c>
      <c r="I2846" s="109">
        <f t="shared" si="673"/>
        <v>1572.48</v>
      </c>
      <c r="J2846" s="123">
        <v>1400</v>
      </c>
    </row>
    <row r="2847" spans="1:10" x14ac:dyDescent="0.25">
      <c r="A2847" s="31" t="s">
        <v>564</v>
      </c>
      <c r="B2847" s="50" t="s">
        <v>324</v>
      </c>
      <c r="C2847" s="34" t="s">
        <v>443</v>
      </c>
      <c r="D2847" s="108" t="s">
        <v>38</v>
      </c>
      <c r="E2847" s="34" t="s">
        <v>79</v>
      </c>
      <c r="F2847" s="36">
        <v>3.6</v>
      </c>
      <c r="G2847" s="36">
        <f t="shared" si="672"/>
        <v>22.68</v>
      </c>
      <c r="H2847" s="37">
        <v>24</v>
      </c>
      <c r="I2847" s="109">
        <f t="shared" si="673"/>
        <v>544.31999999999994</v>
      </c>
      <c r="J2847" s="123">
        <v>500</v>
      </c>
    </row>
    <row r="2848" spans="1:10" x14ac:dyDescent="0.25">
      <c r="A2848" s="31" t="s">
        <v>564</v>
      </c>
      <c r="B2848" s="75" t="s">
        <v>317</v>
      </c>
      <c r="C2848" s="111" t="s">
        <v>156</v>
      </c>
      <c r="D2848" s="111">
        <v>35.5</v>
      </c>
      <c r="E2848" s="42" t="s">
        <v>79</v>
      </c>
      <c r="F2848" s="74">
        <v>10.199999999999999</v>
      </c>
      <c r="G2848" s="36">
        <f t="shared" si="672"/>
        <v>64.259999999999991</v>
      </c>
      <c r="H2848" s="37">
        <v>24</v>
      </c>
      <c r="I2848" s="109">
        <f t="shared" si="673"/>
        <v>1542.2399999999998</v>
      </c>
      <c r="J2848" s="123">
        <v>1600</v>
      </c>
    </row>
    <row r="2849" spans="1:10" x14ac:dyDescent="0.25">
      <c r="A2849" s="31" t="s">
        <v>564</v>
      </c>
      <c r="B2849" s="37" t="s">
        <v>325</v>
      </c>
      <c r="C2849" s="34" t="s">
        <v>158</v>
      </c>
      <c r="D2849" s="46">
        <v>16.2</v>
      </c>
      <c r="E2849" s="34" t="s">
        <v>79</v>
      </c>
      <c r="F2849" s="74">
        <v>7.1</v>
      </c>
      <c r="G2849" s="36">
        <f t="shared" si="672"/>
        <v>44.73</v>
      </c>
      <c r="H2849" s="37">
        <v>24</v>
      </c>
      <c r="I2849" s="109">
        <f t="shared" si="673"/>
        <v>1073.52</v>
      </c>
      <c r="J2849" s="123">
        <v>1000</v>
      </c>
    </row>
    <row r="2850" spans="1:10" ht="15.75" thickBot="1" x14ac:dyDescent="0.3">
      <c r="A2850" s="31" t="s">
        <v>564</v>
      </c>
      <c r="B2850" s="43" t="s">
        <v>326</v>
      </c>
      <c r="C2850" s="52" t="s">
        <v>152</v>
      </c>
      <c r="D2850" s="72">
        <v>0</v>
      </c>
      <c r="E2850" s="42" t="s">
        <v>79</v>
      </c>
      <c r="F2850" s="73">
        <v>8.9</v>
      </c>
      <c r="G2850" s="74">
        <f t="shared" si="672"/>
        <v>56.07</v>
      </c>
      <c r="H2850" s="43">
        <v>24</v>
      </c>
      <c r="I2850" s="399">
        <f t="shared" si="673"/>
        <v>1345.68</v>
      </c>
      <c r="J2850" s="124">
        <v>1300</v>
      </c>
    </row>
    <row r="2851" spans="1:10" ht="19.5" thickBot="1" x14ac:dyDescent="0.35">
      <c r="A2851" s="336"/>
      <c r="B2851" s="336"/>
      <c r="C2851" s="336"/>
      <c r="D2851" s="336"/>
      <c r="E2851" s="336"/>
      <c r="F2851" s="336"/>
      <c r="G2851" s="337"/>
      <c r="H2851" s="174" t="s">
        <v>171</v>
      </c>
      <c r="I2851" s="238">
        <f>SUM(I2845:I2850)</f>
        <v>7136.6399999999994</v>
      </c>
      <c r="J2851" s="104">
        <v>6700</v>
      </c>
    </row>
    <row r="2852" spans="1:10" x14ac:dyDescent="0.25">
      <c r="A2852" s="31" t="s">
        <v>565</v>
      </c>
      <c r="B2852" s="37" t="s">
        <v>322</v>
      </c>
      <c r="C2852" s="34" t="s">
        <v>114</v>
      </c>
      <c r="D2852" s="108">
        <v>15.2</v>
      </c>
      <c r="E2852" s="34" t="s">
        <v>79</v>
      </c>
      <c r="F2852" s="109">
        <v>7</v>
      </c>
      <c r="G2852" s="36">
        <f t="shared" ref="G2852:G2857" si="674">F2852*6.3</f>
        <v>44.1</v>
      </c>
      <c r="H2852" s="37">
        <v>24</v>
      </c>
      <c r="I2852" s="109">
        <f t="shared" ref="I2852:I2857" si="675">G2852*H2852</f>
        <v>1058.4000000000001</v>
      </c>
      <c r="J2852" s="123">
        <v>900</v>
      </c>
    </row>
    <row r="2853" spans="1:10" x14ac:dyDescent="0.25">
      <c r="A2853" s="31" t="s">
        <v>565</v>
      </c>
      <c r="B2853" s="37" t="s">
        <v>323</v>
      </c>
      <c r="C2853" s="34" t="s">
        <v>86</v>
      </c>
      <c r="D2853" s="108">
        <v>0</v>
      </c>
      <c r="E2853" s="34" t="s">
        <v>79</v>
      </c>
      <c r="F2853" s="110">
        <v>10.5</v>
      </c>
      <c r="G2853" s="36">
        <f t="shared" si="674"/>
        <v>66.149999999999991</v>
      </c>
      <c r="H2853" s="37">
        <v>24</v>
      </c>
      <c r="I2853" s="109">
        <f t="shared" si="675"/>
        <v>1587.6</v>
      </c>
      <c r="J2853" s="123">
        <v>1400</v>
      </c>
    </row>
    <row r="2854" spans="1:10" x14ac:dyDescent="0.25">
      <c r="A2854" s="31" t="s">
        <v>565</v>
      </c>
      <c r="B2854" s="50" t="s">
        <v>324</v>
      </c>
      <c r="C2854" s="34" t="s">
        <v>443</v>
      </c>
      <c r="D2854" s="108" t="s">
        <v>38</v>
      </c>
      <c r="E2854" s="34" t="s">
        <v>79</v>
      </c>
      <c r="F2854" s="36">
        <v>3.6</v>
      </c>
      <c r="G2854" s="36">
        <f t="shared" si="674"/>
        <v>22.68</v>
      </c>
      <c r="H2854" s="37">
        <v>24</v>
      </c>
      <c r="I2854" s="109">
        <f t="shared" si="675"/>
        <v>544.31999999999994</v>
      </c>
      <c r="J2854" s="123">
        <v>500</v>
      </c>
    </row>
    <row r="2855" spans="1:10" x14ac:dyDescent="0.25">
      <c r="A2855" s="31" t="s">
        <v>565</v>
      </c>
      <c r="B2855" s="75" t="s">
        <v>317</v>
      </c>
      <c r="C2855" s="111" t="s">
        <v>156</v>
      </c>
      <c r="D2855" s="111">
        <v>36.4</v>
      </c>
      <c r="E2855" s="42" t="s">
        <v>79</v>
      </c>
      <c r="F2855" s="74">
        <v>10.3</v>
      </c>
      <c r="G2855" s="36">
        <f t="shared" si="674"/>
        <v>64.89</v>
      </c>
      <c r="H2855" s="37">
        <v>24</v>
      </c>
      <c r="I2855" s="109">
        <f t="shared" si="675"/>
        <v>1557.3600000000001</v>
      </c>
      <c r="J2855" s="123">
        <v>1600</v>
      </c>
    </row>
    <row r="2856" spans="1:10" x14ac:dyDescent="0.25">
      <c r="A2856" s="31" t="s">
        <v>565</v>
      </c>
      <c r="B2856" s="37" t="s">
        <v>325</v>
      </c>
      <c r="C2856" s="34" t="s">
        <v>158</v>
      </c>
      <c r="D2856" s="46">
        <v>16</v>
      </c>
      <c r="E2856" s="34" t="s">
        <v>79</v>
      </c>
      <c r="F2856" s="74">
        <v>7.3</v>
      </c>
      <c r="G2856" s="36">
        <f t="shared" si="674"/>
        <v>45.989999999999995</v>
      </c>
      <c r="H2856" s="37">
        <v>24</v>
      </c>
      <c r="I2856" s="109">
        <f t="shared" si="675"/>
        <v>1103.7599999999998</v>
      </c>
      <c r="J2856" s="123">
        <v>1000</v>
      </c>
    </row>
    <row r="2857" spans="1:10" ht="15.75" thickBot="1" x14ac:dyDescent="0.3">
      <c r="A2857" s="31" t="s">
        <v>565</v>
      </c>
      <c r="B2857" s="43" t="s">
        <v>326</v>
      </c>
      <c r="C2857" s="52" t="s">
        <v>152</v>
      </c>
      <c r="D2857" s="72">
        <v>0</v>
      </c>
      <c r="E2857" s="42" t="s">
        <v>79</v>
      </c>
      <c r="F2857" s="73">
        <v>8.4</v>
      </c>
      <c r="G2857" s="74">
        <f t="shared" si="674"/>
        <v>52.92</v>
      </c>
      <c r="H2857" s="43">
        <v>24</v>
      </c>
      <c r="I2857" s="399">
        <f t="shared" si="675"/>
        <v>1270.08</v>
      </c>
      <c r="J2857" s="124">
        <v>1300</v>
      </c>
    </row>
    <row r="2858" spans="1:10" ht="19.5" thickBot="1" x14ac:dyDescent="0.35">
      <c r="A2858" s="336"/>
      <c r="B2858" s="336"/>
      <c r="C2858" s="336"/>
      <c r="D2858" s="336"/>
      <c r="E2858" s="336"/>
      <c r="F2858" s="336"/>
      <c r="G2858" s="337"/>
      <c r="H2858" s="174" t="s">
        <v>171</v>
      </c>
      <c r="I2858" s="238">
        <f>SUM(I2852:I2857)</f>
        <v>7121.52</v>
      </c>
      <c r="J2858" s="104">
        <v>6700</v>
      </c>
    </row>
    <row r="2859" spans="1:10" x14ac:dyDescent="0.25">
      <c r="A2859" s="31" t="s">
        <v>566</v>
      </c>
      <c r="B2859" s="37" t="s">
        <v>322</v>
      </c>
      <c r="C2859" s="34" t="s">
        <v>114</v>
      </c>
      <c r="D2859" s="108">
        <v>14.88</v>
      </c>
      <c r="E2859" s="34" t="s">
        <v>79</v>
      </c>
      <c r="F2859" s="109">
        <v>7.6</v>
      </c>
      <c r="G2859" s="36">
        <f t="shared" ref="G2859:G2864" si="676">F2859*6.3</f>
        <v>47.879999999999995</v>
      </c>
      <c r="H2859" s="37">
        <v>24</v>
      </c>
      <c r="I2859" s="109">
        <f t="shared" ref="I2859:I2864" si="677">G2859*H2859</f>
        <v>1149.1199999999999</v>
      </c>
      <c r="J2859" s="123">
        <v>900</v>
      </c>
    </row>
    <row r="2860" spans="1:10" x14ac:dyDescent="0.25">
      <c r="A2860" s="31" t="s">
        <v>566</v>
      </c>
      <c r="B2860" s="37" t="s">
        <v>323</v>
      </c>
      <c r="C2860" s="34" t="s">
        <v>86</v>
      </c>
      <c r="D2860" s="108">
        <v>0</v>
      </c>
      <c r="E2860" s="34" t="s">
        <v>79</v>
      </c>
      <c r="F2860" s="110">
        <v>10.5</v>
      </c>
      <c r="G2860" s="36">
        <f t="shared" si="676"/>
        <v>66.149999999999991</v>
      </c>
      <c r="H2860" s="37">
        <v>24</v>
      </c>
      <c r="I2860" s="109">
        <f t="shared" si="677"/>
        <v>1587.6</v>
      </c>
      <c r="J2860" s="123">
        <v>1400</v>
      </c>
    </row>
    <row r="2861" spans="1:10" x14ac:dyDescent="0.25">
      <c r="A2861" s="31" t="s">
        <v>566</v>
      </c>
      <c r="B2861" s="50" t="s">
        <v>324</v>
      </c>
      <c r="C2861" s="34" t="s">
        <v>443</v>
      </c>
      <c r="D2861" s="108" t="s">
        <v>38</v>
      </c>
      <c r="E2861" s="34" t="s">
        <v>79</v>
      </c>
      <c r="F2861" s="36">
        <v>3.5</v>
      </c>
      <c r="G2861" s="36">
        <f t="shared" si="676"/>
        <v>22.05</v>
      </c>
      <c r="H2861" s="37">
        <v>24</v>
      </c>
      <c r="I2861" s="109">
        <f t="shared" si="677"/>
        <v>529.20000000000005</v>
      </c>
      <c r="J2861" s="123">
        <v>500</v>
      </c>
    </row>
    <row r="2862" spans="1:10" x14ac:dyDescent="0.25">
      <c r="A2862" s="31" t="s">
        <v>566</v>
      </c>
      <c r="B2862" s="75" t="s">
        <v>317</v>
      </c>
      <c r="C2862" s="111" t="s">
        <v>156</v>
      </c>
      <c r="D2862" s="111">
        <v>36.200000000000003</v>
      </c>
      <c r="E2862" s="42" t="s">
        <v>79</v>
      </c>
      <c r="F2862" s="74">
        <v>10.3</v>
      </c>
      <c r="G2862" s="36">
        <f t="shared" si="676"/>
        <v>64.89</v>
      </c>
      <c r="H2862" s="37">
        <v>24</v>
      </c>
      <c r="I2862" s="109">
        <f t="shared" si="677"/>
        <v>1557.3600000000001</v>
      </c>
      <c r="J2862" s="123">
        <v>1600</v>
      </c>
    </row>
    <row r="2863" spans="1:10" x14ac:dyDescent="0.25">
      <c r="A2863" s="31" t="s">
        <v>566</v>
      </c>
      <c r="B2863" s="37" t="s">
        <v>325</v>
      </c>
      <c r="C2863" s="34" t="s">
        <v>158</v>
      </c>
      <c r="D2863" s="46">
        <v>16</v>
      </c>
      <c r="E2863" s="34" t="s">
        <v>79</v>
      </c>
      <c r="F2863" s="74">
        <v>7</v>
      </c>
      <c r="G2863" s="36">
        <f t="shared" si="676"/>
        <v>44.1</v>
      </c>
      <c r="H2863" s="37">
        <v>24</v>
      </c>
      <c r="I2863" s="109">
        <f t="shared" si="677"/>
        <v>1058.4000000000001</v>
      </c>
      <c r="J2863" s="123">
        <v>1000</v>
      </c>
    </row>
    <row r="2864" spans="1:10" ht="15.75" thickBot="1" x14ac:dyDescent="0.3">
      <c r="A2864" s="31" t="s">
        <v>566</v>
      </c>
      <c r="B2864" s="43" t="s">
        <v>326</v>
      </c>
      <c r="C2864" s="52" t="s">
        <v>152</v>
      </c>
      <c r="D2864" s="72">
        <v>0</v>
      </c>
      <c r="E2864" s="42" t="s">
        <v>79</v>
      </c>
      <c r="F2864" s="73">
        <v>8.3000000000000007</v>
      </c>
      <c r="G2864" s="74">
        <f t="shared" si="676"/>
        <v>52.290000000000006</v>
      </c>
      <c r="H2864" s="43">
        <v>24</v>
      </c>
      <c r="I2864" s="399">
        <f t="shared" si="677"/>
        <v>1254.96</v>
      </c>
      <c r="J2864" s="124">
        <v>1300</v>
      </c>
    </row>
    <row r="2865" spans="1:19" ht="19.5" thickBot="1" x14ac:dyDescent="0.35">
      <c r="A2865" s="336"/>
      <c r="B2865" s="336"/>
      <c r="C2865" s="336"/>
      <c r="D2865" s="336"/>
      <c r="E2865" s="336"/>
      <c r="F2865" s="336"/>
      <c r="G2865" s="337"/>
      <c r="H2865" s="174" t="s">
        <v>171</v>
      </c>
      <c r="I2865" s="238">
        <f>SUM(I2859:I2864)</f>
        <v>7136.64</v>
      </c>
      <c r="J2865" s="104">
        <v>6700</v>
      </c>
    </row>
    <row r="2866" spans="1:19" x14ac:dyDescent="0.25">
      <c r="A2866" s="31" t="s">
        <v>568</v>
      </c>
      <c r="B2866" s="37" t="s">
        <v>322</v>
      </c>
      <c r="C2866" s="34" t="s">
        <v>114</v>
      </c>
      <c r="D2866" s="108">
        <v>30</v>
      </c>
      <c r="E2866" s="34" t="s">
        <v>79</v>
      </c>
      <c r="F2866" s="109">
        <v>7.8</v>
      </c>
      <c r="G2866" s="36">
        <f t="shared" ref="G2866:G2871" si="678">F2866*6.3</f>
        <v>49.14</v>
      </c>
      <c r="H2866" s="37">
        <v>21</v>
      </c>
      <c r="I2866" s="109">
        <f t="shared" ref="I2866:I2871" si="679">G2866*H2866</f>
        <v>1031.94</v>
      </c>
      <c r="J2866" s="123">
        <v>900</v>
      </c>
    </row>
    <row r="2867" spans="1:19" x14ac:dyDescent="0.25">
      <c r="A2867" s="31" t="s">
        <v>568</v>
      </c>
      <c r="B2867" s="37" t="s">
        <v>323</v>
      </c>
      <c r="C2867" s="34" t="s">
        <v>86</v>
      </c>
      <c r="D2867" s="108">
        <v>0</v>
      </c>
      <c r="E2867" s="34" t="s">
        <v>79</v>
      </c>
      <c r="F2867" s="110">
        <v>10.199999999999999</v>
      </c>
      <c r="G2867" s="36">
        <f t="shared" si="678"/>
        <v>64.259999999999991</v>
      </c>
      <c r="H2867" s="37">
        <v>21</v>
      </c>
      <c r="I2867" s="109">
        <f t="shared" si="679"/>
        <v>1349.4599999999998</v>
      </c>
      <c r="J2867" s="123">
        <v>1400</v>
      </c>
    </row>
    <row r="2868" spans="1:19" x14ac:dyDescent="0.25">
      <c r="A2868" s="31" t="s">
        <v>568</v>
      </c>
      <c r="B2868" s="50" t="s">
        <v>324</v>
      </c>
      <c r="C2868" s="34" t="s">
        <v>443</v>
      </c>
      <c r="D2868" s="108" t="s">
        <v>38</v>
      </c>
      <c r="E2868" s="34" t="s">
        <v>79</v>
      </c>
      <c r="F2868" s="36">
        <v>3.5</v>
      </c>
      <c r="G2868" s="36">
        <f t="shared" si="678"/>
        <v>22.05</v>
      </c>
      <c r="H2868" s="37">
        <v>24</v>
      </c>
      <c r="I2868" s="109">
        <f t="shared" si="679"/>
        <v>529.20000000000005</v>
      </c>
      <c r="J2868" s="123">
        <v>500</v>
      </c>
    </row>
    <row r="2869" spans="1:19" x14ac:dyDescent="0.25">
      <c r="A2869" s="31" t="s">
        <v>568</v>
      </c>
      <c r="B2869" s="75" t="s">
        <v>317</v>
      </c>
      <c r="C2869" s="111" t="s">
        <v>156</v>
      </c>
      <c r="D2869" s="111">
        <v>33.4</v>
      </c>
      <c r="E2869" s="42" t="s">
        <v>79</v>
      </c>
      <c r="F2869" s="74">
        <v>10.4</v>
      </c>
      <c r="G2869" s="36">
        <f t="shared" si="678"/>
        <v>65.52</v>
      </c>
      <c r="H2869" s="37">
        <v>24</v>
      </c>
      <c r="I2869" s="109">
        <f t="shared" si="679"/>
        <v>1572.48</v>
      </c>
      <c r="J2869" s="123">
        <v>1600</v>
      </c>
    </row>
    <row r="2870" spans="1:19" x14ac:dyDescent="0.25">
      <c r="A2870" s="31" t="s">
        <v>568</v>
      </c>
      <c r="B2870" s="37" t="s">
        <v>325</v>
      </c>
      <c r="C2870" s="34" t="s">
        <v>158</v>
      </c>
      <c r="D2870" s="46">
        <v>14</v>
      </c>
      <c r="E2870" s="34" t="s">
        <v>79</v>
      </c>
      <c r="F2870" s="74">
        <v>7.1</v>
      </c>
      <c r="G2870" s="36">
        <f t="shared" si="678"/>
        <v>44.73</v>
      </c>
      <c r="H2870" s="37">
        <v>24</v>
      </c>
      <c r="I2870" s="109">
        <f t="shared" si="679"/>
        <v>1073.52</v>
      </c>
      <c r="J2870" s="123">
        <v>1000</v>
      </c>
    </row>
    <row r="2871" spans="1:19" ht="15.75" thickBot="1" x14ac:dyDescent="0.3">
      <c r="A2871" s="31" t="s">
        <v>568</v>
      </c>
      <c r="B2871" s="43" t="s">
        <v>326</v>
      </c>
      <c r="C2871" s="52" t="s">
        <v>152</v>
      </c>
      <c r="D2871" s="72">
        <v>0</v>
      </c>
      <c r="E2871" s="42" t="s">
        <v>79</v>
      </c>
      <c r="F2871" s="73">
        <v>8.5</v>
      </c>
      <c r="G2871" s="74">
        <f t="shared" si="678"/>
        <v>53.55</v>
      </c>
      <c r="H2871" s="43">
        <v>24</v>
      </c>
      <c r="I2871" s="399">
        <f t="shared" si="679"/>
        <v>1285.1999999999998</v>
      </c>
      <c r="J2871" s="124">
        <v>1300</v>
      </c>
    </row>
    <row r="2872" spans="1:19" ht="19.5" thickBot="1" x14ac:dyDescent="0.35">
      <c r="A2872" s="336"/>
      <c r="B2872" s="336"/>
      <c r="C2872" s="336"/>
      <c r="D2872" s="336"/>
      <c r="E2872" s="336"/>
      <c r="F2872" s="336"/>
      <c r="G2872" s="337"/>
      <c r="H2872" s="174" t="s">
        <v>171</v>
      </c>
      <c r="I2872" s="238">
        <f>SUM(I2866:I2871)</f>
        <v>6841.8</v>
      </c>
      <c r="J2872" s="104">
        <v>6700</v>
      </c>
      <c r="K2872" s="415" t="s">
        <v>567</v>
      </c>
      <c r="L2872" s="415"/>
      <c r="M2872" s="415"/>
      <c r="N2872" s="415"/>
      <c r="O2872" s="415"/>
      <c r="P2872" s="415"/>
      <c r="Q2872" s="415"/>
      <c r="R2872" s="415"/>
      <c r="S2872" s="415"/>
    </row>
    <row r="2873" spans="1:19" x14ac:dyDescent="0.25">
      <c r="A2873" s="31" t="s">
        <v>569</v>
      </c>
      <c r="B2873" s="37" t="s">
        <v>322</v>
      </c>
      <c r="C2873" s="34" t="s">
        <v>114</v>
      </c>
      <c r="D2873" s="108">
        <v>34</v>
      </c>
      <c r="E2873" s="34" t="s">
        <v>79</v>
      </c>
      <c r="F2873" s="109">
        <v>8</v>
      </c>
      <c r="G2873" s="36">
        <f t="shared" ref="G2873:G2878" si="680">F2873*6.3</f>
        <v>50.4</v>
      </c>
      <c r="H2873" s="37">
        <v>24</v>
      </c>
      <c r="I2873" s="109">
        <f t="shared" ref="I2873:I2878" si="681">G2873*H2873</f>
        <v>1209.5999999999999</v>
      </c>
      <c r="J2873" s="123">
        <v>900</v>
      </c>
    </row>
    <row r="2874" spans="1:19" x14ac:dyDescent="0.25">
      <c r="A2874" s="31" t="s">
        <v>569</v>
      </c>
      <c r="B2874" s="37" t="s">
        <v>323</v>
      </c>
      <c r="C2874" s="34" t="s">
        <v>86</v>
      </c>
      <c r="D2874" s="108">
        <v>0</v>
      </c>
      <c r="E2874" s="34" t="s">
        <v>79</v>
      </c>
      <c r="F2874" s="110">
        <v>10</v>
      </c>
      <c r="G2874" s="36">
        <f t="shared" si="680"/>
        <v>63</v>
      </c>
      <c r="H2874" s="37">
        <v>24</v>
      </c>
      <c r="I2874" s="109">
        <f t="shared" si="681"/>
        <v>1512</v>
      </c>
      <c r="J2874" s="123">
        <v>1400</v>
      </c>
    </row>
    <row r="2875" spans="1:19" x14ac:dyDescent="0.25">
      <c r="A2875" s="31" t="s">
        <v>569</v>
      </c>
      <c r="B2875" s="50" t="s">
        <v>324</v>
      </c>
      <c r="C2875" s="34" t="s">
        <v>443</v>
      </c>
      <c r="D2875" s="108" t="s">
        <v>38</v>
      </c>
      <c r="E2875" s="34" t="s">
        <v>79</v>
      </c>
      <c r="F2875" s="36">
        <v>3.5</v>
      </c>
      <c r="G2875" s="36">
        <f t="shared" si="680"/>
        <v>22.05</v>
      </c>
      <c r="H2875" s="37">
        <v>24</v>
      </c>
      <c r="I2875" s="109">
        <f t="shared" si="681"/>
        <v>529.20000000000005</v>
      </c>
      <c r="J2875" s="123">
        <v>500</v>
      </c>
    </row>
    <row r="2876" spans="1:19" x14ac:dyDescent="0.25">
      <c r="A2876" s="31" t="s">
        <v>569</v>
      </c>
      <c r="B2876" s="75" t="s">
        <v>317</v>
      </c>
      <c r="C2876" s="111" t="s">
        <v>156</v>
      </c>
      <c r="D2876" s="111">
        <v>32</v>
      </c>
      <c r="E2876" s="42" t="s">
        <v>79</v>
      </c>
      <c r="F2876" s="74">
        <v>10.4</v>
      </c>
      <c r="G2876" s="36">
        <f t="shared" si="680"/>
        <v>65.52</v>
      </c>
      <c r="H2876" s="37">
        <v>24</v>
      </c>
      <c r="I2876" s="109">
        <f t="shared" si="681"/>
        <v>1572.48</v>
      </c>
      <c r="J2876" s="123">
        <v>1600</v>
      </c>
    </row>
    <row r="2877" spans="1:19" x14ac:dyDescent="0.25">
      <c r="A2877" s="31" t="s">
        <v>569</v>
      </c>
      <c r="B2877" s="37" t="s">
        <v>325</v>
      </c>
      <c r="C2877" s="34" t="s">
        <v>158</v>
      </c>
      <c r="D2877" s="46">
        <v>14</v>
      </c>
      <c r="E2877" s="34" t="s">
        <v>79</v>
      </c>
      <c r="F2877" s="74">
        <v>7.1</v>
      </c>
      <c r="G2877" s="36">
        <f t="shared" si="680"/>
        <v>44.73</v>
      </c>
      <c r="H2877" s="37">
        <v>24</v>
      </c>
      <c r="I2877" s="109">
        <f t="shared" si="681"/>
        <v>1073.52</v>
      </c>
      <c r="J2877" s="123">
        <v>1000</v>
      </c>
    </row>
    <row r="2878" spans="1:19" ht="15.75" thickBot="1" x14ac:dyDescent="0.3">
      <c r="A2878" s="31" t="s">
        <v>569</v>
      </c>
      <c r="B2878" s="43" t="s">
        <v>326</v>
      </c>
      <c r="C2878" s="52" t="s">
        <v>152</v>
      </c>
      <c r="D2878" s="72">
        <v>0</v>
      </c>
      <c r="E2878" s="42" t="s">
        <v>79</v>
      </c>
      <c r="F2878" s="73">
        <v>8.3000000000000007</v>
      </c>
      <c r="G2878" s="74">
        <f t="shared" si="680"/>
        <v>52.290000000000006</v>
      </c>
      <c r="H2878" s="43">
        <v>24</v>
      </c>
      <c r="I2878" s="399">
        <f t="shared" si="681"/>
        <v>1254.96</v>
      </c>
      <c r="J2878" s="124">
        <v>1300</v>
      </c>
    </row>
    <row r="2879" spans="1:19" ht="19.5" thickBot="1" x14ac:dyDescent="0.35">
      <c r="A2879" s="336"/>
      <c r="B2879" s="336"/>
      <c r="C2879" s="336"/>
      <c r="D2879" s="336"/>
      <c r="E2879" s="336"/>
      <c r="F2879" s="336"/>
      <c r="G2879" s="337"/>
      <c r="H2879" s="174" t="s">
        <v>171</v>
      </c>
      <c r="I2879" s="238">
        <f>SUM(I2873:I2878)</f>
        <v>7151.7600000000011</v>
      </c>
      <c r="J2879" s="104">
        <v>6700</v>
      </c>
    </row>
    <row r="2880" spans="1:19" x14ac:dyDescent="0.25">
      <c r="A2880" s="31" t="s">
        <v>570</v>
      </c>
      <c r="B2880" s="37" t="s">
        <v>322</v>
      </c>
      <c r="C2880" s="34" t="s">
        <v>114</v>
      </c>
      <c r="D2880" s="108">
        <v>40</v>
      </c>
      <c r="E2880" s="34" t="s">
        <v>79</v>
      </c>
      <c r="F2880" s="109">
        <v>8.9</v>
      </c>
      <c r="G2880" s="36">
        <f t="shared" ref="G2880:G2885" si="682">F2880*6.3</f>
        <v>56.07</v>
      </c>
      <c r="H2880" s="37">
        <v>24</v>
      </c>
      <c r="I2880" s="109">
        <f t="shared" ref="I2880:I2885" si="683">G2880*H2880</f>
        <v>1345.68</v>
      </c>
      <c r="J2880" s="123">
        <v>900</v>
      </c>
    </row>
    <row r="2881" spans="1:10" x14ac:dyDescent="0.25">
      <c r="A2881" s="31" t="s">
        <v>570</v>
      </c>
      <c r="B2881" s="37" t="s">
        <v>323</v>
      </c>
      <c r="C2881" s="34" t="s">
        <v>86</v>
      </c>
      <c r="D2881" s="108">
        <v>0</v>
      </c>
      <c r="E2881" s="34" t="s">
        <v>79</v>
      </c>
      <c r="F2881" s="110">
        <v>9.5</v>
      </c>
      <c r="G2881" s="36">
        <f t="shared" si="682"/>
        <v>59.85</v>
      </c>
      <c r="H2881" s="37">
        <v>24</v>
      </c>
      <c r="I2881" s="109">
        <f t="shared" si="683"/>
        <v>1436.4</v>
      </c>
      <c r="J2881" s="123">
        <v>1400</v>
      </c>
    </row>
    <row r="2882" spans="1:10" x14ac:dyDescent="0.25">
      <c r="A2882" s="31" t="s">
        <v>570</v>
      </c>
      <c r="B2882" s="50" t="s">
        <v>324</v>
      </c>
      <c r="C2882" s="34" t="s">
        <v>443</v>
      </c>
      <c r="D2882" s="108" t="s">
        <v>38</v>
      </c>
      <c r="E2882" s="34" t="s">
        <v>79</v>
      </c>
      <c r="F2882" s="36">
        <v>3.5</v>
      </c>
      <c r="G2882" s="36">
        <f t="shared" si="682"/>
        <v>22.05</v>
      </c>
      <c r="H2882" s="37">
        <v>24</v>
      </c>
      <c r="I2882" s="109">
        <f t="shared" si="683"/>
        <v>529.20000000000005</v>
      </c>
      <c r="J2882" s="123">
        <v>500</v>
      </c>
    </row>
    <row r="2883" spans="1:10" x14ac:dyDescent="0.25">
      <c r="A2883" s="31" t="s">
        <v>570</v>
      </c>
      <c r="B2883" s="75" t="s">
        <v>317</v>
      </c>
      <c r="C2883" s="111" t="s">
        <v>156</v>
      </c>
      <c r="D2883" s="111">
        <v>32</v>
      </c>
      <c r="E2883" s="42" t="s">
        <v>79</v>
      </c>
      <c r="F2883" s="74">
        <v>10.3</v>
      </c>
      <c r="G2883" s="36">
        <f t="shared" si="682"/>
        <v>64.89</v>
      </c>
      <c r="H2883" s="37">
        <v>24</v>
      </c>
      <c r="I2883" s="109">
        <f t="shared" si="683"/>
        <v>1557.3600000000001</v>
      </c>
      <c r="J2883" s="123">
        <v>1600</v>
      </c>
    </row>
    <row r="2884" spans="1:10" x14ac:dyDescent="0.25">
      <c r="A2884" s="31" t="s">
        <v>570</v>
      </c>
      <c r="B2884" s="37" t="s">
        <v>325</v>
      </c>
      <c r="C2884" s="34" t="s">
        <v>158</v>
      </c>
      <c r="D2884" s="46">
        <v>15</v>
      </c>
      <c r="E2884" s="34" t="s">
        <v>79</v>
      </c>
      <c r="F2884" s="74">
        <v>7</v>
      </c>
      <c r="G2884" s="36">
        <f t="shared" si="682"/>
        <v>44.1</v>
      </c>
      <c r="H2884" s="37">
        <v>24</v>
      </c>
      <c r="I2884" s="109">
        <f t="shared" si="683"/>
        <v>1058.4000000000001</v>
      </c>
      <c r="J2884" s="123">
        <v>1000</v>
      </c>
    </row>
    <row r="2885" spans="1:10" ht="15.75" thickBot="1" x14ac:dyDescent="0.3">
      <c r="A2885" s="31" t="s">
        <v>570</v>
      </c>
      <c r="B2885" s="43" t="s">
        <v>326</v>
      </c>
      <c r="C2885" s="52" t="s">
        <v>152</v>
      </c>
      <c r="D2885" s="72">
        <v>0</v>
      </c>
      <c r="E2885" s="42" t="s">
        <v>79</v>
      </c>
      <c r="F2885" s="73">
        <v>8.1</v>
      </c>
      <c r="G2885" s="74">
        <f t="shared" si="682"/>
        <v>51.029999999999994</v>
      </c>
      <c r="H2885" s="43">
        <v>24</v>
      </c>
      <c r="I2885" s="399">
        <f t="shared" si="683"/>
        <v>1224.7199999999998</v>
      </c>
      <c r="J2885" s="124">
        <v>1300</v>
      </c>
    </row>
    <row r="2886" spans="1:10" ht="19.5" thickBot="1" x14ac:dyDescent="0.35">
      <c r="A2886" s="336"/>
      <c r="B2886" s="336"/>
      <c r="C2886" s="336"/>
      <c r="D2886" s="336"/>
      <c r="E2886" s="336"/>
      <c r="F2886" s="336"/>
      <c r="G2886" s="337"/>
      <c r="H2886" s="174" t="s">
        <v>171</v>
      </c>
      <c r="I2886" s="238">
        <f>SUM(I2880:I2885)</f>
        <v>7151.7599999999984</v>
      </c>
      <c r="J2886" s="104">
        <v>6700</v>
      </c>
    </row>
    <row r="2887" spans="1:10" x14ac:dyDescent="0.25">
      <c r="A2887" s="31" t="s">
        <v>571</v>
      </c>
      <c r="B2887" s="37" t="s">
        <v>322</v>
      </c>
      <c r="C2887" s="34" t="s">
        <v>114</v>
      </c>
      <c r="D2887" s="108">
        <v>46</v>
      </c>
      <c r="E2887" s="34" t="s">
        <v>79</v>
      </c>
      <c r="F2887" s="109">
        <v>8.1999999999999993</v>
      </c>
      <c r="G2887" s="36">
        <f t="shared" ref="G2887:G2892" si="684">F2887*6.3</f>
        <v>51.66</v>
      </c>
      <c r="H2887" s="37">
        <v>24</v>
      </c>
      <c r="I2887" s="109">
        <f t="shared" ref="I2887:I2892" si="685">G2887*H2887</f>
        <v>1239.8399999999999</v>
      </c>
      <c r="J2887" s="123">
        <v>900</v>
      </c>
    </row>
    <row r="2888" spans="1:10" x14ac:dyDescent="0.25">
      <c r="A2888" s="31" t="s">
        <v>571</v>
      </c>
      <c r="B2888" s="37" t="s">
        <v>323</v>
      </c>
      <c r="C2888" s="34" t="s">
        <v>86</v>
      </c>
      <c r="D2888" s="108">
        <v>0</v>
      </c>
      <c r="E2888" s="34" t="s">
        <v>79</v>
      </c>
      <c r="F2888" s="110">
        <v>10</v>
      </c>
      <c r="G2888" s="36">
        <f t="shared" si="684"/>
        <v>63</v>
      </c>
      <c r="H2888" s="37">
        <v>20</v>
      </c>
      <c r="I2888" s="109">
        <f t="shared" si="685"/>
        <v>1260</v>
      </c>
      <c r="J2888" s="123">
        <v>1400</v>
      </c>
    </row>
    <row r="2889" spans="1:10" x14ac:dyDescent="0.25">
      <c r="A2889" s="31" t="s">
        <v>571</v>
      </c>
      <c r="B2889" s="50" t="s">
        <v>324</v>
      </c>
      <c r="C2889" s="34" t="s">
        <v>443</v>
      </c>
      <c r="D2889" s="108" t="s">
        <v>38</v>
      </c>
      <c r="E2889" s="34" t="s">
        <v>79</v>
      </c>
      <c r="F2889" s="36">
        <v>3.5</v>
      </c>
      <c r="G2889" s="36">
        <f t="shared" si="684"/>
        <v>22.05</v>
      </c>
      <c r="H2889" s="37">
        <v>24</v>
      </c>
      <c r="I2889" s="109">
        <f t="shared" si="685"/>
        <v>529.20000000000005</v>
      </c>
      <c r="J2889" s="123">
        <v>500</v>
      </c>
    </row>
    <row r="2890" spans="1:10" x14ac:dyDescent="0.25">
      <c r="A2890" s="31" t="s">
        <v>571</v>
      </c>
      <c r="B2890" s="75" t="s">
        <v>317</v>
      </c>
      <c r="C2890" s="111" t="s">
        <v>156</v>
      </c>
      <c r="D2890" s="111">
        <v>33</v>
      </c>
      <c r="E2890" s="42" t="s">
        <v>79</v>
      </c>
      <c r="F2890" s="74">
        <v>10.3</v>
      </c>
      <c r="G2890" s="36">
        <f t="shared" si="684"/>
        <v>64.89</v>
      </c>
      <c r="H2890" s="37">
        <v>24</v>
      </c>
      <c r="I2890" s="109">
        <f t="shared" si="685"/>
        <v>1557.3600000000001</v>
      </c>
      <c r="J2890" s="123">
        <v>1600</v>
      </c>
    </row>
    <row r="2891" spans="1:10" x14ac:dyDescent="0.25">
      <c r="A2891" s="31" t="s">
        <v>571</v>
      </c>
      <c r="B2891" s="37" t="s">
        <v>325</v>
      </c>
      <c r="C2891" s="34" t="s">
        <v>158</v>
      </c>
      <c r="D2891" s="46">
        <v>10</v>
      </c>
      <c r="E2891" s="34" t="s">
        <v>79</v>
      </c>
      <c r="F2891" s="74">
        <v>7.15</v>
      </c>
      <c r="G2891" s="36">
        <f t="shared" si="684"/>
        <v>45.045000000000002</v>
      </c>
      <c r="H2891" s="37">
        <v>24</v>
      </c>
      <c r="I2891" s="109">
        <f t="shared" si="685"/>
        <v>1081.08</v>
      </c>
      <c r="J2891" s="123">
        <v>1000</v>
      </c>
    </row>
    <row r="2892" spans="1:10" ht="15.75" thickBot="1" x14ac:dyDescent="0.3">
      <c r="A2892" s="31" t="s">
        <v>571</v>
      </c>
      <c r="B2892" s="43" t="s">
        <v>326</v>
      </c>
      <c r="C2892" s="52" t="s">
        <v>152</v>
      </c>
      <c r="D2892" s="72">
        <v>0</v>
      </c>
      <c r="E2892" s="42" t="s">
        <v>79</v>
      </c>
      <c r="F2892" s="73">
        <v>8.5</v>
      </c>
      <c r="G2892" s="74">
        <f t="shared" si="684"/>
        <v>53.55</v>
      </c>
      <c r="H2892" s="43">
        <v>24</v>
      </c>
      <c r="I2892" s="399">
        <f t="shared" si="685"/>
        <v>1285.1999999999998</v>
      </c>
      <c r="J2892" s="124">
        <v>1300</v>
      </c>
    </row>
    <row r="2893" spans="1:10" ht="19.5" thickBot="1" x14ac:dyDescent="0.35">
      <c r="A2893" s="336"/>
      <c r="B2893" s="336"/>
      <c r="C2893" s="336"/>
      <c r="D2893" s="336"/>
      <c r="E2893" s="336"/>
      <c r="F2893" s="336"/>
      <c r="G2893" s="337"/>
      <c r="H2893" s="174" t="s">
        <v>171</v>
      </c>
      <c r="I2893" s="238">
        <f>SUM(I2887:I2892)</f>
        <v>6952.6799999999994</v>
      </c>
      <c r="J2893" s="104">
        <v>6700</v>
      </c>
    </row>
    <row r="2894" spans="1:10" x14ac:dyDescent="0.25">
      <c r="A2894" s="31" t="s">
        <v>572</v>
      </c>
      <c r="B2894" s="37" t="s">
        <v>322</v>
      </c>
      <c r="C2894" s="34" t="s">
        <v>114</v>
      </c>
      <c r="D2894" s="108">
        <v>46</v>
      </c>
      <c r="E2894" s="34" t="s">
        <v>79</v>
      </c>
      <c r="F2894" s="109">
        <v>9</v>
      </c>
      <c r="G2894" s="36">
        <f t="shared" ref="G2894:G2899" si="686">F2894*6.3</f>
        <v>56.699999999999996</v>
      </c>
      <c r="H2894" s="37">
        <v>24</v>
      </c>
      <c r="I2894" s="109">
        <f t="shared" ref="I2894:I2899" si="687">G2894*H2894</f>
        <v>1360.8</v>
      </c>
      <c r="J2894" s="123">
        <v>900</v>
      </c>
    </row>
    <row r="2895" spans="1:10" x14ac:dyDescent="0.25">
      <c r="A2895" s="31" t="s">
        <v>572</v>
      </c>
      <c r="B2895" s="37" t="s">
        <v>323</v>
      </c>
      <c r="C2895" s="34" t="s">
        <v>86</v>
      </c>
      <c r="D2895" s="108">
        <v>0</v>
      </c>
      <c r="E2895" s="34" t="s">
        <v>79</v>
      </c>
      <c r="F2895" s="110">
        <v>9</v>
      </c>
      <c r="G2895" s="36">
        <f t="shared" si="686"/>
        <v>56.699999999999996</v>
      </c>
      <c r="H2895" s="37">
        <v>24</v>
      </c>
      <c r="I2895" s="109">
        <f t="shared" si="687"/>
        <v>1360.8</v>
      </c>
      <c r="J2895" s="123">
        <v>1400</v>
      </c>
    </row>
    <row r="2896" spans="1:10" x14ac:dyDescent="0.25">
      <c r="A2896" s="31" t="s">
        <v>572</v>
      </c>
      <c r="B2896" s="50" t="s">
        <v>324</v>
      </c>
      <c r="C2896" s="34" t="s">
        <v>443</v>
      </c>
      <c r="D2896" s="108" t="s">
        <v>38</v>
      </c>
      <c r="E2896" s="34" t="s">
        <v>79</v>
      </c>
      <c r="F2896" s="36">
        <v>3.5</v>
      </c>
      <c r="G2896" s="36">
        <f t="shared" si="686"/>
        <v>22.05</v>
      </c>
      <c r="H2896" s="37">
        <v>24</v>
      </c>
      <c r="I2896" s="109">
        <f t="shared" si="687"/>
        <v>529.20000000000005</v>
      </c>
      <c r="J2896" s="123">
        <v>500</v>
      </c>
    </row>
    <row r="2897" spans="1:10" x14ac:dyDescent="0.25">
      <c r="A2897" s="31" t="s">
        <v>572</v>
      </c>
      <c r="B2897" s="75" t="s">
        <v>317</v>
      </c>
      <c r="C2897" s="111" t="s">
        <v>156</v>
      </c>
      <c r="D2897" s="111">
        <v>35</v>
      </c>
      <c r="E2897" s="42" t="s">
        <v>79</v>
      </c>
      <c r="F2897" s="74">
        <v>10.4</v>
      </c>
      <c r="G2897" s="36">
        <f t="shared" si="686"/>
        <v>65.52</v>
      </c>
      <c r="H2897" s="37">
        <v>24</v>
      </c>
      <c r="I2897" s="109">
        <f t="shared" si="687"/>
        <v>1572.48</v>
      </c>
      <c r="J2897" s="123">
        <v>1600</v>
      </c>
    </row>
    <row r="2898" spans="1:10" x14ac:dyDescent="0.25">
      <c r="A2898" s="31" t="s">
        <v>572</v>
      </c>
      <c r="B2898" s="37" t="s">
        <v>325</v>
      </c>
      <c r="C2898" s="34" t="s">
        <v>158</v>
      </c>
      <c r="D2898" s="46">
        <v>10</v>
      </c>
      <c r="E2898" s="34" t="s">
        <v>79</v>
      </c>
      <c r="F2898" s="74">
        <v>7.2</v>
      </c>
      <c r="G2898" s="36">
        <f t="shared" si="686"/>
        <v>45.36</v>
      </c>
      <c r="H2898" s="37">
        <v>24</v>
      </c>
      <c r="I2898" s="109">
        <f t="shared" si="687"/>
        <v>1088.6399999999999</v>
      </c>
      <c r="J2898" s="123">
        <v>1000</v>
      </c>
    </row>
    <row r="2899" spans="1:10" ht="15.75" thickBot="1" x14ac:dyDescent="0.3">
      <c r="A2899" s="31" t="s">
        <v>572</v>
      </c>
      <c r="B2899" s="43" t="s">
        <v>326</v>
      </c>
      <c r="C2899" s="52" t="s">
        <v>152</v>
      </c>
      <c r="D2899" s="72">
        <v>0</v>
      </c>
      <c r="E2899" s="42" t="s">
        <v>79</v>
      </c>
      <c r="F2899" s="73">
        <v>8.1</v>
      </c>
      <c r="G2899" s="74">
        <f t="shared" si="686"/>
        <v>51.029999999999994</v>
      </c>
      <c r="H2899" s="43">
        <v>24</v>
      </c>
      <c r="I2899" s="399">
        <f t="shared" si="687"/>
        <v>1224.7199999999998</v>
      </c>
      <c r="J2899" s="124">
        <v>1300</v>
      </c>
    </row>
    <row r="2900" spans="1:10" ht="19.5" thickBot="1" x14ac:dyDescent="0.35">
      <c r="A2900" s="336"/>
      <c r="B2900" s="336"/>
      <c r="C2900" s="336"/>
      <c r="D2900" s="336"/>
      <c r="E2900" s="336"/>
      <c r="F2900" s="336"/>
      <c r="G2900" s="337"/>
      <c r="H2900" s="174" t="s">
        <v>171</v>
      </c>
      <c r="I2900" s="238">
        <f>SUM(I2894:I2899)</f>
        <v>7136.6399999999994</v>
      </c>
      <c r="J2900" s="104">
        <v>6700</v>
      </c>
    </row>
    <row r="2901" spans="1:10" x14ac:dyDescent="0.25">
      <c r="A2901" s="31" t="s">
        <v>573</v>
      </c>
      <c r="B2901" s="37" t="s">
        <v>322</v>
      </c>
      <c r="C2901" s="34" t="s">
        <v>114</v>
      </c>
      <c r="D2901" s="108">
        <v>49</v>
      </c>
      <c r="E2901" s="34" t="s">
        <v>79</v>
      </c>
      <c r="F2901" s="109">
        <v>8.9</v>
      </c>
      <c r="G2901" s="36">
        <f t="shared" ref="G2901:G2906" si="688">F2901*6.3</f>
        <v>56.07</v>
      </c>
      <c r="H2901" s="37">
        <v>24</v>
      </c>
      <c r="I2901" s="109">
        <f t="shared" ref="I2901:I2906" si="689">G2901*H2901</f>
        <v>1345.68</v>
      </c>
      <c r="J2901" s="123">
        <v>900</v>
      </c>
    </row>
    <row r="2902" spans="1:10" x14ac:dyDescent="0.25">
      <c r="A2902" s="31" t="s">
        <v>573</v>
      </c>
      <c r="B2902" s="37" t="s">
        <v>323</v>
      </c>
      <c r="C2902" s="34" t="s">
        <v>86</v>
      </c>
      <c r="D2902" s="108">
        <v>0</v>
      </c>
      <c r="E2902" s="34" t="s">
        <v>79</v>
      </c>
      <c r="F2902" s="110">
        <v>9</v>
      </c>
      <c r="G2902" s="36">
        <f t="shared" si="688"/>
        <v>56.699999999999996</v>
      </c>
      <c r="H2902" s="37">
        <v>24</v>
      </c>
      <c r="I2902" s="109">
        <f t="shared" si="689"/>
        <v>1360.8</v>
      </c>
      <c r="J2902" s="123">
        <v>1400</v>
      </c>
    </row>
    <row r="2903" spans="1:10" x14ac:dyDescent="0.25">
      <c r="A2903" s="31" t="s">
        <v>573</v>
      </c>
      <c r="B2903" s="50" t="s">
        <v>324</v>
      </c>
      <c r="C2903" s="34" t="s">
        <v>443</v>
      </c>
      <c r="D2903" s="108" t="s">
        <v>38</v>
      </c>
      <c r="E2903" s="34" t="s">
        <v>79</v>
      </c>
      <c r="F2903" s="36">
        <v>3.5</v>
      </c>
      <c r="G2903" s="36">
        <f t="shared" si="688"/>
        <v>22.05</v>
      </c>
      <c r="H2903" s="37">
        <v>24</v>
      </c>
      <c r="I2903" s="109">
        <f t="shared" si="689"/>
        <v>529.20000000000005</v>
      </c>
      <c r="J2903" s="123">
        <v>500</v>
      </c>
    </row>
    <row r="2904" spans="1:10" x14ac:dyDescent="0.25">
      <c r="A2904" s="31" t="s">
        <v>573</v>
      </c>
      <c r="B2904" s="75" t="s">
        <v>317</v>
      </c>
      <c r="C2904" s="111" t="s">
        <v>156</v>
      </c>
      <c r="D2904" s="111">
        <v>38</v>
      </c>
      <c r="E2904" s="42" t="s">
        <v>79</v>
      </c>
      <c r="F2904" s="74">
        <v>10.4</v>
      </c>
      <c r="G2904" s="36">
        <f t="shared" si="688"/>
        <v>65.52</v>
      </c>
      <c r="H2904" s="37">
        <v>24</v>
      </c>
      <c r="I2904" s="109">
        <f t="shared" si="689"/>
        <v>1572.48</v>
      </c>
      <c r="J2904" s="123">
        <v>1600</v>
      </c>
    </row>
    <row r="2905" spans="1:10" x14ac:dyDescent="0.25">
      <c r="A2905" s="31" t="s">
        <v>573</v>
      </c>
      <c r="B2905" s="37" t="s">
        <v>325</v>
      </c>
      <c r="C2905" s="34" t="s">
        <v>158</v>
      </c>
      <c r="D2905" s="46">
        <v>10</v>
      </c>
      <c r="E2905" s="34" t="s">
        <v>79</v>
      </c>
      <c r="F2905" s="74">
        <v>7.2</v>
      </c>
      <c r="G2905" s="36">
        <f t="shared" si="688"/>
        <v>45.36</v>
      </c>
      <c r="H2905" s="37">
        <v>24</v>
      </c>
      <c r="I2905" s="109">
        <f t="shared" si="689"/>
        <v>1088.6399999999999</v>
      </c>
      <c r="J2905" s="123">
        <v>1000</v>
      </c>
    </row>
    <row r="2906" spans="1:10" ht="15.75" thickBot="1" x14ac:dyDescent="0.3">
      <c r="A2906" s="31" t="s">
        <v>573</v>
      </c>
      <c r="B2906" s="43" t="s">
        <v>326</v>
      </c>
      <c r="C2906" s="52" t="s">
        <v>152</v>
      </c>
      <c r="D2906" s="72">
        <v>0</v>
      </c>
      <c r="E2906" s="42" t="s">
        <v>79</v>
      </c>
      <c r="F2906" s="73">
        <v>8.4</v>
      </c>
      <c r="G2906" s="74">
        <f t="shared" si="688"/>
        <v>52.92</v>
      </c>
      <c r="H2906" s="43">
        <v>24</v>
      </c>
      <c r="I2906" s="399">
        <f t="shared" si="689"/>
        <v>1270.08</v>
      </c>
      <c r="J2906" s="124">
        <v>1300</v>
      </c>
    </row>
    <row r="2907" spans="1:10" ht="19.5" thickBot="1" x14ac:dyDescent="0.35">
      <c r="A2907" s="336"/>
      <c r="B2907" s="336"/>
      <c r="C2907" s="336"/>
      <c r="D2907" s="336"/>
      <c r="E2907" s="336"/>
      <c r="F2907" s="336"/>
      <c r="G2907" s="337"/>
      <c r="H2907" s="174" t="s">
        <v>171</v>
      </c>
      <c r="I2907" s="238">
        <f>SUM(I2901:I2906)</f>
        <v>7166.8799999999992</v>
      </c>
      <c r="J2907" s="104">
        <v>6700</v>
      </c>
    </row>
    <row r="2908" spans="1:10" x14ac:dyDescent="0.25">
      <c r="A2908" s="31" t="s">
        <v>574</v>
      </c>
      <c r="B2908" s="37" t="s">
        <v>322</v>
      </c>
      <c r="C2908" s="34" t="s">
        <v>114</v>
      </c>
      <c r="D2908" s="108">
        <v>49</v>
      </c>
      <c r="E2908" s="34" t="s">
        <v>79</v>
      </c>
      <c r="F2908" s="109">
        <v>9.1</v>
      </c>
      <c r="G2908" s="36">
        <f t="shared" ref="G2908:G2913" si="690">F2908*6.3</f>
        <v>57.33</v>
      </c>
      <c r="H2908" s="37">
        <v>24</v>
      </c>
      <c r="I2908" s="109">
        <f t="shared" ref="I2908:I2913" si="691">G2908*H2908</f>
        <v>1375.92</v>
      </c>
      <c r="J2908" s="123">
        <v>900</v>
      </c>
    </row>
    <row r="2909" spans="1:10" x14ac:dyDescent="0.25">
      <c r="A2909" s="31" t="s">
        <v>574</v>
      </c>
      <c r="B2909" s="37" t="s">
        <v>323</v>
      </c>
      <c r="C2909" s="34" t="s">
        <v>86</v>
      </c>
      <c r="D2909" s="108">
        <v>0</v>
      </c>
      <c r="E2909" s="34" t="s">
        <v>79</v>
      </c>
      <c r="F2909" s="110">
        <v>8.4</v>
      </c>
      <c r="G2909" s="36">
        <f t="shared" si="690"/>
        <v>52.92</v>
      </c>
      <c r="H2909" s="37">
        <v>24</v>
      </c>
      <c r="I2909" s="109">
        <f t="shared" si="691"/>
        <v>1270.08</v>
      </c>
      <c r="J2909" s="123">
        <v>1400</v>
      </c>
    </row>
    <row r="2910" spans="1:10" x14ac:dyDescent="0.25">
      <c r="A2910" s="31" t="s">
        <v>574</v>
      </c>
      <c r="B2910" s="50" t="s">
        <v>324</v>
      </c>
      <c r="C2910" s="34" t="s">
        <v>443</v>
      </c>
      <c r="D2910" s="108" t="s">
        <v>38</v>
      </c>
      <c r="E2910" s="34" t="s">
        <v>79</v>
      </c>
      <c r="F2910" s="36">
        <v>3.5</v>
      </c>
      <c r="G2910" s="36">
        <f t="shared" si="690"/>
        <v>22.05</v>
      </c>
      <c r="H2910" s="37">
        <v>24</v>
      </c>
      <c r="I2910" s="109">
        <f t="shared" si="691"/>
        <v>529.20000000000005</v>
      </c>
      <c r="J2910" s="123">
        <v>500</v>
      </c>
    </row>
    <row r="2911" spans="1:10" x14ac:dyDescent="0.25">
      <c r="A2911" s="31" t="s">
        <v>574</v>
      </c>
      <c r="B2911" s="75" t="s">
        <v>317</v>
      </c>
      <c r="C2911" s="111" t="s">
        <v>156</v>
      </c>
      <c r="D2911" s="111">
        <v>50</v>
      </c>
      <c r="E2911" s="42" t="s">
        <v>79</v>
      </c>
      <c r="F2911" s="74">
        <v>10.3</v>
      </c>
      <c r="G2911" s="36">
        <f t="shared" si="690"/>
        <v>64.89</v>
      </c>
      <c r="H2911" s="37">
        <v>24</v>
      </c>
      <c r="I2911" s="109">
        <f t="shared" si="691"/>
        <v>1557.3600000000001</v>
      </c>
      <c r="J2911" s="123">
        <v>1600</v>
      </c>
    </row>
    <row r="2912" spans="1:10" x14ac:dyDescent="0.25">
      <c r="A2912" s="31" t="s">
        <v>574</v>
      </c>
      <c r="B2912" s="37" t="s">
        <v>325</v>
      </c>
      <c r="C2912" s="34" t="s">
        <v>158</v>
      </c>
      <c r="D2912" s="46">
        <v>9.8000000000000007</v>
      </c>
      <c r="E2912" s="34" t="s">
        <v>79</v>
      </c>
      <c r="F2912" s="74">
        <v>7.2</v>
      </c>
      <c r="G2912" s="36">
        <f t="shared" si="690"/>
        <v>45.36</v>
      </c>
      <c r="H2912" s="37">
        <v>24</v>
      </c>
      <c r="I2912" s="109">
        <f t="shared" si="691"/>
        <v>1088.6399999999999</v>
      </c>
      <c r="J2912" s="123">
        <v>1000</v>
      </c>
    </row>
    <row r="2913" spans="1:10" ht="15.75" thickBot="1" x14ac:dyDescent="0.3">
      <c r="A2913" s="31" t="s">
        <v>574</v>
      </c>
      <c r="B2913" s="43" t="s">
        <v>326</v>
      </c>
      <c r="C2913" s="52" t="s">
        <v>152</v>
      </c>
      <c r="D2913" s="72">
        <v>0</v>
      </c>
      <c r="E2913" s="42" t="s">
        <v>79</v>
      </c>
      <c r="F2913" s="73">
        <v>8.8000000000000007</v>
      </c>
      <c r="G2913" s="74">
        <f t="shared" si="690"/>
        <v>55.440000000000005</v>
      </c>
      <c r="H2913" s="43">
        <v>24</v>
      </c>
      <c r="I2913" s="399">
        <f t="shared" si="691"/>
        <v>1330.5600000000002</v>
      </c>
      <c r="J2913" s="124">
        <v>1300</v>
      </c>
    </row>
    <row r="2914" spans="1:10" ht="19.5" thickBot="1" x14ac:dyDescent="0.35">
      <c r="A2914" s="336"/>
      <c r="B2914" s="336"/>
      <c r="C2914" s="336"/>
      <c r="D2914" s="336"/>
      <c r="E2914" s="336"/>
      <c r="F2914" s="336"/>
      <c r="G2914" s="337"/>
      <c r="H2914" s="174" t="s">
        <v>171</v>
      </c>
      <c r="I2914" s="238">
        <f>SUM(I2908:I2913)</f>
        <v>7151.7599999999993</v>
      </c>
      <c r="J2914" s="104">
        <v>6700</v>
      </c>
    </row>
    <row r="2915" spans="1:10" x14ac:dyDescent="0.25">
      <c r="A2915" s="31" t="s">
        <v>575</v>
      </c>
      <c r="B2915" s="37" t="s">
        <v>322</v>
      </c>
      <c r="C2915" s="34" t="s">
        <v>114</v>
      </c>
      <c r="D2915" s="108">
        <v>49</v>
      </c>
      <c r="E2915" s="34" t="s">
        <v>79</v>
      </c>
      <c r="F2915" s="109">
        <v>8.4</v>
      </c>
      <c r="G2915" s="36">
        <f t="shared" ref="G2915:G2920" si="692">F2915*6.3</f>
        <v>52.92</v>
      </c>
      <c r="H2915" s="37">
        <v>24</v>
      </c>
      <c r="I2915" s="109">
        <f t="shared" ref="I2915:I2920" si="693">G2915*H2915</f>
        <v>1270.08</v>
      </c>
      <c r="J2915" s="123">
        <v>900</v>
      </c>
    </row>
    <row r="2916" spans="1:10" x14ac:dyDescent="0.25">
      <c r="A2916" s="31" t="s">
        <v>575</v>
      </c>
      <c r="B2916" s="37" t="s">
        <v>323</v>
      </c>
      <c r="C2916" s="34" t="s">
        <v>86</v>
      </c>
      <c r="D2916" s="108">
        <v>0</v>
      </c>
      <c r="E2916" s="34" t="s">
        <v>79</v>
      </c>
      <c r="F2916" s="110">
        <v>9.1999999999999993</v>
      </c>
      <c r="G2916" s="36">
        <f t="shared" si="692"/>
        <v>57.959999999999994</v>
      </c>
      <c r="H2916" s="37">
        <v>24</v>
      </c>
      <c r="I2916" s="109">
        <f t="shared" si="693"/>
        <v>1391.04</v>
      </c>
      <c r="J2916" s="123">
        <v>1400</v>
      </c>
    </row>
    <row r="2917" spans="1:10" x14ac:dyDescent="0.25">
      <c r="A2917" s="31" t="s">
        <v>575</v>
      </c>
      <c r="B2917" s="50" t="s">
        <v>324</v>
      </c>
      <c r="C2917" s="34" t="s">
        <v>443</v>
      </c>
      <c r="D2917" s="108" t="s">
        <v>38</v>
      </c>
      <c r="E2917" s="34" t="s">
        <v>79</v>
      </c>
      <c r="F2917" s="36">
        <v>3.4</v>
      </c>
      <c r="G2917" s="36">
        <f t="shared" si="692"/>
        <v>21.419999999999998</v>
      </c>
      <c r="H2917" s="37">
        <v>24</v>
      </c>
      <c r="I2917" s="109">
        <f t="shared" si="693"/>
        <v>514.07999999999993</v>
      </c>
      <c r="J2917" s="123">
        <v>500</v>
      </c>
    </row>
    <row r="2918" spans="1:10" x14ac:dyDescent="0.25">
      <c r="A2918" s="31" t="s">
        <v>575</v>
      </c>
      <c r="B2918" s="75" t="s">
        <v>317</v>
      </c>
      <c r="C2918" s="111" t="s">
        <v>156</v>
      </c>
      <c r="D2918" s="111">
        <v>50</v>
      </c>
      <c r="E2918" s="42" t="s">
        <v>79</v>
      </c>
      <c r="F2918" s="74">
        <v>10.45</v>
      </c>
      <c r="G2918" s="36">
        <f t="shared" si="692"/>
        <v>65.834999999999994</v>
      </c>
      <c r="H2918" s="37">
        <v>24</v>
      </c>
      <c r="I2918" s="109">
        <f t="shared" si="693"/>
        <v>1580.04</v>
      </c>
      <c r="J2918" s="123">
        <v>1600</v>
      </c>
    </row>
    <row r="2919" spans="1:10" x14ac:dyDescent="0.25">
      <c r="A2919" s="31" t="s">
        <v>575</v>
      </c>
      <c r="B2919" s="37" t="s">
        <v>325</v>
      </c>
      <c r="C2919" s="34" t="s">
        <v>158</v>
      </c>
      <c r="D2919" s="46">
        <v>9.8000000000000007</v>
      </c>
      <c r="E2919" s="34" t="s">
        <v>79</v>
      </c>
      <c r="F2919" s="74">
        <v>7.2</v>
      </c>
      <c r="G2919" s="36">
        <f t="shared" si="692"/>
        <v>45.36</v>
      </c>
      <c r="H2919" s="37">
        <v>24</v>
      </c>
      <c r="I2919" s="109">
        <f t="shared" si="693"/>
        <v>1088.6399999999999</v>
      </c>
      <c r="J2919" s="123">
        <v>1000</v>
      </c>
    </row>
    <row r="2920" spans="1:10" ht="15.75" thickBot="1" x14ac:dyDescent="0.3">
      <c r="A2920" s="31" t="s">
        <v>575</v>
      </c>
      <c r="B2920" s="43" t="s">
        <v>326</v>
      </c>
      <c r="C2920" s="52" t="s">
        <v>152</v>
      </c>
      <c r="D2920" s="72">
        <v>0</v>
      </c>
      <c r="E2920" s="42" t="s">
        <v>79</v>
      </c>
      <c r="F2920" s="73">
        <v>8.6999999999999993</v>
      </c>
      <c r="G2920" s="74">
        <f t="shared" si="692"/>
        <v>54.809999999999995</v>
      </c>
      <c r="H2920" s="43">
        <v>24</v>
      </c>
      <c r="I2920" s="399">
        <f t="shared" si="693"/>
        <v>1315.4399999999998</v>
      </c>
      <c r="J2920" s="124">
        <v>1300</v>
      </c>
    </row>
    <row r="2921" spans="1:10" ht="19.5" thickBot="1" x14ac:dyDescent="0.35">
      <c r="A2921" s="336"/>
      <c r="B2921" s="336"/>
      <c r="C2921" s="336"/>
      <c r="D2921" s="336"/>
      <c r="E2921" s="336"/>
      <c r="F2921" s="336"/>
      <c r="G2921" s="337"/>
      <c r="H2921" s="174" t="s">
        <v>171</v>
      </c>
      <c r="I2921" s="238">
        <f>SUM(I2915:I2920)</f>
        <v>7159.3199999999988</v>
      </c>
      <c r="J2921" s="104">
        <v>6700</v>
      </c>
    </row>
    <row r="2922" spans="1:10" x14ac:dyDescent="0.25">
      <c r="A2922" s="31" t="s">
        <v>576</v>
      </c>
      <c r="B2922" s="37" t="s">
        <v>322</v>
      </c>
      <c r="C2922" s="34" t="s">
        <v>114</v>
      </c>
      <c r="D2922" s="108">
        <v>49</v>
      </c>
      <c r="E2922" s="34" t="s">
        <v>79</v>
      </c>
      <c r="F2922" s="109">
        <v>8.5</v>
      </c>
      <c r="G2922" s="36">
        <f t="shared" ref="G2922:G2927" si="694">F2922*6.3</f>
        <v>53.55</v>
      </c>
      <c r="H2922" s="37">
        <v>24</v>
      </c>
      <c r="I2922" s="109">
        <f t="shared" ref="I2922:I2927" si="695">G2922*H2922</f>
        <v>1285.1999999999998</v>
      </c>
      <c r="J2922" s="123">
        <v>900</v>
      </c>
    </row>
    <row r="2923" spans="1:10" x14ac:dyDescent="0.25">
      <c r="A2923" s="31" t="s">
        <v>576</v>
      </c>
      <c r="B2923" s="37" t="s">
        <v>323</v>
      </c>
      <c r="C2923" s="34" t="s">
        <v>86</v>
      </c>
      <c r="D2923" s="108">
        <v>0</v>
      </c>
      <c r="E2923" s="34" t="s">
        <v>79</v>
      </c>
      <c r="F2923" s="110">
        <v>9.3000000000000007</v>
      </c>
      <c r="G2923" s="36">
        <f t="shared" si="694"/>
        <v>58.59</v>
      </c>
      <c r="H2923" s="37">
        <v>24</v>
      </c>
      <c r="I2923" s="109">
        <f t="shared" si="695"/>
        <v>1406.16</v>
      </c>
      <c r="J2923" s="123">
        <v>1400</v>
      </c>
    </row>
    <row r="2924" spans="1:10" x14ac:dyDescent="0.25">
      <c r="A2924" s="31" t="s">
        <v>576</v>
      </c>
      <c r="B2924" s="50" t="s">
        <v>324</v>
      </c>
      <c r="C2924" s="34" t="s">
        <v>443</v>
      </c>
      <c r="D2924" s="108" t="s">
        <v>38</v>
      </c>
      <c r="E2924" s="34" t="s">
        <v>79</v>
      </c>
      <c r="F2924" s="36">
        <v>3.4</v>
      </c>
      <c r="G2924" s="36">
        <f t="shared" si="694"/>
        <v>21.419999999999998</v>
      </c>
      <c r="H2924" s="37">
        <v>24</v>
      </c>
      <c r="I2924" s="109">
        <f t="shared" si="695"/>
        <v>514.07999999999993</v>
      </c>
      <c r="J2924" s="123">
        <v>500</v>
      </c>
    </row>
    <row r="2925" spans="1:10" x14ac:dyDescent="0.25">
      <c r="A2925" s="31" t="s">
        <v>576</v>
      </c>
      <c r="B2925" s="75" t="s">
        <v>317</v>
      </c>
      <c r="C2925" s="111" t="s">
        <v>156</v>
      </c>
      <c r="D2925" s="111">
        <v>50</v>
      </c>
      <c r="E2925" s="42" t="s">
        <v>79</v>
      </c>
      <c r="F2925" s="74">
        <v>10.3</v>
      </c>
      <c r="G2925" s="36">
        <f t="shared" si="694"/>
        <v>64.89</v>
      </c>
      <c r="H2925" s="37">
        <v>24</v>
      </c>
      <c r="I2925" s="109">
        <f t="shared" si="695"/>
        <v>1557.3600000000001</v>
      </c>
      <c r="J2925" s="123">
        <v>1600</v>
      </c>
    </row>
    <row r="2926" spans="1:10" x14ac:dyDescent="0.25">
      <c r="A2926" s="31" t="s">
        <v>576</v>
      </c>
      <c r="B2926" s="37" t="s">
        <v>325</v>
      </c>
      <c r="C2926" s="34" t="s">
        <v>158</v>
      </c>
      <c r="D2926" s="46">
        <v>9.8000000000000007</v>
      </c>
      <c r="E2926" s="34" t="s">
        <v>79</v>
      </c>
      <c r="F2926" s="74">
        <v>7</v>
      </c>
      <c r="G2926" s="36">
        <f t="shared" si="694"/>
        <v>44.1</v>
      </c>
      <c r="H2926" s="37">
        <v>24</v>
      </c>
      <c r="I2926" s="109">
        <f t="shared" si="695"/>
        <v>1058.4000000000001</v>
      </c>
      <c r="J2926" s="123">
        <v>1000</v>
      </c>
    </row>
    <row r="2927" spans="1:10" ht="15.75" thickBot="1" x14ac:dyDescent="0.3">
      <c r="A2927" s="31" t="s">
        <v>576</v>
      </c>
      <c r="B2927" s="43" t="s">
        <v>326</v>
      </c>
      <c r="C2927" s="52" t="s">
        <v>152</v>
      </c>
      <c r="D2927" s="72">
        <v>0</v>
      </c>
      <c r="E2927" s="42" t="s">
        <v>79</v>
      </c>
      <c r="F2927" s="73">
        <v>8.6999999999999993</v>
      </c>
      <c r="G2927" s="74">
        <f t="shared" si="694"/>
        <v>54.809999999999995</v>
      </c>
      <c r="H2927" s="43">
        <v>24</v>
      </c>
      <c r="I2927" s="399">
        <f t="shared" si="695"/>
        <v>1315.4399999999998</v>
      </c>
      <c r="J2927" s="124">
        <v>1300</v>
      </c>
    </row>
    <row r="2928" spans="1:10" ht="19.5" thickBot="1" x14ac:dyDescent="0.35">
      <c r="A2928" s="336"/>
      <c r="B2928" s="336"/>
      <c r="C2928" s="336"/>
      <c r="D2928" s="336"/>
      <c r="E2928" s="336"/>
      <c r="F2928" s="336"/>
      <c r="G2928" s="337"/>
      <c r="H2928" s="174" t="s">
        <v>171</v>
      </c>
      <c r="I2928" s="238">
        <f>SUM(I2922:I2927)</f>
        <v>7136.6399999999985</v>
      </c>
      <c r="J2928" s="104">
        <v>6700</v>
      </c>
    </row>
    <row r="2929" spans="1:10" x14ac:dyDescent="0.25">
      <c r="A2929" s="31" t="s">
        <v>577</v>
      </c>
      <c r="B2929" s="37" t="s">
        <v>322</v>
      </c>
      <c r="C2929" s="34" t="s">
        <v>114</v>
      </c>
      <c r="D2929" s="108">
        <v>52</v>
      </c>
      <c r="E2929" s="34" t="s">
        <v>79</v>
      </c>
      <c r="F2929" s="109">
        <v>8</v>
      </c>
      <c r="G2929" s="36">
        <f t="shared" ref="G2929:G2934" si="696">F2929*6.3</f>
        <v>50.4</v>
      </c>
      <c r="H2929" s="37">
        <v>24</v>
      </c>
      <c r="I2929" s="109">
        <f t="shared" ref="I2929:I2934" si="697">G2929*H2929</f>
        <v>1209.5999999999999</v>
      </c>
      <c r="J2929" s="123">
        <v>900</v>
      </c>
    </row>
    <row r="2930" spans="1:10" x14ac:dyDescent="0.25">
      <c r="A2930" s="31" t="s">
        <v>577</v>
      </c>
      <c r="B2930" s="37" t="s">
        <v>323</v>
      </c>
      <c r="C2930" s="34" t="s">
        <v>86</v>
      </c>
      <c r="D2930" s="108">
        <v>0</v>
      </c>
      <c r="E2930" s="34" t="s">
        <v>79</v>
      </c>
      <c r="F2930" s="110">
        <v>9.8000000000000007</v>
      </c>
      <c r="G2930" s="36">
        <f t="shared" si="696"/>
        <v>61.74</v>
      </c>
      <c r="H2930" s="37">
        <v>24</v>
      </c>
      <c r="I2930" s="109">
        <f t="shared" si="697"/>
        <v>1481.76</v>
      </c>
      <c r="J2930" s="123">
        <v>1400</v>
      </c>
    </row>
    <row r="2931" spans="1:10" x14ac:dyDescent="0.25">
      <c r="A2931" s="31" t="s">
        <v>577</v>
      </c>
      <c r="B2931" s="50" t="s">
        <v>324</v>
      </c>
      <c r="C2931" s="34" t="s">
        <v>443</v>
      </c>
      <c r="D2931" s="108" t="s">
        <v>38</v>
      </c>
      <c r="E2931" s="34" t="s">
        <v>79</v>
      </c>
      <c r="F2931" s="36">
        <v>3.4</v>
      </c>
      <c r="G2931" s="36">
        <f t="shared" si="696"/>
        <v>21.419999999999998</v>
      </c>
      <c r="H2931" s="37">
        <v>24</v>
      </c>
      <c r="I2931" s="109">
        <f t="shared" si="697"/>
        <v>514.07999999999993</v>
      </c>
      <c r="J2931" s="123">
        <v>500</v>
      </c>
    </row>
    <row r="2932" spans="1:10" x14ac:dyDescent="0.25">
      <c r="A2932" s="31" t="s">
        <v>577</v>
      </c>
      <c r="B2932" s="75" t="s">
        <v>317</v>
      </c>
      <c r="C2932" s="111" t="s">
        <v>156</v>
      </c>
      <c r="D2932" s="111">
        <v>65</v>
      </c>
      <c r="E2932" s="42" t="s">
        <v>79</v>
      </c>
      <c r="F2932" s="74">
        <v>10.4</v>
      </c>
      <c r="G2932" s="36">
        <f t="shared" si="696"/>
        <v>65.52</v>
      </c>
      <c r="H2932" s="37">
        <v>24</v>
      </c>
      <c r="I2932" s="109">
        <f t="shared" si="697"/>
        <v>1572.48</v>
      </c>
      <c r="J2932" s="123">
        <v>1600</v>
      </c>
    </row>
    <row r="2933" spans="1:10" x14ac:dyDescent="0.25">
      <c r="A2933" s="31" t="s">
        <v>577</v>
      </c>
      <c r="B2933" s="37" t="s">
        <v>325</v>
      </c>
      <c r="C2933" s="34" t="s">
        <v>158</v>
      </c>
      <c r="D2933" s="46">
        <v>10</v>
      </c>
      <c r="E2933" s="34" t="s">
        <v>79</v>
      </c>
      <c r="F2933" s="74">
        <v>7</v>
      </c>
      <c r="G2933" s="36">
        <f t="shared" si="696"/>
        <v>44.1</v>
      </c>
      <c r="H2933" s="37">
        <v>24</v>
      </c>
      <c r="I2933" s="109">
        <f t="shared" si="697"/>
        <v>1058.4000000000001</v>
      </c>
      <c r="J2933" s="123">
        <v>1000</v>
      </c>
    </row>
    <row r="2934" spans="1:10" ht="15.75" thickBot="1" x14ac:dyDescent="0.3">
      <c r="A2934" s="31" t="s">
        <v>577</v>
      </c>
      <c r="B2934" s="43" t="s">
        <v>326</v>
      </c>
      <c r="C2934" s="52" t="s">
        <v>152</v>
      </c>
      <c r="D2934" s="72">
        <v>0</v>
      </c>
      <c r="E2934" s="42" t="s">
        <v>79</v>
      </c>
      <c r="F2934" s="73">
        <v>8.6999999999999993</v>
      </c>
      <c r="G2934" s="74">
        <f t="shared" si="696"/>
        <v>54.809999999999995</v>
      </c>
      <c r="H2934" s="43">
        <v>24</v>
      </c>
      <c r="I2934" s="399">
        <f t="shared" si="697"/>
        <v>1315.4399999999998</v>
      </c>
      <c r="J2934" s="124">
        <v>1300</v>
      </c>
    </row>
    <row r="2935" spans="1:10" ht="18.75" x14ac:dyDescent="0.3">
      <c r="A2935" s="394"/>
      <c r="B2935" s="394"/>
      <c r="C2935" s="394"/>
      <c r="D2935" s="394"/>
      <c r="E2935" s="394"/>
      <c r="F2935" s="394"/>
      <c r="G2935" s="395"/>
      <c r="H2935" s="178" t="s">
        <v>171</v>
      </c>
      <c r="I2935" s="396">
        <f>SUM(I2929:I2934)</f>
        <v>7151.7599999999993</v>
      </c>
      <c r="J2935" s="180">
        <v>6700</v>
      </c>
    </row>
    <row r="2936" spans="1:10" x14ac:dyDescent="0.25">
      <c r="A2936" s="46" t="s">
        <v>578</v>
      </c>
      <c r="B2936" s="46" t="s">
        <v>322</v>
      </c>
      <c r="C2936" s="46" t="s">
        <v>114</v>
      </c>
      <c r="D2936" s="46">
        <v>52.52</v>
      </c>
      <c r="E2936" s="46" t="s">
        <v>79</v>
      </c>
      <c r="F2936" s="46">
        <v>8.5</v>
      </c>
      <c r="G2936" s="46">
        <v>53.55</v>
      </c>
      <c r="H2936" s="46">
        <v>24</v>
      </c>
      <c r="I2936" s="46">
        <v>1285.2</v>
      </c>
      <c r="J2936" s="46">
        <v>900</v>
      </c>
    </row>
    <row r="2937" spans="1:10" x14ac:dyDescent="0.25">
      <c r="A2937" s="46" t="s">
        <v>578</v>
      </c>
      <c r="B2937" s="46" t="s">
        <v>323</v>
      </c>
      <c r="C2937" s="46" t="s">
        <v>86</v>
      </c>
      <c r="D2937" s="46">
        <v>0</v>
      </c>
      <c r="E2937" s="46" t="s">
        <v>79</v>
      </c>
      <c r="F2937" s="46">
        <v>9.25</v>
      </c>
      <c r="G2937" s="46">
        <v>58.28</v>
      </c>
      <c r="H2937" s="46">
        <v>24</v>
      </c>
      <c r="I2937" s="46">
        <v>1398.6</v>
      </c>
      <c r="J2937" s="46">
        <v>1400</v>
      </c>
    </row>
    <row r="2938" spans="1:10" x14ac:dyDescent="0.25">
      <c r="A2938" s="46" t="s">
        <v>578</v>
      </c>
      <c r="B2938" s="46" t="s">
        <v>324</v>
      </c>
      <c r="C2938" s="46" t="s">
        <v>443</v>
      </c>
      <c r="D2938" s="46" t="s">
        <v>38</v>
      </c>
      <c r="E2938" s="46" t="s">
        <v>79</v>
      </c>
      <c r="F2938" s="46">
        <v>3.48</v>
      </c>
      <c r="G2938" s="46">
        <v>21.92</v>
      </c>
      <c r="H2938" s="46">
        <v>24</v>
      </c>
      <c r="I2938" s="46">
        <v>526.17999999999995</v>
      </c>
      <c r="J2938" s="46">
        <v>500</v>
      </c>
    </row>
    <row r="2939" spans="1:10" x14ac:dyDescent="0.25">
      <c r="A2939" s="46" t="s">
        <v>578</v>
      </c>
      <c r="B2939" s="46" t="s">
        <v>317</v>
      </c>
      <c r="C2939" s="46" t="s">
        <v>156</v>
      </c>
      <c r="D2939" s="46">
        <v>65</v>
      </c>
      <c r="E2939" s="46" t="s">
        <v>79</v>
      </c>
      <c r="F2939" s="46">
        <v>10.6</v>
      </c>
      <c r="G2939" s="46">
        <v>66.78</v>
      </c>
      <c r="H2939" s="46">
        <v>24</v>
      </c>
      <c r="I2939" s="46">
        <v>1602.72</v>
      </c>
      <c r="J2939" s="46">
        <v>1600</v>
      </c>
    </row>
    <row r="2940" spans="1:10" x14ac:dyDescent="0.25">
      <c r="A2940" s="46" t="s">
        <v>578</v>
      </c>
      <c r="B2940" s="46" t="s">
        <v>325</v>
      </c>
      <c r="C2940" s="46" t="s">
        <v>158</v>
      </c>
      <c r="D2940" s="46">
        <v>9.75</v>
      </c>
      <c r="E2940" s="46" t="s">
        <v>79</v>
      </c>
      <c r="F2940" s="46">
        <v>6.61</v>
      </c>
      <c r="G2940" s="46">
        <v>41.64</v>
      </c>
      <c r="H2940" s="46">
        <v>24</v>
      </c>
      <c r="I2940" s="46">
        <v>999.43</v>
      </c>
      <c r="J2940" s="46">
        <v>1000</v>
      </c>
    </row>
    <row r="2941" spans="1:10" ht="15.75" thickBot="1" x14ac:dyDescent="0.3">
      <c r="A2941" s="52" t="s">
        <v>578</v>
      </c>
      <c r="B2941" s="52" t="s">
        <v>326</v>
      </c>
      <c r="C2941" s="52" t="s">
        <v>152</v>
      </c>
      <c r="D2941" s="52">
        <v>0</v>
      </c>
      <c r="E2941" s="52" t="s">
        <v>79</v>
      </c>
      <c r="F2941" s="52">
        <v>8.99</v>
      </c>
      <c r="G2941" s="52">
        <v>56.64</v>
      </c>
      <c r="H2941" s="52">
        <v>24</v>
      </c>
      <c r="I2941" s="52">
        <v>1359.29</v>
      </c>
      <c r="J2941" s="52">
        <v>1300</v>
      </c>
    </row>
    <row r="2942" spans="1:10" ht="19.5" thickBot="1" x14ac:dyDescent="0.35">
      <c r="A2942" s="627"/>
      <c r="B2942" s="628"/>
      <c r="C2942" s="628"/>
      <c r="D2942" s="628"/>
      <c r="E2942" s="628"/>
      <c r="F2942" s="628"/>
      <c r="G2942" s="630"/>
      <c r="H2942" s="416" t="s">
        <v>171</v>
      </c>
      <c r="I2942" s="221">
        <v>7171.42</v>
      </c>
      <c r="J2942" s="258">
        <v>6700</v>
      </c>
    </row>
    <row r="2943" spans="1:10" x14ac:dyDescent="0.25">
      <c r="A2943" s="31" t="s">
        <v>579</v>
      </c>
      <c r="B2943" s="37" t="s">
        <v>322</v>
      </c>
      <c r="C2943" s="34" t="s">
        <v>114</v>
      </c>
      <c r="D2943" s="108">
        <v>51.66</v>
      </c>
      <c r="E2943" s="34" t="s">
        <v>79</v>
      </c>
      <c r="F2943" s="109">
        <v>7.6</v>
      </c>
      <c r="G2943" s="36">
        <f t="shared" ref="G2943:G2948" si="698">F2943*6.3</f>
        <v>47.879999999999995</v>
      </c>
      <c r="H2943" s="37">
        <v>24</v>
      </c>
      <c r="I2943" s="109">
        <f t="shared" ref="I2943:I2948" si="699">G2943*H2943</f>
        <v>1149.1199999999999</v>
      </c>
      <c r="J2943" s="123">
        <v>900</v>
      </c>
    </row>
    <row r="2944" spans="1:10" x14ac:dyDescent="0.25">
      <c r="A2944" s="31" t="s">
        <v>579</v>
      </c>
      <c r="B2944" s="37" t="s">
        <v>323</v>
      </c>
      <c r="C2944" s="34" t="s">
        <v>86</v>
      </c>
      <c r="D2944" s="108">
        <v>0</v>
      </c>
      <c r="E2944" s="34" t="s">
        <v>79</v>
      </c>
      <c r="F2944" s="110">
        <v>8.9499999999999993</v>
      </c>
      <c r="G2944" s="36">
        <f t="shared" si="698"/>
        <v>56.384999999999991</v>
      </c>
      <c r="H2944" s="37">
        <v>24</v>
      </c>
      <c r="I2944" s="109">
        <f t="shared" si="699"/>
        <v>1353.2399999999998</v>
      </c>
      <c r="J2944" s="123">
        <v>1400</v>
      </c>
    </row>
    <row r="2945" spans="1:10" x14ac:dyDescent="0.25">
      <c r="A2945" s="31" t="s">
        <v>579</v>
      </c>
      <c r="B2945" s="50" t="s">
        <v>324</v>
      </c>
      <c r="C2945" s="34" t="s">
        <v>443</v>
      </c>
      <c r="D2945" s="108" t="s">
        <v>38</v>
      </c>
      <c r="E2945" s="34" t="s">
        <v>79</v>
      </c>
      <c r="F2945" s="36">
        <v>3.32</v>
      </c>
      <c r="G2945" s="36">
        <f t="shared" si="698"/>
        <v>20.915999999999997</v>
      </c>
      <c r="H2945" s="37">
        <v>24</v>
      </c>
      <c r="I2945" s="109">
        <f t="shared" si="699"/>
        <v>501.98399999999992</v>
      </c>
      <c r="J2945" s="123">
        <v>500</v>
      </c>
    </row>
    <row r="2946" spans="1:10" x14ac:dyDescent="0.25">
      <c r="A2946" s="31" t="s">
        <v>579</v>
      </c>
      <c r="B2946" s="75" t="s">
        <v>317</v>
      </c>
      <c r="C2946" s="111" t="s">
        <v>156</v>
      </c>
      <c r="D2946" s="111">
        <v>94.86</v>
      </c>
      <c r="E2946" s="42" t="s">
        <v>79</v>
      </c>
      <c r="F2946" s="74">
        <v>10.28</v>
      </c>
      <c r="G2946" s="36">
        <f t="shared" si="698"/>
        <v>64.763999999999996</v>
      </c>
      <c r="H2946" s="37">
        <v>24</v>
      </c>
      <c r="I2946" s="109">
        <f t="shared" si="699"/>
        <v>1554.3359999999998</v>
      </c>
      <c r="J2946" s="123">
        <v>1600</v>
      </c>
    </row>
    <row r="2947" spans="1:10" x14ac:dyDescent="0.25">
      <c r="A2947" s="31" t="s">
        <v>579</v>
      </c>
      <c r="B2947" s="37" t="s">
        <v>325</v>
      </c>
      <c r="C2947" s="34" t="s">
        <v>158</v>
      </c>
      <c r="D2947" s="46">
        <v>7.39</v>
      </c>
      <c r="E2947" s="34" t="s">
        <v>79</v>
      </c>
      <c r="F2947" s="74">
        <v>6.35</v>
      </c>
      <c r="G2947" s="36">
        <f t="shared" si="698"/>
        <v>40.004999999999995</v>
      </c>
      <c r="H2947" s="37">
        <v>24</v>
      </c>
      <c r="I2947" s="109">
        <f t="shared" si="699"/>
        <v>960.11999999999989</v>
      </c>
      <c r="J2947" s="123">
        <v>1000</v>
      </c>
    </row>
    <row r="2948" spans="1:10" ht="15.75" thickBot="1" x14ac:dyDescent="0.3">
      <c r="A2948" s="31" t="s">
        <v>579</v>
      </c>
      <c r="B2948" s="43" t="s">
        <v>326</v>
      </c>
      <c r="C2948" s="52" t="s">
        <v>152</v>
      </c>
      <c r="D2948" s="72">
        <v>0</v>
      </c>
      <c r="E2948" s="42" t="s">
        <v>79</v>
      </c>
      <c r="F2948" s="73">
        <v>8.5500000000000007</v>
      </c>
      <c r="G2948" s="74">
        <f t="shared" si="698"/>
        <v>53.865000000000002</v>
      </c>
      <c r="H2948" s="43">
        <v>24</v>
      </c>
      <c r="I2948" s="399">
        <f t="shared" si="699"/>
        <v>1292.76</v>
      </c>
      <c r="J2948" s="124">
        <v>1300</v>
      </c>
    </row>
    <row r="2949" spans="1:10" ht="19.5" thickBot="1" x14ac:dyDescent="0.35">
      <c r="A2949" s="627"/>
      <c r="B2949" s="628"/>
      <c r="C2949" s="628"/>
      <c r="D2949" s="628"/>
      <c r="E2949" s="628"/>
      <c r="F2949" s="628"/>
      <c r="G2949" s="629"/>
      <c r="H2949" s="174" t="s">
        <v>171</v>
      </c>
      <c r="I2949" s="238">
        <f>SUM(I2943:I2948)</f>
        <v>6811.5599999999995</v>
      </c>
      <c r="J2949" s="104">
        <v>6700</v>
      </c>
    </row>
    <row r="2950" spans="1:10" x14ac:dyDescent="0.25">
      <c r="A2950" s="31" t="s">
        <v>580</v>
      </c>
      <c r="B2950" s="37" t="s">
        <v>322</v>
      </c>
      <c r="C2950" s="34" t="s">
        <v>114</v>
      </c>
      <c r="D2950" s="108">
        <v>40.4</v>
      </c>
      <c r="E2950" s="34" t="s">
        <v>79</v>
      </c>
      <c r="F2950" s="109">
        <v>8.5</v>
      </c>
      <c r="G2950" s="36">
        <f t="shared" ref="G2950:G2955" si="700">F2950*6.3</f>
        <v>53.55</v>
      </c>
      <c r="H2950" s="37">
        <v>24</v>
      </c>
      <c r="I2950" s="109">
        <f t="shared" ref="I2950:I2955" si="701">G2950*H2950</f>
        <v>1285.1999999999998</v>
      </c>
      <c r="J2950" s="123">
        <v>900</v>
      </c>
    </row>
    <row r="2951" spans="1:10" x14ac:dyDescent="0.25">
      <c r="A2951" s="31" t="s">
        <v>580</v>
      </c>
      <c r="B2951" s="37" t="s">
        <v>323</v>
      </c>
      <c r="C2951" s="34" t="s">
        <v>86</v>
      </c>
      <c r="D2951" s="108">
        <v>0</v>
      </c>
      <c r="E2951" s="34" t="s">
        <v>79</v>
      </c>
      <c r="F2951" s="110">
        <v>9.32</v>
      </c>
      <c r="G2951" s="36">
        <f t="shared" si="700"/>
        <v>58.716000000000001</v>
      </c>
      <c r="H2951" s="37">
        <v>24</v>
      </c>
      <c r="I2951" s="109">
        <f t="shared" si="701"/>
        <v>1409.184</v>
      </c>
      <c r="J2951" s="123">
        <v>1400</v>
      </c>
    </row>
    <row r="2952" spans="1:10" x14ac:dyDescent="0.25">
      <c r="A2952" s="31" t="s">
        <v>580</v>
      </c>
      <c r="B2952" s="50" t="s">
        <v>324</v>
      </c>
      <c r="C2952" s="34" t="s">
        <v>443</v>
      </c>
      <c r="D2952" s="108" t="s">
        <v>38</v>
      </c>
      <c r="E2952" s="34" t="s">
        <v>79</v>
      </c>
      <c r="F2952" s="36">
        <v>3.51</v>
      </c>
      <c r="G2952" s="36">
        <f t="shared" si="700"/>
        <v>22.113</v>
      </c>
      <c r="H2952" s="37">
        <v>24</v>
      </c>
      <c r="I2952" s="109">
        <f t="shared" si="701"/>
        <v>530.71199999999999</v>
      </c>
      <c r="J2952" s="123">
        <v>500</v>
      </c>
    </row>
    <row r="2953" spans="1:10" x14ac:dyDescent="0.25">
      <c r="A2953" s="31" t="s">
        <v>580</v>
      </c>
      <c r="B2953" s="75" t="s">
        <v>317</v>
      </c>
      <c r="C2953" s="111" t="s">
        <v>156</v>
      </c>
      <c r="D2953" s="111">
        <v>96.32</v>
      </c>
      <c r="E2953" s="42" t="s">
        <v>79</v>
      </c>
      <c r="F2953" s="74">
        <v>10.6</v>
      </c>
      <c r="G2953" s="36">
        <f t="shared" si="700"/>
        <v>66.78</v>
      </c>
      <c r="H2953" s="37">
        <v>24</v>
      </c>
      <c r="I2953" s="109">
        <f t="shared" si="701"/>
        <v>1602.72</v>
      </c>
      <c r="J2953" s="123">
        <v>1600</v>
      </c>
    </row>
    <row r="2954" spans="1:10" x14ac:dyDescent="0.25">
      <c r="A2954" s="31" t="s">
        <v>580</v>
      </c>
      <c r="B2954" s="37" t="s">
        <v>325</v>
      </c>
      <c r="C2954" s="34" t="s">
        <v>158</v>
      </c>
      <c r="D2954" s="46">
        <v>7.65</v>
      </c>
      <c r="E2954" s="34" t="s">
        <v>79</v>
      </c>
      <c r="F2954" s="74">
        <v>6.65</v>
      </c>
      <c r="G2954" s="36">
        <f t="shared" si="700"/>
        <v>41.895000000000003</v>
      </c>
      <c r="H2954" s="37">
        <v>24</v>
      </c>
      <c r="I2954" s="109">
        <f t="shared" si="701"/>
        <v>1005.48</v>
      </c>
      <c r="J2954" s="123">
        <v>1000</v>
      </c>
    </row>
    <row r="2955" spans="1:10" ht="15.75" thickBot="1" x14ac:dyDescent="0.3">
      <c r="A2955" s="31" t="s">
        <v>580</v>
      </c>
      <c r="B2955" s="43" t="s">
        <v>326</v>
      </c>
      <c r="C2955" s="52" t="s">
        <v>152</v>
      </c>
      <c r="D2955" s="72">
        <v>0</v>
      </c>
      <c r="E2955" s="42" t="s">
        <v>79</v>
      </c>
      <c r="F2955" s="73">
        <v>8.85</v>
      </c>
      <c r="G2955" s="74">
        <f t="shared" si="700"/>
        <v>55.754999999999995</v>
      </c>
      <c r="H2955" s="43">
        <v>24</v>
      </c>
      <c r="I2955" s="399">
        <f t="shared" si="701"/>
        <v>1338.12</v>
      </c>
      <c r="J2955" s="124">
        <v>1300</v>
      </c>
    </row>
    <row r="2956" spans="1:10" ht="19.5" thickBot="1" x14ac:dyDescent="0.35">
      <c r="A2956" s="206"/>
      <c r="B2956" s="336"/>
      <c r="C2956" s="336"/>
      <c r="D2956" s="336"/>
      <c r="E2956" s="336"/>
      <c r="F2956" s="336"/>
      <c r="G2956" s="337"/>
      <c r="H2956" s="174" t="s">
        <v>171</v>
      </c>
      <c r="I2956" s="238">
        <f>SUM(I2950:I2955)</f>
        <v>7171.4160000000002</v>
      </c>
      <c r="J2956" s="104">
        <v>6700</v>
      </c>
    </row>
    <row r="2957" spans="1:10" x14ac:dyDescent="0.25">
      <c r="A2957" s="31" t="s">
        <v>581</v>
      </c>
      <c r="B2957" s="37" t="s">
        <v>322</v>
      </c>
      <c r="C2957" s="34" t="s">
        <v>114</v>
      </c>
      <c r="D2957" s="108">
        <v>37.1</v>
      </c>
      <c r="E2957" s="34" t="s">
        <v>79</v>
      </c>
      <c r="F2957" s="109">
        <v>8.15</v>
      </c>
      <c r="G2957" s="36">
        <f t="shared" ref="G2957:G2962" si="702">F2957*6.3</f>
        <v>51.344999999999999</v>
      </c>
      <c r="H2957" s="37">
        <v>24</v>
      </c>
      <c r="I2957" s="109">
        <f t="shared" ref="I2957:I2962" si="703">G2957*H2957</f>
        <v>1232.28</v>
      </c>
      <c r="J2957" s="123">
        <v>900</v>
      </c>
    </row>
    <row r="2958" spans="1:10" x14ac:dyDescent="0.25">
      <c r="A2958" s="31" t="s">
        <v>581</v>
      </c>
      <c r="B2958" s="37" t="s">
        <v>323</v>
      </c>
      <c r="C2958" s="34" t="s">
        <v>86</v>
      </c>
      <c r="D2958" s="108">
        <v>0</v>
      </c>
      <c r="E2958" s="34" t="s">
        <v>79</v>
      </c>
      <c r="F2958" s="110">
        <v>9.25</v>
      </c>
      <c r="G2958" s="36">
        <f t="shared" si="702"/>
        <v>58.274999999999999</v>
      </c>
      <c r="H2958" s="37">
        <v>24</v>
      </c>
      <c r="I2958" s="109">
        <f t="shared" si="703"/>
        <v>1398.6</v>
      </c>
      <c r="J2958" s="123">
        <v>1400</v>
      </c>
    </row>
    <row r="2959" spans="1:10" x14ac:dyDescent="0.25">
      <c r="A2959" s="31" t="s">
        <v>581</v>
      </c>
      <c r="B2959" s="50" t="s">
        <v>324</v>
      </c>
      <c r="C2959" s="34" t="s">
        <v>443</v>
      </c>
      <c r="D2959" s="108" t="s">
        <v>38</v>
      </c>
      <c r="E2959" s="34" t="s">
        <v>79</v>
      </c>
      <c r="F2959" s="36">
        <v>3.25</v>
      </c>
      <c r="G2959" s="36">
        <f t="shared" si="702"/>
        <v>20.474999999999998</v>
      </c>
      <c r="H2959" s="37">
        <v>24</v>
      </c>
      <c r="I2959" s="109">
        <f t="shared" si="703"/>
        <v>491.4</v>
      </c>
      <c r="J2959" s="123">
        <v>500</v>
      </c>
    </row>
    <row r="2960" spans="1:10" x14ac:dyDescent="0.25">
      <c r="A2960" s="31" t="s">
        <v>581</v>
      </c>
      <c r="B2960" s="75" t="s">
        <v>317</v>
      </c>
      <c r="C2960" s="111" t="s">
        <v>156</v>
      </c>
      <c r="D2960" s="111">
        <v>86.66</v>
      </c>
      <c r="E2960" s="42" t="s">
        <v>79</v>
      </c>
      <c r="F2960" s="74">
        <v>10.27</v>
      </c>
      <c r="G2960" s="36">
        <f t="shared" si="702"/>
        <v>64.700999999999993</v>
      </c>
      <c r="H2960" s="37">
        <v>24</v>
      </c>
      <c r="I2960" s="109">
        <f t="shared" si="703"/>
        <v>1552.8239999999998</v>
      </c>
      <c r="J2960" s="123">
        <v>1600</v>
      </c>
    </row>
    <row r="2961" spans="1:10" x14ac:dyDescent="0.25">
      <c r="A2961" s="31" t="s">
        <v>581</v>
      </c>
      <c r="B2961" s="37" t="s">
        <v>325</v>
      </c>
      <c r="C2961" s="34" t="s">
        <v>158</v>
      </c>
      <c r="D2961" s="46">
        <v>4.4000000000000004</v>
      </c>
      <c r="E2961" s="34" t="s">
        <v>79</v>
      </c>
      <c r="F2961" s="74">
        <v>6.44</v>
      </c>
      <c r="G2961" s="36">
        <f t="shared" si="702"/>
        <v>40.572000000000003</v>
      </c>
      <c r="H2961" s="37">
        <v>24</v>
      </c>
      <c r="I2961" s="109">
        <f t="shared" si="703"/>
        <v>973.72800000000007</v>
      </c>
      <c r="J2961" s="123">
        <v>1000</v>
      </c>
    </row>
    <row r="2962" spans="1:10" ht="15.75" thickBot="1" x14ac:dyDescent="0.3">
      <c r="A2962" s="31" t="s">
        <v>581</v>
      </c>
      <c r="B2962" s="43" t="s">
        <v>326</v>
      </c>
      <c r="C2962" s="52" t="s">
        <v>152</v>
      </c>
      <c r="D2962" s="72">
        <v>0</v>
      </c>
      <c r="E2962" s="42" t="s">
        <v>79</v>
      </c>
      <c r="F2962" s="73">
        <v>8.65</v>
      </c>
      <c r="G2962" s="74">
        <f t="shared" si="702"/>
        <v>54.494999999999997</v>
      </c>
      <c r="H2962" s="43">
        <v>24</v>
      </c>
      <c r="I2962" s="399">
        <f t="shared" si="703"/>
        <v>1307.8799999999999</v>
      </c>
      <c r="J2962" s="124">
        <v>1300</v>
      </c>
    </row>
    <row r="2963" spans="1:10" ht="19.5" thickBot="1" x14ac:dyDescent="0.35">
      <c r="A2963" s="220"/>
      <c r="B2963" s="335"/>
      <c r="C2963" s="335"/>
      <c r="D2963" s="335"/>
      <c r="E2963" s="335"/>
      <c r="F2963" s="335"/>
      <c r="G2963" s="335"/>
      <c r="H2963" s="174" t="s">
        <v>171</v>
      </c>
      <c r="I2963" s="238">
        <f>SUM(I2957:I2962)</f>
        <v>6956.7120000000004</v>
      </c>
      <c r="J2963" s="104">
        <v>6700</v>
      </c>
    </row>
    <row r="2964" spans="1:10" x14ac:dyDescent="0.25">
      <c r="A2964" s="31" t="s">
        <v>582</v>
      </c>
      <c r="B2964" s="37" t="s">
        <v>322</v>
      </c>
      <c r="C2964" s="34" t="s">
        <v>114</v>
      </c>
      <c r="D2964" s="108">
        <v>37.159999999999997</v>
      </c>
      <c r="E2964" s="34" t="s">
        <v>79</v>
      </c>
      <c r="F2964" s="109">
        <v>8.3000000000000007</v>
      </c>
      <c r="G2964" s="36">
        <f t="shared" ref="G2964:G2969" si="704">F2964*6.3</f>
        <v>52.290000000000006</v>
      </c>
      <c r="H2964" s="37">
        <v>24</v>
      </c>
      <c r="I2964" s="109">
        <f t="shared" ref="I2964:I2969" si="705">G2964*H2964</f>
        <v>1254.96</v>
      </c>
      <c r="J2964" s="123">
        <v>900</v>
      </c>
    </row>
    <row r="2965" spans="1:10" x14ac:dyDescent="0.25">
      <c r="A2965" s="31" t="s">
        <v>582</v>
      </c>
      <c r="B2965" s="37" t="s">
        <v>323</v>
      </c>
      <c r="C2965" s="34" t="s">
        <v>86</v>
      </c>
      <c r="D2965" s="108">
        <v>0</v>
      </c>
      <c r="E2965" s="34" t="s">
        <v>79</v>
      </c>
      <c r="F2965" s="110">
        <v>9.32</v>
      </c>
      <c r="G2965" s="36">
        <f t="shared" si="704"/>
        <v>58.716000000000001</v>
      </c>
      <c r="H2965" s="37">
        <v>24</v>
      </c>
      <c r="I2965" s="109">
        <f t="shared" si="705"/>
        <v>1409.184</v>
      </c>
      <c r="J2965" s="123">
        <v>1400</v>
      </c>
    </row>
    <row r="2966" spans="1:10" x14ac:dyDescent="0.25">
      <c r="A2966" s="31" t="s">
        <v>582</v>
      </c>
      <c r="B2966" s="50" t="s">
        <v>324</v>
      </c>
      <c r="C2966" s="34" t="s">
        <v>443</v>
      </c>
      <c r="D2966" s="108" t="s">
        <v>38</v>
      </c>
      <c r="E2966" s="34" t="s">
        <v>79</v>
      </c>
      <c r="F2966" s="36">
        <v>3.4</v>
      </c>
      <c r="G2966" s="36">
        <f t="shared" si="704"/>
        <v>21.419999999999998</v>
      </c>
      <c r="H2966" s="37">
        <v>24</v>
      </c>
      <c r="I2966" s="109">
        <f t="shared" si="705"/>
        <v>514.07999999999993</v>
      </c>
      <c r="J2966" s="123">
        <v>500</v>
      </c>
    </row>
    <row r="2967" spans="1:10" x14ac:dyDescent="0.25">
      <c r="A2967" s="31" t="s">
        <v>582</v>
      </c>
      <c r="B2967" s="75" t="s">
        <v>317</v>
      </c>
      <c r="C2967" s="111" t="s">
        <v>156</v>
      </c>
      <c r="D2967" s="111">
        <v>95.2</v>
      </c>
      <c r="E2967" s="42" t="s">
        <v>79</v>
      </c>
      <c r="F2967" s="74">
        <v>10.35</v>
      </c>
      <c r="G2967" s="36">
        <f t="shared" si="704"/>
        <v>65.204999999999998</v>
      </c>
      <c r="H2967" s="37">
        <v>24</v>
      </c>
      <c r="I2967" s="109">
        <f t="shared" si="705"/>
        <v>1564.92</v>
      </c>
      <c r="J2967" s="123">
        <v>1600</v>
      </c>
    </row>
    <row r="2968" spans="1:10" x14ac:dyDescent="0.25">
      <c r="A2968" s="31" t="s">
        <v>582</v>
      </c>
      <c r="B2968" s="37" t="s">
        <v>325</v>
      </c>
      <c r="C2968" s="34" t="s">
        <v>158</v>
      </c>
      <c r="D2968" s="46">
        <v>6.96</v>
      </c>
      <c r="E2968" s="34" t="s">
        <v>79</v>
      </c>
      <c r="F2968" s="74">
        <v>6.5</v>
      </c>
      <c r="G2968" s="36">
        <f t="shared" si="704"/>
        <v>40.949999999999996</v>
      </c>
      <c r="H2968" s="37">
        <v>24</v>
      </c>
      <c r="I2968" s="109">
        <f t="shared" si="705"/>
        <v>982.8</v>
      </c>
      <c r="J2968" s="123">
        <v>1000</v>
      </c>
    </row>
    <row r="2969" spans="1:10" ht="15.75" thickBot="1" x14ac:dyDescent="0.3">
      <c r="A2969" s="31" t="s">
        <v>582</v>
      </c>
      <c r="B2969" s="43" t="s">
        <v>326</v>
      </c>
      <c r="C2969" s="52" t="s">
        <v>152</v>
      </c>
      <c r="D2969" s="72">
        <v>0</v>
      </c>
      <c r="E2969" s="42" t="s">
        <v>79</v>
      </c>
      <c r="F2969" s="73">
        <v>8.6999999999999993</v>
      </c>
      <c r="G2969" s="74">
        <f t="shared" si="704"/>
        <v>54.809999999999995</v>
      </c>
      <c r="H2969" s="43">
        <v>24</v>
      </c>
      <c r="I2969" s="399">
        <f t="shared" si="705"/>
        <v>1315.4399999999998</v>
      </c>
      <c r="J2969" s="124">
        <v>1300</v>
      </c>
    </row>
    <row r="2970" spans="1:10" ht="19.5" thickBot="1" x14ac:dyDescent="0.35">
      <c r="A2970" s="206"/>
      <c r="B2970" s="336"/>
      <c r="C2970" s="336"/>
      <c r="D2970" s="336"/>
      <c r="E2970" s="336"/>
      <c r="F2970" s="336"/>
      <c r="G2970" s="337"/>
      <c r="H2970" s="174" t="s">
        <v>171</v>
      </c>
      <c r="I2970" s="238">
        <f>SUM(I2964:I2969)</f>
        <v>7041.384</v>
      </c>
      <c r="J2970" s="104">
        <v>6700</v>
      </c>
    </row>
    <row r="2971" spans="1:10" x14ac:dyDescent="0.25">
      <c r="A2971" s="31" t="s">
        <v>583</v>
      </c>
      <c r="B2971" s="37" t="s">
        <v>322</v>
      </c>
      <c r="C2971" s="34" t="s">
        <v>114</v>
      </c>
      <c r="D2971" s="108">
        <v>36.659999999999997</v>
      </c>
      <c r="E2971" s="34" t="s">
        <v>79</v>
      </c>
      <c r="F2971" s="109">
        <v>8.4</v>
      </c>
      <c r="G2971" s="36">
        <f t="shared" ref="G2971:G2976" si="706">F2971*6.3</f>
        <v>52.92</v>
      </c>
      <c r="H2971" s="37">
        <v>24</v>
      </c>
      <c r="I2971" s="109">
        <f t="shared" ref="I2971:I2976" si="707">G2971*H2971</f>
        <v>1270.08</v>
      </c>
      <c r="J2971" s="123">
        <v>900</v>
      </c>
    </row>
    <row r="2972" spans="1:10" x14ac:dyDescent="0.25">
      <c r="A2972" s="31" t="s">
        <v>583</v>
      </c>
      <c r="B2972" s="37" t="s">
        <v>323</v>
      </c>
      <c r="C2972" s="34" t="s">
        <v>86</v>
      </c>
      <c r="D2972" s="108">
        <v>0</v>
      </c>
      <c r="E2972" s="34" t="s">
        <v>79</v>
      </c>
      <c r="F2972" s="110">
        <v>9.4499999999999993</v>
      </c>
      <c r="G2972" s="36">
        <f t="shared" si="706"/>
        <v>59.534999999999997</v>
      </c>
      <c r="H2972" s="37">
        <v>24</v>
      </c>
      <c r="I2972" s="109">
        <f t="shared" si="707"/>
        <v>1428.84</v>
      </c>
      <c r="J2972" s="123">
        <v>1400</v>
      </c>
    </row>
    <row r="2973" spans="1:10" x14ac:dyDescent="0.25">
      <c r="A2973" s="31" t="s">
        <v>583</v>
      </c>
      <c r="B2973" s="50" t="s">
        <v>324</v>
      </c>
      <c r="C2973" s="34" t="s">
        <v>443</v>
      </c>
      <c r="D2973" s="108" t="s">
        <v>38</v>
      </c>
      <c r="E2973" s="34" t="s">
        <v>79</v>
      </c>
      <c r="F2973" s="36">
        <v>3.57</v>
      </c>
      <c r="G2973" s="36">
        <f t="shared" si="706"/>
        <v>22.491</v>
      </c>
      <c r="H2973" s="37">
        <v>24</v>
      </c>
      <c r="I2973" s="109">
        <f t="shared" si="707"/>
        <v>539.78399999999999</v>
      </c>
      <c r="J2973" s="123">
        <v>500</v>
      </c>
    </row>
    <row r="2974" spans="1:10" x14ac:dyDescent="0.25">
      <c r="A2974" s="31" t="s">
        <v>583</v>
      </c>
      <c r="B2974" s="75" t="s">
        <v>317</v>
      </c>
      <c r="C2974" s="111" t="s">
        <v>156</v>
      </c>
      <c r="D2974" s="111">
        <v>94.85</v>
      </c>
      <c r="E2974" s="42" t="s">
        <v>79</v>
      </c>
      <c r="F2974" s="74">
        <v>10.51</v>
      </c>
      <c r="G2974" s="36">
        <f t="shared" si="706"/>
        <v>66.212999999999994</v>
      </c>
      <c r="H2974" s="37">
        <v>24</v>
      </c>
      <c r="I2974" s="109">
        <f t="shared" si="707"/>
        <v>1589.1119999999999</v>
      </c>
      <c r="J2974" s="123">
        <v>1600</v>
      </c>
    </row>
    <row r="2975" spans="1:10" x14ac:dyDescent="0.25">
      <c r="A2975" s="31" t="s">
        <v>583</v>
      </c>
      <c r="B2975" s="37" t="s">
        <v>325</v>
      </c>
      <c r="C2975" s="34" t="s">
        <v>158</v>
      </c>
      <c r="D2975" s="46">
        <v>6.96</v>
      </c>
      <c r="E2975" s="34" t="s">
        <v>79</v>
      </c>
      <c r="F2975" s="74">
        <v>6.59</v>
      </c>
      <c r="G2975" s="36">
        <f t="shared" si="706"/>
        <v>41.516999999999996</v>
      </c>
      <c r="H2975" s="37">
        <v>24</v>
      </c>
      <c r="I2975" s="109">
        <f t="shared" si="707"/>
        <v>996.4079999999999</v>
      </c>
      <c r="J2975" s="123">
        <v>1000</v>
      </c>
    </row>
    <row r="2976" spans="1:10" ht="15.75" thickBot="1" x14ac:dyDescent="0.3">
      <c r="A2976" s="31" t="s">
        <v>583</v>
      </c>
      <c r="B2976" s="43" t="s">
        <v>326</v>
      </c>
      <c r="C2976" s="52" t="s">
        <v>152</v>
      </c>
      <c r="D2976" s="72">
        <v>0</v>
      </c>
      <c r="E2976" s="42" t="s">
        <v>79</v>
      </c>
      <c r="F2976" s="73">
        <v>8.77</v>
      </c>
      <c r="G2976" s="74">
        <f t="shared" si="706"/>
        <v>55.250999999999998</v>
      </c>
      <c r="H2976" s="43">
        <v>24</v>
      </c>
      <c r="I2976" s="399">
        <f t="shared" si="707"/>
        <v>1326.0239999999999</v>
      </c>
      <c r="J2976" s="124">
        <v>1300</v>
      </c>
    </row>
    <row r="2977" spans="1:10" ht="19.5" thickBot="1" x14ac:dyDescent="0.35">
      <c r="A2977" s="206"/>
      <c r="B2977" s="336"/>
      <c r="C2977" s="336"/>
      <c r="D2977" s="336"/>
      <c r="E2977" s="336"/>
      <c r="F2977" s="336"/>
      <c r="G2977" s="337"/>
      <c r="H2977" s="174" t="s">
        <v>171</v>
      </c>
      <c r="I2977" s="238">
        <f>SUM(I2971:I2976)</f>
        <v>7150.2479999999996</v>
      </c>
      <c r="J2977" s="104">
        <v>6700</v>
      </c>
    </row>
    <row r="2978" spans="1:10" x14ac:dyDescent="0.25">
      <c r="A2978" s="31" t="s">
        <v>584</v>
      </c>
      <c r="B2978" s="37" t="s">
        <v>322</v>
      </c>
      <c r="C2978" s="34" t="s">
        <v>114</v>
      </c>
      <c r="D2978" s="108">
        <v>36.299999999999997</v>
      </c>
      <c r="E2978" s="34" t="s">
        <v>79</v>
      </c>
      <c r="F2978" s="109">
        <v>8.43</v>
      </c>
      <c r="G2978" s="36">
        <f t="shared" ref="G2978:G2983" si="708">F2978*6.3</f>
        <v>53.108999999999995</v>
      </c>
      <c r="H2978" s="37">
        <v>24</v>
      </c>
      <c r="I2978" s="109">
        <f t="shared" ref="I2978:I2983" si="709">G2978*H2978</f>
        <v>1274.616</v>
      </c>
      <c r="J2978" s="123">
        <v>900</v>
      </c>
    </row>
    <row r="2979" spans="1:10" x14ac:dyDescent="0.25">
      <c r="A2979" s="31" t="s">
        <v>584</v>
      </c>
      <c r="B2979" s="37" t="s">
        <v>323</v>
      </c>
      <c r="C2979" s="34" t="s">
        <v>86</v>
      </c>
      <c r="D2979" s="108">
        <v>0</v>
      </c>
      <c r="E2979" s="34" t="s">
        <v>79</v>
      </c>
      <c r="F2979" s="110">
        <v>9.41</v>
      </c>
      <c r="G2979" s="36">
        <f t="shared" si="708"/>
        <v>59.283000000000001</v>
      </c>
      <c r="H2979" s="37">
        <v>24</v>
      </c>
      <c r="I2979" s="109">
        <f t="shared" si="709"/>
        <v>1422.7919999999999</v>
      </c>
      <c r="J2979" s="123">
        <v>1400</v>
      </c>
    </row>
    <row r="2980" spans="1:10" x14ac:dyDescent="0.25">
      <c r="A2980" s="31" t="s">
        <v>584</v>
      </c>
      <c r="B2980" s="50" t="s">
        <v>324</v>
      </c>
      <c r="C2980" s="34" t="s">
        <v>443</v>
      </c>
      <c r="D2980" s="108" t="s">
        <v>38</v>
      </c>
      <c r="E2980" s="34" t="s">
        <v>79</v>
      </c>
      <c r="F2980" s="36">
        <v>3.52</v>
      </c>
      <c r="G2980" s="36">
        <f t="shared" si="708"/>
        <v>22.175999999999998</v>
      </c>
      <c r="H2980" s="37">
        <v>24</v>
      </c>
      <c r="I2980" s="109">
        <f t="shared" si="709"/>
        <v>532.22399999999993</v>
      </c>
      <c r="J2980" s="123">
        <v>500</v>
      </c>
    </row>
    <row r="2981" spans="1:10" x14ac:dyDescent="0.25">
      <c r="A2981" s="31" t="s">
        <v>584</v>
      </c>
      <c r="B2981" s="75" t="s">
        <v>317</v>
      </c>
      <c r="C2981" s="111" t="s">
        <v>156</v>
      </c>
      <c r="D2981" s="111">
        <v>96.03</v>
      </c>
      <c r="E2981" s="42" t="s">
        <v>79</v>
      </c>
      <c r="F2981" s="74">
        <v>10.5</v>
      </c>
      <c r="G2981" s="36">
        <f t="shared" si="708"/>
        <v>66.149999999999991</v>
      </c>
      <c r="H2981" s="37">
        <v>24</v>
      </c>
      <c r="I2981" s="109">
        <f t="shared" si="709"/>
        <v>1587.6</v>
      </c>
      <c r="J2981" s="123">
        <v>1600</v>
      </c>
    </row>
    <row r="2982" spans="1:10" x14ac:dyDescent="0.25">
      <c r="A2982" s="31" t="s">
        <v>584</v>
      </c>
      <c r="B2982" s="37" t="s">
        <v>325</v>
      </c>
      <c r="C2982" s="34" t="s">
        <v>158</v>
      </c>
      <c r="D2982" s="46">
        <v>6.6</v>
      </c>
      <c r="E2982" s="34" t="s">
        <v>79</v>
      </c>
      <c r="F2982" s="74">
        <v>6.74</v>
      </c>
      <c r="G2982" s="36">
        <f t="shared" si="708"/>
        <v>42.462000000000003</v>
      </c>
      <c r="H2982" s="37">
        <v>24</v>
      </c>
      <c r="I2982" s="109">
        <f t="shared" si="709"/>
        <v>1019.0880000000001</v>
      </c>
      <c r="J2982" s="123">
        <v>1000</v>
      </c>
    </row>
    <row r="2983" spans="1:10" ht="15.75" thickBot="1" x14ac:dyDescent="0.3">
      <c r="A2983" s="31" t="s">
        <v>584</v>
      </c>
      <c r="B2983" s="43" t="s">
        <v>326</v>
      </c>
      <c r="C2983" s="52" t="s">
        <v>152</v>
      </c>
      <c r="D2983" s="72">
        <v>0</v>
      </c>
      <c r="E2983" s="42" t="s">
        <v>79</v>
      </c>
      <c r="F2983" s="73">
        <v>8.75</v>
      </c>
      <c r="G2983" s="74">
        <f t="shared" si="708"/>
        <v>55.125</v>
      </c>
      <c r="H2983" s="43">
        <v>24</v>
      </c>
      <c r="I2983" s="399">
        <f t="shared" si="709"/>
        <v>1323</v>
      </c>
      <c r="J2983" s="124">
        <v>1300</v>
      </c>
    </row>
    <row r="2984" spans="1:10" ht="19.5" thickBot="1" x14ac:dyDescent="0.35">
      <c r="A2984" s="206"/>
      <c r="B2984" s="336"/>
      <c r="C2984" s="336"/>
      <c r="D2984" s="336"/>
      <c r="E2984" s="336"/>
      <c r="F2984" s="336"/>
      <c r="G2984" s="337"/>
      <c r="H2984" s="174" t="s">
        <v>171</v>
      </c>
      <c r="I2984" s="238">
        <f>SUM(I2978:I2983)</f>
        <v>7159.32</v>
      </c>
      <c r="J2984" s="104">
        <v>6700</v>
      </c>
    </row>
    <row r="2985" spans="1:10" x14ac:dyDescent="0.25">
      <c r="A2985" s="31" t="s">
        <v>586</v>
      </c>
      <c r="B2985" s="37" t="s">
        <v>322</v>
      </c>
      <c r="C2985" s="34" t="s">
        <v>114</v>
      </c>
      <c r="D2985" s="108">
        <v>33.61</v>
      </c>
      <c r="E2985" s="34" t="s">
        <v>79</v>
      </c>
      <c r="F2985" s="109">
        <v>8.0299999999999994</v>
      </c>
      <c r="G2985" s="36">
        <f t="shared" ref="G2985:G2990" si="710">F2985*6.3</f>
        <v>50.588999999999992</v>
      </c>
      <c r="H2985" s="37">
        <v>24</v>
      </c>
      <c r="I2985" s="109">
        <f t="shared" ref="I2985:I2990" si="711">G2985*H2985</f>
        <v>1214.1359999999997</v>
      </c>
      <c r="J2985" s="123">
        <v>900</v>
      </c>
    </row>
    <row r="2986" spans="1:10" x14ac:dyDescent="0.25">
      <c r="A2986" s="31" t="s">
        <v>586</v>
      </c>
      <c r="B2986" s="37" t="s">
        <v>323</v>
      </c>
      <c r="C2986" s="34" t="s">
        <v>86</v>
      </c>
      <c r="D2986" s="108">
        <v>0</v>
      </c>
      <c r="E2986" s="34" t="s">
        <v>79</v>
      </c>
      <c r="F2986" s="110">
        <v>9.01</v>
      </c>
      <c r="G2986" s="36">
        <f t="shared" si="710"/>
        <v>56.762999999999998</v>
      </c>
      <c r="H2986" s="37">
        <v>24</v>
      </c>
      <c r="I2986" s="109">
        <f t="shared" si="711"/>
        <v>1362.3119999999999</v>
      </c>
      <c r="J2986" s="123">
        <v>1400</v>
      </c>
    </row>
    <row r="2987" spans="1:10" x14ac:dyDescent="0.25">
      <c r="A2987" s="31" t="s">
        <v>586</v>
      </c>
      <c r="B2987" s="50" t="s">
        <v>324</v>
      </c>
      <c r="C2987" s="34" t="s">
        <v>443</v>
      </c>
      <c r="D2987" s="108" t="s">
        <v>38</v>
      </c>
      <c r="E2987" s="34" t="s">
        <v>79</v>
      </c>
      <c r="F2987" s="36">
        <v>3.34</v>
      </c>
      <c r="G2987" s="36">
        <f t="shared" si="710"/>
        <v>21.041999999999998</v>
      </c>
      <c r="H2987" s="37">
        <v>24</v>
      </c>
      <c r="I2987" s="109">
        <f t="shared" si="711"/>
        <v>505.00799999999992</v>
      </c>
      <c r="J2987" s="123">
        <v>500</v>
      </c>
    </row>
    <row r="2988" spans="1:10" x14ac:dyDescent="0.25">
      <c r="A2988" s="31" t="s">
        <v>586</v>
      </c>
      <c r="B2988" s="75" t="s">
        <v>317</v>
      </c>
      <c r="C2988" s="111" t="s">
        <v>156</v>
      </c>
      <c r="D2988" s="111">
        <v>80.44</v>
      </c>
      <c r="E2988" s="42" t="s">
        <v>79</v>
      </c>
      <c r="F2988" s="74">
        <v>10.29</v>
      </c>
      <c r="G2988" s="36">
        <f t="shared" si="710"/>
        <v>64.826999999999998</v>
      </c>
      <c r="H2988" s="37">
        <v>24</v>
      </c>
      <c r="I2988" s="109">
        <f t="shared" si="711"/>
        <v>1555.848</v>
      </c>
      <c r="J2988" s="123">
        <v>1600</v>
      </c>
    </row>
    <row r="2989" spans="1:10" x14ac:dyDescent="0.25">
      <c r="A2989" s="31" t="s">
        <v>586</v>
      </c>
      <c r="B2989" s="37" t="s">
        <v>325</v>
      </c>
      <c r="C2989" s="34" t="s">
        <v>158</v>
      </c>
      <c r="D2989" s="46">
        <v>6.5</v>
      </c>
      <c r="E2989" s="34" t="s">
        <v>79</v>
      </c>
      <c r="F2989" s="74">
        <v>6.31</v>
      </c>
      <c r="G2989" s="36">
        <f t="shared" si="710"/>
        <v>39.752999999999993</v>
      </c>
      <c r="H2989" s="37">
        <v>24</v>
      </c>
      <c r="I2989" s="109">
        <f t="shared" si="711"/>
        <v>954.07199999999989</v>
      </c>
      <c r="J2989" s="123">
        <v>1000</v>
      </c>
    </row>
    <row r="2990" spans="1:10" ht="15.75" thickBot="1" x14ac:dyDescent="0.3">
      <c r="A2990" s="31" t="s">
        <v>586</v>
      </c>
      <c r="B2990" s="43" t="s">
        <v>326</v>
      </c>
      <c r="C2990" s="52" t="s">
        <v>152</v>
      </c>
      <c r="D2990" s="72">
        <v>0</v>
      </c>
      <c r="E2990" s="42" t="s">
        <v>79</v>
      </c>
      <c r="F2990" s="73">
        <v>8.48</v>
      </c>
      <c r="G2990" s="74">
        <f t="shared" si="710"/>
        <v>53.423999999999999</v>
      </c>
      <c r="H2990" s="43">
        <v>24</v>
      </c>
      <c r="I2990" s="399">
        <f t="shared" si="711"/>
        <v>1282.1759999999999</v>
      </c>
      <c r="J2990" s="124">
        <v>1300</v>
      </c>
    </row>
    <row r="2991" spans="1:10" ht="19.5" thickBot="1" x14ac:dyDescent="0.35">
      <c r="A2991" s="206"/>
      <c r="B2991" s="336"/>
      <c r="C2991" s="336"/>
      <c r="D2991" s="336"/>
      <c r="E2991" s="336"/>
      <c r="F2991" s="336"/>
      <c r="G2991" s="337"/>
      <c r="H2991" s="174" t="s">
        <v>171</v>
      </c>
      <c r="I2991" s="237">
        <f>SUM(I2985:I2990)</f>
        <v>6873.5519999999997</v>
      </c>
      <c r="J2991" s="417">
        <v>6700</v>
      </c>
    </row>
    <row r="2992" spans="1:10" x14ac:dyDescent="0.25">
      <c r="A2992" s="31" t="s">
        <v>588</v>
      </c>
      <c r="B2992" s="37" t="s">
        <v>322</v>
      </c>
      <c r="C2992" s="34" t="s">
        <v>114</v>
      </c>
      <c r="D2992" s="108">
        <v>35.6</v>
      </c>
      <c r="E2992" s="34" t="s">
        <v>79</v>
      </c>
      <c r="F2992" s="109">
        <v>8.1</v>
      </c>
      <c r="G2992" s="36">
        <f t="shared" ref="G2992:G2997" si="712">F2992*6.3</f>
        <v>51.029999999999994</v>
      </c>
      <c r="H2992" s="37">
        <v>24</v>
      </c>
      <c r="I2992" s="109">
        <f t="shared" ref="I2992:I2997" si="713">G2992*H2992</f>
        <v>1224.7199999999998</v>
      </c>
      <c r="J2992" s="123">
        <v>900</v>
      </c>
    </row>
    <row r="2993" spans="1:10" x14ac:dyDescent="0.25">
      <c r="A2993" s="31" t="s">
        <v>588</v>
      </c>
      <c r="B2993" s="37" t="s">
        <v>323</v>
      </c>
      <c r="C2993" s="34" t="s">
        <v>86</v>
      </c>
      <c r="D2993" s="108">
        <v>0</v>
      </c>
      <c r="E2993" s="34" t="s">
        <v>79</v>
      </c>
      <c r="F2993" s="110">
        <v>9.15</v>
      </c>
      <c r="G2993" s="36">
        <f t="shared" si="712"/>
        <v>57.645000000000003</v>
      </c>
      <c r="H2993" s="37">
        <v>24</v>
      </c>
      <c r="I2993" s="109">
        <f t="shared" si="713"/>
        <v>1383.48</v>
      </c>
      <c r="J2993" s="123">
        <v>1400</v>
      </c>
    </row>
    <row r="2994" spans="1:10" x14ac:dyDescent="0.25">
      <c r="A2994" s="31" t="s">
        <v>588</v>
      </c>
      <c r="B2994" s="50" t="s">
        <v>324</v>
      </c>
      <c r="C2994" s="34" t="s">
        <v>443</v>
      </c>
      <c r="D2994" s="108" t="s">
        <v>38</v>
      </c>
      <c r="E2994" s="34" t="s">
        <v>79</v>
      </c>
      <c r="F2994" s="36">
        <v>3.4</v>
      </c>
      <c r="G2994" s="36">
        <f t="shared" si="712"/>
        <v>21.419999999999998</v>
      </c>
      <c r="H2994" s="37">
        <v>24</v>
      </c>
      <c r="I2994" s="109">
        <f t="shared" si="713"/>
        <v>514.07999999999993</v>
      </c>
      <c r="J2994" s="123">
        <v>500</v>
      </c>
    </row>
    <row r="2995" spans="1:10" x14ac:dyDescent="0.25">
      <c r="A2995" s="31" t="s">
        <v>588</v>
      </c>
      <c r="B2995" s="75" t="s">
        <v>317</v>
      </c>
      <c r="C2995" s="111" t="s">
        <v>156</v>
      </c>
      <c r="D2995" s="111">
        <v>96.2</v>
      </c>
      <c r="E2995" s="42" t="s">
        <v>79</v>
      </c>
      <c r="F2995" s="74">
        <v>10.45</v>
      </c>
      <c r="G2995" s="36">
        <f t="shared" si="712"/>
        <v>65.834999999999994</v>
      </c>
      <c r="H2995" s="37">
        <v>24</v>
      </c>
      <c r="I2995" s="109">
        <f t="shared" si="713"/>
        <v>1580.04</v>
      </c>
      <c r="J2995" s="123">
        <v>1600</v>
      </c>
    </row>
    <row r="2996" spans="1:10" x14ac:dyDescent="0.25">
      <c r="A2996" s="31" t="s">
        <v>588</v>
      </c>
      <c r="B2996" s="37" t="s">
        <v>325</v>
      </c>
      <c r="C2996" s="34" t="s">
        <v>158</v>
      </c>
      <c r="D2996" s="46">
        <v>6.5</v>
      </c>
      <c r="E2996" s="34" t="s">
        <v>79</v>
      </c>
      <c r="F2996" s="74">
        <v>6.52</v>
      </c>
      <c r="G2996" s="36">
        <f t="shared" si="712"/>
        <v>41.075999999999993</v>
      </c>
      <c r="H2996" s="37">
        <v>24</v>
      </c>
      <c r="I2996" s="109">
        <f t="shared" si="713"/>
        <v>985.82399999999984</v>
      </c>
      <c r="J2996" s="123">
        <v>1000</v>
      </c>
    </row>
    <row r="2997" spans="1:10" ht="15.75" thickBot="1" x14ac:dyDescent="0.3">
      <c r="A2997" s="31" t="s">
        <v>588</v>
      </c>
      <c r="B2997" s="43" t="s">
        <v>326</v>
      </c>
      <c r="C2997" s="52" t="s">
        <v>152</v>
      </c>
      <c r="D2997" s="72">
        <v>0</v>
      </c>
      <c r="E2997" s="42" t="s">
        <v>79</v>
      </c>
      <c r="F2997" s="73">
        <v>8.6</v>
      </c>
      <c r="G2997" s="74">
        <f t="shared" si="712"/>
        <v>54.18</v>
      </c>
      <c r="H2997" s="43">
        <v>24</v>
      </c>
      <c r="I2997" s="399">
        <f t="shared" si="713"/>
        <v>1300.32</v>
      </c>
      <c r="J2997" s="124">
        <v>1300</v>
      </c>
    </row>
    <row r="2998" spans="1:10" ht="19.5" thickBot="1" x14ac:dyDescent="0.35">
      <c r="A2998" s="206"/>
      <c r="B2998" s="336"/>
      <c r="C2998" s="336"/>
      <c r="D2998" s="336"/>
      <c r="E2998" s="336"/>
      <c r="F2998" s="336"/>
      <c r="G2998" s="337"/>
      <c r="H2998" s="174" t="s">
        <v>171</v>
      </c>
      <c r="I2998" s="238">
        <f>SUM(I2992:I2997)</f>
        <v>6988.463999999999</v>
      </c>
      <c r="J2998" s="104">
        <v>6700</v>
      </c>
    </row>
    <row r="2999" spans="1:10" x14ac:dyDescent="0.25">
      <c r="A2999" s="31" t="s">
        <v>589</v>
      </c>
      <c r="B2999" s="37" t="s">
        <v>322</v>
      </c>
      <c r="C2999" s="34" t="s">
        <v>114</v>
      </c>
      <c r="D2999" s="108">
        <v>33.49</v>
      </c>
      <c r="E2999" s="34" t="s">
        <v>79</v>
      </c>
      <c r="F2999" s="109">
        <v>6.5</v>
      </c>
      <c r="G2999" s="36">
        <f t="shared" ref="G2999:G3004" si="714">F2999*6.3</f>
        <v>40.949999999999996</v>
      </c>
      <c r="H2999" s="37">
        <v>24</v>
      </c>
      <c r="I2999" s="109">
        <f t="shared" ref="I2999:I3004" si="715">G2999*H2999</f>
        <v>982.8</v>
      </c>
      <c r="J2999" s="123">
        <v>900</v>
      </c>
    </row>
    <row r="3000" spans="1:10" x14ac:dyDescent="0.25">
      <c r="A3000" s="31" t="s">
        <v>589</v>
      </c>
      <c r="B3000" s="37" t="s">
        <v>323</v>
      </c>
      <c r="C3000" s="34" t="s">
        <v>86</v>
      </c>
      <c r="D3000" s="108">
        <v>0</v>
      </c>
      <c r="E3000" s="34" t="s">
        <v>79</v>
      </c>
      <c r="F3000" s="110">
        <v>8.5</v>
      </c>
      <c r="G3000" s="36">
        <f t="shared" si="714"/>
        <v>53.55</v>
      </c>
      <c r="H3000" s="37">
        <v>24</v>
      </c>
      <c r="I3000" s="109">
        <f t="shared" si="715"/>
        <v>1285.1999999999998</v>
      </c>
      <c r="J3000" s="123">
        <v>1400</v>
      </c>
    </row>
    <row r="3001" spans="1:10" x14ac:dyDescent="0.25">
      <c r="A3001" s="31" t="s">
        <v>589</v>
      </c>
      <c r="B3001" s="50" t="s">
        <v>324</v>
      </c>
      <c r="C3001" s="34" t="s">
        <v>443</v>
      </c>
      <c r="D3001" s="108" t="s">
        <v>38</v>
      </c>
      <c r="E3001" s="34" t="s">
        <v>79</v>
      </c>
      <c r="F3001" s="36">
        <v>3.18</v>
      </c>
      <c r="G3001" s="36">
        <f t="shared" si="714"/>
        <v>20.033999999999999</v>
      </c>
      <c r="H3001" s="37">
        <v>24</v>
      </c>
      <c r="I3001" s="109">
        <f t="shared" si="715"/>
        <v>480.81599999999997</v>
      </c>
      <c r="J3001" s="123">
        <v>500</v>
      </c>
    </row>
    <row r="3002" spans="1:10" x14ac:dyDescent="0.25">
      <c r="A3002" s="31" t="s">
        <v>589</v>
      </c>
      <c r="B3002" s="75" t="s">
        <v>317</v>
      </c>
      <c r="C3002" s="111" t="s">
        <v>156</v>
      </c>
      <c r="D3002" s="111">
        <v>81.540000000000006</v>
      </c>
      <c r="E3002" s="42" t="s">
        <v>79</v>
      </c>
      <c r="F3002" s="74">
        <v>10.210000000000001</v>
      </c>
      <c r="G3002" s="36">
        <f t="shared" si="714"/>
        <v>64.323000000000008</v>
      </c>
      <c r="H3002" s="37">
        <v>24</v>
      </c>
      <c r="I3002" s="109">
        <f t="shared" si="715"/>
        <v>1543.7520000000002</v>
      </c>
      <c r="J3002" s="123">
        <v>1600</v>
      </c>
    </row>
    <row r="3003" spans="1:10" x14ac:dyDescent="0.25">
      <c r="A3003" s="31" t="s">
        <v>589</v>
      </c>
      <c r="B3003" s="37" t="s">
        <v>325</v>
      </c>
      <c r="C3003" s="34" t="s">
        <v>158</v>
      </c>
      <c r="D3003" s="46">
        <v>1.35</v>
      </c>
      <c r="E3003" s="34" t="s">
        <v>79</v>
      </c>
      <c r="F3003" s="74">
        <v>6.05</v>
      </c>
      <c r="G3003" s="36">
        <f t="shared" si="714"/>
        <v>38.114999999999995</v>
      </c>
      <c r="H3003" s="37">
        <v>24</v>
      </c>
      <c r="I3003" s="109">
        <f t="shared" si="715"/>
        <v>914.75999999999988</v>
      </c>
      <c r="J3003" s="123">
        <v>1000</v>
      </c>
    </row>
    <row r="3004" spans="1:10" ht="15.75" thickBot="1" x14ac:dyDescent="0.3">
      <c r="A3004" s="31" t="s">
        <v>589</v>
      </c>
      <c r="B3004" s="43" t="s">
        <v>326</v>
      </c>
      <c r="C3004" s="52" t="s">
        <v>152</v>
      </c>
      <c r="D3004" s="72">
        <v>0</v>
      </c>
      <c r="E3004" s="42" t="s">
        <v>79</v>
      </c>
      <c r="F3004" s="73">
        <v>8.5</v>
      </c>
      <c r="G3004" s="74">
        <f t="shared" si="714"/>
        <v>53.55</v>
      </c>
      <c r="H3004" s="43">
        <v>24</v>
      </c>
      <c r="I3004" s="399">
        <f t="shared" si="715"/>
        <v>1285.1999999999998</v>
      </c>
      <c r="J3004" s="124">
        <v>1300</v>
      </c>
    </row>
    <row r="3005" spans="1:10" ht="19.5" thickBot="1" x14ac:dyDescent="0.35">
      <c r="A3005" s="206"/>
      <c r="B3005" s="336"/>
      <c r="C3005" s="336"/>
      <c r="D3005" s="336"/>
      <c r="E3005" s="336"/>
      <c r="F3005" s="336"/>
      <c r="G3005" s="337"/>
      <c r="H3005" s="174" t="s">
        <v>171</v>
      </c>
      <c r="I3005" s="238">
        <f>SUM(I2999:I3004)</f>
        <v>6492.5280000000002</v>
      </c>
      <c r="J3005" s="104">
        <v>6700</v>
      </c>
    </row>
    <row r="3006" spans="1:10" x14ac:dyDescent="0.25">
      <c r="A3006" s="31" t="s">
        <v>590</v>
      </c>
      <c r="B3006" s="37" t="s">
        <v>322</v>
      </c>
      <c r="C3006" s="34" t="s">
        <v>114</v>
      </c>
      <c r="D3006" s="108">
        <v>35.42</v>
      </c>
      <c r="E3006" s="34" t="s">
        <v>79</v>
      </c>
      <c r="F3006" s="109">
        <v>7.8</v>
      </c>
      <c r="G3006" s="36">
        <f t="shared" ref="G3006:G3011" si="716">F3006*6.3</f>
        <v>49.14</v>
      </c>
      <c r="H3006" s="37">
        <v>24</v>
      </c>
      <c r="I3006" s="109">
        <f t="shared" ref="I3006:I3011" si="717">G3006*H3006</f>
        <v>1179.3600000000001</v>
      </c>
      <c r="J3006" s="123">
        <v>900</v>
      </c>
    </row>
    <row r="3007" spans="1:10" x14ac:dyDescent="0.25">
      <c r="A3007" s="31" t="s">
        <v>590</v>
      </c>
      <c r="B3007" s="37" t="s">
        <v>323</v>
      </c>
      <c r="C3007" s="34" t="s">
        <v>86</v>
      </c>
      <c r="D3007" s="108">
        <v>0</v>
      </c>
      <c r="E3007" s="34" t="s">
        <v>79</v>
      </c>
      <c r="F3007" s="110">
        <v>9.25</v>
      </c>
      <c r="G3007" s="36">
        <f t="shared" si="716"/>
        <v>58.274999999999999</v>
      </c>
      <c r="H3007" s="37">
        <v>24</v>
      </c>
      <c r="I3007" s="109">
        <f t="shared" si="717"/>
        <v>1398.6</v>
      </c>
      <c r="J3007" s="123">
        <v>1400</v>
      </c>
    </row>
    <row r="3008" spans="1:10" x14ac:dyDescent="0.25">
      <c r="A3008" s="31" t="s">
        <v>590</v>
      </c>
      <c r="B3008" s="50" t="s">
        <v>324</v>
      </c>
      <c r="C3008" s="34" t="s">
        <v>443</v>
      </c>
      <c r="D3008" s="108" t="s">
        <v>38</v>
      </c>
      <c r="E3008" s="34" t="s">
        <v>79</v>
      </c>
      <c r="F3008" s="36">
        <v>3.41</v>
      </c>
      <c r="G3008" s="36">
        <f t="shared" si="716"/>
        <v>21.483000000000001</v>
      </c>
      <c r="H3008" s="37">
        <v>24</v>
      </c>
      <c r="I3008" s="109">
        <f t="shared" si="717"/>
        <v>515.59199999999998</v>
      </c>
      <c r="J3008" s="123">
        <v>500</v>
      </c>
    </row>
    <row r="3009" spans="1:10" x14ac:dyDescent="0.25">
      <c r="A3009" s="31" t="s">
        <v>590</v>
      </c>
      <c r="B3009" s="75" t="s">
        <v>317</v>
      </c>
      <c r="C3009" s="111" t="s">
        <v>156</v>
      </c>
      <c r="D3009" s="111">
        <v>98.14</v>
      </c>
      <c r="E3009" s="42" t="s">
        <v>79</v>
      </c>
      <c r="F3009" s="74">
        <v>10.59</v>
      </c>
      <c r="G3009" s="36">
        <f t="shared" si="716"/>
        <v>66.716999999999999</v>
      </c>
      <c r="H3009" s="37">
        <v>24</v>
      </c>
      <c r="I3009" s="109">
        <f t="shared" si="717"/>
        <v>1601.2080000000001</v>
      </c>
      <c r="J3009" s="123">
        <v>1600</v>
      </c>
    </row>
    <row r="3010" spans="1:10" x14ac:dyDescent="0.25">
      <c r="A3010" s="31" t="s">
        <v>590</v>
      </c>
      <c r="B3010" s="37" t="s">
        <v>325</v>
      </c>
      <c r="C3010" s="34" t="s">
        <v>158</v>
      </c>
      <c r="D3010" s="46">
        <v>6.24</v>
      </c>
      <c r="E3010" s="34" t="s">
        <v>79</v>
      </c>
      <c r="F3010" s="74">
        <v>6.48</v>
      </c>
      <c r="G3010" s="36">
        <f t="shared" si="716"/>
        <v>40.823999999999998</v>
      </c>
      <c r="H3010" s="37">
        <v>24</v>
      </c>
      <c r="I3010" s="109">
        <f t="shared" si="717"/>
        <v>979.77599999999995</v>
      </c>
      <c r="J3010" s="123">
        <v>1000</v>
      </c>
    </row>
    <row r="3011" spans="1:10" ht="15.75" thickBot="1" x14ac:dyDescent="0.3">
      <c r="A3011" s="31" t="s">
        <v>590</v>
      </c>
      <c r="B3011" s="43" t="s">
        <v>326</v>
      </c>
      <c r="C3011" s="52" t="s">
        <v>152</v>
      </c>
      <c r="D3011" s="72">
        <v>0</v>
      </c>
      <c r="E3011" s="42" t="s">
        <v>79</v>
      </c>
      <c r="F3011" s="73">
        <v>8.6199999999999992</v>
      </c>
      <c r="G3011" s="74">
        <f t="shared" si="716"/>
        <v>54.30599999999999</v>
      </c>
      <c r="H3011" s="43">
        <v>22.5</v>
      </c>
      <c r="I3011" s="399">
        <f t="shared" si="717"/>
        <v>1221.8849999999998</v>
      </c>
      <c r="J3011" s="124">
        <v>1300</v>
      </c>
    </row>
    <row r="3012" spans="1:10" ht="19.5" thickBot="1" x14ac:dyDescent="0.35">
      <c r="A3012" s="206"/>
      <c r="B3012" s="336"/>
      <c r="C3012" s="336"/>
      <c r="D3012" s="336"/>
      <c r="E3012" s="336"/>
      <c r="F3012" s="336"/>
      <c r="G3012" s="337"/>
      <c r="H3012" s="419" t="s">
        <v>171</v>
      </c>
      <c r="I3012" s="418">
        <f>SUM(I3006:I3011)</f>
        <v>6896.4210000000003</v>
      </c>
      <c r="J3012" s="104">
        <v>6700</v>
      </c>
    </row>
    <row r="3013" spans="1:10" x14ac:dyDescent="0.25">
      <c r="A3013" s="31" t="s">
        <v>591</v>
      </c>
      <c r="B3013" s="37" t="s">
        <v>322</v>
      </c>
      <c r="C3013" s="34" t="s">
        <v>114</v>
      </c>
      <c r="D3013" s="108">
        <v>35.688000000000002</v>
      </c>
      <c r="E3013" s="34" t="s">
        <v>79</v>
      </c>
      <c r="F3013" s="109">
        <v>7.95</v>
      </c>
      <c r="G3013" s="36">
        <f t="shared" ref="G3013:G3018" si="718">F3013*6.3</f>
        <v>50.085000000000001</v>
      </c>
      <c r="H3013" s="37">
        <v>24</v>
      </c>
      <c r="I3013" s="109">
        <f t="shared" ref="I3013:I3018" si="719">G3013*H3013</f>
        <v>1202.04</v>
      </c>
      <c r="J3013" s="123">
        <v>900</v>
      </c>
    </row>
    <row r="3014" spans="1:10" x14ac:dyDescent="0.25">
      <c r="A3014" s="31" t="s">
        <v>591</v>
      </c>
      <c r="B3014" s="37" t="s">
        <v>323</v>
      </c>
      <c r="C3014" s="34" t="s">
        <v>86</v>
      </c>
      <c r="D3014" s="108" t="s">
        <v>38</v>
      </c>
      <c r="E3014" s="34" t="s">
        <v>79</v>
      </c>
      <c r="F3014" s="110">
        <v>9.3699999999999992</v>
      </c>
      <c r="G3014" s="36">
        <f t="shared" si="718"/>
        <v>59.030999999999992</v>
      </c>
      <c r="H3014" s="37">
        <v>24</v>
      </c>
      <c r="I3014" s="109">
        <f t="shared" si="719"/>
        <v>1416.7439999999997</v>
      </c>
      <c r="J3014" s="123">
        <v>1400</v>
      </c>
    </row>
    <row r="3015" spans="1:10" x14ac:dyDescent="0.25">
      <c r="A3015" s="31" t="s">
        <v>591</v>
      </c>
      <c r="B3015" s="50" t="s">
        <v>324</v>
      </c>
      <c r="C3015" s="34" t="s">
        <v>443</v>
      </c>
      <c r="D3015" s="108" t="s">
        <v>38</v>
      </c>
      <c r="E3015" s="34" t="s">
        <v>79</v>
      </c>
      <c r="F3015" s="36">
        <v>3.55</v>
      </c>
      <c r="G3015" s="36">
        <f t="shared" si="718"/>
        <v>22.364999999999998</v>
      </c>
      <c r="H3015" s="37">
        <v>24</v>
      </c>
      <c r="I3015" s="109">
        <f t="shared" si="719"/>
        <v>536.76</v>
      </c>
      <c r="J3015" s="123">
        <v>500</v>
      </c>
    </row>
    <row r="3016" spans="1:10" x14ac:dyDescent="0.25">
      <c r="A3016" s="31" t="s">
        <v>591</v>
      </c>
      <c r="B3016" s="75" t="s">
        <v>317</v>
      </c>
      <c r="C3016" s="111" t="s">
        <v>156</v>
      </c>
      <c r="D3016" s="111">
        <v>99.37</v>
      </c>
      <c r="E3016" s="42" t="s">
        <v>79</v>
      </c>
      <c r="F3016" s="74">
        <v>10.8</v>
      </c>
      <c r="G3016" s="36">
        <f t="shared" si="718"/>
        <v>68.040000000000006</v>
      </c>
      <c r="H3016" s="37">
        <v>24</v>
      </c>
      <c r="I3016" s="109">
        <f t="shared" si="719"/>
        <v>1632.96</v>
      </c>
      <c r="J3016" s="123">
        <v>1600</v>
      </c>
    </row>
    <row r="3017" spans="1:10" x14ac:dyDescent="0.25">
      <c r="A3017" s="31" t="s">
        <v>591</v>
      </c>
      <c r="B3017" s="37" t="s">
        <v>325</v>
      </c>
      <c r="C3017" s="34" t="s">
        <v>158</v>
      </c>
      <c r="D3017" s="46">
        <v>7.95</v>
      </c>
      <c r="E3017" s="34" t="s">
        <v>79</v>
      </c>
      <c r="F3017" s="74">
        <v>6.76</v>
      </c>
      <c r="G3017" s="36">
        <f t="shared" si="718"/>
        <v>42.588000000000001</v>
      </c>
      <c r="H3017" s="37">
        <v>24</v>
      </c>
      <c r="I3017" s="109">
        <f t="shared" si="719"/>
        <v>1022.1120000000001</v>
      </c>
      <c r="J3017" s="123">
        <v>1000</v>
      </c>
    </row>
    <row r="3018" spans="1:10" ht="15.75" thickBot="1" x14ac:dyDescent="0.3">
      <c r="A3018" s="31" t="s">
        <v>591</v>
      </c>
      <c r="B3018" s="43" t="s">
        <v>326</v>
      </c>
      <c r="C3018" s="52" t="s">
        <v>152</v>
      </c>
      <c r="D3018" s="72">
        <v>0</v>
      </c>
      <c r="E3018" s="42" t="s">
        <v>79</v>
      </c>
      <c r="F3018" s="73">
        <v>8.77</v>
      </c>
      <c r="G3018" s="74">
        <f t="shared" si="718"/>
        <v>55.250999999999998</v>
      </c>
      <c r="H3018" s="43">
        <v>24</v>
      </c>
      <c r="I3018" s="399">
        <f t="shared" si="719"/>
        <v>1326.0239999999999</v>
      </c>
      <c r="J3018" s="124">
        <v>1300</v>
      </c>
    </row>
    <row r="3019" spans="1:10" ht="19.5" thickBot="1" x14ac:dyDescent="0.35">
      <c r="A3019" s="206"/>
      <c r="B3019" s="336"/>
      <c r="C3019" s="336"/>
      <c r="D3019" s="336"/>
      <c r="E3019" s="336"/>
      <c r="F3019" s="336"/>
      <c r="G3019" s="337"/>
      <c r="H3019" s="174" t="s">
        <v>171</v>
      </c>
      <c r="I3019" s="238">
        <f>SUM(I3013:I3018)</f>
        <v>7136.6399999999994</v>
      </c>
      <c r="J3019" s="104">
        <v>6700</v>
      </c>
    </row>
    <row r="3020" spans="1:10" x14ac:dyDescent="0.25">
      <c r="A3020" s="31" t="s">
        <v>592</v>
      </c>
      <c r="B3020" s="37" t="s">
        <v>322</v>
      </c>
      <c r="C3020" s="34" t="s">
        <v>114</v>
      </c>
      <c r="D3020" s="108">
        <v>33.909999999999997</v>
      </c>
      <c r="E3020" s="34" t="s">
        <v>79</v>
      </c>
      <c r="F3020" s="109">
        <v>7.6</v>
      </c>
      <c r="G3020" s="36">
        <f t="shared" ref="G3020:G3025" si="720">F3020*6.3</f>
        <v>47.879999999999995</v>
      </c>
      <c r="H3020" s="37">
        <v>24</v>
      </c>
      <c r="I3020" s="109">
        <f t="shared" ref="I3020:I3025" si="721">G3020*H3020</f>
        <v>1149.1199999999999</v>
      </c>
      <c r="J3020" s="123">
        <v>900</v>
      </c>
    </row>
    <row r="3021" spans="1:10" x14ac:dyDescent="0.25">
      <c r="A3021" s="31" t="s">
        <v>592</v>
      </c>
      <c r="B3021" s="37" t="s">
        <v>323</v>
      </c>
      <c r="C3021" s="34" t="s">
        <v>86</v>
      </c>
      <c r="D3021" s="108" t="s">
        <v>38</v>
      </c>
      <c r="E3021" s="34" t="s">
        <v>79</v>
      </c>
      <c r="F3021" s="110">
        <v>9.1199999999999992</v>
      </c>
      <c r="G3021" s="36">
        <f t="shared" si="720"/>
        <v>57.455999999999996</v>
      </c>
      <c r="H3021" s="37">
        <v>24</v>
      </c>
      <c r="I3021" s="109">
        <f t="shared" si="721"/>
        <v>1378.944</v>
      </c>
      <c r="J3021" s="123">
        <v>1400</v>
      </c>
    </row>
    <row r="3022" spans="1:10" x14ac:dyDescent="0.25">
      <c r="A3022" s="31" t="s">
        <v>592</v>
      </c>
      <c r="B3022" s="50" t="s">
        <v>324</v>
      </c>
      <c r="C3022" s="34" t="s">
        <v>443</v>
      </c>
      <c r="D3022" s="108" t="s">
        <v>38</v>
      </c>
      <c r="E3022" s="34" t="s">
        <v>79</v>
      </c>
      <c r="F3022" s="36">
        <v>3.42</v>
      </c>
      <c r="G3022" s="36">
        <f t="shared" si="720"/>
        <v>21.545999999999999</v>
      </c>
      <c r="H3022" s="37">
        <v>24</v>
      </c>
      <c r="I3022" s="109">
        <f t="shared" si="721"/>
        <v>517.10400000000004</v>
      </c>
      <c r="J3022" s="123">
        <v>500</v>
      </c>
    </row>
    <row r="3023" spans="1:10" x14ac:dyDescent="0.25">
      <c r="A3023" s="31" t="s">
        <v>592</v>
      </c>
      <c r="B3023" s="75" t="s">
        <v>317</v>
      </c>
      <c r="C3023" s="111" t="s">
        <v>156</v>
      </c>
      <c r="D3023" s="111">
        <v>86.93</v>
      </c>
      <c r="E3023" s="42" t="s">
        <v>79</v>
      </c>
      <c r="F3023" s="74">
        <v>10.35</v>
      </c>
      <c r="G3023" s="36">
        <f t="shared" si="720"/>
        <v>65.204999999999998</v>
      </c>
      <c r="H3023" s="37">
        <v>24</v>
      </c>
      <c r="I3023" s="109">
        <f t="shared" si="721"/>
        <v>1564.92</v>
      </c>
      <c r="J3023" s="123">
        <v>1600</v>
      </c>
    </row>
    <row r="3024" spans="1:10" x14ac:dyDescent="0.25">
      <c r="A3024" s="31" t="s">
        <v>592</v>
      </c>
      <c r="B3024" s="37" t="s">
        <v>325</v>
      </c>
      <c r="C3024" s="34" t="s">
        <v>158</v>
      </c>
      <c r="D3024" s="46">
        <v>6.9</v>
      </c>
      <c r="E3024" s="34" t="s">
        <v>79</v>
      </c>
      <c r="F3024" s="74">
        <v>6.64</v>
      </c>
      <c r="G3024" s="36">
        <f t="shared" si="720"/>
        <v>41.831999999999994</v>
      </c>
      <c r="H3024" s="37">
        <v>24</v>
      </c>
      <c r="I3024" s="109">
        <f t="shared" si="721"/>
        <v>1003.9679999999998</v>
      </c>
      <c r="J3024" s="123">
        <v>1000</v>
      </c>
    </row>
    <row r="3025" spans="1:10" ht="15.75" thickBot="1" x14ac:dyDescent="0.3">
      <c r="A3025" s="31" t="s">
        <v>592</v>
      </c>
      <c r="B3025" s="43" t="s">
        <v>326</v>
      </c>
      <c r="C3025" s="52" t="s">
        <v>152</v>
      </c>
      <c r="D3025" s="72">
        <v>0</v>
      </c>
      <c r="E3025" s="42" t="s">
        <v>79</v>
      </c>
      <c r="F3025" s="73">
        <v>8.48</v>
      </c>
      <c r="G3025" s="74">
        <f t="shared" si="720"/>
        <v>53.423999999999999</v>
      </c>
      <c r="H3025" s="43">
        <v>24</v>
      </c>
      <c r="I3025" s="399">
        <f t="shared" si="721"/>
        <v>1282.1759999999999</v>
      </c>
      <c r="J3025" s="124">
        <v>1300</v>
      </c>
    </row>
    <row r="3026" spans="1:10" ht="19.5" thickBot="1" x14ac:dyDescent="0.35">
      <c r="A3026" s="206"/>
      <c r="B3026" s="336"/>
      <c r="C3026" s="336"/>
      <c r="D3026" s="336"/>
      <c r="E3026" s="336"/>
      <c r="F3026" s="336"/>
      <c r="G3026" s="337"/>
      <c r="H3026" s="174" t="s">
        <v>171</v>
      </c>
      <c r="I3026" s="238">
        <f>SUM(I3020:I3025)</f>
        <v>6896.232</v>
      </c>
      <c r="J3026" s="104">
        <v>6700</v>
      </c>
    </row>
    <row r="3027" spans="1:10" x14ac:dyDescent="0.25">
      <c r="A3027" s="31" t="s">
        <v>593</v>
      </c>
      <c r="B3027" s="37" t="s">
        <v>322</v>
      </c>
      <c r="C3027" s="34" t="s">
        <v>114</v>
      </c>
      <c r="D3027" s="108">
        <v>35.130000000000003</v>
      </c>
      <c r="E3027" s="34" t="s">
        <v>79</v>
      </c>
      <c r="F3027" s="109">
        <v>7.57</v>
      </c>
      <c r="G3027" s="36">
        <f t="shared" ref="G3027:G3032" si="722">F3027*6.3</f>
        <v>47.691000000000003</v>
      </c>
      <c r="H3027" s="37">
        <v>24</v>
      </c>
      <c r="I3027" s="109">
        <f t="shared" ref="I3027:I3032" si="723">G3027*H3027</f>
        <v>1144.5840000000001</v>
      </c>
      <c r="J3027" s="123">
        <v>900</v>
      </c>
    </row>
    <row r="3028" spans="1:10" x14ac:dyDescent="0.25">
      <c r="A3028" s="31" t="s">
        <v>593</v>
      </c>
      <c r="B3028" s="37" t="s">
        <v>323</v>
      </c>
      <c r="C3028" s="34" t="s">
        <v>86</v>
      </c>
      <c r="D3028" s="108" t="s">
        <v>38</v>
      </c>
      <c r="E3028" s="34" t="s">
        <v>79</v>
      </c>
      <c r="F3028" s="110">
        <v>9.17</v>
      </c>
      <c r="G3028" s="36">
        <f t="shared" si="722"/>
        <v>57.771000000000001</v>
      </c>
      <c r="H3028" s="37">
        <v>24</v>
      </c>
      <c r="I3028" s="109">
        <f t="shared" si="723"/>
        <v>1386.5039999999999</v>
      </c>
      <c r="J3028" s="123">
        <v>1400</v>
      </c>
    </row>
    <row r="3029" spans="1:10" x14ac:dyDescent="0.25">
      <c r="A3029" s="31" t="s">
        <v>593</v>
      </c>
      <c r="B3029" s="50" t="s">
        <v>324</v>
      </c>
      <c r="C3029" s="34" t="s">
        <v>443</v>
      </c>
      <c r="D3029" s="108" t="s">
        <v>38</v>
      </c>
      <c r="E3029" s="34" t="s">
        <v>79</v>
      </c>
      <c r="F3029" s="36">
        <v>3.48</v>
      </c>
      <c r="G3029" s="36">
        <f t="shared" si="722"/>
        <v>21.923999999999999</v>
      </c>
      <c r="H3029" s="37">
        <v>24</v>
      </c>
      <c r="I3029" s="109">
        <f t="shared" si="723"/>
        <v>526.17599999999993</v>
      </c>
      <c r="J3029" s="123">
        <v>500</v>
      </c>
    </row>
    <row r="3030" spans="1:10" x14ac:dyDescent="0.25">
      <c r="A3030" s="31" t="s">
        <v>593</v>
      </c>
      <c r="B3030" s="75" t="s">
        <v>317</v>
      </c>
      <c r="C3030" s="111" t="s">
        <v>156</v>
      </c>
      <c r="D3030" s="111">
        <v>98.61</v>
      </c>
      <c r="E3030" s="42" t="s">
        <v>79</v>
      </c>
      <c r="F3030" s="74">
        <v>10.4</v>
      </c>
      <c r="G3030" s="36">
        <f t="shared" si="722"/>
        <v>65.52</v>
      </c>
      <c r="H3030" s="37">
        <v>24</v>
      </c>
      <c r="I3030" s="109">
        <f t="shared" si="723"/>
        <v>1572.48</v>
      </c>
      <c r="J3030" s="123">
        <v>1600</v>
      </c>
    </row>
    <row r="3031" spans="1:10" x14ac:dyDescent="0.25">
      <c r="A3031" s="31" t="s">
        <v>593</v>
      </c>
      <c r="B3031" s="37" t="s">
        <v>325</v>
      </c>
      <c r="C3031" s="34" t="s">
        <v>158</v>
      </c>
      <c r="D3031" s="46">
        <v>6.85</v>
      </c>
      <c r="E3031" s="34" t="s">
        <v>79</v>
      </c>
      <c r="F3031" s="74">
        <v>6.64</v>
      </c>
      <c r="G3031" s="36">
        <f t="shared" si="722"/>
        <v>41.831999999999994</v>
      </c>
      <c r="H3031" s="37">
        <v>24</v>
      </c>
      <c r="I3031" s="109">
        <f t="shared" si="723"/>
        <v>1003.9679999999998</v>
      </c>
      <c r="J3031" s="123">
        <v>1000</v>
      </c>
    </row>
    <row r="3032" spans="1:10" ht="15.75" thickBot="1" x14ac:dyDescent="0.3">
      <c r="A3032" s="31" t="s">
        <v>593</v>
      </c>
      <c r="B3032" s="43" t="s">
        <v>326</v>
      </c>
      <c r="C3032" s="52" t="s">
        <v>152</v>
      </c>
      <c r="D3032" s="72">
        <v>0</v>
      </c>
      <c r="E3032" s="42" t="s">
        <v>79</v>
      </c>
      <c r="F3032" s="73">
        <v>8.4499999999999993</v>
      </c>
      <c r="G3032" s="74">
        <f t="shared" si="722"/>
        <v>53.234999999999992</v>
      </c>
      <c r="H3032" s="43">
        <v>24</v>
      </c>
      <c r="I3032" s="399">
        <f t="shared" si="723"/>
        <v>1277.6399999999999</v>
      </c>
      <c r="J3032" s="124">
        <v>1300</v>
      </c>
    </row>
    <row r="3033" spans="1:10" ht="19.5" thickBot="1" x14ac:dyDescent="0.35">
      <c r="A3033" s="206"/>
      <c r="B3033" s="336"/>
      <c r="C3033" s="336"/>
      <c r="D3033" s="336"/>
      <c r="E3033" s="336"/>
      <c r="F3033" s="336"/>
      <c r="G3033" s="337"/>
      <c r="H3033" s="174" t="s">
        <v>171</v>
      </c>
      <c r="I3033" s="238">
        <f>SUM(I3027:I3032)</f>
        <v>6911.351999999999</v>
      </c>
      <c r="J3033" s="104">
        <v>6700</v>
      </c>
    </row>
    <row r="3034" spans="1:10" x14ac:dyDescent="0.25">
      <c r="A3034" s="31" t="s">
        <v>594</v>
      </c>
      <c r="B3034" s="37" t="s">
        <v>322</v>
      </c>
      <c r="C3034" s="34" t="s">
        <v>114</v>
      </c>
      <c r="D3034" s="108">
        <v>35.130000000000003</v>
      </c>
      <c r="E3034" s="34" t="s">
        <v>79</v>
      </c>
      <c r="F3034" s="109">
        <v>8</v>
      </c>
      <c r="G3034" s="36">
        <f t="shared" ref="G3034:G3039" si="724">F3034*6.3</f>
        <v>50.4</v>
      </c>
      <c r="H3034" s="37">
        <v>24</v>
      </c>
      <c r="I3034" s="109">
        <f t="shared" ref="I3034:I3039" si="725">G3034*H3034</f>
        <v>1209.5999999999999</v>
      </c>
      <c r="J3034" s="123">
        <v>900</v>
      </c>
    </row>
    <row r="3035" spans="1:10" x14ac:dyDescent="0.25">
      <c r="A3035" s="31" t="s">
        <v>594</v>
      </c>
      <c r="B3035" s="37" t="s">
        <v>323</v>
      </c>
      <c r="C3035" s="34" t="s">
        <v>86</v>
      </c>
      <c r="D3035" s="108" t="s">
        <v>38</v>
      </c>
      <c r="E3035" s="34" t="s">
        <v>79</v>
      </c>
      <c r="F3035" s="110">
        <v>10</v>
      </c>
      <c r="G3035" s="36">
        <f t="shared" si="724"/>
        <v>63</v>
      </c>
      <c r="H3035" s="37">
        <v>24</v>
      </c>
      <c r="I3035" s="109">
        <f t="shared" si="725"/>
        <v>1512</v>
      </c>
      <c r="J3035" s="123">
        <v>1400</v>
      </c>
    </row>
    <row r="3036" spans="1:10" x14ac:dyDescent="0.25">
      <c r="A3036" s="31" t="s">
        <v>594</v>
      </c>
      <c r="B3036" s="50" t="s">
        <v>324</v>
      </c>
      <c r="C3036" s="34" t="s">
        <v>443</v>
      </c>
      <c r="D3036" s="108" t="s">
        <v>38</v>
      </c>
      <c r="E3036" s="34" t="s">
        <v>79</v>
      </c>
      <c r="F3036" s="36">
        <v>3.48</v>
      </c>
      <c r="G3036" s="36">
        <f t="shared" si="724"/>
        <v>21.923999999999999</v>
      </c>
      <c r="H3036" s="37">
        <v>24</v>
      </c>
      <c r="I3036" s="109">
        <f t="shared" si="725"/>
        <v>526.17599999999993</v>
      </c>
      <c r="J3036" s="123">
        <v>500</v>
      </c>
    </row>
    <row r="3037" spans="1:10" x14ac:dyDescent="0.25">
      <c r="A3037" s="31" t="s">
        <v>594</v>
      </c>
      <c r="B3037" s="75" t="s">
        <v>317</v>
      </c>
      <c r="C3037" s="111" t="s">
        <v>156</v>
      </c>
      <c r="D3037" s="111">
        <v>98.61</v>
      </c>
      <c r="E3037" s="42" t="s">
        <v>79</v>
      </c>
      <c r="F3037" s="74">
        <v>10.4</v>
      </c>
      <c r="G3037" s="36">
        <f t="shared" si="724"/>
        <v>65.52</v>
      </c>
      <c r="H3037" s="37">
        <v>24</v>
      </c>
      <c r="I3037" s="109">
        <f t="shared" si="725"/>
        <v>1572.48</v>
      </c>
      <c r="J3037" s="123">
        <v>1600</v>
      </c>
    </row>
    <row r="3038" spans="1:10" x14ac:dyDescent="0.25">
      <c r="A3038" s="31" t="s">
        <v>594</v>
      </c>
      <c r="B3038" s="37" t="s">
        <v>325</v>
      </c>
      <c r="C3038" s="34" t="s">
        <v>158</v>
      </c>
      <c r="D3038" s="46">
        <v>6.85</v>
      </c>
      <c r="E3038" s="34" t="s">
        <v>79</v>
      </c>
      <c r="F3038" s="74">
        <v>6.64</v>
      </c>
      <c r="G3038" s="36">
        <f t="shared" si="724"/>
        <v>41.831999999999994</v>
      </c>
      <c r="H3038" s="37">
        <v>24</v>
      </c>
      <c r="I3038" s="109">
        <f t="shared" si="725"/>
        <v>1003.9679999999998</v>
      </c>
      <c r="J3038" s="123">
        <v>1000</v>
      </c>
    </row>
    <row r="3039" spans="1:10" ht="15.75" thickBot="1" x14ac:dyDescent="0.3">
      <c r="A3039" s="31" t="s">
        <v>594</v>
      </c>
      <c r="B3039" s="43" t="s">
        <v>326</v>
      </c>
      <c r="C3039" s="52" t="s">
        <v>152</v>
      </c>
      <c r="D3039" s="72">
        <v>0</v>
      </c>
      <c r="E3039" s="42" t="s">
        <v>79</v>
      </c>
      <c r="F3039" s="73">
        <v>8.4499999999999993</v>
      </c>
      <c r="G3039" s="74">
        <f t="shared" si="724"/>
        <v>53.234999999999992</v>
      </c>
      <c r="H3039" s="43">
        <v>24</v>
      </c>
      <c r="I3039" s="399">
        <f t="shared" si="725"/>
        <v>1277.6399999999999</v>
      </c>
      <c r="J3039" s="124">
        <v>1300</v>
      </c>
    </row>
    <row r="3040" spans="1:10" ht="19.5" thickBot="1" x14ac:dyDescent="0.35">
      <c r="A3040" s="206"/>
      <c r="B3040" s="336"/>
      <c r="C3040" s="336"/>
      <c r="D3040" s="336"/>
      <c r="E3040" s="336"/>
      <c r="F3040" s="336"/>
      <c r="G3040" s="337"/>
      <c r="H3040" s="174" t="s">
        <v>171</v>
      </c>
      <c r="I3040" s="238">
        <f>SUM(I3034:I3039)</f>
        <v>7101.8639999999996</v>
      </c>
      <c r="J3040" s="104">
        <v>6700</v>
      </c>
    </row>
    <row r="3041" spans="1:10" x14ac:dyDescent="0.25">
      <c r="A3041" s="31" t="s">
        <v>595</v>
      </c>
      <c r="B3041" s="37" t="s">
        <v>322</v>
      </c>
      <c r="C3041" s="34" t="s">
        <v>114</v>
      </c>
      <c r="D3041" s="108">
        <v>36</v>
      </c>
      <c r="E3041" s="34" t="s">
        <v>79</v>
      </c>
      <c r="F3041" s="109">
        <v>8.1999999999999993</v>
      </c>
      <c r="G3041" s="36">
        <f t="shared" ref="G3041:G3046" si="726">F3041*6.3</f>
        <v>51.66</v>
      </c>
      <c r="H3041" s="37">
        <v>24</v>
      </c>
      <c r="I3041" s="109">
        <f t="shared" ref="I3041:I3046" si="727">G3041*H3041</f>
        <v>1239.8399999999999</v>
      </c>
      <c r="J3041" s="123">
        <v>900</v>
      </c>
    </row>
    <row r="3042" spans="1:10" x14ac:dyDescent="0.25">
      <c r="A3042" s="31" t="s">
        <v>595</v>
      </c>
      <c r="B3042" s="37" t="s">
        <v>323</v>
      </c>
      <c r="C3042" s="34" t="s">
        <v>86</v>
      </c>
      <c r="D3042" s="108" t="s">
        <v>38</v>
      </c>
      <c r="E3042" s="34" t="s">
        <v>79</v>
      </c>
      <c r="F3042" s="110">
        <v>10.199999999999999</v>
      </c>
      <c r="G3042" s="36">
        <f t="shared" si="726"/>
        <v>64.259999999999991</v>
      </c>
      <c r="H3042" s="37">
        <v>24</v>
      </c>
      <c r="I3042" s="109">
        <f t="shared" si="727"/>
        <v>1542.2399999999998</v>
      </c>
      <c r="J3042" s="123">
        <v>1400</v>
      </c>
    </row>
    <row r="3043" spans="1:10" x14ac:dyDescent="0.25">
      <c r="A3043" s="31" t="s">
        <v>595</v>
      </c>
      <c r="B3043" s="50" t="s">
        <v>324</v>
      </c>
      <c r="C3043" s="34" t="s">
        <v>443</v>
      </c>
      <c r="D3043" s="108" t="s">
        <v>38</v>
      </c>
      <c r="E3043" s="34" t="s">
        <v>79</v>
      </c>
      <c r="F3043" s="36">
        <v>3.48</v>
      </c>
      <c r="G3043" s="36">
        <f t="shared" si="726"/>
        <v>21.923999999999999</v>
      </c>
      <c r="H3043" s="37">
        <v>24</v>
      </c>
      <c r="I3043" s="109">
        <f t="shared" si="727"/>
        <v>526.17599999999993</v>
      </c>
      <c r="J3043" s="123">
        <v>500</v>
      </c>
    </row>
    <row r="3044" spans="1:10" x14ac:dyDescent="0.25">
      <c r="A3044" s="31" t="s">
        <v>595</v>
      </c>
      <c r="B3044" s="75" t="s">
        <v>317</v>
      </c>
      <c r="C3044" s="111" t="s">
        <v>156</v>
      </c>
      <c r="D3044" s="111">
        <v>98.61</v>
      </c>
      <c r="E3044" s="42" t="s">
        <v>79</v>
      </c>
      <c r="F3044" s="74">
        <v>10.4</v>
      </c>
      <c r="G3044" s="36">
        <f t="shared" si="726"/>
        <v>65.52</v>
      </c>
      <c r="H3044" s="37">
        <v>24</v>
      </c>
      <c r="I3044" s="109">
        <f t="shared" si="727"/>
        <v>1572.48</v>
      </c>
      <c r="J3044" s="123">
        <v>1600</v>
      </c>
    </row>
    <row r="3045" spans="1:10" x14ac:dyDescent="0.25">
      <c r="A3045" s="31" t="s">
        <v>595</v>
      </c>
      <c r="B3045" s="37" t="s">
        <v>325</v>
      </c>
      <c r="C3045" s="34" t="s">
        <v>158</v>
      </c>
      <c r="D3045" s="46">
        <v>7</v>
      </c>
      <c r="E3045" s="34" t="s">
        <v>79</v>
      </c>
      <c r="F3045" s="74">
        <v>6.8</v>
      </c>
      <c r="G3045" s="36">
        <f t="shared" si="726"/>
        <v>42.839999999999996</v>
      </c>
      <c r="H3045" s="37">
        <v>24</v>
      </c>
      <c r="I3045" s="109">
        <f t="shared" si="727"/>
        <v>1028.1599999999999</v>
      </c>
      <c r="J3045" s="123">
        <v>1000</v>
      </c>
    </row>
    <row r="3046" spans="1:10" ht="15.75" thickBot="1" x14ac:dyDescent="0.3">
      <c r="A3046" s="31" t="s">
        <v>595</v>
      </c>
      <c r="B3046" s="43" t="s">
        <v>326</v>
      </c>
      <c r="C3046" s="52" t="s">
        <v>152</v>
      </c>
      <c r="D3046" s="72">
        <v>0</v>
      </c>
      <c r="E3046" s="42" t="s">
        <v>79</v>
      </c>
      <c r="F3046" s="73">
        <v>8.8000000000000007</v>
      </c>
      <c r="G3046" s="74">
        <f t="shared" si="726"/>
        <v>55.440000000000005</v>
      </c>
      <c r="H3046" s="43">
        <v>24</v>
      </c>
      <c r="I3046" s="399">
        <f t="shared" si="727"/>
        <v>1330.5600000000002</v>
      </c>
      <c r="J3046" s="124">
        <v>1300</v>
      </c>
    </row>
    <row r="3047" spans="1:10" ht="19.5" thickBot="1" x14ac:dyDescent="0.35">
      <c r="A3047" s="206"/>
      <c r="B3047" s="336"/>
      <c r="C3047" s="336"/>
      <c r="D3047" s="336"/>
      <c r="E3047" s="336"/>
      <c r="F3047" s="336"/>
      <c r="G3047" s="337"/>
      <c r="H3047" s="174" t="s">
        <v>171</v>
      </c>
      <c r="I3047" s="238">
        <f>SUM(I3041:I3046)</f>
        <v>7239.4560000000001</v>
      </c>
      <c r="J3047" s="104">
        <v>6700</v>
      </c>
    </row>
    <row r="3048" spans="1:10" x14ac:dyDescent="0.25">
      <c r="A3048" s="31" t="s">
        <v>596</v>
      </c>
      <c r="B3048" s="37" t="s">
        <v>322</v>
      </c>
      <c r="C3048" s="34" t="s">
        <v>114</v>
      </c>
      <c r="D3048" s="108">
        <v>36</v>
      </c>
      <c r="E3048" s="34" t="s">
        <v>79</v>
      </c>
      <c r="F3048" s="109">
        <v>8.3000000000000007</v>
      </c>
      <c r="G3048" s="36">
        <f t="shared" ref="G3048:G3053" si="728">F3048*6.3</f>
        <v>52.290000000000006</v>
      </c>
      <c r="H3048" s="37">
        <v>24</v>
      </c>
      <c r="I3048" s="109">
        <f t="shared" ref="I3048:I3053" si="729">G3048*H3048</f>
        <v>1254.96</v>
      </c>
      <c r="J3048" s="123">
        <v>900</v>
      </c>
    </row>
    <row r="3049" spans="1:10" x14ac:dyDescent="0.25">
      <c r="A3049" s="31" t="s">
        <v>596</v>
      </c>
      <c r="B3049" s="37" t="s">
        <v>323</v>
      </c>
      <c r="C3049" s="34" t="s">
        <v>86</v>
      </c>
      <c r="D3049" s="108" t="s">
        <v>38</v>
      </c>
      <c r="E3049" s="34" t="s">
        <v>79</v>
      </c>
      <c r="F3049" s="110">
        <v>10.4</v>
      </c>
      <c r="G3049" s="36">
        <f t="shared" si="728"/>
        <v>65.52</v>
      </c>
      <c r="H3049" s="37">
        <v>24</v>
      </c>
      <c r="I3049" s="109">
        <f t="shared" si="729"/>
        <v>1572.48</v>
      </c>
      <c r="J3049" s="123">
        <v>1400</v>
      </c>
    </row>
    <row r="3050" spans="1:10" x14ac:dyDescent="0.25">
      <c r="A3050" s="31" t="s">
        <v>596</v>
      </c>
      <c r="B3050" s="50" t="s">
        <v>324</v>
      </c>
      <c r="C3050" s="34" t="s">
        <v>443</v>
      </c>
      <c r="D3050" s="108" t="s">
        <v>38</v>
      </c>
      <c r="E3050" s="34" t="s">
        <v>79</v>
      </c>
      <c r="F3050" s="36">
        <v>3.48</v>
      </c>
      <c r="G3050" s="36">
        <f t="shared" si="728"/>
        <v>21.923999999999999</v>
      </c>
      <c r="H3050" s="37">
        <v>24</v>
      </c>
      <c r="I3050" s="109">
        <f t="shared" si="729"/>
        <v>526.17599999999993</v>
      </c>
      <c r="J3050" s="123">
        <v>500</v>
      </c>
    </row>
    <row r="3051" spans="1:10" x14ac:dyDescent="0.25">
      <c r="A3051" s="31" t="s">
        <v>596</v>
      </c>
      <c r="B3051" s="75" t="s">
        <v>317</v>
      </c>
      <c r="C3051" s="111" t="s">
        <v>156</v>
      </c>
      <c r="D3051" s="111">
        <v>98.61</v>
      </c>
      <c r="E3051" s="42" t="s">
        <v>79</v>
      </c>
      <c r="F3051" s="74">
        <v>10.3</v>
      </c>
      <c r="G3051" s="36">
        <f t="shared" si="728"/>
        <v>64.89</v>
      </c>
      <c r="H3051" s="37">
        <v>24</v>
      </c>
      <c r="I3051" s="109">
        <f t="shared" si="729"/>
        <v>1557.3600000000001</v>
      </c>
      <c r="J3051" s="123">
        <v>1600</v>
      </c>
    </row>
    <row r="3052" spans="1:10" x14ac:dyDescent="0.25">
      <c r="A3052" s="31" t="s">
        <v>596</v>
      </c>
      <c r="B3052" s="37" t="s">
        <v>325</v>
      </c>
      <c r="C3052" s="34" t="s">
        <v>158</v>
      </c>
      <c r="D3052" s="46">
        <v>7</v>
      </c>
      <c r="E3052" s="34" t="s">
        <v>79</v>
      </c>
      <c r="F3052" s="74">
        <v>6.8</v>
      </c>
      <c r="G3052" s="36">
        <f t="shared" si="728"/>
        <v>42.839999999999996</v>
      </c>
      <c r="H3052" s="37">
        <v>24</v>
      </c>
      <c r="I3052" s="109">
        <f t="shared" si="729"/>
        <v>1028.1599999999999</v>
      </c>
      <c r="J3052" s="123">
        <v>1000</v>
      </c>
    </row>
    <row r="3053" spans="1:10" ht="15.75" thickBot="1" x14ac:dyDescent="0.3">
      <c r="A3053" s="31" t="s">
        <v>596</v>
      </c>
      <c r="B3053" s="43" t="s">
        <v>326</v>
      </c>
      <c r="C3053" s="52" t="s">
        <v>152</v>
      </c>
      <c r="D3053" s="72">
        <v>0</v>
      </c>
      <c r="E3053" s="42" t="s">
        <v>79</v>
      </c>
      <c r="F3053" s="73">
        <v>8.8000000000000007</v>
      </c>
      <c r="G3053" s="74">
        <f t="shared" si="728"/>
        <v>55.440000000000005</v>
      </c>
      <c r="H3053" s="43">
        <v>24</v>
      </c>
      <c r="I3053" s="399">
        <f t="shared" si="729"/>
        <v>1330.5600000000002</v>
      </c>
      <c r="J3053" s="124">
        <v>1300</v>
      </c>
    </row>
    <row r="3054" spans="1:10" ht="19.5" thickBot="1" x14ac:dyDescent="0.35">
      <c r="A3054" s="206"/>
      <c r="B3054" s="336"/>
      <c r="C3054" s="336"/>
      <c r="D3054" s="336"/>
      <c r="E3054" s="336"/>
      <c r="F3054" s="336"/>
      <c r="G3054" s="337"/>
      <c r="H3054" s="174" t="s">
        <v>171</v>
      </c>
      <c r="I3054" s="238">
        <f>SUM(I3048:I3053)</f>
        <v>7269.6960000000008</v>
      </c>
      <c r="J3054" s="104">
        <v>6700</v>
      </c>
    </row>
    <row r="3055" spans="1:10" x14ac:dyDescent="0.25">
      <c r="A3055" s="31" t="s">
        <v>597</v>
      </c>
      <c r="B3055" s="37" t="s">
        <v>322</v>
      </c>
      <c r="C3055" s="34" t="s">
        <v>114</v>
      </c>
      <c r="D3055" s="108">
        <v>35</v>
      </c>
      <c r="E3055" s="34" t="s">
        <v>79</v>
      </c>
      <c r="F3055" s="109">
        <v>8.3000000000000007</v>
      </c>
      <c r="G3055" s="36">
        <f t="shared" ref="G3055:G3060" si="730">F3055*6.3</f>
        <v>52.290000000000006</v>
      </c>
      <c r="H3055" s="37">
        <v>24</v>
      </c>
      <c r="I3055" s="109">
        <f t="shared" ref="I3055:I3060" si="731">G3055*H3055</f>
        <v>1254.96</v>
      </c>
      <c r="J3055" s="123">
        <v>900</v>
      </c>
    </row>
    <row r="3056" spans="1:10" x14ac:dyDescent="0.25">
      <c r="A3056" s="31" t="s">
        <v>597</v>
      </c>
      <c r="B3056" s="37" t="s">
        <v>323</v>
      </c>
      <c r="C3056" s="34" t="s">
        <v>86</v>
      </c>
      <c r="D3056" s="108" t="s">
        <v>38</v>
      </c>
      <c r="E3056" s="34" t="s">
        <v>79</v>
      </c>
      <c r="F3056" s="110">
        <v>10.4</v>
      </c>
      <c r="G3056" s="36">
        <f t="shared" si="730"/>
        <v>65.52</v>
      </c>
      <c r="H3056" s="37">
        <v>24</v>
      </c>
      <c r="I3056" s="109">
        <f t="shared" si="731"/>
        <v>1572.48</v>
      </c>
      <c r="J3056" s="123">
        <v>1400</v>
      </c>
    </row>
    <row r="3057" spans="1:10" x14ac:dyDescent="0.25">
      <c r="A3057" s="31" t="s">
        <v>597</v>
      </c>
      <c r="B3057" s="50" t="s">
        <v>324</v>
      </c>
      <c r="C3057" s="34" t="s">
        <v>443</v>
      </c>
      <c r="D3057" s="108" t="s">
        <v>38</v>
      </c>
      <c r="E3057" s="34" t="s">
        <v>79</v>
      </c>
      <c r="F3057" s="36">
        <v>3.48</v>
      </c>
      <c r="G3057" s="36">
        <f t="shared" si="730"/>
        <v>21.923999999999999</v>
      </c>
      <c r="H3057" s="37">
        <v>24</v>
      </c>
      <c r="I3057" s="109">
        <f t="shared" si="731"/>
        <v>526.17599999999993</v>
      </c>
      <c r="J3057" s="123">
        <v>500</v>
      </c>
    </row>
    <row r="3058" spans="1:10" x14ac:dyDescent="0.25">
      <c r="A3058" s="31" t="s">
        <v>597</v>
      </c>
      <c r="B3058" s="75" t="s">
        <v>317</v>
      </c>
      <c r="C3058" s="111" t="s">
        <v>156</v>
      </c>
      <c r="D3058" s="111">
        <v>96</v>
      </c>
      <c r="E3058" s="42" t="s">
        <v>79</v>
      </c>
      <c r="F3058" s="74">
        <v>10.3</v>
      </c>
      <c r="G3058" s="36">
        <f t="shared" si="730"/>
        <v>64.89</v>
      </c>
      <c r="H3058" s="37">
        <v>24</v>
      </c>
      <c r="I3058" s="109">
        <f t="shared" si="731"/>
        <v>1557.3600000000001</v>
      </c>
      <c r="J3058" s="123">
        <v>1600</v>
      </c>
    </row>
    <row r="3059" spans="1:10" x14ac:dyDescent="0.25">
      <c r="A3059" s="31" t="s">
        <v>597</v>
      </c>
      <c r="B3059" s="37" t="s">
        <v>325</v>
      </c>
      <c r="C3059" s="34" t="s">
        <v>158</v>
      </c>
      <c r="D3059" s="46">
        <v>8</v>
      </c>
      <c r="E3059" s="34" t="s">
        <v>79</v>
      </c>
      <c r="F3059" s="74">
        <v>6.6</v>
      </c>
      <c r="G3059" s="36">
        <f t="shared" si="730"/>
        <v>41.58</v>
      </c>
      <c r="H3059" s="37">
        <v>24</v>
      </c>
      <c r="I3059" s="109">
        <f t="shared" si="731"/>
        <v>997.92</v>
      </c>
      <c r="J3059" s="123">
        <v>1000</v>
      </c>
    </row>
    <row r="3060" spans="1:10" ht="15.75" thickBot="1" x14ac:dyDescent="0.3">
      <c r="A3060" s="31" t="s">
        <v>597</v>
      </c>
      <c r="B3060" s="43" t="s">
        <v>326</v>
      </c>
      <c r="C3060" s="52" t="s">
        <v>152</v>
      </c>
      <c r="D3060" s="72">
        <v>0</v>
      </c>
      <c r="E3060" s="42" t="s">
        <v>79</v>
      </c>
      <c r="F3060" s="73">
        <v>8.4</v>
      </c>
      <c r="G3060" s="74">
        <f t="shared" si="730"/>
        <v>52.92</v>
      </c>
      <c r="H3060" s="43">
        <v>24</v>
      </c>
      <c r="I3060" s="399">
        <f t="shared" si="731"/>
        <v>1270.08</v>
      </c>
      <c r="J3060" s="124">
        <v>1300</v>
      </c>
    </row>
    <row r="3061" spans="1:10" ht="19.5" thickBot="1" x14ac:dyDescent="0.35">
      <c r="A3061" s="206"/>
      <c r="B3061" s="336"/>
      <c r="C3061" s="336"/>
      <c r="D3061" s="336"/>
      <c r="E3061" s="336"/>
      <c r="F3061" s="336"/>
      <c r="G3061" s="337"/>
      <c r="H3061" s="174" t="s">
        <v>171</v>
      </c>
      <c r="I3061" s="238">
        <f>SUM(I3055:I3060)</f>
        <v>7178.9760000000006</v>
      </c>
      <c r="J3061" s="104">
        <v>6700</v>
      </c>
    </row>
    <row r="3062" spans="1:10" x14ac:dyDescent="0.25">
      <c r="A3062" s="31" t="s">
        <v>598</v>
      </c>
      <c r="B3062" s="37" t="s">
        <v>322</v>
      </c>
      <c r="C3062" s="34" t="s">
        <v>114</v>
      </c>
      <c r="D3062" s="108">
        <v>34.6</v>
      </c>
      <c r="E3062" s="34" t="s">
        <v>79</v>
      </c>
      <c r="F3062" s="109">
        <v>8</v>
      </c>
      <c r="G3062" s="36">
        <f t="shared" ref="G3062:G3067" si="732">F3062*6.3</f>
        <v>50.4</v>
      </c>
      <c r="H3062" s="37">
        <v>24</v>
      </c>
      <c r="I3062" s="109">
        <f t="shared" ref="I3062:I3067" si="733">G3062*H3062</f>
        <v>1209.5999999999999</v>
      </c>
      <c r="J3062" s="123">
        <v>900</v>
      </c>
    </row>
    <row r="3063" spans="1:10" x14ac:dyDescent="0.25">
      <c r="A3063" s="31" t="s">
        <v>598</v>
      </c>
      <c r="B3063" s="37" t="s">
        <v>323</v>
      </c>
      <c r="C3063" s="34" t="s">
        <v>86</v>
      </c>
      <c r="D3063" s="108" t="s">
        <v>38</v>
      </c>
      <c r="E3063" s="34" t="s">
        <v>79</v>
      </c>
      <c r="F3063" s="110">
        <v>10.3</v>
      </c>
      <c r="G3063" s="36">
        <f t="shared" si="732"/>
        <v>64.89</v>
      </c>
      <c r="H3063" s="37">
        <v>24</v>
      </c>
      <c r="I3063" s="109">
        <f t="shared" si="733"/>
        <v>1557.3600000000001</v>
      </c>
      <c r="J3063" s="123">
        <v>1400</v>
      </c>
    </row>
    <row r="3064" spans="1:10" x14ac:dyDescent="0.25">
      <c r="A3064" s="31" t="s">
        <v>598</v>
      </c>
      <c r="B3064" s="50" t="s">
        <v>324</v>
      </c>
      <c r="C3064" s="34" t="s">
        <v>443</v>
      </c>
      <c r="D3064" s="108" t="s">
        <v>38</v>
      </c>
      <c r="E3064" s="34" t="s">
        <v>79</v>
      </c>
      <c r="F3064" s="36">
        <v>3.48</v>
      </c>
      <c r="G3064" s="36">
        <f t="shared" si="732"/>
        <v>21.923999999999999</v>
      </c>
      <c r="H3064" s="37">
        <v>24</v>
      </c>
      <c r="I3064" s="109">
        <f t="shared" si="733"/>
        <v>526.17599999999993</v>
      </c>
      <c r="J3064" s="123">
        <v>500</v>
      </c>
    </row>
    <row r="3065" spans="1:10" x14ac:dyDescent="0.25">
      <c r="A3065" s="31" t="s">
        <v>598</v>
      </c>
      <c r="B3065" s="75" t="s">
        <v>317</v>
      </c>
      <c r="C3065" s="111" t="s">
        <v>156</v>
      </c>
      <c r="D3065" s="111">
        <v>96</v>
      </c>
      <c r="E3065" s="42" t="s">
        <v>79</v>
      </c>
      <c r="F3065" s="74">
        <v>10.3</v>
      </c>
      <c r="G3065" s="36">
        <f t="shared" si="732"/>
        <v>64.89</v>
      </c>
      <c r="H3065" s="37">
        <v>24</v>
      </c>
      <c r="I3065" s="109">
        <f t="shared" si="733"/>
        <v>1557.3600000000001</v>
      </c>
      <c r="J3065" s="123">
        <v>1600</v>
      </c>
    </row>
    <row r="3066" spans="1:10" x14ac:dyDescent="0.25">
      <c r="A3066" s="31" t="s">
        <v>598</v>
      </c>
      <c r="B3066" s="37" t="s">
        <v>325</v>
      </c>
      <c r="C3066" s="34" t="s">
        <v>158</v>
      </c>
      <c r="D3066" s="46">
        <v>8</v>
      </c>
      <c r="E3066" s="34" t="s">
        <v>79</v>
      </c>
      <c r="F3066" s="74">
        <v>6.7</v>
      </c>
      <c r="G3066" s="36">
        <f t="shared" si="732"/>
        <v>42.21</v>
      </c>
      <c r="H3066" s="37">
        <v>24</v>
      </c>
      <c r="I3066" s="109">
        <f t="shared" si="733"/>
        <v>1013.04</v>
      </c>
      <c r="J3066" s="123">
        <v>1000</v>
      </c>
    </row>
    <row r="3067" spans="1:10" ht="15.75" thickBot="1" x14ac:dyDescent="0.3">
      <c r="A3067" s="31" t="s">
        <v>598</v>
      </c>
      <c r="B3067" s="43" t="s">
        <v>326</v>
      </c>
      <c r="C3067" s="52" t="s">
        <v>152</v>
      </c>
      <c r="D3067" s="72">
        <v>0</v>
      </c>
      <c r="E3067" s="42" t="s">
        <v>79</v>
      </c>
      <c r="F3067" s="73">
        <v>8.8000000000000007</v>
      </c>
      <c r="G3067" s="74">
        <f t="shared" si="732"/>
        <v>55.440000000000005</v>
      </c>
      <c r="H3067" s="43">
        <v>24</v>
      </c>
      <c r="I3067" s="399">
        <f t="shared" si="733"/>
        <v>1330.5600000000002</v>
      </c>
      <c r="J3067" s="124">
        <v>1300</v>
      </c>
    </row>
    <row r="3068" spans="1:10" ht="19.5" thickBot="1" x14ac:dyDescent="0.35">
      <c r="A3068" s="206"/>
      <c r="B3068" s="336"/>
      <c r="C3068" s="336"/>
      <c r="D3068" s="336"/>
      <c r="E3068" s="336"/>
      <c r="F3068" s="336"/>
      <c r="G3068" s="337"/>
      <c r="H3068" s="174" t="s">
        <v>171</v>
      </c>
      <c r="I3068" s="238">
        <f>SUM(I3062:I3067)</f>
        <v>7194.0960000000005</v>
      </c>
      <c r="J3068" s="104">
        <v>6700</v>
      </c>
    </row>
    <row r="3069" spans="1:10" x14ac:dyDescent="0.25">
      <c r="A3069" s="31" t="s">
        <v>599</v>
      </c>
      <c r="B3069" s="37" t="s">
        <v>322</v>
      </c>
      <c r="C3069" s="34" t="s">
        <v>114</v>
      </c>
      <c r="D3069" s="108">
        <v>34.6</v>
      </c>
      <c r="E3069" s="34" t="s">
        <v>79</v>
      </c>
      <c r="F3069" s="109">
        <v>8</v>
      </c>
      <c r="G3069" s="36">
        <f t="shared" ref="G3069:G3074" si="734">F3069*6.3</f>
        <v>50.4</v>
      </c>
      <c r="H3069" s="37">
        <v>24</v>
      </c>
      <c r="I3069" s="109">
        <f t="shared" ref="I3069:I3074" si="735">G3069*H3069</f>
        <v>1209.5999999999999</v>
      </c>
      <c r="J3069" s="123">
        <v>900</v>
      </c>
    </row>
    <row r="3070" spans="1:10" x14ac:dyDescent="0.25">
      <c r="A3070" s="31" t="s">
        <v>599</v>
      </c>
      <c r="B3070" s="37" t="s">
        <v>323</v>
      </c>
      <c r="C3070" s="34" t="s">
        <v>86</v>
      </c>
      <c r="D3070" s="108" t="s">
        <v>38</v>
      </c>
      <c r="E3070" s="34" t="s">
        <v>79</v>
      </c>
      <c r="F3070" s="110">
        <v>10.3</v>
      </c>
      <c r="G3070" s="36">
        <f t="shared" si="734"/>
        <v>64.89</v>
      </c>
      <c r="H3070" s="37">
        <v>24</v>
      </c>
      <c r="I3070" s="109">
        <f t="shared" si="735"/>
        <v>1557.3600000000001</v>
      </c>
      <c r="J3070" s="123">
        <v>1400</v>
      </c>
    </row>
    <row r="3071" spans="1:10" x14ac:dyDescent="0.25">
      <c r="A3071" s="31" t="s">
        <v>599</v>
      </c>
      <c r="B3071" s="50" t="s">
        <v>324</v>
      </c>
      <c r="C3071" s="34" t="s">
        <v>443</v>
      </c>
      <c r="D3071" s="108" t="s">
        <v>38</v>
      </c>
      <c r="E3071" s="34" t="s">
        <v>79</v>
      </c>
      <c r="F3071" s="36">
        <v>3.48</v>
      </c>
      <c r="G3071" s="36">
        <f t="shared" si="734"/>
        <v>21.923999999999999</v>
      </c>
      <c r="H3071" s="37">
        <v>24</v>
      </c>
      <c r="I3071" s="109">
        <f t="shared" si="735"/>
        <v>526.17599999999993</v>
      </c>
      <c r="J3071" s="123">
        <v>500</v>
      </c>
    </row>
    <row r="3072" spans="1:10" x14ac:dyDescent="0.25">
      <c r="A3072" s="31" t="s">
        <v>599</v>
      </c>
      <c r="B3072" s="75" t="s">
        <v>317</v>
      </c>
      <c r="C3072" s="111" t="s">
        <v>156</v>
      </c>
      <c r="D3072" s="111">
        <v>96</v>
      </c>
      <c r="E3072" s="42" t="s">
        <v>79</v>
      </c>
      <c r="F3072" s="74">
        <v>10.3</v>
      </c>
      <c r="G3072" s="36">
        <f t="shared" si="734"/>
        <v>64.89</v>
      </c>
      <c r="H3072" s="37">
        <v>24</v>
      </c>
      <c r="I3072" s="109">
        <f t="shared" si="735"/>
        <v>1557.3600000000001</v>
      </c>
      <c r="J3072" s="123">
        <v>1600</v>
      </c>
    </row>
    <row r="3073" spans="1:10" x14ac:dyDescent="0.25">
      <c r="A3073" s="31" t="s">
        <v>599</v>
      </c>
      <c r="B3073" s="37" t="s">
        <v>325</v>
      </c>
      <c r="C3073" s="34" t="s">
        <v>158</v>
      </c>
      <c r="D3073" s="46">
        <v>8</v>
      </c>
      <c r="E3073" s="34" t="s">
        <v>79</v>
      </c>
      <c r="F3073" s="74">
        <v>6.65</v>
      </c>
      <c r="G3073" s="36">
        <f t="shared" si="734"/>
        <v>41.895000000000003</v>
      </c>
      <c r="H3073" s="37">
        <v>24</v>
      </c>
      <c r="I3073" s="109">
        <f t="shared" si="735"/>
        <v>1005.48</v>
      </c>
      <c r="J3073" s="123">
        <v>1000</v>
      </c>
    </row>
    <row r="3074" spans="1:10" ht="15.75" thickBot="1" x14ac:dyDescent="0.3">
      <c r="A3074" s="31" t="s">
        <v>599</v>
      </c>
      <c r="B3074" s="43" t="s">
        <v>326</v>
      </c>
      <c r="C3074" s="52" t="s">
        <v>152</v>
      </c>
      <c r="D3074" s="72">
        <v>0</v>
      </c>
      <c r="E3074" s="42" t="s">
        <v>79</v>
      </c>
      <c r="F3074" s="73">
        <v>8.6</v>
      </c>
      <c r="G3074" s="74">
        <f t="shared" si="734"/>
        <v>54.18</v>
      </c>
      <c r="H3074" s="43">
        <v>24</v>
      </c>
      <c r="I3074" s="399">
        <f t="shared" si="735"/>
        <v>1300.32</v>
      </c>
      <c r="J3074" s="124">
        <v>1300</v>
      </c>
    </row>
    <row r="3075" spans="1:10" ht="19.5" thickBot="1" x14ac:dyDescent="0.35">
      <c r="A3075" s="206"/>
      <c r="B3075" s="336"/>
      <c r="C3075" s="336"/>
      <c r="D3075" s="336"/>
      <c r="E3075" s="336"/>
      <c r="F3075" s="336"/>
      <c r="G3075" s="337"/>
      <c r="H3075" s="174" t="s">
        <v>171</v>
      </c>
      <c r="I3075" s="238">
        <f>SUM(I3069:I3074)</f>
        <v>7156.2960000000003</v>
      </c>
      <c r="J3075" s="104">
        <v>6700</v>
      </c>
    </row>
    <row r="3076" spans="1:10" x14ac:dyDescent="0.25">
      <c r="A3076" s="31" t="s">
        <v>600</v>
      </c>
      <c r="B3076" s="37" t="s">
        <v>322</v>
      </c>
      <c r="C3076" s="34" t="s">
        <v>114</v>
      </c>
      <c r="D3076" s="108">
        <v>34.6</v>
      </c>
      <c r="E3076" s="34" t="s">
        <v>79</v>
      </c>
      <c r="F3076" s="109">
        <v>7.9</v>
      </c>
      <c r="G3076" s="36">
        <f t="shared" ref="G3076:G3081" si="736">F3076*6.3</f>
        <v>49.77</v>
      </c>
      <c r="H3076" s="37">
        <v>24</v>
      </c>
      <c r="I3076" s="109">
        <f t="shared" ref="I3076:I3081" si="737">G3076*H3076</f>
        <v>1194.48</v>
      </c>
      <c r="J3076" s="123">
        <v>900</v>
      </c>
    </row>
    <row r="3077" spans="1:10" x14ac:dyDescent="0.25">
      <c r="A3077" s="31" t="s">
        <v>600</v>
      </c>
      <c r="B3077" s="37" t="s">
        <v>323</v>
      </c>
      <c r="C3077" s="34" t="s">
        <v>86</v>
      </c>
      <c r="D3077" s="108" t="s">
        <v>38</v>
      </c>
      <c r="E3077" s="34" t="s">
        <v>79</v>
      </c>
      <c r="F3077" s="110">
        <v>10.199999999999999</v>
      </c>
      <c r="G3077" s="36">
        <f t="shared" si="736"/>
        <v>64.259999999999991</v>
      </c>
      <c r="H3077" s="37">
        <v>24</v>
      </c>
      <c r="I3077" s="109">
        <f t="shared" si="737"/>
        <v>1542.2399999999998</v>
      </c>
      <c r="J3077" s="123">
        <v>1400</v>
      </c>
    </row>
    <row r="3078" spans="1:10" x14ac:dyDescent="0.25">
      <c r="A3078" s="31" t="s">
        <v>600</v>
      </c>
      <c r="B3078" s="50" t="s">
        <v>324</v>
      </c>
      <c r="C3078" s="34" t="s">
        <v>443</v>
      </c>
      <c r="D3078" s="108" t="s">
        <v>38</v>
      </c>
      <c r="E3078" s="34" t="s">
        <v>79</v>
      </c>
      <c r="F3078" s="36">
        <v>3.5</v>
      </c>
      <c r="G3078" s="36">
        <f t="shared" si="736"/>
        <v>22.05</v>
      </c>
      <c r="H3078" s="37">
        <v>24</v>
      </c>
      <c r="I3078" s="109">
        <f t="shared" si="737"/>
        <v>529.20000000000005</v>
      </c>
      <c r="J3078" s="123">
        <v>500</v>
      </c>
    </row>
    <row r="3079" spans="1:10" x14ac:dyDescent="0.25">
      <c r="A3079" s="31" t="s">
        <v>600</v>
      </c>
      <c r="B3079" s="75" t="s">
        <v>317</v>
      </c>
      <c r="C3079" s="111" t="s">
        <v>156</v>
      </c>
      <c r="D3079" s="111">
        <v>97</v>
      </c>
      <c r="E3079" s="42" t="s">
        <v>79</v>
      </c>
      <c r="F3079" s="74">
        <v>10.4</v>
      </c>
      <c r="G3079" s="36">
        <f t="shared" si="736"/>
        <v>65.52</v>
      </c>
      <c r="H3079" s="37">
        <v>24</v>
      </c>
      <c r="I3079" s="109">
        <f t="shared" si="737"/>
        <v>1572.48</v>
      </c>
      <c r="J3079" s="123">
        <v>1600</v>
      </c>
    </row>
    <row r="3080" spans="1:10" x14ac:dyDescent="0.25">
      <c r="A3080" s="31" t="s">
        <v>600</v>
      </c>
      <c r="B3080" s="37" t="s">
        <v>325</v>
      </c>
      <c r="C3080" s="34" t="s">
        <v>158</v>
      </c>
      <c r="D3080" s="46">
        <v>8</v>
      </c>
      <c r="E3080" s="34" t="s">
        <v>79</v>
      </c>
      <c r="F3080" s="74">
        <v>6.7</v>
      </c>
      <c r="G3080" s="36">
        <f t="shared" si="736"/>
        <v>42.21</v>
      </c>
      <c r="H3080" s="37">
        <v>24</v>
      </c>
      <c r="I3080" s="109">
        <f t="shared" si="737"/>
        <v>1013.04</v>
      </c>
      <c r="J3080" s="123">
        <v>1000</v>
      </c>
    </row>
    <row r="3081" spans="1:10" ht="15.75" thickBot="1" x14ac:dyDescent="0.3">
      <c r="A3081" s="31" t="s">
        <v>600</v>
      </c>
      <c r="B3081" s="43" t="s">
        <v>326</v>
      </c>
      <c r="C3081" s="52" t="s">
        <v>152</v>
      </c>
      <c r="D3081" s="72">
        <v>0</v>
      </c>
      <c r="E3081" s="42" t="s">
        <v>79</v>
      </c>
      <c r="F3081" s="73">
        <v>8.6999999999999993</v>
      </c>
      <c r="G3081" s="74">
        <f t="shared" si="736"/>
        <v>54.809999999999995</v>
      </c>
      <c r="H3081" s="43">
        <v>24</v>
      </c>
      <c r="I3081" s="399">
        <f t="shared" si="737"/>
        <v>1315.4399999999998</v>
      </c>
      <c r="J3081" s="124">
        <v>1300</v>
      </c>
    </row>
    <row r="3082" spans="1:10" ht="19.5" thickBot="1" x14ac:dyDescent="0.35">
      <c r="A3082" s="206"/>
      <c r="B3082" s="336"/>
      <c r="C3082" s="336"/>
      <c r="D3082" s="336"/>
      <c r="E3082" s="336"/>
      <c r="F3082" s="336"/>
      <c r="G3082" s="337"/>
      <c r="H3082" s="174" t="s">
        <v>171</v>
      </c>
      <c r="I3082" s="238">
        <f>SUM(I3076:I3081)</f>
        <v>7166.8799999999992</v>
      </c>
      <c r="J3082" s="104">
        <v>6700</v>
      </c>
    </row>
    <row r="3083" spans="1:10" x14ac:dyDescent="0.25">
      <c r="A3083" s="31" t="s">
        <v>601</v>
      </c>
      <c r="B3083" s="37" t="s">
        <v>322</v>
      </c>
      <c r="C3083" s="34" t="s">
        <v>114</v>
      </c>
      <c r="D3083" s="108">
        <v>34.6</v>
      </c>
      <c r="E3083" s="34" t="s">
        <v>79</v>
      </c>
      <c r="F3083" s="109">
        <v>7.9</v>
      </c>
      <c r="G3083" s="36">
        <f t="shared" ref="G3083:G3088" si="738">F3083*6.3</f>
        <v>49.77</v>
      </c>
      <c r="H3083" s="37">
        <v>24</v>
      </c>
      <c r="I3083" s="109">
        <f t="shared" ref="I3083:I3088" si="739">G3083*H3083</f>
        <v>1194.48</v>
      </c>
      <c r="J3083" s="123">
        <v>900</v>
      </c>
    </row>
    <row r="3084" spans="1:10" x14ac:dyDescent="0.25">
      <c r="A3084" s="31" t="s">
        <v>601</v>
      </c>
      <c r="B3084" s="37" t="s">
        <v>323</v>
      </c>
      <c r="C3084" s="34" t="s">
        <v>86</v>
      </c>
      <c r="D3084" s="108" t="s">
        <v>38</v>
      </c>
      <c r="E3084" s="34" t="s">
        <v>79</v>
      </c>
      <c r="F3084" s="110">
        <v>10</v>
      </c>
      <c r="G3084" s="36">
        <f t="shared" si="738"/>
        <v>63</v>
      </c>
      <c r="H3084" s="37">
        <v>24</v>
      </c>
      <c r="I3084" s="109">
        <f t="shared" si="739"/>
        <v>1512</v>
      </c>
      <c r="J3084" s="123">
        <v>1400</v>
      </c>
    </row>
    <row r="3085" spans="1:10" x14ac:dyDescent="0.25">
      <c r="A3085" s="31" t="s">
        <v>601</v>
      </c>
      <c r="B3085" s="50" t="s">
        <v>324</v>
      </c>
      <c r="C3085" s="34" t="s">
        <v>443</v>
      </c>
      <c r="D3085" s="108" t="s">
        <v>38</v>
      </c>
      <c r="E3085" s="34" t="s">
        <v>79</v>
      </c>
      <c r="F3085" s="36">
        <v>3.5</v>
      </c>
      <c r="G3085" s="36">
        <f t="shared" si="738"/>
        <v>22.05</v>
      </c>
      <c r="H3085" s="37">
        <v>24</v>
      </c>
      <c r="I3085" s="109">
        <f t="shared" si="739"/>
        <v>529.20000000000005</v>
      </c>
      <c r="J3085" s="123">
        <v>500</v>
      </c>
    </row>
    <row r="3086" spans="1:10" x14ac:dyDescent="0.25">
      <c r="A3086" s="31" t="s">
        <v>601</v>
      </c>
      <c r="B3086" s="75" t="s">
        <v>317</v>
      </c>
      <c r="C3086" s="111" t="s">
        <v>156</v>
      </c>
      <c r="D3086" s="111">
        <v>97.4</v>
      </c>
      <c r="E3086" s="42" t="s">
        <v>79</v>
      </c>
      <c r="F3086" s="74">
        <v>10.5</v>
      </c>
      <c r="G3086" s="36">
        <f t="shared" si="738"/>
        <v>66.149999999999991</v>
      </c>
      <c r="H3086" s="37">
        <v>24</v>
      </c>
      <c r="I3086" s="109">
        <f t="shared" si="739"/>
        <v>1587.6</v>
      </c>
      <c r="J3086" s="123">
        <v>1600</v>
      </c>
    </row>
    <row r="3087" spans="1:10" x14ac:dyDescent="0.25">
      <c r="A3087" s="31" t="s">
        <v>601</v>
      </c>
      <c r="B3087" s="37" t="s">
        <v>325</v>
      </c>
      <c r="C3087" s="34" t="s">
        <v>158</v>
      </c>
      <c r="D3087" s="46">
        <v>8.1</v>
      </c>
      <c r="E3087" s="34" t="s">
        <v>79</v>
      </c>
      <c r="F3087" s="74">
        <v>6.8</v>
      </c>
      <c r="G3087" s="36">
        <f t="shared" si="738"/>
        <v>42.839999999999996</v>
      </c>
      <c r="H3087" s="37">
        <v>24</v>
      </c>
      <c r="I3087" s="109">
        <f t="shared" si="739"/>
        <v>1028.1599999999999</v>
      </c>
      <c r="J3087" s="123">
        <v>1000</v>
      </c>
    </row>
    <row r="3088" spans="1:10" ht="15.75" thickBot="1" x14ac:dyDescent="0.3">
      <c r="A3088" s="31" t="s">
        <v>601</v>
      </c>
      <c r="B3088" s="43" t="s">
        <v>326</v>
      </c>
      <c r="C3088" s="52" t="s">
        <v>152</v>
      </c>
      <c r="D3088" s="72">
        <v>0</v>
      </c>
      <c r="E3088" s="42" t="s">
        <v>79</v>
      </c>
      <c r="F3088" s="73">
        <v>8.6999999999999993</v>
      </c>
      <c r="G3088" s="74">
        <f t="shared" si="738"/>
        <v>54.809999999999995</v>
      </c>
      <c r="H3088" s="43">
        <v>24</v>
      </c>
      <c r="I3088" s="399">
        <f t="shared" si="739"/>
        <v>1315.4399999999998</v>
      </c>
      <c r="J3088" s="124">
        <v>1300</v>
      </c>
    </row>
    <row r="3089" spans="1:11" ht="19.5" thickBot="1" x14ac:dyDescent="0.35">
      <c r="A3089" s="206"/>
      <c r="B3089" s="336"/>
      <c r="C3089" s="336"/>
      <c r="D3089" s="336"/>
      <c r="E3089" s="336"/>
      <c r="F3089" s="336"/>
      <c r="G3089" s="337"/>
      <c r="H3089" s="174" t="s">
        <v>171</v>
      </c>
      <c r="I3089" s="238">
        <f>SUM(I3083:I3088)</f>
        <v>7166.88</v>
      </c>
      <c r="J3089" s="104">
        <v>6700</v>
      </c>
    </row>
    <row r="3090" spans="1:11" x14ac:dyDescent="0.25">
      <c r="A3090" s="31" t="s">
        <v>602</v>
      </c>
      <c r="B3090" s="37" t="s">
        <v>322</v>
      </c>
      <c r="C3090" s="34" t="s">
        <v>114</v>
      </c>
      <c r="D3090" s="108">
        <v>33</v>
      </c>
      <c r="E3090" s="34" t="s">
        <v>79</v>
      </c>
      <c r="F3090" s="109">
        <v>6.2</v>
      </c>
      <c r="G3090" s="36">
        <f t="shared" ref="G3090:G3095" si="740">F3090*6.3</f>
        <v>39.06</v>
      </c>
      <c r="H3090" s="37">
        <v>24</v>
      </c>
      <c r="I3090" s="109">
        <f t="shared" ref="I3090:I3095" si="741">G3090*H3090</f>
        <v>937.44</v>
      </c>
      <c r="J3090" s="123">
        <v>900</v>
      </c>
    </row>
    <row r="3091" spans="1:11" x14ac:dyDescent="0.25">
      <c r="A3091" s="31" t="s">
        <v>602</v>
      </c>
      <c r="B3091" s="37" t="s">
        <v>323</v>
      </c>
      <c r="C3091" s="34" t="s">
        <v>86</v>
      </c>
      <c r="D3091" s="108" t="s">
        <v>38</v>
      </c>
      <c r="E3091" s="34" t="s">
        <v>79</v>
      </c>
      <c r="F3091" s="110">
        <v>8.5</v>
      </c>
      <c r="G3091" s="36">
        <f t="shared" si="740"/>
        <v>53.55</v>
      </c>
      <c r="H3091" s="37">
        <v>24</v>
      </c>
      <c r="I3091" s="109">
        <f t="shared" si="741"/>
        <v>1285.1999999999998</v>
      </c>
      <c r="J3091" s="123">
        <v>1400</v>
      </c>
    </row>
    <row r="3092" spans="1:11" x14ac:dyDescent="0.25">
      <c r="A3092" s="31" t="s">
        <v>602</v>
      </c>
      <c r="B3092" s="50" t="s">
        <v>324</v>
      </c>
      <c r="C3092" s="34" t="s">
        <v>443</v>
      </c>
      <c r="D3092" s="108" t="s">
        <v>38</v>
      </c>
      <c r="E3092" s="34" t="s">
        <v>79</v>
      </c>
      <c r="F3092" s="36">
        <v>3.1</v>
      </c>
      <c r="G3092" s="36">
        <f t="shared" si="740"/>
        <v>19.53</v>
      </c>
      <c r="H3092" s="37">
        <v>24</v>
      </c>
      <c r="I3092" s="109">
        <f t="shared" si="741"/>
        <v>468.72</v>
      </c>
      <c r="J3092" s="123">
        <v>500</v>
      </c>
    </row>
    <row r="3093" spans="1:11" x14ac:dyDescent="0.25">
      <c r="A3093" s="31" t="s">
        <v>602</v>
      </c>
      <c r="B3093" s="75" t="s">
        <v>317</v>
      </c>
      <c r="C3093" s="111" t="s">
        <v>156</v>
      </c>
      <c r="D3093" s="111">
        <v>94</v>
      </c>
      <c r="E3093" s="42" t="s">
        <v>79</v>
      </c>
      <c r="F3093" s="74">
        <v>9.5</v>
      </c>
      <c r="G3093" s="36">
        <f t="shared" si="740"/>
        <v>59.85</v>
      </c>
      <c r="H3093" s="37">
        <v>24</v>
      </c>
      <c r="I3093" s="109">
        <f t="shared" si="741"/>
        <v>1436.4</v>
      </c>
      <c r="J3093" s="123">
        <v>1600</v>
      </c>
    </row>
    <row r="3094" spans="1:11" x14ac:dyDescent="0.25">
      <c r="A3094" s="31" t="s">
        <v>602</v>
      </c>
      <c r="B3094" s="37" t="s">
        <v>325</v>
      </c>
      <c r="C3094" s="34" t="s">
        <v>158</v>
      </c>
      <c r="D3094" s="46">
        <v>8.1999999999999993</v>
      </c>
      <c r="E3094" s="34" t="s">
        <v>79</v>
      </c>
      <c r="F3094" s="74">
        <v>6.8</v>
      </c>
      <c r="G3094" s="36">
        <f t="shared" si="740"/>
        <v>42.839999999999996</v>
      </c>
      <c r="H3094" s="37">
        <v>24</v>
      </c>
      <c r="I3094" s="109">
        <f t="shared" si="741"/>
        <v>1028.1599999999999</v>
      </c>
      <c r="J3094" s="123">
        <v>1000</v>
      </c>
    </row>
    <row r="3095" spans="1:11" ht="15.75" thickBot="1" x14ac:dyDescent="0.3">
      <c r="A3095" s="31" t="s">
        <v>602</v>
      </c>
      <c r="B3095" s="43" t="s">
        <v>326</v>
      </c>
      <c r="C3095" s="52" t="s">
        <v>152</v>
      </c>
      <c r="D3095" s="72">
        <v>0</v>
      </c>
      <c r="E3095" s="42" t="s">
        <v>79</v>
      </c>
      <c r="F3095" s="73">
        <v>8.1999999999999993</v>
      </c>
      <c r="G3095" s="74">
        <f t="shared" si="740"/>
        <v>51.66</v>
      </c>
      <c r="H3095" s="43">
        <v>24</v>
      </c>
      <c r="I3095" s="399">
        <f t="shared" si="741"/>
        <v>1239.8399999999999</v>
      </c>
      <c r="J3095" s="124">
        <v>1300</v>
      </c>
    </row>
    <row r="3096" spans="1:11" ht="19.5" thickBot="1" x14ac:dyDescent="0.35">
      <c r="A3096" s="206"/>
      <c r="B3096" s="336"/>
      <c r="C3096" s="336"/>
      <c r="D3096" s="336"/>
      <c r="E3096" s="336"/>
      <c r="F3096" s="336"/>
      <c r="G3096" s="337"/>
      <c r="H3096" s="174" t="s">
        <v>171</v>
      </c>
      <c r="I3096" s="238">
        <f>SUM(I3090:I3095)</f>
        <v>6395.76</v>
      </c>
      <c r="J3096" s="104">
        <v>6700</v>
      </c>
      <c r="K3096" s="206" t="s">
        <v>603</v>
      </c>
    </row>
    <row r="3097" spans="1:11" x14ac:dyDescent="0.25">
      <c r="A3097" s="31" t="s">
        <v>604</v>
      </c>
      <c r="B3097" s="37" t="s">
        <v>322</v>
      </c>
      <c r="C3097" s="34" t="s">
        <v>114</v>
      </c>
      <c r="D3097" s="108">
        <v>34.1</v>
      </c>
      <c r="E3097" s="34" t="s">
        <v>79</v>
      </c>
      <c r="F3097" s="109">
        <v>8.3000000000000007</v>
      </c>
      <c r="G3097" s="36">
        <f t="shared" ref="G3097:G3102" si="742">F3097*6.3</f>
        <v>52.290000000000006</v>
      </c>
      <c r="H3097" s="37">
        <v>24</v>
      </c>
      <c r="I3097" s="109">
        <f t="shared" ref="I3097:I3102" si="743">G3097*H3097</f>
        <v>1254.96</v>
      </c>
      <c r="J3097" s="123">
        <v>900</v>
      </c>
    </row>
    <row r="3098" spans="1:11" x14ac:dyDescent="0.25">
      <c r="A3098" s="31" t="s">
        <v>604</v>
      </c>
      <c r="B3098" s="37" t="s">
        <v>323</v>
      </c>
      <c r="C3098" s="34" t="s">
        <v>86</v>
      </c>
      <c r="D3098" s="108" t="s">
        <v>38</v>
      </c>
      <c r="E3098" s="34" t="s">
        <v>79</v>
      </c>
      <c r="F3098" s="110">
        <v>9.6</v>
      </c>
      <c r="G3098" s="36">
        <f t="shared" si="742"/>
        <v>60.48</v>
      </c>
      <c r="H3098" s="37">
        <v>24</v>
      </c>
      <c r="I3098" s="109">
        <f t="shared" si="743"/>
        <v>1451.52</v>
      </c>
      <c r="J3098" s="123">
        <v>1400</v>
      </c>
    </row>
    <row r="3099" spans="1:11" x14ac:dyDescent="0.25">
      <c r="A3099" s="31" t="s">
        <v>604</v>
      </c>
      <c r="B3099" s="50" t="s">
        <v>324</v>
      </c>
      <c r="C3099" s="34" t="s">
        <v>443</v>
      </c>
      <c r="D3099" s="108" t="s">
        <v>38</v>
      </c>
      <c r="E3099" s="34" t="s">
        <v>79</v>
      </c>
      <c r="F3099" s="36">
        <v>3.4</v>
      </c>
      <c r="G3099" s="36">
        <f t="shared" si="742"/>
        <v>21.419999999999998</v>
      </c>
      <c r="H3099" s="37">
        <v>24</v>
      </c>
      <c r="I3099" s="109">
        <f t="shared" si="743"/>
        <v>514.07999999999993</v>
      </c>
      <c r="J3099" s="123">
        <v>500</v>
      </c>
    </row>
    <row r="3100" spans="1:11" x14ac:dyDescent="0.25">
      <c r="A3100" s="31" t="s">
        <v>604</v>
      </c>
      <c r="B3100" s="75" t="s">
        <v>317</v>
      </c>
      <c r="C3100" s="111" t="s">
        <v>156</v>
      </c>
      <c r="D3100" s="111">
        <v>94</v>
      </c>
      <c r="E3100" s="42" t="s">
        <v>79</v>
      </c>
      <c r="F3100" s="74">
        <v>9.8000000000000007</v>
      </c>
      <c r="G3100" s="36">
        <f t="shared" si="742"/>
        <v>61.74</v>
      </c>
      <c r="H3100" s="37">
        <v>24</v>
      </c>
      <c r="I3100" s="109">
        <f t="shared" si="743"/>
        <v>1481.76</v>
      </c>
      <c r="J3100" s="123">
        <v>1600</v>
      </c>
    </row>
    <row r="3101" spans="1:11" x14ac:dyDescent="0.25">
      <c r="A3101" s="31" t="s">
        <v>604</v>
      </c>
      <c r="B3101" s="37" t="s">
        <v>325</v>
      </c>
      <c r="C3101" s="34" t="s">
        <v>158</v>
      </c>
      <c r="D3101" s="46">
        <v>8.1999999999999993</v>
      </c>
      <c r="E3101" s="34" t="s">
        <v>79</v>
      </c>
      <c r="F3101" s="74">
        <v>7</v>
      </c>
      <c r="G3101" s="36">
        <f t="shared" si="742"/>
        <v>44.1</v>
      </c>
      <c r="H3101" s="37">
        <v>24</v>
      </c>
      <c r="I3101" s="109">
        <f t="shared" si="743"/>
        <v>1058.4000000000001</v>
      </c>
      <c r="J3101" s="123">
        <v>1000</v>
      </c>
    </row>
    <row r="3102" spans="1:11" ht="15.75" thickBot="1" x14ac:dyDescent="0.3">
      <c r="A3102" s="31" t="s">
        <v>604</v>
      </c>
      <c r="B3102" s="43" t="s">
        <v>326</v>
      </c>
      <c r="C3102" s="52" t="s">
        <v>152</v>
      </c>
      <c r="D3102" s="72">
        <v>0</v>
      </c>
      <c r="E3102" s="42" t="s">
        <v>79</v>
      </c>
      <c r="F3102" s="73">
        <v>8.4</v>
      </c>
      <c r="G3102" s="74">
        <f t="shared" si="742"/>
        <v>52.92</v>
      </c>
      <c r="H3102" s="43">
        <v>24</v>
      </c>
      <c r="I3102" s="399">
        <f t="shared" si="743"/>
        <v>1270.08</v>
      </c>
      <c r="J3102" s="124">
        <v>1300</v>
      </c>
    </row>
    <row r="3103" spans="1:11" ht="19.5" thickBot="1" x14ac:dyDescent="0.35">
      <c r="A3103" s="206"/>
      <c r="B3103" s="336"/>
      <c r="C3103" s="336"/>
      <c r="D3103" s="336"/>
      <c r="E3103" s="336"/>
      <c r="F3103" s="336"/>
      <c r="G3103" s="337"/>
      <c r="H3103" s="174" t="s">
        <v>171</v>
      </c>
      <c r="I3103" s="238">
        <f>SUM(I3097:I3102)</f>
        <v>7030.7999999999993</v>
      </c>
      <c r="J3103" s="104">
        <v>6700</v>
      </c>
    </row>
    <row r="3104" spans="1:11" x14ac:dyDescent="0.25">
      <c r="A3104" s="31" t="s">
        <v>606</v>
      </c>
      <c r="B3104" s="37" t="s">
        <v>322</v>
      </c>
      <c r="C3104" s="34" t="s">
        <v>114</v>
      </c>
      <c r="D3104" s="108">
        <v>32.4</v>
      </c>
      <c r="E3104" s="34" t="s">
        <v>79</v>
      </c>
      <c r="F3104" s="109">
        <v>8</v>
      </c>
      <c r="G3104" s="36">
        <f t="shared" ref="G3104:G3109" si="744">F3104*6.3</f>
        <v>50.4</v>
      </c>
      <c r="H3104" s="37">
        <v>23</v>
      </c>
      <c r="I3104" s="109">
        <f t="shared" ref="I3104:I3109" si="745">G3104*H3104</f>
        <v>1159.2</v>
      </c>
      <c r="J3104" s="123">
        <v>900</v>
      </c>
    </row>
    <row r="3105" spans="1:31" x14ac:dyDescent="0.25">
      <c r="A3105" s="31" t="s">
        <v>606</v>
      </c>
      <c r="B3105" s="37" t="s">
        <v>323</v>
      </c>
      <c r="C3105" s="34" t="s">
        <v>86</v>
      </c>
      <c r="D3105" s="108" t="s">
        <v>38</v>
      </c>
      <c r="E3105" s="34" t="s">
        <v>79</v>
      </c>
      <c r="F3105" s="110">
        <v>10</v>
      </c>
      <c r="G3105" s="36">
        <f t="shared" si="744"/>
        <v>63</v>
      </c>
      <c r="H3105" s="37">
        <v>23</v>
      </c>
      <c r="I3105" s="109">
        <f t="shared" si="745"/>
        <v>1449</v>
      </c>
      <c r="J3105" s="123">
        <v>1400</v>
      </c>
    </row>
    <row r="3106" spans="1:31" x14ac:dyDescent="0.25">
      <c r="A3106" s="31" t="s">
        <v>606</v>
      </c>
      <c r="B3106" s="50" t="s">
        <v>324</v>
      </c>
      <c r="C3106" s="34" t="s">
        <v>443</v>
      </c>
      <c r="D3106" s="108" t="s">
        <v>38</v>
      </c>
      <c r="E3106" s="34" t="s">
        <v>79</v>
      </c>
      <c r="F3106" s="36">
        <v>3.4</v>
      </c>
      <c r="G3106" s="36">
        <f t="shared" si="744"/>
        <v>21.419999999999998</v>
      </c>
      <c r="H3106" s="37">
        <v>24</v>
      </c>
      <c r="I3106" s="109">
        <f t="shared" si="745"/>
        <v>514.07999999999993</v>
      </c>
      <c r="J3106" s="123">
        <v>500</v>
      </c>
    </row>
    <row r="3107" spans="1:31" x14ac:dyDescent="0.25">
      <c r="A3107" s="31" t="s">
        <v>606</v>
      </c>
      <c r="B3107" s="75" t="s">
        <v>317</v>
      </c>
      <c r="C3107" s="111" t="s">
        <v>156</v>
      </c>
      <c r="D3107" s="111">
        <v>94</v>
      </c>
      <c r="E3107" s="42" t="s">
        <v>79</v>
      </c>
      <c r="F3107" s="74">
        <v>10.199999999999999</v>
      </c>
      <c r="G3107" s="36">
        <f t="shared" si="744"/>
        <v>64.259999999999991</v>
      </c>
      <c r="H3107" s="37">
        <v>24</v>
      </c>
      <c r="I3107" s="109">
        <f t="shared" si="745"/>
        <v>1542.2399999999998</v>
      </c>
      <c r="J3107" s="123">
        <v>1600</v>
      </c>
    </row>
    <row r="3108" spans="1:31" x14ac:dyDescent="0.25">
      <c r="A3108" s="31" t="s">
        <v>606</v>
      </c>
      <c r="B3108" s="37" t="s">
        <v>325</v>
      </c>
      <c r="C3108" s="34" t="s">
        <v>158</v>
      </c>
      <c r="D3108" s="46">
        <v>8.1999999999999993</v>
      </c>
      <c r="E3108" s="34" t="s">
        <v>79</v>
      </c>
      <c r="F3108" s="74">
        <v>7</v>
      </c>
      <c r="G3108" s="36">
        <f t="shared" si="744"/>
        <v>44.1</v>
      </c>
      <c r="H3108" s="37">
        <v>24</v>
      </c>
      <c r="I3108" s="109">
        <f t="shared" si="745"/>
        <v>1058.4000000000001</v>
      </c>
      <c r="J3108" s="123">
        <v>1000</v>
      </c>
    </row>
    <row r="3109" spans="1:31" ht="15.75" thickBot="1" x14ac:dyDescent="0.3">
      <c r="A3109" s="31" t="s">
        <v>606</v>
      </c>
      <c r="B3109" s="43" t="s">
        <v>326</v>
      </c>
      <c r="C3109" s="52" t="s">
        <v>152</v>
      </c>
      <c r="D3109" s="72">
        <v>0</v>
      </c>
      <c r="E3109" s="42" t="s">
        <v>79</v>
      </c>
      <c r="F3109" s="73">
        <v>8.6</v>
      </c>
      <c r="G3109" s="74">
        <f t="shared" si="744"/>
        <v>54.18</v>
      </c>
      <c r="H3109" s="43">
        <v>24</v>
      </c>
      <c r="I3109" s="399">
        <f t="shared" si="745"/>
        <v>1300.32</v>
      </c>
      <c r="J3109" s="124">
        <v>1300</v>
      </c>
    </row>
    <row r="3110" spans="1:31" s="426" customFormat="1" ht="57.75" customHeight="1" thickBot="1" x14ac:dyDescent="0.3">
      <c r="A3110" s="420"/>
      <c r="B3110" s="421"/>
      <c r="C3110" s="421"/>
      <c r="D3110" s="421"/>
      <c r="E3110" s="421"/>
      <c r="F3110" s="421"/>
      <c r="G3110" s="422"/>
      <c r="H3110" s="423" t="s">
        <v>171</v>
      </c>
      <c r="I3110" s="424">
        <f>SUM(I3104:I3109)</f>
        <v>7023.24</v>
      </c>
      <c r="J3110" s="425">
        <v>6700</v>
      </c>
      <c r="K3110" s="428" t="s">
        <v>605</v>
      </c>
      <c r="L3110" s="427"/>
      <c r="M3110" s="427"/>
      <c r="N3110" s="427"/>
      <c r="O3110" s="427"/>
      <c r="P3110" s="427"/>
      <c r="Q3110" s="427"/>
      <c r="R3110" s="427"/>
      <c r="S3110" s="427"/>
      <c r="T3110" s="427"/>
      <c r="U3110" s="427"/>
      <c r="V3110" s="427"/>
      <c r="W3110" s="427"/>
      <c r="X3110" s="427"/>
      <c r="Y3110" s="427"/>
      <c r="Z3110" s="427"/>
      <c r="AA3110" s="427"/>
      <c r="AB3110" s="427"/>
      <c r="AC3110" s="427"/>
      <c r="AD3110" s="427"/>
      <c r="AE3110" s="427"/>
    </row>
    <row r="3111" spans="1:31" x14ac:dyDescent="0.25">
      <c r="A3111" s="31" t="s">
        <v>607</v>
      </c>
      <c r="B3111" s="37" t="s">
        <v>322</v>
      </c>
      <c r="C3111" s="34" t="s">
        <v>114</v>
      </c>
      <c r="D3111" s="108">
        <v>30</v>
      </c>
      <c r="E3111" s="34" t="s">
        <v>79</v>
      </c>
      <c r="F3111" s="109">
        <v>7.2</v>
      </c>
      <c r="G3111" s="36">
        <f t="shared" ref="G3111:G3116" si="746">F3111*6.3</f>
        <v>45.36</v>
      </c>
      <c r="H3111" s="37">
        <v>24</v>
      </c>
      <c r="I3111" s="109">
        <f t="shared" ref="I3111:I3116" si="747">G3111*H3111</f>
        <v>1088.6399999999999</v>
      </c>
      <c r="J3111" s="123">
        <v>900</v>
      </c>
    </row>
    <row r="3112" spans="1:31" x14ac:dyDescent="0.25">
      <c r="A3112" s="31" t="s">
        <v>607</v>
      </c>
      <c r="B3112" s="37" t="s">
        <v>323</v>
      </c>
      <c r="C3112" s="34" t="s">
        <v>86</v>
      </c>
      <c r="D3112" s="108" t="s">
        <v>38</v>
      </c>
      <c r="E3112" s="34" t="s">
        <v>79</v>
      </c>
      <c r="F3112" s="110">
        <v>10</v>
      </c>
      <c r="G3112" s="36">
        <f t="shared" si="746"/>
        <v>63</v>
      </c>
      <c r="H3112" s="37">
        <v>24</v>
      </c>
      <c r="I3112" s="109">
        <f t="shared" si="747"/>
        <v>1512</v>
      </c>
      <c r="J3112" s="123">
        <v>1400</v>
      </c>
    </row>
    <row r="3113" spans="1:31" x14ac:dyDescent="0.25">
      <c r="A3113" s="31" t="s">
        <v>607</v>
      </c>
      <c r="B3113" s="50" t="s">
        <v>324</v>
      </c>
      <c r="C3113" s="34" t="s">
        <v>443</v>
      </c>
      <c r="D3113" s="108" t="s">
        <v>38</v>
      </c>
      <c r="E3113" s="34" t="s">
        <v>79</v>
      </c>
      <c r="F3113" s="36">
        <v>3.4</v>
      </c>
      <c r="G3113" s="36">
        <f t="shared" si="746"/>
        <v>21.419999999999998</v>
      </c>
      <c r="H3113" s="37">
        <v>24</v>
      </c>
      <c r="I3113" s="109">
        <f t="shared" si="747"/>
        <v>514.07999999999993</v>
      </c>
      <c r="J3113" s="123">
        <v>500</v>
      </c>
    </row>
    <row r="3114" spans="1:31" x14ac:dyDescent="0.25">
      <c r="A3114" s="31" t="s">
        <v>607</v>
      </c>
      <c r="B3114" s="75" t="s">
        <v>317</v>
      </c>
      <c r="C3114" s="111" t="s">
        <v>156</v>
      </c>
      <c r="D3114" s="111">
        <v>97</v>
      </c>
      <c r="E3114" s="42" t="s">
        <v>79</v>
      </c>
      <c r="F3114" s="74">
        <v>10.4</v>
      </c>
      <c r="G3114" s="36">
        <f t="shared" si="746"/>
        <v>65.52</v>
      </c>
      <c r="H3114" s="37">
        <v>24</v>
      </c>
      <c r="I3114" s="109">
        <f t="shared" si="747"/>
        <v>1572.48</v>
      </c>
      <c r="J3114" s="123">
        <v>1600</v>
      </c>
    </row>
    <row r="3115" spans="1:31" x14ac:dyDescent="0.25">
      <c r="A3115" s="31" t="s">
        <v>607</v>
      </c>
      <c r="B3115" s="37" t="s">
        <v>325</v>
      </c>
      <c r="C3115" s="34" t="s">
        <v>158</v>
      </c>
      <c r="D3115" s="46">
        <v>6</v>
      </c>
      <c r="E3115" s="34" t="s">
        <v>79</v>
      </c>
      <c r="F3115" s="74">
        <v>7</v>
      </c>
      <c r="G3115" s="36">
        <f t="shared" si="746"/>
        <v>44.1</v>
      </c>
      <c r="H3115" s="37">
        <v>24</v>
      </c>
      <c r="I3115" s="109">
        <f t="shared" si="747"/>
        <v>1058.4000000000001</v>
      </c>
      <c r="J3115" s="123">
        <v>1000</v>
      </c>
    </row>
    <row r="3116" spans="1:31" ht="15.75" thickBot="1" x14ac:dyDescent="0.3">
      <c r="A3116" s="31" t="s">
        <v>607</v>
      </c>
      <c r="B3116" s="43" t="s">
        <v>326</v>
      </c>
      <c r="C3116" s="52" t="s">
        <v>152</v>
      </c>
      <c r="D3116" s="72">
        <v>0</v>
      </c>
      <c r="E3116" s="42" t="s">
        <v>79</v>
      </c>
      <c r="F3116" s="73">
        <v>8.8000000000000007</v>
      </c>
      <c r="G3116" s="74">
        <f t="shared" si="746"/>
        <v>55.440000000000005</v>
      </c>
      <c r="H3116" s="43">
        <v>24</v>
      </c>
      <c r="I3116" s="399">
        <f t="shared" si="747"/>
        <v>1330.5600000000002</v>
      </c>
      <c r="J3116" s="124">
        <v>1300</v>
      </c>
    </row>
    <row r="3117" spans="1:31" ht="19.5" thickBot="1" x14ac:dyDescent="0.35">
      <c r="A3117" s="206"/>
      <c r="B3117" s="336"/>
      <c r="C3117" s="336"/>
      <c r="D3117" s="336"/>
      <c r="E3117" s="336"/>
      <c r="F3117" s="336"/>
      <c r="G3117" s="337"/>
      <c r="H3117" s="174" t="s">
        <v>171</v>
      </c>
      <c r="I3117" s="238">
        <f>SUM(I3111:I3116)</f>
        <v>7076.1600000000008</v>
      </c>
      <c r="J3117" s="104">
        <v>6700</v>
      </c>
    </row>
    <row r="3118" spans="1:31" x14ac:dyDescent="0.25">
      <c r="A3118" s="31" t="s">
        <v>608</v>
      </c>
      <c r="B3118" s="37" t="s">
        <v>322</v>
      </c>
      <c r="C3118" s="34" t="s">
        <v>114</v>
      </c>
      <c r="D3118" s="108">
        <v>28</v>
      </c>
      <c r="E3118" s="34" t="s">
        <v>79</v>
      </c>
      <c r="F3118" s="109">
        <v>7.2</v>
      </c>
      <c r="G3118" s="36">
        <f t="shared" ref="G3118:G3123" si="748">F3118*6.3</f>
        <v>45.36</v>
      </c>
      <c r="H3118" s="37">
        <v>24</v>
      </c>
      <c r="I3118" s="109">
        <f t="shared" ref="I3118:I3123" si="749">G3118*H3118</f>
        <v>1088.6399999999999</v>
      </c>
      <c r="J3118" s="123">
        <v>900</v>
      </c>
    </row>
    <row r="3119" spans="1:31" x14ac:dyDescent="0.25">
      <c r="A3119" s="31" t="s">
        <v>608</v>
      </c>
      <c r="B3119" s="37" t="s">
        <v>323</v>
      </c>
      <c r="C3119" s="34" t="s">
        <v>86</v>
      </c>
      <c r="D3119" s="108" t="s">
        <v>38</v>
      </c>
      <c r="E3119" s="34" t="s">
        <v>79</v>
      </c>
      <c r="F3119" s="110">
        <v>9.8000000000000007</v>
      </c>
      <c r="G3119" s="36">
        <f t="shared" si="748"/>
        <v>61.74</v>
      </c>
      <c r="H3119" s="37">
        <v>24</v>
      </c>
      <c r="I3119" s="109">
        <f t="shared" si="749"/>
        <v>1481.76</v>
      </c>
      <c r="J3119" s="123">
        <v>1400</v>
      </c>
    </row>
    <row r="3120" spans="1:31" x14ac:dyDescent="0.25">
      <c r="A3120" s="31" t="s">
        <v>608</v>
      </c>
      <c r="B3120" s="50" t="s">
        <v>324</v>
      </c>
      <c r="C3120" s="34" t="s">
        <v>443</v>
      </c>
      <c r="D3120" s="108" t="s">
        <v>38</v>
      </c>
      <c r="E3120" s="34" t="s">
        <v>79</v>
      </c>
      <c r="F3120" s="36">
        <v>3.4</v>
      </c>
      <c r="G3120" s="36">
        <f t="shared" si="748"/>
        <v>21.419999999999998</v>
      </c>
      <c r="H3120" s="37">
        <v>24</v>
      </c>
      <c r="I3120" s="109">
        <f t="shared" si="749"/>
        <v>514.07999999999993</v>
      </c>
      <c r="J3120" s="123">
        <v>500</v>
      </c>
    </row>
    <row r="3121" spans="1:10" x14ac:dyDescent="0.25">
      <c r="A3121" s="31" t="s">
        <v>608</v>
      </c>
      <c r="B3121" s="75" t="s">
        <v>317</v>
      </c>
      <c r="C3121" s="111" t="s">
        <v>156</v>
      </c>
      <c r="D3121" s="111">
        <v>96</v>
      </c>
      <c r="E3121" s="42" t="s">
        <v>79</v>
      </c>
      <c r="F3121" s="74">
        <v>10.4</v>
      </c>
      <c r="G3121" s="36">
        <f t="shared" si="748"/>
        <v>65.52</v>
      </c>
      <c r="H3121" s="37">
        <v>24</v>
      </c>
      <c r="I3121" s="109">
        <f t="shared" si="749"/>
        <v>1572.48</v>
      </c>
      <c r="J3121" s="123">
        <v>1600</v>
      </c>
    </row>
    <row r="3122" spans="1:10" x14ac:dyDescent="0.25">
      <c r="A3122" s="31" t="s">
        <v>608</v>
      </c>
      <c r="B3122" s="37" t="s">
        <v>325</v>
      </c>
      <c r="C3122" s="34" t="s">
        <v>158</v>
      </c>
      <c r="D3122" s="46">
        <v>6</v>
      </c>
      <c r="E3122" s="34" t="s">
        <v>79</v>
      </c>
      <c r="F3122" s="74">
        <v>7</v>
      </c>
      <c r="G3122" s="36">
        <f t="shared" si="748"/>
        <v>44.1</v>
      </c>
      <c r="H3122" s="37">
        <v>24</v>
      </c>
      <c r="I3122" s="109">
        <f t="shared" si="749"/>
        <v>1058.4000000000001</v>
      </c>
      <c r="J3122" s="123">
        <v>1000</v>
      </c>
    </row>
    <row r="3123" spans="1:10" ht="15.75" thickBot="1" x14ac:dyDescent="0.3">
      <c r="A3123" s="31" t="s">
        <v>608</v>
      </c>
      <c r="B3123" s="43" t="s">
        <v>326</v>
      </c>
      <c r="C3123" s="52" t="s">
        <v>152</v>
      </c>
      <c r="D3123" s="72">
        <v>0</v>
      </c>
      <c r="E3123" s="42" t="s">
        <v>79</v>
      </c>
      <c r="F3123" s="73">
        <v>8.8000000000000007</v>
      </c>
      <c r="G3123" s="74">
        <f t="shared" si="748"/>
        <v>55.440000000000005</v>
      </c>
      <c r="H3123" s="43">
        <v>24</v>
      </c>
      <c r="I3123" s="399">
        <f t="shared" si="749"/>
        <v>1330.5600000000002</v>
      </c>
      <c r="J3123" s="124">
        <v>1300</v>
      </c>
    </row>
    <row r="3124" spans="1:10" ht="19.5" thickBot="1" x14ac:dyDescent="0.35">
      <c r="A3124" s="206"/>
      <c r="B3124" s="336"/>
      <c r="C3124" s="336"/>
      <c r="D3124" s="336"/>
      <c r="E3124" s="336"/>
      <c r="F3124" s="336"/>
      <c r="G3124" s="337"/>
      <c r="H3124" s="174" t="s">
        <v>171</v>
      </c>
      <c r="I3124" s="238">
        <f>SUM(I3118:I3123)</f>
        <v>7045.9199999999992</v>
      </c>
      <c r="J3124" s="104">
        <v>6700</v>
      </c>
    </row>
    <row r="3125" spans="1:10" x14ac:dyDescent="0.25">
      <c r="A3125" s="31" t="s">
        <v>609</v>
      </c>
      <c r="B3125" s="37" t="s">
        <v>322</v>
      </c>
      <c r="C3125" s="34" t="s">
        <v>114</v>
      </c>
      <c r="D3125" s="108">
        <v>28</v>
      </c>
      <c r="E3125" s="34" t="s">
        <v>79</v>
      </c>
      <c r="F3125" s="109">
        <v>7</v>
      </c>
      <c r="G3125" s="36">
        <f t="shared" ref="G3125:G3130" si="750">F3125*6.3</f>
        <v>44.1</v>
      </c>
      <c r="H3125" s="37">
        <v>24</v>
      </c>
      <c r="I3125" s="109">
        <f t="shared" ref="I3125:I3130" si="751">G3125*H3125</f>
        <v>1058.4000000000001</v>
      </c>
      <c r="J3125" s="123">
        <v>900</v>
      </c>
    </row>
    <row r="3126" spans="1:10" x14ac:dyDescent="0.25">
      <c r="A3126" s="31" t="s">
        <v>609</v>
      </c>
      <c r="B3126" s="37" t="s">
        <v>323</v>
      </c>
      <c r="C3126" s="34" t="s">
        <v>86</v>
      </c>
      <c r="D3126" s="108" t="s">
        <v>38</v>
      </c>
      <c r="E3126" s="34" t="s">
        <v>79</v>
      </c>
      <c r="F3126" s="110">
        <v>9.8000000000000007</v>
      </c>
      <c r="G3126" s="36">
        <f t="shared" si="750"/>
        <v>61.74</v>
      </c>
      <c r="H3126" s="37">
        <v>24</v>
      </c>
      <c r="I3126" s="109">
        <f t="shared" si="751"/>
        <v>1481.76</v>
      </c>
      <c r="J3126" s="123">
        <v>1400</v>
      </c>
    </row>
    <row r="3127" spans="1:10" x14ac:dyDescent="0.25">
      <c r="A3127" s="31" t="s">
        <v>609</v>
      </c>
      <c r="B3127" s="50" t="s">
        <v>324</v>
      </c>
      <c r="C3127" s="34" t="s">
        <v>443</v>
      </c>
      <c r="D3127" s="108" t="s">
        <v>38</v>
      </c>
      <c r="E3127" s="34" t="s">
        <v>79</v>
      </c>
      <c r="F3127" s="36">
        <v>3.4</v>
      </c>
      <c r="G3127" s="36">
        <f t="shared" si="750"/>
        <v>21.419999999999998</v>
      </c>
      <c r="H3127" s="37">
        <v>24</v>
      </c>
      <c r="I3127" s="109">
        <f t="shared" si="751"/>
        <v>514.07999999999993</v>
      </c>
      <c r="J3127" s="123">
        <v>500</v>
      </c>
    </row>
    <row r="3128" spans="1:10" x14ac:dyDescent="0.25">
      <c r="A3128" s="31" t="s">
        <v>609</v>
      </c>
      <c r="B3128" s="75" t="s">
        <v>317</v>
      </c>
      <c r="C3128" s="111" t="s">
        <v>156</v>
      </c>
      <c r="D3128" s="111">
        <v>97</v>
      </c>
      <c r="E3128" s="42" t="s">
        <v>79</v>
      </c>
      <c r="F3128" s="74">
        <v>10.4</v>
      </c>
      <c r="G3128" s="36">
        <f t="shared" si="750"/>
        <v>65.52</v>
      </c>
      <c r="H3128" s="37">
        <v>24</v>
      </c>
      <c r="I3128" s="109">
        <f t="shared" si="751"/>
        <v>1572.48</v>
      </c>
      <c r="J3128" s="123">
        <v>1600</v>
      </c>
    </row>
    <row r="3129" spans="1:10" x14ac:dyDescent="0.25">
      <c r="A3129" s="31" t="s">
        <v>609</v>
      </c>
      <c r="B3129" s="37" t="s">
        <v>325</v>
      </c>
      <c r="C3129" s="34" t="s">
        <v>158</v>
      </c>
      <c r="D3129" s="46">
        <v>6.5</v>
      </c>
      <c r="E3129" s="34" t="s">
        <v>79</v>
      </c>
      <c r="F3129" s="74">
        <v>7.2</v>
      </c>
      <c r="G3129" s="36">
        <f t="shared" si="750"/>
        <v>45.36</v>
      </c>
      <c r="H3129" s="37">
        <v>24</v>
      </c>
      <c r="I3129" s="109">
        <f t="shared" si="751"/>
        <v>1088.6399999999999</v>
      </c>
      <c r="J3129" s="123">
        <v>1000</v>
      </c>
    </row>
    <row r="3130" spans="1:10" ht="15.75" thickBot="1" x14ac:dyDescent="0.3">
      <c r="A3130" s="31" t="s">
        <v>609</v>
      </c>
      <c r="B3130" s="43" t="s">
        <v>326</v>
      </c>
      <c r="C3130" s="52" t="s">
        <v>152</v>
      </c>
      <c r="D3130" s="72">
        <v>0</v>
      </c>
      <c r="E3130" s="42" t="s">
        <v>79</v>
      </c>
      <c r="F3130" s="73">
        <v>9</v>
      </c>
      <c r="G3130" s="74">
        <f t="shared" si="750"/>
        <v>56.699999999999996</v>
      </c>
      <c r="H3130" s="43">
        <v>24</v>
      </c>
      <c r="I3130" s="399">
        <f t="shared" si="751"/>
        <v>1360.8</v>
      </c>
      <c r="J3130" s="124">
        <v>1300</v>
      </c>
    </row>
    <row r="3131" spans="1:10" ht="19.5" thickBot="1" x14ac:dyDescent="0.35">
      <c r="A3131" s="206"/>
      <c r="B3131" s="336"/>
      <c r="C3131" s="336"/>
      <c r="D3131" s="336"/>
      <c r="E3131" s="336"/>
      <c r="F3131" s="336"/>
      <c r="G3131" s="337"/>
      <c r="H3131" s="174" t="s">
        <v>171</v>
      </c>
      <c r="I3131" s="238">
        <f>SUM(I3125:I3130)</f>
        <v>7076.1599999999989</v>
      </c>
      <c r="J3131" s="104">
        <v>6700</v>
      </c>
    </row>
    <row r="3132" spans="1:10" x14ac:dyDescent="0.25">
      <c r="A3132" s="31" t="s">
        <v>610</v>
      </c>
      <c r="B3132" s="37" t="s">
        <v>322</v>
      </c>
      <c r="C3132" s="34" t="s">
        <v>114</v>
      </c>
      <c r="D3132" s="108">
        <v>28.28</v>
      </c>
      <c r="E3132" s="34" t="s">
        <v>79</v>
      </c>
      <c r="F3132" s="109">
        <v>7.01</v>
      </c>
      <c r="G3132" s="36">
        <f t="shared" ref="G3132:G3137" si="752">F3132*6.3</f>
        <v>44.162999999999997</v>
      </c>
      <c r="H3132" s="37">
        <v>24</v>
      </c>
      <c r="I3132" s="109">
        <f t="shared" ref="I3132:I3137" si="753">G3132*H3132</f>
        <v>1059.9119999999998</v>
      </c>
      <c r="J3132" s="123">
        <v>900</v>
      </c>
    </row>
    <row r="3133" spans="1:10" x14ac:dyDescent="0.25">
      <c r="A3133" s="31" t="s">
        <v>610</v>
      </c>
      <c r="B3133" s="37" t="s">
        <v>323</v>
      </c>
      <c r="C3133" s="34" t="s">
        <v>86</v>
      </c>
      <c r="D3133" s="108" t="s">
        <v>38</v>
      </c>
      <c r="E3133" s="34" t="s">
        <v>79</v>
      </c>
      <c r="F3133" s="110">
        <v>9.7899999999999991</v>
      </c>
      <c r="G3133" s="36">
        <f t="shared" si="752"/>
        <v>61.676999999999992</v>
      </c>
      <c r="H3133" s="37">
        <v>24</v>
      </c>
      <c r="I3133" s="109">
        <f t="shared" si="753"/>
        <v>1480.2479999999998</v>
      </c>
      <c r="J3133" s="123">
        <v>1400</v>
      </c>
    </row>
    <row r="3134" spans="1:10" x14ac:dyDescent="0.25">
      <c r="A3134" s="31" t="s">
        <v>610</v>
      </c>
      <c r="B3134" s="50" t="s">
        <v>324</v>
      </c>
      <c r="C3134" s="34" t="s">
        <v>443</v>
      </c>
      <c r="D3134" s="108" t="s">
        <v>38</v>
      </c>
      <c r="E3134" s="34" t="s">
        <v>79</v>
      </c>
      <c r="F3134" s="36">
        <v>3.46</v>
      </c>
      <c r="G3134" s="36">
        <f t="shared" si="752"/>
        <v>21.797999999999998</v>
      </c>
      <c r="H3134" s="37">
        <v>24</v>
      </c>
      <c r="I3134" s="109">
        <f t="shared" si="753"/>
        <v>523.15199999999993</v>
      </c>
      <c r="J3134" s="123">
        <v>500</v>
      </c>
    </row>
    <row r="3135" spans="1:10" x14ac:dyDescent="0.25">
      <c r="A3135" s="31" t="s">
        <v>610</v>
      </c>
      <c r="B3135" s="75" t="s">
        <v>317</v>
      </c>
      <c r="C3135" s="111" t="s">
        <v>156</v>
      </c>
      <c r="D3135" s="111">
        <v>98.01</v>
      </c>
      <c r="E3135" s="42" t="s">
        <v>79</v>
      </c>
      <c r="F3135" s="74">
        <v>10.45</v>
      </c>
      <c r="G3135" s="36">
        <f t="shared" si="752"/>
        <v>65.834999999999994</v>
      </c>
      <c r="H3135" s="37">
        <v>24</v>
      </c>
      <c r="I3135" s="109">
        <f t="shared" si="753"/>
        <v>1580.04</v>
      </c>
      <c r="J3135" s="123">
        <v>1600</v>
      </c>
    </row>
    <row r="3136" spans="1:10" x14ac:dyDescent="0.25">
      <c r="A3136" s="31" t="s">
        <v>610</v>
      </c>
      <c r="B3136" s="37" t="s">
        <v>325</v>
      </c>
      <c r="C3136" s="34" t="s">
        <v>158</v>
      </c>
      <c r="D3136" s="46">
        <v>2.2000000000000002</v>
      </c>
      <c r="E3136" s="34" t="s">
        <v>79</v>
      </c>
      <c r="F3136" s="74">
        <v>7.22</v>
      </c>
      <c r="G3136" s="36">
        <f t="shared" si="752"/>
        <v>45.485999999999997</v>
      </c>
      <c r="H3136" s="37">
        <v>24</v>
      </c>
      <c r="I3136" s="109">
        <f t="shared" si="753"/>
        <v>1091.664</v>
      </c>
      <c r="J3136" s="123">
        <v>1000</v>
      </c>
    </row>
    <row r="3137" spans="1:10" ht="15.75" thickBot="1" x14ac:dyDescent="0.3">
      <c r="A3137" s="31" t="s">
        <v>610</v>
      </c>
      <c r="B3137" s="43" t="s">
        <v>326</v>
      </c>
      <c r="C3137" s="52" t="s">
        <v>152</v>
      </c>
      <c r="D3137" s="72">
        <v>0</v>
      </c>
      <c r="E3137" s="42" t="s">
        <v>79</v>
      </c>
      <c r="F3137" s="73">
        <v>8.98</v>
      </c>
      <c r="G3137" s="74">
        <f t="shared" si="752"/>
        <v>56.573999999999998</v>
      </c>
      <c r="H3137" s="43">
        <v>24</v>
      </c>
      <c r="I3137" s="399">
        <f t="shared" si="753"/>
        <v>1357.7759999999998</v>
      </c>
      <c r="J3137" s="124">
        <v>1300</v>
      </c>
    </row>
    <row r="3138" spans="1:10" ht="19.5" thickBot="1" x14ac:dyDescent="0.35">
      <c r="A3138" s="206"/>
      <c r="B3138" s="336"/>
      <c r="C3138" s="336"/>
      <c r="D3138" s="336"/>
      <c r="E3138" s="336"/>
      <c r="F3138" s="336"/>
      <c r="G3138" s="337"/>
      <c r="H3138" s="174" t="s">
        <v>171</v>
      </c>
      <c r="I3138" s="238">
        <f>SUM(I3132:I3137)</f>
        <v>7092.7919999999995</v>
      </c>
      <c r="J3138" s="104">
        <v>6700</v>
      </c>
    </row>
    <row r="3139" spans="1:10" x14ac:dyDescent="0.25">
      <c r="A3139" s="31" t="s">
        <v>611</v>
      </c>
      <c r="B3139" s="37" t="s">
        <v>322</v>
      </c>
      <c r="C3139" s="34" t="s">
        <v>114</v>
      </c>
      <c r="D3139" s="108">
        <v>28.1</v>
      </c>
      <c r="E3139" s="34" t="s">
        <v>79</v>
      </c>
      <c r="F3139" s="109">
        <v>7.03</v>
      </c>
      <c r="G3139" s="36">
        <f t="shared" ref="G3139:G3144" si="754">F3139*6.3</f>
        <v>44.289000000000001</v>
      </c>
      <c r="H3139" s="37">
        <v>24</v>
      </c>
      <c r="I3139" s="109">
        <f t="shared" ref="I3139:I3144" si="755">G3139*H3139</f>
        <v>1062.9360000000001</v>
      </c>
      <c r="J3139" s="123">
        <v>900</v>
      </c>
    </row>
    <row r="3140" spans="1:10" x14ac:dyDescent="0.25">
      <c r="A3140" s="31" t="s">
        <v>611</v>
      </c>
      <c r="B3140" s="37" t="s">
        <v>323</v>
      </c>
      <c r="C3140" s="34" t="s">
        <v>86</v>
      </c>
      <c r="D3140" s="108" t="s">
        <v>38</v>
      </c>
      <c r="E3140" s="34" t="s">
        <v>79</v>
      </c>
      <c r="F3140" s="110">
        <v>9.76</v>
      </c>
      <c r="G3140" s="36">
        <f t="shared" si="754"/>
        <v>61.488</v>
      </c>
      <c r="H3140" s="37">
        <v>24</v>
      </c>
      <c r="I3140" s="109">
        <f t="shared" si="755"/>
        <v>1475.712</v>
      </c>
      <c r="J3140" s="123">
        <v>1400</v>
      </c>
    </row>
    <row r="3141" spans="1:10" x14ac:dyDescent="0.25">
      <c r="A3141" s="31" t="s">
        <v>611</v>
      </c>
      <c r="B3141" s="50" t="s">
        <v>324</v>
      </c>
      <c r="C3141" s="34" t="s">
        <v>443</v>
      </c>
      <c r="D3141" s="108" t="s">
        <v>38</v>
      </c>
      <c r="E3141" s="34" t="s">
        <v>79</v>
      </c>
      <c r="F3141" s="36">
        <v>3.52</v>
      </c>
      <c r="G3141" s="36">
        <f t="shared" si="754"/>
        <v>22.175999999999998</v>
      </c>
      <c r="H3141" s="37">
        <v>24</v>
      </c>
      <c r="I3141" s="109">
        <f t="shared" si="755"/>
        <v>532.22399999999993</v>
      </c>
      <c r="J3141" s="123">
        <v>500</v>
      </c>
    </row>
    <row r="3142" spans="1:10" x14ac:dyDescent="0.25">
      <c r="A3142" s="31" t="s">
        <v>611</v>
      </c>
      <c r="B3142" s="75" t="s">
        <v>317</v>
      </c>
      <c r="C3142" s="111" t="s">
        <v>156</v>
      </c>
      <c r="D3142" s="111">
        <v>98.01</v>
      </c>
      <c r="E3142" s="42" t="s">
        <v>79</v>
      </c>
      <c r="F3142" s="74">
        <v>10.45</v>
      </c>
      <c r="G3142" s="36">
        <f t="shared" si="754"/>
        <v>65.834999999999994</v>
      </c>
      <c r="H3142" s="37">
        <v>24</v>
      </c>
      <c r="I3142" s="109">
        <f t="shared" si="755"/>
        <v>1580.04</v>
      </c>
      <c r="J3142" s="123">
        <v>1600</v>
      </c>
    </row>
    <row r="3143" spans="1:10" x14ac:dyDescent="0.25">
      <c r="A3143" s="31" t="s">
        <v>611</v>
      </c>
      <c r="B3143" s="37" t="s">
        <v>325</v>
      </c>
      <c r="C3143" s="34" t="s">
        <v>158</v>
      </c>
      <c r="D3143" s="46">
        <v>1.89</v>
      </c>
      <c r="E3143" s="34" t="s">
        <v>79</v>
      </c>
      <c r="F3143" s="74">
        <v>7.18</v>
      </c>
      <c r="G3143" s="36">
        <f t="shared" si="754"/>
        <v>45.233999999999995</v>
      </c>
      <c r="H3143" s="37">
        <v>24</v>
      </c>
      <c r="I3143" s="109">
        <f t="shared" si="755"/>
        <v>1085.616</v>
      </c>
      <c r="J3143" s="123">
        <v>1000</v>
      </c>
    </row>
    <row r="3144" spans="1:10" ht="15.75" thickBot="1" x14ac:dyDescent="0.3">
      <c r="A3144" s="31" t="s">
        <v>611</v>
      </c>
      <c r="B3144" s="43" t="s">
        <v>326</v>
      </c>
      <c r="C3144" s="52" t="s">
        <v>152</v>
      </c>
      <c r="D3144" s="72">
        <v>0</v>
      </c>
      <c r="E3144" s="42" t="s">
        <v>79</v>
      </c>
      <c r="F3144" s="73">
        <v>8.94</v>
      </c>
      <c r="G3144" s="74">
        <f t="shared" si="754"/>
        <v>56.321999999999996</v>
      </c>
      <c r="H3144" s="43">
        <v>24</v>
      </c>
      <c r="I3144" s="399">
        <f t="shared" si="755"/>
        <v>1351.7279999999998</v>
      </c>
      <c r="J3144" s="124">
        <v>1300</v>
      </c>
    </row>
    <row r="3145" spans="1:10" ht="19.5" thickBot="1" x14ac:dyDescent="0.35">
      <c r="A3145" s="206"/>
      <c r="B3145" s="336"/>
      <c r="C3145" s="336"/>
      <c r="D3145" s="336"/>
      <c r="E3145" s="336"/>
      <c r="F3145" s="336"/>
      <c r="G3145" s="337"/>
      <c r="H3145" s="174" t="s">
        <v>171</v>
      </c>
      <c r="I3145" s="238">
        <f>SUM(I3139:I3144)</f>
        <v>7088.2560000000003</v>
      </c>
      <c r="J3145" s="104">
        <v>6700</v>
      </c>
    </row>
    <row r="3146" spans="1:10" x14ac:dyDescent="0.25">
      <c r="A3146" s="31" t="s">
        <v>613</v>
      </c>
      <c r="B3146" s="37" t="s">
        <v>322</v>
      </c>
      <c r="C3146" s="34" t="s">
        <v>114</v>
      </c>
      <c r="D3146" s="108">
        <v>28.04</v>
      </c>
      <c r="E3146" s="34" t="s">
        <v>79</v>
      </c>
      <c r="F3146" s="109">
        <v>7.06</v>
      </c>
      <c r="G3146" s="36">
        <f t="shared" ref="G3146:G3151" si="756">F3146*6.3</f>
        <v>44.477999999999994</v>
      </c>
      <c r="H3146" s="37">
        <v>24</v>
      </c>
      <c r="I3146" s="109">
        <f t="shared" ref="I3146:I3151" si="757">G3146*H3146</f>
        <v>1067.4719999999998</v>
      </c>
      <c r="J3146" s="123">
        <v>900</v>
      </c>
    </row>
    <row r="3147" spans="1:10" x14ac:dyDescent="0.25">
      <c r="A3147" s="31" t="s">
        <v>613</v>
      </c>
      <c r="B3147" s="37" t="s">
        <v>323</v>
      </c>
      <c r="C3147" s="34" t="s">
        <v>86</v>
      </c>
      <c r="D3147" s="108" t="s">
        <v>38</v>
      </c>
      <c r="E3147" s="34" t="s">
        <v>79</v>
      </c>
      <c r="F3147" s="110">
        <v>9.8000000000000007</v>
      </c>
      <c r="G3147" s="36">
        <f t="shared" si="756"/>
        <v>61.74</v>
      </c>
      <c r="H3147" s="37">
        <v>24</v>
      </c>
      <c r="I3147" s="109">
        <f t="shared" si="757"/>
        <v>1481.76</v>
      </c>
      <c r="J3147" s="123">
        <v>1400</v>
      </c>
    </row>
    <row r="3148" spans="1:10" x14ac:dyDescent="0.25">
      <c r="A3148" s="31" t="s">
        <v>613</v>
      </c>
      <c r="B3148" s="50" t="s">
        <v>324</v>
      </c>
      <c r="C3148" s="34" t="s">
        <v>443</v>
      </c>
      <c r="D3148" s="108" t="s">
        <v>38</v>
      </c>
      <c r="E3148" s="34" t="s">
        <v>79</v>
      </c>
      <c r="F3148" s="36">
        <v>3.52</v>
      </c>
      <c r="G3148" s="36">
        <f t="shared" si="756"/>
        <v>22.175999999999998</v>
      </c>
      <c r="H3148" s="37">
        <v>24</v>
      </c>
      <c r="I3148" s="109">
        <f t="shared" si="757"/>
        <v>532.22399999999993</v>
      </c>
      <c r="J3148" s="123">
        <v>500</v>
      </c>
    </row>
    <row r="3149" spans="1:10" x14ac:dyDescent="0.25">
      <c r="A3149" s="31" t="s">
        <v>613</v>
      </c>
      <c r="B3149" s="75" t="s">
        <v>317</v>
      </c>
      <c r="C3149" s="111" t="s">
        <v>156</v>
      </c>
      <c r="D3149" s="111">
        <v>98.01</v>
      </c>
      <c r="E3149" s="42" t="s">
        <v>79</v>
      </c>
      <c r="F3149" s="74">
        <v>10.45</v>
      </c>
      <c r="G3149" s="36">
        <f t="shared" si="756"/>
        <v>65.834999999999994</v>
      </c>
      <c r="H3149" s="37">
        <v>24</v>
      </c>
      <c r="I3149" s="109">
        <f t="shared" si="757"/>
        <v>1580.04</v>
      </c>
      <c r="J3149" s="123">
        <v>1600</v>
      </c>
    </row>
    <row r="3150" spans="1:10" x14ac:dyDescent="0.25">
      <c r="A3150" s="31" t="s">
        <v>613</v>
      </c>
      <c r="B3150" s="37" t="s">
        <v>325</v>
      </c>
      <c r="C3150" s="34" t="s">
        <v>158</v>
      </c>
      <c r="D3150" s="46">
        <v>1.89</v>
      </c>
      <c r="E3150" s="34" t="s">
        <v>79</v>
      </c>
      <c r="F3150" s="74">
        <v>7.21</v>
      </c>
      <c r="G3150" s="36">
        <f t="shared" si="756"/>
        <v>45.423000000000002</v>
      </c>
      <c r="H3150" s="37">
        <v>24</v>
      </c>
      <c r="I3150" s="109">
        <f t="shared" si="757"/>
        <v>1090.152</v>
      </c>
      <c r="J3150" s="123">
        <v>1000</v>
      </c>
    </row>
    <row r="3151" spans="1:10" ht="15.75" thickBot="1" x14ac:dyDescent="0.3">
      <c r="A3151" s="31" t="s">
        <v>613</v>
      </c>
      <c r="B3151" s="43" t="s">
        <v>326</v>
      </c>
      <c r="C3151" s="52" t="s">
        <v>152</v>
      </c>
      <c r="D3151" s="72">
        <v>0</v>
      </c>
      <c r="E3151" s="42" t="s">
        <v>79</v>
      </c>
      <c r="F3151" s="73">
        <v>8.9700000000000006</v>
      </c>
      <c r="G3151" s="74">
        <f t="shared" si="756"/>
        <v>56.511000000000003</v>
      </c>
      <c r="H3151" s="43">
        <v>24</v>
      </c>
      <c r="I3151" s="399">
        <f t="shared" si="757"/>
        <v>1356.2640000000001</v>
      </c>
      <c r="J3151" s="124">
        <v>1300</v>
      </c>
    </row>
    <row r="3152" spans="1:10" ht="19.5" thickBot="1" x14ac:dyDescent="0.35">
      <c r="A3152" s="206"/>
      <c r="B3152" s="336"/>
      <c r="C3152" s="336"/>
      <c r="D3152" s="336"/>
      <c r="E3152" s="336"/>
      <c r="F3152" s="336"/>
      <c r="G3152" s="337"/>
      <c r="H3152" s="174" t="s">
        <v>171</v>
      </c>
      <c r="I3152" s="238">
        <f>SUM(I3146:I3151)</f>
        <v>7107.9120000000003</v>
      </c>
      <c r="J3152" s="104">
        <v>6700</v>
      </c>
    </row>
    <row r="3153" spans="1:10" x14ac:dyDescent="0.25">
      <c r="A3153" s="31" t="s">
        <v>614</v>
      </c>
      <c r="B3153" s="37" t="s">
        <v>322</v>
      </c>
      <c r="C3153" s="34" t="s">
        <v>114</v>
      </c>
      <c r="D3153" s="108">
        <v>28</v>
      </c>
      <c r="E3153" s="34" t="s">
        <v>79</v>
      </c>
      <c r="F3153" s="109">
        <v>7.03</v>
      </c>
      <c r="G3153" s="36">
        <f t="shared" ref="G3153:G3158" si="758">F3153*6.3</f>
        <v>44.289000000000001</v>
      </c>
      <c r="H3153" s="37">
        <v>24</v>
      </c>
      <c r="I3153" s="109">
        <f t="shared" ref="I3153:I3158" si="759">G3153*H3153</f>
        <v>1062.9360000000001</v>
      </c>
      <c r="J3153" s="123">
        <v>900</v>
      </c>
    </row>
    <row r="3154" spans="1:10" x14ac:dyDescent="0.25">
      <c r="A3154" s="31" t="s">
        <v>614</v>
      </c>
      <c r="B3154" s="37" t="s">
        <v>323</v>
      </c>
      <c r="C3154" s="34" t="s">
        <v>86</v>
      </c>
      <c r="D3154" s="108" t="s">
        <v>38</v>
      </c>
      <c r="E3154" s="34" t="s">
        <v>79</v>
      </c>
      <c r="F3154" s="110">
        <v>9.8000000000000007</v>
      </c>
      <c r="G3154" s="36">
        <f t="shared" si="758"/>
        <v>61.74</v>
      </c>
      <c r="H3154" s="37">
        <v>24</v>
      </c>
      <c r="I3154" s="109">
        <f t="shared" si="759"/>
        <v>1481.76</v>
      </c>
      <c r="J3154" s="123">
        <v>1400</v>
      </c>
    </row>
    <row r="3155" spans="1:10" x14ac:dyDescent="0.25">
      <c r="A3155" s="31" t="s">
        <v>614</v>
      </c>
      <c r="B3155" s="50" t="s">
        <v>324</v>
      </c>
      <c r="C3155" s="34" t="s">
        <v>443</v>
      </c>
      <c r="D3155" s="108" t="s">
        <v>38</v>
      </c>
      <c r="E3155" s="34" t="s">
        <v>79</v>
      </c>
      <c r="F3155" s="36">
        <v>3.52</v>
      </c>
      <c r="G3155" s="36">
        <f t="shared" si="758"/>
        <v>22.175999999999998</v>
      </c>
      <c r="H3155" s="37">
        <v>24</v>
      </c>
      <c r="I3155" s="109">
        <f t="shared" si="759"/>
        <v>532.22399999999993</v>
      </c>
      <c r="J3155" s="123">
        <v>500</v>
      </c>
    </row>
    <row r="3156" spans="1:10" x14ac:dyDescent="0.25">
      <c r="A3156" s="31" t="s">
        <v>614</v>
      </c>
      <c r="B3156" s="75" t="s">
        <v>317</v>
      </c>
      <c r="C3156" s="111" t="s">
        <v>156</v>
      </c>
      <c r="D3156" s="111">
        <v>98.23</v>
      </c>
      <c r="E3156" s="42" t="s">
        <v>79</v>
      </c>
      <c r="F3156" s="74">
        <v>10.4</v>
      </c>
      <c r="G3156" s="36">
        <f t="shared" si="758"/>
        <v>65.52</v>
      </c>
      <c r="H3156" s="37">
        <v>24</v>
      </c>
      <c r="I3156" s="109">
        <f t="shared" si="759"/>
        <v>1572.48</v>
      </c>
      <c r="J3156" s="123">
        <v>1600</v>
      </c>
    </row>
    <row r="3157" spans="1:10" x14ac:dyDescent="0.25">
      <c r="A3157" s="31" t="s">
        <v>614</v>
      </c>
      <c r="B3157" s="37" t="s">
        <v>325</v>
      </c>
      <c r="C3157" s="34" t="s">
        <v>158</v>
      </c>
      <c r="D3157" s="46">
        <v>0.69</v>
      </c>
      <c r="E3157" s="34" t="s">
        <v>79</v>
      </c>
      <c r="F3157" s="74">
        <v>7.21</v>
      </c>
      <c r="G3157" s="36">
        <f t="shared" si="758"/>
        <v>45.423000000000002</v>
      </c>
      <c r="H3157" s="37">
        <v>24</v>
      </c>
      <c r="I3157" s="109">
        <f t="shared" si="759"/>
        <v>1090.152</v>
      </c>
      <c r="J3157" s="123">
        <v>1000</v>
      </c>
    </row>
    <row r="3158" spans="1:10" ht="15.75" thickBot="1" x14ac:dyDescent="0.3">
      <c r="A3158" s="31" t="s">
        <v>614</v>
      </c>
      <c r="B3158" s="43" t="s">
        <v>326</v>
      </c>
      <c r="C3158" s="52" t="s">
        <v>152</v>
      </c>
      <c r="D3158" s="72">
        <v>0</v>
      </c>
      <c r="E3158" s="42" t="s">
        <v>79</v>
      </c>
      <c r="F3158" s="73">
        <v>8.9499999999999993</v>
      </c>
      <c r="G3158" s="74">
        <f t="shared" si="758"/>
        <v>56.384999999999991</v>
      </c>
      <c r="H3158" s="43">
        <v>24</v>
      </c>
      <c r="I3158" s="399">
        <f t="shared" si="759"/>
        <v>1353.2399999999998</v>
      </c>
      <c r="J3158" s="124">
        <v>1300</v>
      </c>
    </row>
    <row r="3159" spans="1:10" ht="19.5" thickBot="1" x14ac:dyDescent="0.35">
      <c r="A3159" s="206"/>
      <c r="B3159" s="336"/>
      <c r="C3159" s="336"/>
      <c r="D3159" s="336"/>
      <c r="E3159" s="336"/>
      <c r="F3159" s="336"/>
      <c r="G3159" s="337"/>
      <c r="H3159" s="419" t="s">
        <v>171</v>
      </c>
      <c r="I3159" s="418">
        <f>SUM(I3153:I3158)</f>
        <v>7092.7919999999995</v>
      </c>
      <c r="J3159" s="104">
        <v>6700</v>
      </c>
    </row>
    <row r="3160" spans="1:10" x14ac:dyDescent="0.25">
      <c r="A3160" s="31" t="s">
        <v>617</v>
      </c>
      <c r="B3160" s="37" t="s">
        <v>322</v>
      </c>
      <c r="C3160" s="34" t="s">
        <v>114</v>
      </c>
      <c r="D3160" s="108">
        <v>28.79</v>
      </c>
      <c r="E3160" s="34" t="s">
        <v>79</v>
      </c>
      <c r="F3160" s="109">
        <v>7.08</v>
      </c>
      <c r="G3160" s="36">
        <f t="shared" ref="G3160:G3165" si="760">F3160*6.3</f>
        <v>44.603999999999999</v>
      </c>
      <c r="H3160" s="37">
        <v>24</v>
      </c>
      <c r="I3160" s="109">
        <f t="shared" ref="I3160:I3165" si="761">G3160*H3160</f>
        <v>1070.4960000000001</v>
      </c>
      <c r="J3160" s="123">
        <v>900</v>
      </c>
    </row>
    <row r="3161" spans="1:10" x14ac:dyDescent="0.25">
      <c r="A3161" s="31" t="s">
        <v>618</v>
      </c>
      <c r="B3161" s="37" t="s">
        <v>323</v>
      </c>
      <c r="C3161" s="34" t="s">
        <v>86</v>
      </c>
      <c r="D3161" s="108" t="s">
        <v>38</v>
      </c>
      <c r="E3161" s="34" t="s">
        <v>79</v>
      </c>
      <c r="F3161" s="110">
        <v>9.8000000000000007</v>
      </c>
      <c r="G3161" s="36">
        <f t="shared" si="760"/>
        <v>61.74</v>
      </c>
      <c r="H3161" s="37">
        <v>24</v>
      </c>
      <c r="I3161" s="109">
        <f t="shared" si="761"/>
        <v>1481.76</v>
      </c>
      <c r="J3161" s="123">
        <v>1400</v>
      </c>
    </row>
    <row r="3162" spans="1:10" x14ac:dyDescent="0.25">
      <c r="A3162" s="31" t="s">
        <v>618</v>
      </c>
      <c r="B3162" s="50" t="s">
        <v>324</v>
      </c>
      <c r="C3162" s="34" t="s">
        <v>443</v>
      </c>
      <c r="D3162" s="108" t="s">
        <v>38</v>
      </c>
      <c r="E3162" s="34" t="s">
        <v>79</v>
      </c>
      <c r="F3162" s="36">
        <v>3.52</v>
      </c>
      <c r="G3162" s="36">
        <f t="shared" si="760"/>
        <v>22.175999999999998</v>
      </c>
      <c r="H3162" s="37">
        <v>24</v>
      </c>
      <c r="I3162" s="109">
        <f t="shared" si="761"/>
        <v>532.22399999999993</v>
      </c>
      <c r="J3162" s="123">
        <v>500</v>
      </c>
    </row>
    <row r="3163" spans="1:10" x14ac:dyDescent="0.25">
      <c r="A3163" s="31" t="s">
        <v>618</v>
      </c>
      <c r="B3163" s="75" t="s">
        <v>317</v>
      </c>
      <c r="C3163" s="111" t="s">
        <v>156</v>
      </c>
      <c r="D3163" s="111">
        <v>97.1</v>
      </c>
      <c r="E3163" s="42" t="s">
        <v>79</v>
      </c>
      <c r="F3163" s="74">
        <v>10.38</v>
      </c>
      <c r="G3163" s="36">
        <f t="shared" si="760"/>
        <v>65.394000000000005</v>
      </c>
      <c r="H3163" s="37">
        <v>24</v>
      </c>
      <c r="I3163" s="109">
        <f t="shared" si="761"/>
        <v>1569.4560000000001</v>
      </c>
      <c r="J3163" s="123">
        <v>1600</v>
      </c>
    </row>
    <row r="3164" spans="1:10" x14ac:dyDescent="0.25">
      <c r="A3164" s="31" t="s">
        <v>618</v>
      </c>
      <c r="B3164" s="37" t="s">
        <v>325</v>
      </c>
      <c r="C3164" s="34" t="s">
        <v>158</v>
      </c>
      <c r="D3164" s="46">
        <v>0.69</v>
      </c>
      <c r="E3164" s="34" t="s">
        <v>79</v>
      </c>
      <c r="F3164" s="74">
        <v>7.2</v>
      </c>
      <c r="G3164" s="36">
        <f t="shared" si="760"/>
        <v>45.36</v>
      </c>
      <c r="H3164" s="37">
        <v>24</v>
      </c>
      <c r="I3164" s="109">
        <f t="shared" si="761"/>
        <v>1088.6399999999999</v>
      </c>
      <c r="J3164" s="123">
        <v>1000</v>
      </c>
    </row>
    <row r="3165" spans="1:10" ht="15.75" thickBot="1" x14ac:dyDescent="0.3">
      <c r="A3165" s="31" t="s">
        <v>618</v>
      </c>
      <c r="B3165" s="43" t="s">
        <v>326</v>
      </c>
      <c r="C3165" s="52" t="s">
        <v>152</v>
      </c>
      <c r="D3165" s="72">
        <v>0</v>
      </c>
      <c r="E3165" s="42" t="s">
        <v>79</v>
      </c>
      <c r="F3165" s="73">
        <v>8.94</v>
      </c>
      <c r="G3165" s="74">
        <f t="shared" si="760"/>
        <v>56.321999999999996</v>
      </c>
      <c r="H3165" s="43">
        <v>24</v>
      </c>
      <c r="I3165" s="399">
        <f t="shared" si="761"/>
        <v>1351.7279999999998</v>
      </c>
      <c r="J3165" s="124">
        <v>1300</v>
      </c>
    </row>
    <row r="3166" spans="1:10" ht="19.5" thickBot="1" x14ac:dyDescent="0.35">
      <c r="A3166" s="206"/>
      <c r="B3166" s="336"/>
      <c r="C3166" s="336"/>
      <c r="D3166" s="336"/>
      <c r="E3166" s="336"/>
      <c r="F3166" s="336"/>
      <c r="G3166" s="337"/>
      <c r="H3166" s="174" t="s">
        <v>171</v>
      </c>
      <c r="I3166" s="238">
        <f>SUM(I3160:I3165)</f>
        <v>7094.304000000001</v>
      </c>
      <c r="J3166" s="104">
        <v>6700</v>
      </c>
    </row>
    <row r="3167" spans="1:10" x14ac:dyDescent="0.25">
      <c r="A3167" s="31" t="s">
        <v>619</v>
      </c>
      <c r="B3167" s="37" t="s">
        <v>322</v>
      </c>
      <c r="C3167" s="34" t="s">
        <v>114</v>
      </c>
      <c r="D3167" s="108">
        <v>27.67</v>
      </c>
      <c r="E3167" s="34" t="s">
        <v>79</v>
      </c>
      <c r="F3167" s="109">
        <v>7.02</v>
      </c>
      <c r="G3167" s="36">
        <f t="shared" ref="G3167:G3172" si="762">F3167*6.3</f>
        <v>44.225999999999999</v>
      </c>
      <c r="H3167" s="37">
        <v>24</v>
      </c>
      <c r="I3167" s="109">
        <f t="shared" ref="I3167:I3172" si="763">G3167*H3167</f>
        <v>1061.424</v>
      </c>
      <c r="J3167" s="123">
        <v>900</v>
      </c>
    </row>
    <row r="3168" spans="1:10" x14ac:dyDescent="0.25">
      <c r="A3168" s="31" t="s">
        <v>619</v>
      </c>
      <c r="B3168" s="37" t="s">
        <v>323</v>
      </c>
      <c r="C3168" s="34" t="s">
        <v>86</v>
      </c>
      <c r="D3168" s="108" t="s">
        <v>38</v>
      </c>
      <c r="E3168" s="34" t="s">
        <v>79</v>
      </c>
      <c r="F3168" s="110">
        <v>9.85</v>
      </c>
      <c r="G3168" s="36">
        <f t="shared" si="762"/>
        <v>62.054999999999993</v>
      </c>
      <c r="H3168" s="37">
        <v>24</v>
      </c>
      <c r="I3168" s="109">
        <f t="shared" si="763"/>
        <v>1489.3199999999997</v>
      </c>
      <c r="J3168" s="123">
        <v>1400</v>
      </c>
    </row>
    <row r="3169" spans="1:10" x14ac:dyDescent="0.25">
      <c r="A3169" s="31" t="s">
        <v>619</v>
      </c>
      <c r="B3169" s="50" t="s">
        <v>324</v>
      </c>
      <c r="C3169" s="34" t="s">
        <v>443</v>
      </c>
      <c r="D3169" s="108" t="s">
        <v>38</v>
      </c>
      <c r="E3169" s="34" t="s">
        <v>79</v>
      </c>
      <c r="F3169" s="36">
        <v>3.49</v>
      </c>
      <c r="G3169" s="36">
        <f t="shared" si="762"/>
        <v>21.987000000000002</v>
      </c>
      <c r="H3169" s="37">
        <v>24</v>
      </c>
      <c r="I3169" s="109">
        <f t="shared" si="763"/>
        <v>527.6880000000001</v>
      </c>
      <c r="J3169" s="123">
        <v>500</v>
      </c>
    </row>
    <row r="3170" spans="1:10" x14ac:dyDescent="0.25">
      <c r="A3170" s="31" t="s">
        <v>619</v>
      </c>
      <c r="B3170" s="75" t="s">
        <v>317</v>
      </c>
      <c r="C3170" s="111" t="s">
        <v>156</v>
      </c>
      <c r="D3170" s="111">
        <v>98.9</v>
      </c>
      <c r="E3170" s="42" t="s">
        <v>79</v>
      </c>
      <c r="F3170" s="74">
        <v>10.35</v>
      </c>
      <c r="G3170" s="36">
        <f t="shared" si="762"/>
        <v>65.204999999999998</v>
      </c>
      <c r="H3170" s="37">
        <v>24</v>
      </c>
      <c r="I3170" s="109">
        <f t="shared" si="763"/>
        <v>1564.92</v>
      </c>
      <c r="J3170" s="123">
        <v>1600</v>
      </c>
    </row>
    <row r="3171" spans="1:10" x14ac:dyDescent="0.25">
      <c r="A3171" s="31" t="s">
        <v>619</v>
      </c>
      <c r="B3171" s="37" t="s">
        <v>325</v>
      </c>
      <c r="C3171" s="34" t="s">
        <v>158</v>
      </c>
      <c r="D3171" s="46">
        <v>0.25</v>
      </c>
      <c r="E3171" s="34" t="s">
        <v>79</v>
      </c>
      <c r="F3171" s="74">
        <v>7.1</v>
      </c>
      <c r="G3171" s="36">
        <f t="shared" si="762"/>
        <v>44.73</v>
      </c>
      <c r="H3171" s="37">
        <v>24</v>
      </c>
      <c r="I3171" s="109">
        <f t="shared" si="763"/>
        <v>1073.52</v>
      </c>
      <c r="J3171" s="123">
        <v>1000</v>
      </c>
    </row>
    <row r="3172" spans="1:10" ht="15.75" thickBot="1" x14ac:dyDescent="0.3">
      <c r="A3172" s="31" t="s">
        <v>619</v>
      </c>
      <c r="B3172" s="43" t="s">
        <v>326</v>
      </c>
      <c r="C3172" s="52" t="s">
        <v>152</v>
      </c>
      <c r="D3172" s="72">
        <v>0</v>
      </c>
      <c r="E3172" s="42" t="s">
        <v>79</v>
      </c>
      <c r="F3172" s="73">
        <v>8.85</v>
      </c>
      <c r="G3172" s="74">
        <f t="shared" si="762"/>
        <v>55.754999999999995</v>
      </c>
      <c r="H3172" s="43">
        <v>24</v>
      </c>
      <c r="I3172" s="399">
        <f t="shared" si="763"/>
        <v>1338.12</v>
      </c>
      <c r="J3172" s="124">
        <v>1300</v>
      </c>
    </row>
    <row r="3173" spans="1:10" ht="19.5" thickBot="1" x14ac:dyDescent="0.35">
      <c r="A3173" s="206"/>
      <c r="B3173" s="336"/>
      <c r="C3173" s="336"/>
      <c r="D3173" s="336"/>
      <c r="E3173" s="336"/>
      <c r="F3173" s="336"/>
      <c r="G3173" s="337"/>
      <c r="H3173" s="174" t="s">
        <v>171</v>
      </c>
      <c r="I3173" s="238">
        <f>SUM(I3167:I3172)</f>
        <v>7054.9919999999993</v>
      </c>
      <c r="J3173" s="104">
        <v>6700</v>
      </c>
    </row>
    <row r="3174" spans="1:10" x14ac:dyDescent="0.25">
      <c r="A3174" s="31" t="s">
        <v>620</v>
      </c>
      <c r="B3174" s="37" t="s">
        <v>322</v>
      </c>
      <c r="C3174" s="34" t="s">
        <v>114</v>
      </c>
      <c r="D3174" s="108">
        <v>27.92</v>
      </c>
      <c r="E3174" s="34" t="s">
        <v>79</v>
      </c>
      <c r="F3174" s="109">
        <v>7.01</v>
      </c>
      <c r="G3174" s="36">
        <f t="shared" ref="G3174:G3179" si="764">F3174*6.3</f>
        <v>44.162999999999997</v>
      </c>
      <c r="H3174" s="37">
        <v>24</v>
      </c>
      <c r="I3174" s="109">
        <f t="shared" ref="I3174:I3179" si="765">G3174*H3174</f>
        <v>1059.9119999999998</v>
      </c>
      <c r="J3174" s="123">
        <v>900</v>
      </c>
    </row>
    <row r="3175" spans="1:10" x14ac:dyDescent="0.25">
      <c r="A3175" s="31" t="s">
        <v>620</v>
      </c>
      <c r="B3175" s="37" t="s">
        <v>323</v>
      </c>
      <c r="C3175" s="34" t="s">
        <v>86</v>
      </c>
      <c r="D3175" s="108" t="s">
        <v>38</v>
      </c>
      <c r="E3175" s="34" t="s">
        <v>79</v>
      </c>
      <c r="F3175" s="110">
        <v>9.82</v>
      </c>
      <c r="G3175" s="36">
        <f t="shared" si="764"/>
        <v>61.866</v>
      </c>
      <c r="H3175" s="37">
        <v>24</v>
      </c>
      <c r="I3175" s="109">
        <f t="shared" si="765"/>
        <v>1484.7840000000001</v>
      </c>
      <c r="J3175" s="123">
        <v>1400</v>
      </c>
    </row>
    <row r="3176" spans="1:10" x14ac:dyDescent="0.25">
      <c r="A3176" s="31" t="s">
        <v>620</v>
      </c>
      <c r="B3176" s="50" t="s">
        <v>324</v>
      </c>
      <c r="C3176" s="34" t="s">
        <v>443</v>
      </c>
      <c r="D3176" s="108" t="s">
        <v>38</v>
      </c>
      <c r="E3176" s="34" t="s">
        <v>79</v>
      </c>
      <c r="F3176" s="36">
        <v>3.5</v>
      </c>
      <c r="G3176" s="36">
        <f t="shared" si="764"/>
        <v>22.05</v>
      </c>
      <c r="H3176" s="37">
        <v>24</v>
      </c>
      <c r="I3176" s="109">
        <f t="shared" si="765"/>
        <v>529.20000000000005</v>
      </c>
      <c r="J3176" s="123">
        <v>500</v>
      </c>
    </row>
    <row r="3177" spans="1:10" x14ac:dyDescent="0.25">
      <c r="A3177" s="31" t="s">
        <v>620</v>
      </c>
      <c r="B3177" s="75" t="s">
        <v>317</v>
      </c>
      <c r="C3177" s="111" t="s">
        <v>156</v>
      </c>
      <c r="D3177" s="111">
        <v>97.17</v>
      </c>
      <c r="E3177" s="42" t="s">
        <v>79</v>
      </c>
      <c r="F3177" s="74">
        <v>10.353999999999999</v>
      </c>
      <c r="G3177" s="36">
        <f t="shared" si="764"/>
        <v>65.230199999999996</v>
      </c>
      <c r="H3177" s="37">
        <v>24</v>
      </c>
      <c r="I3177" s="109">
        <f t="shared" si="765"/>
        <v>1565.5247999999999</v>
      </c>
      <c r="J3177" s="123">
        <v>1600</v>
      </c>
    </row>
    <row r="3178" spans="1:10" x14ac:dyDescent="0.25">
      <c r="A3178" s="31" t="s">
        <v>620</v>
      </c>
      <c r="B3178" s="37" t="s">
        <v>325</v>
      </c>
      <c r="C3178" s="34" t="s">
        <v>158</v>
      </c>
      <c r="D3178" s="46">
        <v>0.25</v>
      </c>
      <c r="E3178" s="34" t="s">
        <v>79</v>
      </c>
      <c r="F3178" s="74">
        <v>7.1</v>
      </c>
      <c r="G3178" s="36">
        <f t="shared" si="764"/>
        <v>44.73</v>
      </c>
      <c r="H3178" s="37">
        <v>24</v>
      </c>
      <c r="I3178" s="109">
        <f t="shared" si="765"/>
        <v>1073.52</v>
      </c>
      <c r="J3178" s="123">
        <v>1000</v>
      </c>
    </row>
    <row r="3179" spans="1:10" ht="15.75" thickBot="1" x14ac:dyDescent="0.3">
      <c r="A3179" s="31" t="s">
        <v>620</v>
      </c>
      <c r="B3179" s="43" t="s">
        <v>326</v>
      </c>
      <c r="C3179" s="52" t="s">
        <v>152</v>
      </c>
      <c r="D3179" s="72">
        <v>0</v>
      </c>
      <c r="E3179" s="42" t="s">
        <v>79</v>
      </c>
      <c r="F3179" s="73">
        <v>8.8699999999999992</v>
      </c>
      <c r="G3179" s="74">
        <f t="shared" si="764"/>
        <v>55.880999999999993</v>
      </c>
      <c r="H3179" s="43">
        <v>24</v>
      </c>
      <c r="I3179" s="399">
        <f t="shared" si="765"/>
        <v>1341.1439999999998</v>
      </c>
      <c r="J3179" s="124">
        <v>1300</v>
      </c>
    </row>
    <row r="3180" spans="1:10" ht="19.5" thickBot="1" x14ac:dyDescent="0.35">
      <c r="A3180" s="206"/>
      <c r="B3180" s="336"/>
      <c r="C3180" s="336"/>
      <c r="D3180" s="336"/>
      <c r="E3180" s="336"/>
      <c r="F3180" s="336"/>
      <c r="G3180" s="337"/>
      <c r="H3180" s="174" t="s">
        <v>171</v>
      </c>
      <c r="I3180" s="238">
        <f>SUM(I3174:I3179)</f>
        <v>7054.0848000000005</v>
      </c>
      <c r="J3180" s="104">
        <v>6700</v>
      </c>
    </row>
    <row r="3181" spans="1:10" x14ac:dyDescent="0.25">
      <c r="A3181" s="31" t="s">
        <v>621</v>
      </c>
      <c r="B3181" s="37" t="s">
        <v>322</v>
      </c>
      <c r="C3181" s="34" t="s">
        <v>114</v>
      </c>
      <c r="D3181" s="108">
        <v>27.95</v>
      </c>
      <c r="E3181" s="34" t="s">
        <v>79</v>
      </c>
      <c r="F3181" s="109">
        <v>7.05</v>
      </c>
      <c r="G3181" s="36">
        <f t="shared" ref="G3181:G3186" si="766">F3181*6.3</f>
        <v>44.414999999999999</v>
      </c>
      <c r="H3181" s="37">
        <v>24</v>
      </c>
      <c r="I3181" s="109">
        <f t="shared" ref="I3181:I3186" si="767">G3181*H3181</f>
        <v>1065.96</v>
      </c>
      <c r="J3181" s="123">
        <v>900</v>
      </c>
    </row>
    <row r="3182" spans="1:10" x14ac:dyDescent="0.25">
      <c r="A3182" s="31" t="s">
        <v>621</v>
      </c>
      <c r="B3182" s="37" t="s">
        <v>323</v>
      </c>
      <c r="C3182" s="34" t="s">
        <v>86</v>
      </c>
      <c r="D3182" s="108" t="s">
        <v>38</v>
      </c>
      <c r="E3182" s="34" t="s">
        <v>79</v>
      </c>
      <c r="F3182" s="110">
        <v>9.81</v>
      </c>
      <c r="G3182" s="36">
        <f t="shared" si="766"/>
        <v>61.803000000000004</v>
      </c>
      <c r="H3182" s="37">
        <v>24</v>
      </c>
      <c r="I3182" s="109">
        <f t="shared" si="767"/>
        <v>1483.2720000000002</v>
      </c>
      <c r="J3182" s="123">
        <v>1400</v>
      </c>
    </row>
    <row r="3183" spans="1:10" x14ac:dyDescent="0.25">
      <c r="A3183" s="31" t="s">
        <v>621</v>
      </c>
      <c r="B3183" s="50" t="s">
        <v>324</v>
      </c>
      <c r="C3183" s="34" t="s">
        <v>443</v>
      </c>
      <c r="D3183" s="108" t="s">
        <v>38</v>
      </c>
      <c r="E3183" s="34" t="s">
        <v>79</v>
      </c>
      <c r="F3183" s="36">
        <v>3.5</v>
      </c>
      <c r="G3183" s="36">
        <f t="shared" si="766"/>
        <v>22.05</v>
      </c>
      <c r="H3183" s="37">
        <v>24</v>
      </c>
      <c r="I3183" s="109">
        <f t="shared" si="767"/>
        <v>529.20000000000005</v>
      </c>
      <c r="J3183" s="123">
        <v>500</v>
      </c>
    </row>
    <row r="3184" spans="1:10" x14ac:dyDescent="0.25">
      <c r="A3184" s="31" t="s">
        <v>621</v>
      </c>
      <c r="B3184" s="75" t="s">
        <v>317</v>
      </c>
      <c r="C3184" s="111" t="s">
        <v>156</v>
      </c>
      <c r="D3184" s="111">
        <v>98.4</v>
      </c>
      <c r="E3184" s="42" t="s">
        <v>79</v>
      </c>
      <c r="F3184" s="74">
        <v>10.35</v>
      </c>
      <c r="G3184" s="36">
        <f t="shared" si="766"/>
        <v>65.204999999999998</v>
      </c>
      <c r="H3184" s="37">
        <v>24</v>
      </c>
      <c r="I3184" s="109">
        <f t="shared" si="767"/>
        <v>1564.92</v>
      </c>
      <c r="J3184" s="123">
        <v>1600</v>
      </c>
    </row>
    <row r="3185" spans="1:10" x14ac:dyDescent="0.25">
      <c r="A3185" s="31" t="s">
        <v>621</v>
      </c>
      <c r="B3185" s="37" t="s">
        <v>325</v>
      </c>
      <c r="C3185" s="34" t="s">
        <v>158</v>
      </c>
      <c r="D3185" s="46">
        <v>0.26</v>
      </c>
      <c r="E3185" s="34" t="s">
        <v>79</v>
      </c>
      <c r="F3185" s="74">
        <v>7.1</v>
      </c>
      <c r="G3185" s="36">
        <f t="shared" si="766"/>
        <v>44.73</v>
      </c>
      <c r="H3185" s="37">
        <v>24</v>
      </c>
      <c r="I3185" s="109">
        <f t="shared" si="767"/>
        <v>1073.52</v>
      </c>
      <c r="J3185" s="123">
        <v>1000</v>
      </c>
    </row>
    <row r="3186" spans="1:10" ht="15.75" thickBot="1" x14ac:dyDescent="0.3">
      <c r="A3186" s="31" t="s">
        <v>621</v>
      </c>
      <c r="B3186" s="43" t="s">
        <v>326</v>
      </c>
      <c r="C3186" s="52" t="s">
        <v>152</v>
      </c>
      <c r="D3186" s="72">
        <v>0</v>
      </c>
      <c r="E3186" s="42" t="s">
        <v>79</v>
      </c>
      <c r="F3186" s="73">
        <v>8.8699999999999992</v>
      </c>
      <c r="G3186" s="74">
        <f t="shared" si="766"/>
        <v>55.880999999999993</v>
      </c>
      <c r="H3186" s="43">
        <v>24</v>
      </c>
      <c r="I3186" s="399">
        <f t="shared" si="767"/>
        <v>1341.1439999999998</v>
      </c>
      <c r="J3186" s="124">
        <v>1300</v>
      </c>
    </row>
    <row r="3187" spans="1:10" ht="19.5" thickBot="1" x14ac:dyDescent="0.35">
      <c r="A3187" s="206"/>
      <c r="B3187" s="336"/>
      <c r="C3187" s="336"/>
      <c r="D3187" s="336"/>
      <c r="E3187" s="336"/>
      <c r="F3187" s="336"/>
      <c r="G3187" s="337"/>
      <c r="H3187" s="174" t="s">
        <v>171</v>
      </c>
      <c r="I3187" s="238">
        <f>SUM(I3181:I3186)</f>
        <v>7058.0159999999996</v>
      </c>
      <c r="J3187" s="104">
        <v>6700</v>
      </c>
    </row>
    <row r="3188" spans="1:10" x14ac:dyDescent="0.25">
      <c r="A3188" s="31" t="s">
        <v>622</v>
      </c>
      <c r="B3188" s="31" t="s">
        <v>322</v>
      </c>
      <c r="C3188" s="31" t="s">
        <v>114</v>
      </c>
      <c r="D3188" s="49">
        <v>28.22</v>
      </c>
      <c r="E3188" s="31" t="s">
        <v>79</v>
      </c>
      <c r="F3188" s="31">
        <v>7.03</v>
      </c>
      <c r="G3188" s="31">
        <v>44.29</v>
      </c>
      <c r="H3188" s="31">
        <v>24</v>
      </c>
      <c r="I3188" s="31">
        <v>1062.94</v>
      </c>
      <c r="J3188" s="31">
        <v>900</v>
      </c>
    </row>
    <row r="3189" spans="1:10" x14ac:dyDescent="0.25">
      <c r="A3189" s="31" t="s">
        <v>622</v>
      </c>
      <c r="B3189" s="31" t="s">
        <v>323</v>
      </c>
      <c r="C3189" s="31" t="s">
        <v>86</v>
      </c>
      <c r="D3189" s="46" t="s">
        <v>38</v>
      </c>
      <c r="E3189" s="31" t="s">
        <v>79</v>
      </c>
      <c r="F3189" s="31">
        <v>9.84</v>
      </c>
      <c r="G3189" s="31">
        <v>61.99</v>
      </c>
      <c r="H3189" s="31">
        <v>24</v>
      </c>
      <c r="I3189" s="31">
        <v>1487.81</v>
      </c>
      <c r="J3189" s="31">
        <v>1400</v>
      </c>
    </row>
    <row r="3190" spans="1:10" x14ac:dyDescent="0.25">
      <c r="A3190" s="31" t="s">
        <v>622</v>
      </c>
      <c r="B3190" s="31" t="s">
        <v>324</v>
      </c>
      <c r="C3190" s="31" t="s">
        <v>443</v>
      </c>
      <c r="D3190" s="46" t="s">
        <v>38</v>
      </c>
      <c r="E3190" s="31" t="s">
        <v>79</v>
      </c>
      <c r="F3190" s="31">
        <v>3.53</v>
      </c>
      <c r="G3190" s="31">
        <v>22.24</v>
      </c>
      <c r="H3190" s="31">
        <v>24</v>
      </c>
      <c r="I3190" s="31">
        <v>533.74</v>
      </c>
      <c r="J3190" s="31">
        <v>500</v>
      </c>
    </row>
    <row r="3191" spans="1:10" x14ac:dyDescent="0.25">
      <c r="A3191" s="31" t="s">
        <v>622</v>
      </c>
      <c r="B3191" s="31" t="s">
        <v>317</v>
      </c>
      <c r="C3191" s="31" t="s">
        <v>156</v>
      </c>
      <c r="D3191" s="46">
        <v>98.42</v>
      </c>
      <c r="E3191" s="31" t="s">
        <v>79</v>
      </c>
      <c r="F3191" s="31">
        <v>10.37</v>
      </c>
      <c r="G3191" s="31">
        <v>65.33</v>
      </c>
      <c r="H3191" s="31">
        <v>24</v>
      </c>
      <c r="I3191" s="31">
        <v>1567.94</v>
      </c>
      <c r="J3191" s="31">
        <v>1600</v>
      </c>
    </row>
    <row r="3192" spans="1:10" x14ac:dyDescent="0.25">
      <c r="A3192" s="31" t="s">
        <v>622</v>
      </c>
      <c r="B3192" s="31" t="s">
        <v>325</v>
      </c>
      <c r="C3192" s="31" t="s">
        <v>158</v>
      </c>
      <c r="D3192" s="46">
        <v>0.27</v>
      </c>
      <c r="E3192" s="31" t="s">
        <v>79</v>
      </c>
      <c r="F3192" s="31">
        <v>7.13</v>
      </c>
      <c r="G3192" s="31">
        <v>44.92</v>
      </c>
      <c r="H3192" s="31">
        <v>24</v>
      </c>
      <c r="I3192" s="31">
        <v>1078.06</v>
      </c>
      <c r="J3192" s="31">
        <v>1000</v>
      </c>
    </row>
    <row r="3193" spans="1:10" ht="15.75" thickBot="1" x14ac:dyDescent="0.3">
      <c r="A3193" s="31" t="s">
        <v>622</v>
      </c>
      <c r="B3193" s="31" t="s">
        <v>326</v>
      </c>
      <c r="C3193" s="31" t="s">
        <v>152</v>
      </c>
      <c r="D3193" s="52">
        <v>0</v>
      </c>
      <c r="E3193" s="31" t="s">
        <v>79</v>
      </c>
      <c r="F3193" s="31">
        <v>8.89</v>
      </c>
      <c r="G3193" s="31">
        <v>56.01</v>
      </c>
      <c r="H3193" s="31">
        <v>24</v>
      </c>
      <c r="I3193" s="31">
        <v>1344.17</v>
      </c>
      <c r="J3193" s="31">
        <v>1300</v>
      </c>
    </row>
    <row r="3194" spans="1:10" ht="19.5" thickBot="1" x14ac:dyDescent="0.35">
      <c r="A3194" s="206"/>
      <c r="B3194" s="100"/>
      <c r="C3194" s="100"/>
      <c r="D3194" s="221"/>
      <c r="E3194" s="100"/>
      <c r="F3194" s="100"/>
      <c r="G3194" s="100"/>
      <c r="H3194" s="392" t="s">
        <v>171</v>
      </c>
      <c r="I3194" s="100">
        <v>7074.65</v>
      </c>
      <c r="J3194" s="391">
        <v>6700</v>
      </c>
    </row>
    <row r="3195" spans="1:10" x14ac:dyDescent="0.25">
      <c r="A3195" s="31" t="s">
        <v>623</v>
      </c>
      <c r="B3195" s="443" t="s">
        <v>322</v>
      </c>
      <c r="C3195" s="444" t="s">
        <v>114</v>
      </c>
      <c r="D3195" s="444">
        <v>26.5</v>
      </c>
      <c r="E3195" s="444" t="s">
        <v>79</v>
      </c>
      <c r="F3195" s="445">
        <v>6.65</v>
      </c>
      <c r="G3195" s="443">
        <f t="shared" ref="G3195:G3200" si="768">F3195*6.3</f>
        <v>41.895000000000003</v>
      </c>
      <c r="H3195" s="443">
        <v>24</v>
      </c>
      <c r="I3195" s="445">
        <f t="shared" ref="I3195:I3200" si="769">G3195*H3195</f>
        <v>1005.48</v>
      </c>
      <c r="J3195" s="446">
        <v>900</v>
      </c>
    </row>
    <row r="3196" spans="1:10" x14ac:dyDescent="0.25">
      <c r="A3196" s="31" t="s">
        <v>623</v>
      </c>
      <c r="B3196" s="443" t="s">
        <v>323</v>
      </c>
      <c r="C3196" s="444" t="s">
        <v>86</v>
      </c>
      <c r="D3196" s="444" t="s">
        <v>38</v>
      </c>
      <c r="E3196" s="444" t="s">
        <v>79</v>
      </c>
      <c r="F3196" s="447">
        <v>9.6999999999999993</v>
      </c>
      <c r="G3196" s="443">
        <f t="shared" si="768"/>
        <v>61.109999999999992</v>
      </c>
      <c r="H3196" s="443">
        <v>24</v>
      </c>
      <c r="I3196" s="445">
        <f t="shared" si="769"/>
        <v>1466.6399999999999</v>
      </c>
      <c r="J3196" s="446">
        <v>1400</v>
      </c>
    </row>
    <row r="3197" spans="1:10" x14ac:dyDescent="0.25">
      <c r="A3197" s="31" t="s">
        <v>623</v>
      </c>
      <c r="B3197" s="448" t="s">
        <v>324</v>
      </c>
      <c r="C3197" s="444" t="s">
        <v>443</v>
      </c>
      <c r="D3197" s="444" t="s">
        <v>38</v>
      </c>
      <c r="E3197" s="444" t="s">
        <v>79</v>
      </c>
      <c r="F3197" s="443">
        <v>3.35</v>
      </c>
      <c r="G3197" s="443">
        <f t="shared" si="768"/>
        <v>21.105</v>
      </c>
      <c r="H3197" s="443">
        <v>24</v>
      </c>
      <c r="I3197" s="445">
        <f t="shared" si="769"/>
        <v>506.52</v>
      </c>
      <c r="J3197" s="446">
        <v>500</v>
      </c>
    </row>
    <row r="3198" spans="1:10" x14ac:dyDescent="0.25">
      <c r="A3198" s="31" t="s">
        <v>623</v>
      </c>
      <c r="B3198" s="449" t="s">
        <v>317</v>
      </c>
      <c r="C3198" s="450" t="s">
        <v>156</v>
      </c>
      <c r="D3198" s="450">
        <v>82.63</v>
      </c>
      <c r="E3198" s="450" t="s">
        <v>79</v>
      </c>
      <c r="F3198" s="451">
        <v>10.35</v>
      </c>
      <c r="G3198" s="443">
        <f t="shared" si="768"/>
        <v>65.204999999999998</v>
      </c>
      <c r="H3198" s="443">
        <v>24</v>
      </c>
      <c r="I3198" s="445">
        <f t="shared" si="769"/>
        <v>1564.92</v>
      </c>
      <c r="J3198" s="446">
        <v>1600</v>
      </c>
    </row>
    <row r="3199" spans="1:10" x14ac:dyDescent="0.25">
      <c r="A3199" s="31" t="s">
        <v>623</v>
      </c>
      <c r="B3199" s="443" t="s">
        <v>325</v>
      </c>
      <c r="C3199" s="444" t="s">
        <v>158</v>
      </c>
      <c r="D3199" s="452">
        <v>0.27</v>
      </c>
      <c r="E3199" s="444" t="s">
        <v>79</v>
      </c>
      <c r="F3199" s="451">
        <v>6.75</v>
      </c>
      <c r="G3199" s="443">
        <f t="shared" si="768"/>
        <v>42.524999999999999</v>
      </c>
      <c r="H3199" s="443">
        <v>24</v>
      </c>
      <c r="I3199" s="445">
        <f t="shared" si="769"/>
        <v>1020.5999999999999</v>
      </c>
      <c r="J3199" s="446">
        <v>1000</v>
      </c>
    </row>
    <row r="3200" spans="1:10" ht="15.75" thickBot="1" x14ac:dyDescent="0.3">
      <c r="A3200" s="31" t="s">
        <v>623</v>
      </c>
      <c r="B3200" s="451" t="s">
        <v>326</v>
      </c>
      <c r="C3200" s="453" t="s">
        <v>152</v>
      </c>
      <c r="D3200" s="454">
        <v>0</v>
      </c>
      <c r="E3200" s="450" t="s">
        <v>79</v>
      </c>
      <c r="F3200" s="455">
        <v>8.65</v>
      </c>
      <c r="G3200" s="451">
        <f t="shared" si="768"/>
        <v>54.494999999999997</v>
      </c>
      <c r="H3200" s="451">
        <v>24</v>
      </c>
      <c r="I3200" s="456">
        <f t="shared" si="769"/>
        <v>1307.8799999999999</v>
      </c>
      <c r="J3200" s="457">
        <v>1300</v>
      </c>
    </row>
    <row r="3201" spans="1:10" ht="19.5" thickBot="1" x14ac:dyDescent="0.35">
      <c r="A3201" s="206"/>
      <c r="B3201" s="458"/>
      <c r="C3201" s="458"/>
      <c r="D3201" s="458"/>
      <c r="E3201" s="458"/>
      <c r="F3201" s="458"/>
      <c r="G3201" s="459"/>
      <c r="H3201" s="460" t="s">
        <v>171</v>
      </c>
      <c r="I3201" s="461">
        <f>SUM(I3195:I3200)</f>
        <v>6872.04</v>
      </c>
      <c r="J3201" s="462">
        <v>6700</v>
      </c>
    </row>
    <row r="3202" spans="1:10" x14ac:dyDescent="0.25">
      <c r="A3202" s="31" t="s">
        <v>624</v>
      </c>
      <c r="B3202" s="443" t="s">
        <v>322</v>
      </c>
      <c r="C3202" s="444" t="s">
        <v>114</v>
      </c>
      <c r="D3202" s="444">
        <v>31.14</v>
      </c>
      <c r="E3202" s="444" t="s">
        <v>79</v>
      </c>
      <c r="F3202" s="445">
        <v>6.9</v>
      </c>
      <c r="G3202" s="443">
        <f t="shared" ref="G3202:G3207" si="770">F3202*6.3</f>
        <v>43.47</v>
      </c>
      <c r="H3202" s="443">
        <v>24</v>
      </c>
      <c r="I3202" s="445">
        <f t="shared" ref="I3202:I3207" si="771">G3202*H3202</f>
        <v>1043.28</v>
      </c>
      <c r="J3202" s="446">
        <v>900</v>
      </c>
    </row>
    <row r="3203" spans="1:10" x14ac:dyDescent="0.25">
      <c r="A3203" s="31" t="s">
        <v>624</v>
      </c>
      <c r="B3203" s="443" t="s">
        <v>323</v>
      </c>
      <c r="C3203" s="444" t="s">
        <v>86</v>
      </c>
      <c r="D3203" s="444" t="s">
        <v>38</v>
      </c>
      <c r="E3203" s="444" t="s">
        <v>79</v>
      </c>
      <c r="F3203" s="447">
        <v>9.85</v>
      </c>
      <c r="G3203" s="443">
        <f t="shared" si="770"/>
        <v>62.054999999999993</v>
      </c>
      <c r="H3203" s="443">
        <v>24</v>
      </c>
      <c r="I3203" s="445">
        <f t="shared" si="771"/>
        <v>1489.3199999999997</v>
      </c>
      <c r="J3203" s="446">
        <v>1400</v>
      </c>
    </row>
    <row r="3204" spans="1:10" x14ac:dyDescent="0.25">
      <c r="A3204" s="31" t="s">
        <v>624</v>
      </c>
      <c r="B3204" s="448" t="s">
        <v>324</v>
      </c>
      <c r="C3204" s="444" t="s">
        <v>443</v>
      </c>
      <c r="D3204" s="444" t="s">
        <v>38</v>
      </c>
      <c r="E3204" s="444" t="s">
        <v>79</v>
      </c>
      <c r="F3204" s="443">
        <v>3.47</v>
      </c>
      <c r="G3204" s="443">
        <f t="shared" si="770"/>
        <v>21.861000000000001</v>
      </c>
      <c r="H3204" s="443">
        <v>24</v>
      </c>
      <c r="I3204" s="445">
        <f t="shared" si="771"/>
        <v>524.66399999999999</v>
      </c>
      <c r="J3204" s="446">
        <v>500</v>
      </c>
    </row>
    <row r="3205" spans="1:10" x14ac:dyDescent="0.25">
      <c r="A3205" s="31" t="s">
        <v>624</v>
      </c>
      <c r="B3205" s="449" t="s">
        <v>317</v>
      </c>
      <c r="C3205" s="450" t="s">
        <v>156</v>
      </c>
      <c r="D3205" s="450">
        <v>96.59</v>
      </c>
      <c r="E3205" s="450" t="s">
        <v>79</v>
      </c>
      <c r="F3205" s="451">
        <v>10.42</v>
      </c>
      <c r="G3205" s="443">
        <f t="shared" si="770"/>
        <v>65.646000000000001</v>
      </c>
      <c r="H3205" s="443">
        <v>24</v>
      </c>
      <c r="I3205" s="445">
        <f t="shared" si="771"/>
        <v>1575.5039999999999</v>
      </c>
      <c r="J3205" s="446">
        <v>1600</v>
      </c>
    </row>
    <row r="3206" spans="1:10" x14ac:dyDescent="0.25">
      <c r="A3206" s="31" t="s">
        <v>624</v>
      </c>
      <c r="B3206" s="443" t="s">
        <v>325</v>
      </c>
      <c r="C3206" s="444" t="s">
        <v>158</v>
      </c>
      <c r="D3206" s="452">
        <v>0.27</v>
      </c>
      <c r="E3206" s="444" t="s">
        <v>79</v>
      </c>
      <c r="F3206" s="451">
        <v>6.82</v>
      </c>
      <c r="G3206" s="443">
        <f t="shared" si="770"/>
        <v>42.966000000000001</v>
      </c>
      <c r="H3206" s="443">
        <v>24</v>
      </c>
      <c r="I3206" s="445">
        <f t="shared" si="771"/>
        <v>1031.184</v>
      </c>
      <c r="J3206" s="446">
        <v>1000</v>
      </c>
    </row>
    <row r="3207" spans="1:10" ht="15.75" thickBot="1" x14ac:dyDescent="0.3">
      <c r="A3207" s="31" t="s">
        <v>624</v>
      </c>
      <c r="B3207" s="451" t="s">
        <v>326</v>
      </c>
      <c r="C3207" s="453" t="s">
        <v>152</v>
      </c>
      <c r="D3207" s="454">
        <v>0</v>
      </c>
      <c r="E3207" s="450" t="s">
        <v>79</v>
      </c>
      <c r="F3207" s="455">
        <v>8.8000000000000007</v>
      </c>
      <c r="G3207" s="451">
        <f t="shared" si="770"/>
        <v>55.440000000000005</v>
      </c>
      <c r="H3207" s="451">
        <v>24</v>
      </c>
      <c r="I3207" s="456">
        <f t="shared" si="771"/>
        <v>1330.5600000000002</v>
      </c>
      <c r="J3207" s="457">
        <v>1300</v>
      </c>
    </row>
    <row r="3208" spans="1:10" ht="19.5" thickBot="1" x14ac:dyDescent="0.35">
      <c r="A3208" s="206"/>
      <c r="B3208" s="458"/>
      <c r="C3208" s="458"/>
      <c r="D3208" s="458"/>
      <c r="E3208" s="458"/>
      <c r="F3208" s="458"/>
      <c r="G3208" s="459"/>
      <c r="H3208" s="460" t="s">
        <v>171</v>
      </c>
      <c r="I3208" s="461">
        <f>SUM(I3202:I3207)</f>
        <v>6994.5119999999997</v>
      </c>
      <c r="J3208" s="462">
        <v>6700</v>
      </c>
    </row>
    <row r="3209" spans="1:10" x14ac:dyDescent="0.25">
      <c r="A3209" s="31" t="s">
        <v>625</v>
      </c>
      <c r="B3209" s="443" t="s">
        <v>322</v>
      </c>
      <c r="C3209" s="444" t="s">
        <v>114</v>
      </c>
      <c r="D3209" s="444">
        <v>29.81</v>
      </c>
      <c r="E3209" s="444" t="s">
        <v>79</v>
      </c>
      <c r="F3209" s="445">
        <v>7.05</v>
      </c>
      <c r="G3209" s="443">
        <f t="shared" ref="G3209:G3214" si="772">F3209*6.3</f>
        <v>44.414999999999999</v>
      </c>
      <c r="H3209" s="443">
        <v>24</v>
      </c>
      <c r="I3209" s="445">
        <f t="shared" ref="I3209:I3214" si="773">G3209*H3209</f>
        <v>1065.96</v>
      </c>
      <c r="J3209" s="446">
        <v>900</v>
      </c>
    </row>
    <row r="3210" spans="1:10" x14ac:dyDescent="0.25">
      <c r="A3210" s="31" t="s">
        <v>625</v>
      </c>
      <c r="B3210" s="443" t="s">
        <v>323</v>
      </c>
      <c r="C3210" s="444" t="s">
        <v>86</v>
      </c>
      <c r="D3210" s="444" t="s">
        <v>38</v>
      </c>
      <c r="E3210" s="444" t="s">
        <v>79</v>
      </c>
      <c r="F3210" s="447">
        <v>9.83</v>
      </c>
      <c r="G3210" s="443">
        <f t="shared" si="772"/>
        <v>61.929000000000002</v>
      </c>
      <c r="H3210" s="443">
        <v>24</v>
      </c>
      <c r="I3210" s="445">
        <f t="shared" si="773"/>
        <v>1486.296</v>
      </c>
      <c r="J3210" s="446">
        <v>1400</v>
      </c>
    </row>
    <row r="3211" spans="1:10" x14ac:dyDescent="0.25">
      <c r="A3211" s="31" t="s">
        <v>625</v>
      </c>
      <c r="B3211" s="448" t="s">
        <v>324</v>
      </c>
      <c r="C3211" s="444" t="s">
        <v>443</v>
      </c>
      <c r="D3211" s="444" t="s">
        <v>38</v>
      </c>
      <c r="E3211" s="444" t="s">
        <v>79</v>
      </c>
      <c r="F3211" s="443">
        <v>3.5</v>
      </c>
      <c r="G3211" s="443">
        <f t="shared" si="772"/>
        <v>22.05</v>
      </c>
      <c r="H3211" s="443">
        <v>24</v>
      </c>
      <c r="I3211" s="445">
        <f t="shared" si="773"/>
        <v>529.20000000000005</v>
      </c>
      <c r="J3211" s="446">
        <v>500</v>
      </c>
    </row>
    <row r="3212" spans="1:10" x14ac:dyDescent="0.25">
      <c r="A3212" s="31" t="s">
        <v>625</v>
      </c>
      <c r="B3212" s="449" t="s">
        <v>317</v>
      </c>
      <c r="C3212" s="450" t="s">
        <v>156</v>
      </c>
      <c r="D3212" s="450">
        <v>96.59</v>
      </c>
      <c r="E3212" s="450" t="s">
        <v>79</v>
      </c>
      <c r="F3212" s="451">
        <v>10.45</v>
      </c>
      <c r="G3212" s="443">
        <f t="shared" si="772"/>
        <v>65.834999999999994</v>
      </c>
      <c r="H3212" s="443">
        <v>24</v>
      </c>
      <c r="I3212" s="445">
        <f t="shared" si="773"/>
        <v>1580.04</v>
      </c>
      <c r="J3212" s="446">
        <v>1600</v>
      </c>
    </row>
    <row r="3213" spans="1:10" x14ac:dyDescent="0.25">
      <c r="A3213" s="31" t="s">
        <v>625</v>
      </c>
      <c r="B3213" s="443" t="s">
        <v>325</v>
      </c>
      <c r="C3213" s="444" t="s">
        <v>158</v>
      </c>
      <c r="D3213" s="452">
        <v>0.27</v>
      </c>
      <c r="E3213" s="444" t="s">
        <v>79</v>
      </c>
      <c r="F3213" s="451">
        <v>7.1</v>
      </c>
      <c r="G3213" s="443">
        <f t="shared" si="772"/>
        <v>44.73</v>
      </c>
      <c r="H3213" s="443">
        <v>24</v>
      </c>
      <c r="I3213" s="445">
        <f t="shared" si="773"/>
        <v>1073.52</v>
      </c>
      <c r="J3213" s="446">
        <v>1000</v>
      </c>
    </row>
    <row r="3214" spans="1:10" ht="15.75" thickBot="1" x14ac:dyDescent="0.3">
      <c r="A3214" s="31" t="s">
        <v>625</v>
      </c>
      <c r="B3214" s="451" t="s">
        <v>326</v>
      </c>
      <c r="C3214" s="453" t="s">
        <v>152</v>
      </c>
      <c r="D3214" s="454">
        <v>0</v>
      </c>
      <c r="E3214" s="450" t="s">
        <v>79</v>
      </c>
      <c r="F3214" s="455">
        <v>8.92</v>
      </c>
      <c r="G3214" s="451">
        <f t="shared" si="772"/>
        <v>56.195999999999998</v>
      </c>
      <c r="H3214" s="451">
        <v>24</v>
      </c>
      <c r="I3214" s="456">
        <f t="shared" si="773"/>
        <v>1348.704</v>
      </c>
      <c r="J3214" s="457">
        <v>1300</v>
      </c>
    </row>
    <row r="3215" spans="1:10" ht="19.5" thickBot="1" x14ac:dyDescent="0.35">
      <c r="A3215" s="206"/>
      <c r="B3215" s="458"/>
      <c r="C3215" s="458"/>
      <c r="D3215" s="458"/>
      <c r="E3215" s="458"/>
      <c r="F3215" s="458"/>
      <c r="G3215" s="459"/>
      <c r="H3215" s="460" t="s">
        <v>171</v>
      </c>
      <c r="I3215" s="461">
        <f>SUM(I3209:I3214)</f>
        <v>7083.7199999999993</v>
      </c>
      <c r="J3215" s="462">
        <v>6700</v>
      </c>
    </row>
    <row r="3216" spans="1:10" x14ac:dyDescent="0.25">
      <c r="A3216" s="31" t="s">
        <v>626</v>
      </c>
      <c r="B3216" s="443" t="s">
        <v>322</v>
      </c>
      <c r="C3216" s="444" t="s">
        <v>114</v>
      </c>
      <c r="D3216" s="444">
        <v>31</v>
      </c>
      <c r="E3216" s="444" t="s">
        <v>79</v>
      </c>
      <c r="F3216" s="445">
        <v>7.1</v>
      </c>
      <c r="G3216" s="443">
        <f t="shared" ref="G3216:G3221" si="774">F3216*6.3</f>
        <v>44.73</v>
      </c>
      <c r="H3216" s="443">
        <v>24</v>
      </c>
      <c r="I3216" s="445">
        <f t="shared" ref="I3216:I3221" si="775">G3216*H3216</f>
        <v>1073.52</v>
      </c>
      <c r="J3216" s="446">
        <v>900</v>
      </c>
    </row>
    <row r="3217" spans="1:11" x14ac:dyDescent="0.25">
      <c r="A3217" s="31" t="s">
        <v>626</v>
      </c>
      <c r="B3217" s="443" t="s">
        <v>323</v>
      </c>
      <c r="C3217" s="444" t="s">
        <v>86</v>
      </c>
      <c r="D3217" s="444" t="s">
        <v>38</v>
      </c>
      <c r="E3217" s="444" t="s">
        <v>79</v>
      </c>
      <c r="F3217" s="447">
        <v>9.86</v>
      </c>
      <c r="G3217" s="443">
        <f t="shared" si="774"/>
        <v>62.117999999999995</v>
      </c>
      <c r="H3217" s="443">
        <v>24</v>
      </c>
      <c r="I3217" s="445">
        <f t="shared" si="775"/>
        <v>1490.8319999999999</v>
      </c>
      <c r="J3217" s="446">
        <v>1400</v>
      </c>
    </row>
    <row r="3218" spans="1:11" x14ac:dyDescent="0.25">
      <c r="A3218" s="31" t="s">
        <v>626</v>
      </c>
      <c r="B3218" s="448" t="s">
        <v>324</v>
      </c>
      <c r="C3218" s="444" t="s">
        <v>443</v>
      </c>
      <c r="D3218" s="444" t="s">
        <v>38</v>
      </c>
      <c r="E3218" s="444" t="s">
        <v>79</v>
      </c>
      <c r="F3218" s="443">
        <v>3.53</v>
      </c>
      <c r="G3218" s="443">
        <f t="shared" si="774"/>
        <v>22.238999999999997</v>
      </c>
      <c r="H3218" s="443">
        <v>24</v>
      </c>
      <c r="I3218" s="445">
        <f t="shared" si="775"/>
        <v>533.73599999999988</v>
      </c>
      <c r="J3218" s="446">
        <v>500</v>
      </c>
    </row>
    <row r="3219" spans="1:11" x14ac:dyDescent="0.25">
      <c r="A3219" s="31" t="s">
        <v>626</v>
      </c>
      <c r="B3219" s="449" t="s">
        <v>317</v>
      </c>
      <c r="C3219" s="450" t="s">
        <v>156</v>
      </c>
      <c r="D3219" s="450">
        <v>98.01</v>
      </c>
      <c r="E3219" s="450" t="s">
        <v>79</v>
      </c>
      <c r="F3219" s="451">
        <v>10.47</v>
      </c>
      <c r="G3219" s="443">
        <f t="shared" si="774"/>
        <v>65.960999999999999</v>
      </c>
      <c r="H3219" s="443">
        <v>24</v>
      </c>
      <c r="I3219" s="445">
        <f t="shared" si="775"/>
        <v>1583.0639999999999</v>
      </c>
      <c r="J3219" s="446">
        <v>1600</v>
      </c>
    </row>
    <row r="3220" spans="1:11" x14ac:dyDescent="0.25">
      <c r="A3220" s="31" t="s">
        <v>626</v>
      </c>
      <c r="B3220" s="443" t="s">
        <v>325</v>
      </c>
      <c r="C3220" s="444" t="s">
        <v>158</v>
      </c>
      <c r="D3220" s="452">
        <v>0.27</v>
      </c>
      <c r="E3220" s="444" t="s">
        <v>79</v>
      </c>
      <c r="F3220" s="451">
        <v>7.15</v>
      </c>
      <c r="G3220" s="443">
        <f t="shared" si="774"/>
        <v>45.045000000000002</v>
      </c>
      <c r="H3220" s="443">
        <v>24</v>
      </c>
      <c r="I3220" s="445">
        <f t="shared" si="775"/>
        <v>1081.08</v>
      </c>
      <c r="J3220" s="446">
        <v>1000</v>
      </c>
    </row>
    <row r="3221" spans="1:11" ht="15.75" thickBot="1" x14ac:dyDescent="0.3">
      <c r="A3221" s="31" t="s">
        <v>626</v>
      </c>
      <c r="B3221" s="451" t="s">
        <v>326</v>
      </c>
      <c r="C3221" s="453" t="s">
        <v>152</v>
      </c>
      <c r="D3221" s="454">
        <v>0</v>
      </c>
      <c r="E3221" s="450" t="s">
        <v>79</v>
      </c>
      <c r="F3221" s="455">
        <v>8.9499999999999993</v>
      </c>
      <c r="G3221" s="451">
        <f t="shared" si="774"/>
        <v>56.384999999999991</v>
      </c>
      <c r="H3221" s="451">
        <v>24</v>
      </c>
      <c r="I3221" s="456">
        <f t="shared" si="775"/>
        <v>1353.2399999999998</v>
      </c>
      <c r="J3221" s="457">
        <v>1300</v>
      </c>
    </row>
    <row r="3222" spans="1:11" ht="19.5" thickBot="1" x14ac:dyDescent="0.35">
      <c r="A3222" s="206"/>
      <c r="B3222" s="458"/>
      <c r="C3222" s="458"/>
      <c r="D3222" s="458"/>
      <c r="E3222" s="458"/>
      <c r="F3222" s="458"/>
      <c r="G3222" s="459"/>
      <c r="H3222" s="460" t="s">
        <v>171</v>
      </c>
      <c r="I3222" s="461">
        <f>SUM(I3216:I3221)</f>
        <v>7115.4719999999998</v>
      </c>
      <c r="J3222" s="462">
        <v>6700</v>
      </c>
    </row>
    <row r="3223" spans="1:11" x14ac:dyDescent="0.25">
      <c r="A3223" s="31" t="s">
        <v>628</v>
      </c>
      <c r="B3223" s="443" t="s">
        <v>322</v>
      </c>
      <c r="C3223" s="444" t="s">
        <v>114</v>
      </c>
      <c r="D3223" s="444">
        <v>0</v>
      </c>
      <c r="E3223" s="444" t="s">
        <v>79</v>
      </c>
      <c r="F3223" s="445">
        <v>6.85</v>
      </c>
      <c r="G3223" s="443">
        <f t="shared" ref="G3223:G3228" si="776">F3223*6.3</f>
        <v>43.154999999999994</v>
      </c>
      <c r="H3223" s="443">
        <v>11</v>
      </c>
      <c r="I3223" s="445">
        <f t="shared" ref="I3223:I3228" si="777">G3223*H3223</f>
        <v>474.70499999999993</v>
      </c>
      <c r="J3223" s="446">
        <v>900</v>
      </c>
    </row>
    <row r="3224" spans="1:11" x14ac:dyDescent="0.25">
      <c r="A3224" s="31" t="s">
        <v>628</v>
      </c>
      <c r="B3224" s="443" t="s">
        <v>323</v>
      </c>
      <c r="C3224" s="444" t="s">
        <v>86</v>
      </c>
      <c r="D3224" s="444" t="s">
        <v>38</v>
      </c>
      <c r="E3224" s="444" t="s">
        <v>79</v>
      </c>
      <c r="F3224" s="447">
        <v>9.82</v>
      </c>
      <c r="G3224" s="443">
        <f t="shared" si="776"/>
        <v>61.866</v>
      </c>
      <c r="H3224" s="443">
        <v>11</v>
      </c>
      <c r="I3224" s="445">
        <f t="shared" si="777"/>
        <v>680.52599999999995</v>
      </c>
      <c r="J3224" s="446">
        <v>1400</v>
      </c>
    </row>
    <row r="3225" spans="1:11" x14ac:dyDescent="0.25">
      <c r="A3225" s="31" t="s">
        <v>628</v>
      </c>
      <c r="B3225" s="448" t="s">
        <v>324</v>
      </c>
      <c r="C3225" s="444" t="s">
        <v>443</v>
      </c>
      <c r="D3225" s="444" t="s">
        <v>38</v>
      </c>
      <c r="E3225" s="444" t="s">
        <v>79</v>
      </c>
      <c r="F3225" s="443">
        <v>3.45</v>
      </c>
      <c r="G3225" s="443">
        <f t="shared" si="776"/>
        <v>21.734999999999999</v>
      </c>
      <c r="H3225" s="443">
        <v>11</v>
      </c>
      <c r="I3225" s="445">
        <f t="shared" si="777"/>
        <v>239.08499999999998</v>
      </c>
      <c r="J3225" s="446">
        <v>500</v>
      </c>
    </row>
    <row r="3226" spans="1:11" x14ac:dyDescent="0.25">
      <c r="A3226" s="31" t="s">
        <v>628</v>
      </c>
      <c r="B3226" s="449" t="s">
        <v>317</v>
      </c>
      <c r="C3226" s="450" t="s">
        <v>156</v>
      </c>
      <c r="D3226" s="450">
        <v>0</v>
      </c>
      <c r="E3226" s="450" t="s">
        <v>79</v>
      </c>
      <c r="F3226" s="451">
        <v>10.4</v>
      </c>
      <c r="G3226" s="443">
        <f t="shared" si="776"/>
        <v>65.52</v>
      </c>
      <c r="H3226" s="443">
        <v>11</v>
      </c>
      <c r="I3226" s="445">
        <f t="shared" si="777"/>
        <v>720.71999999999991</v>
      </c>
      <c r="J3226" s="446">
        <v>1600</v>
      </c>
    </row>
    <row r="3227" spans="1:11" x14ac:dyDescent="0.25">
      <c r="A3227" s="31" t="s">
        <v>628</v>
      </c>
      <c r="B3227" s="443" t="s">
        <v>325</v>
      </c>
      <c r="C3227" s="444" t="s">
        <v>158</v>
      </c>
      <c r="D3227" s="452">
        <v>0.27</v>
      </c>
      <c r="E3227" s="444" t="s">
        <v>79</v>
      </c>
      <c r="F3227" s="451">
        <v>7.12</v>
      </c>
      <c r="G3227" s="443">
        <f t="shared" si="776"/>
        <v>44.856000000000002</v>
      </c>
      <c r="H3227" s="443">
        <v>11</v>
      </c>
      <c r="I3227" s="445">
        <f t="shared" si="777"/>
        <v>493.416</v>
      </c>
      <c r="J3227" s="446">
        <v>1000</v>
      </c>
    </row>
    <row r="3228" spans="1:11" ht="15.75" thickBot="1" x14ac:dyDescent="0.3">
      <c r="A3228" s="31" t="s">
        <v>628</v>
      </c>
      <c r="B3228" s="451" t="s">
        <v>326</v>
      </c>
      <c r="C3228" s="453" t="s">
        <v>152</v>
      </c>
      <c r="D3228" s="454">
        <v>0</v>
      </c>
      <c r="E3228" s="450" t="s">
        <v>79</v>
      </c>
      <c r="F3228" s="455">
        <v>8.8000000000000007</v>
      </c>
      <c r="G3228" s="451">
        <f t="shared" si="776"/>
        <v>55.440000000000005</v>
      </c>
      <c r="H3228" s="451">
        <v>11</v>
      </c>
      <c r="I3228" s="456">
        <f t="shared" si="777"/>
        <v>609.84</v>
      </c>
      <c r="J3228" s="457">
        <v>1300</v>
      </c>
    </row>
    <row r="3229" spans="1:11" ht="19.5" thickBot="1" x14ac:dyDescent="0.35">
      <c r="A3229" s="206"/>
      <c r="B3229" s="458"/>
      <c r="C3229" s="458"/>
      <c r="D3229" s="458"/>
      <c r="E3229" s="458"/>
      <c r="F3229" s="458"/>
      <c r="G3229" s="459"/>
      <c r="H3229" s="460" t="s">
        <v>171</v>
      </c>
      <c r="I3229" s="461">
        <f>SUM(I3223:I3228)</f>
        <v>3218.2919999999999</v>
      </c>
      <c r="J3229" s="462">
        <v>6700</v>
      </c>
      <c r="K3229" s="467" t="s">
        <v>627</v>
      </c>
    </row>
    <row r="3230" spans="1:11" x14ac:dyDescent="0.25">
      <c r="A3230" s="31" t="s">
        <v>629</v>
      </c>
      <c r="B3230" s="443" t="s">
        <v>322</v>
      </c>
      <c r="C3230" s="444" t="s">
        <v>114</v>
      </c>
      <c r="D3230" s="444">
        <v>30</v>
      </c>
      <c r="E3230" s="444" t="s">
        <v>79</v>
      </c>
      <c r="F3230" s="445">
        <v>6.9</v>
      </c>
      <c r="G3230" s="443">
        <f t="shared" ref="G3230:G3235" si="778">F3230*6.3</f>
        <v>43.47</v>
      </c>
      <c r="H3230" s="443">
        <v>24</v>
      </c>
      <c r="I3230" s="445">
        <f t="shared" ref="I3230:I3235" si="779">G3230*H3230</f>
        <v>1043.28</v>
      </c>
      <c r="J3230" s="446">
        <v>900</v>
      </c>
    </row>
    <row r="3231" spans="1:11" x14ac:dyDescent="0.25">
      <c r="A3231" s="31" t="s">
        <v>629</v>
      </c>
      <c r="B3231" s="443" t="s">
        <v>323</v>
      </c>
      <c r="C3231" s="444" t="s">
        <v>86</v>
      </c>
      <c r="D3231" s="444" t="s">
        <v>38</v>
      </c>
      <c r="E3231" s="444" t="s">
        <v>79</v>
      </c>
      <c r="F3231" s="447">
        <v>10.8</v>
      </c>
      <c r="G3231" s="443">
        <f t="shared" si="778"/>
        <v>68.040000000000006</v>
      </c>
      <c r="H3231" s="443">
        <v>24</v>
      </c>
      <c r="I3231" s="445">
        <f t="shared" si="779"/>
        <v>1632.96</v>
      </c>
      <c r="J3231" s="446">
        <v>1400</v>
      </c>
    </row>
    <row r="3232" spans="1:11" x14ac:dyDescent="0.25">
      <c r="A3232" s="31" t="s">
        <v>629</v>
      </c>
      <c r="B3232" s="448" t="s">
        <v>324</v>
      </c>
      <c r="C3232" s="444" t="s">
        <v>443</v>
      </c>
      <c r="D3232" s="444" t="s">
        <v>38</v>
      </c>
      <c r="E3232" s="444" t="s">
        <v>79</v>
      </c>
      <c r="F3232" s="37">
        <v>3.45</v>
      </c>
      <c r="G3232" s="443">
        <f t="shared" si="778"/>
        <v>21.734999999999999</v>
      </c>
      <c r="H3232" s="443">
        <v>24</v>
      </c>
      <c r="I3232" s="445">
        <f t="shared" si="779"/>
        <v>521.64</v>
      </c>
      <c r="J3232" s="446">
        <v>500</v>
      </c>
    </row>
    <row r="3233" spans="1:10" x14ac:dyDescent="0.25">
      <c r="A3233" s="31" t="s">
        <v>629</v>
      </c>
      <c r="B3233" s="449" t="s">
        <v>317</v>
      </c>
      <c r="C3233" s="450" t="s">
        <v>156</v>
      </c>
      <c r="D3233" s="42">
        <v>86.2</v>
      </c>
      <c r="E3233" s="450" t="s">
        <v>79</v>
      </c>
      <c r="F3233" s="43">
        <v>10.4</v>
      </c>
      <c r="G3233" s="443">
        <f t="shared" si="778"/>
        <v>65.52</v>
      </c>
      <c r="H3233" s="443">
        <v>24</v>
      </c>
      <c r="I3233" s="445">
        <f t="shared" si="779"/>
        <v>1572.48</v>
      </c>
      <c r="J3233" s="446">
        <v>1600</v>
      </c>
    </row>
    <row r="3234" spans="1:10" x14ac:dyDescent="0.25">
      <c r="A3234" s="31" t="s">
        <v>629</v>
      </c>
      <c r="B3234" s="443" t="s">
        <v>325</v>
      </c>
      <c r="C3234" s="444" t="s">
        <v>158</v>
      </c>
      <c r="D3234" s="452">
        <v>0.27</v>
      </c>
      <c r="E3234" s="444" t="s">
        <v>79</v>
      </c>
      <c r="F3234" s="43">
        <v>6.8</v>
      </c>
      <c r="G3234" s="443">
        <f t="shared" si="778"/>
        <v>42.839999999999996</v>
      </c>
      <c r="H3234" s="443">
        <v>24</v>
      </c>
      <c r="I3234" s="445">
        <f t="shared" si="779"/>
        <v>1028.1599999999999</v>
      </c>
      <c r="J3234" s="446">
        <v>1000</v>
      </c>
    </row>
    <row r="3235" spans="1:10" ht="15.75" thickBot="1" x14ac:dyDescent="0.3">
      <c r="A3235" s="31" t="s">
        <v>629</v>
      </c>
      <c r="B3235" s="451" t="s">
        <v>326</v>
      </c>
      <c r="C3235" s="453" t="s">
        <v>152</v>
      </c>
      <c r="D3235" s="454">
        <v>0</v>
      </c>
      <c r="E3235" s="450" t="s">
        <v>79</v>
      </c>
      <c r="F3235" s="73">
        <v>8.6999999999999993</v>
      </c>
      <c r="G3235" s="451">
        <f t="shared" si="778"/>
        <v>54.809999999999995</v>
      </c>
      <c r="H3235" s="451">
        <v>24</v>
      </c>
      <c r="I3235" s="456">
        <f t="shared" si="779"/>
        <v>1315.4399999999998</v>
      </c>
      <c r="J3235" s="457">
        <v>1300</v>
      </c>
    </row>
    <row r="3236" spans="1:10" ht="19.5" thickBot="1" x14ac:dyDescent="0.35">
      <c r="A3236" s="206"/>
      <c r="B3236" s="458"/>
      <c r="C3236" s="458"/>
      <c r="D3236" s="458"/>
      <c r="E3236" s="458"/>
      <c r="F3236" s="458"/>
      <c r="G3236" s="459"/>
      <c r="H3236" s="460" t="s">
        <v>171</v>
      </c>
      <c r="I3236" s="461">
        <f>SUM(I3230:I3235)</f>
        <v>7113.9599999999991</v>
      </c>
      <c r="J3236" s="462">
        <v>6700</v>
      </c>
    </row>
    <row r="3237" spans="1:10" x14ac:dyDescent="0.25">
      <c r="A3237" s="31" t="s">
        <v>630</v>
      </c>
      <c r="B3237" s="443" t="s">
        <v>322</v>
      </c>
      <c r="C3237" s="444" t="s">
        <v>114</v>
      </c>
      <c r="D3237" s="444">
        <v>30</v>
      </c>
      <c r="E3237" s="444" t="s">
        <v>79</v>
      </c>
      <c r="F3237" s="109">
        <v>7.16</v>
      </c>
      <c r="G3237" s="443">
        <f t="shared" ref="G3237:G3242" si="780">F3237*6.3</f>
        <v>45.107999999999997</v>
      </c>
      <c r="H3237" s="443">
        <v>24</v>
      </c>
      <c r="I3237" s="445">
        <f t="shared" ref="I3237:I3242" si="781">G3237*H3237</f>
        <v>1082.5919999999999</v>
      </c>
      <c r="J3237" s="446">
        <v>900</v>
      </c>
    </row>
    <row r="3238" spans="1:10" x14ac:dyDescent="0.25">
      <c r="A3238" s="31" t="s">
        <v>630</v>
      </c>
      <c r="B3238" s="443" t="s">
        <v>323</v>
      </c>
      <c r="C3238" s="444" t="s">
        <v>86</v>
      </c>
      <c r="D3238" s="444" t="s">
        <v>38</v>
      </c>
      <c r="E3238" s="444" t="s">
        <v>79</v>
      </c>
      <c r="F3238" s="38">
        <v>11</v>
      </c>
      <c r="G3238" s="443">
        <f t="shared" si="780"/>
        <v>69.3</v>
      </c>
      <c r="H3238" s="443">
        <v>24</v>
      </c>
      <c r="I3238" s="445">
        <f t="shared" si="781"/>
        <v>1663.1999999999998</v>
      </c>
      <c r="J3238" s="446">
        <v>1400</v>
      </c>
    </row>
    <row r="3239" spans="1:10" x14ac:dyDescent="0.25">
      <c r="A3239" s="31" t="s">
        <v>630</v>
      </c>
      <c r="B3239" s="448" t="s">
        <v>324</v>
      </c>
      <c r="C3239" s="444" t="s">
        <v>443</v>
      </c>
      <c r="D3239" s="444" t="s">
        <v>38</v>
      </c>
      <c r="E3239" s="444" t="s">
        <v>79</v>
      </c>
      <c r="F3239" s="37">
        <v>3.45</v>
      </c>
      <c r="G3239" s="443">
        <f t="shared" si="780"/>
        <v>21.734999999999999</v>
      </c>
      <c r="H3239" s="443">
        <v>24</v>
      </c>
      <c r="I3239" s="445">
        <f t="shared" si="781"/>
        <v>521.64</v>
      </c>
      <c r="J3239" s="446">
        <v>500</v>
      </c>
    </row>
    <row r="3240" spans="1:10" x14ac:dyDescent="0.25">
      <c r="A3240" s="31" t="s">
        <v>630</v>
      </c>
      <c r="B3240" s="449" t="s">
        <v>317</v>
      </c>
      <c r="C3240" s="450" t="s">
        <v>156</v>
      </c>
      <c r="D3240" s="42">
        <v>95.2</v>
      </c>
      <c r="E3240" s="450" t="s">
        <v>79</v>
      </c>
      <c r="F3240" s="43">
        <v>10.4</v>
      </c>
      <c r="G3240" s="443">
        <f t="shared" si="780"/>
        <v>65.52</v>
      </c>
      <c r="H3240" s="443">
        <v>24</v>
      </c>
      <c r="I3240" s="445">
        <f t="shared" si="781"/>
        <v>1572.48</v>
      </c>
      <c r="J3240" s="446">
        <v>1600</v>
      </c>
    </row>
    <row r="3241" spans="1:10" x14ac:dyDescent="0.25">
      <c r="A3241" s="31" t="s">
        <v>630</v>
      </c>
      <c r="B3241" s="443" t="s">
        <v>325</v>
      </c>
      <c r="C3241" s="444" t="s">
        <v>158</v>
      </c>
      <c r="D3241" s="452">
        <v>0.27</v>
      </c>
      <c r="E3241" s="444" t="s">
        <v>79</v>
      </c>
      <c r="F3241" s="43">
        <v>6.7</v>
      </c>
      <c r="G3241" s="443">
        <f t="shared" si="780"/>
        <v>42.21</v>
      </c>
      <c r="H3241" s="443">
        <v>24</v>
      </c>
      <c r="I3241" s="445">
        <f t="shared" si="781"/>
        <v>1013.04</v>
      </c>
      <c r="J3241" s="446">
        <v>1000</v>
      </c>
    </row>
    <row r="3242" spans="1:10" ht="15.75" thickBot="1" x14ac:dyDescent="0.3">
      <c r="A3242" s="31" t="s">
        <v>630</v>
      </c>
      <c r="B3242" s="451" t="s">
        <v>326</v>
      </c>
      <c r="C3242" s="453" t="s">
        <v>152</v>
      </c>
      <c r="D3242" s="454">
        <v>0</v>
      </c>
      <c r="E3242" s="450" t="s">
        <v>79</v>
      </c>
      <c r="F3242" s="73">
        <v>8.8000000000000007</v>
      </c>
      <c r="G3242" s="451">
        <f t="shared" si="780"/>
        <v>55.440000000000005</v>
      </c>
      <c r="H3242" s="451">
        <v>24</v>
      </c>
      <c r="I3242" s="456">
        <f t="shared" si="781"/>
        <v>1330.5600000000002</v>
      </c>
      <c r="J3242" s="457">
        <v>1300</v>
      </c>
    </row>
    <row r="3243" spans="1:10" ht="19.5" thickBot="1" x14ac:dyDescent="0.35">
      <c r="A3243" s="206"/>
      <c r="B3243" s="458"/>
      <c r="C3243" s="458"/>
      <c r="D3243" s="458"/>
      <c r="E3243" s="458"/>
      <c r="F3243" s="458"/>
      <c r="G3243" s="459"/>
      <c r="H3243" s="460" t="s">
        <v>171</v>
      </c>
      <c r="I3243" s="461">
        <f>SUM(I3237:I3242)</f>
        <v>7183.5119999999997</v>
      </c>
      <c r="J3243" s="462">
        <v>6700</v>
      </c>
    </row>
    <row r="3244" spans="1:10" x14ac:dyDescent="0.25">
      <c r="A3244" s="31" t="s">
        <v>631</v>
      </c>
      <c r="B3244" s="443" t="s">
        <v>322</v>
      </c>
      <c r="C3244" s="444" t="s">
        <v>114</v>
      </c>
      <c r="D3244" s="444">
        <v>12.4</v>
      </c>
      <c r="E3244" s="444" t="s">
        <v>79</v>
      </c>
      <c r="F3244" s="109">
        <v>7.3</v>
      </c>
      <c r="G3244" s="443">
        <f t="shared" ref="G3244:G3249" si="782">F3244*6.3</f>
        <v>45.989999999999995</v>
      </c>
      <c r="H3244" s="443">
        <v>24</v>
      </c>
      <c r="I3244" s="445">
        <f t="shared" ref="I3244:I3249" si="783">G3244*H3244</f>
        <v>1103.7599999999998</v>
      </c>
      <c r="J3244" s="446">
        <v>900</v>
      </c>
    </row>
    <row r="3245" spans="1:10" x14ac:dyDescent="0.25">
      <c r="A3245" s="31" t="s">
        <v>631</v>
      </c>
      <c r="B3245" s="443" t="s">
        <v>323</v>
      </c>
      <c r="C3245" s="444" t="s">
        <v>86</v>
      </c>
      <c r="D3245" s="444" t="s">
        <v>38</v>
      </c>
      <c r="E3245" s="444" t="s">
        <v>79</v>
      </c>
      <c r="F3245" s="38">
        <v>11.25</v>
      </c>
      <c r="G3245" s="443">
        <f t="shared" si="782"/>
        <v>70.875</v>
      </c>
      <c r="H3245" s="443">
        <v>24</v>
      </c>
      <c r="I3245" s="445">
        <f t="shared" si="783"/>
        <v>1701</v>
      </c>
      <c r="J3245" s="446">
        <v>1400</v>
      </c>
    </row>
    <row r="3246" spans="1:10" x14ac:dyDescent="0.25">
      <c r="A3246" s="31" t="s">
        <v>631</v>
      </c>
      <c r="B3246" s="448" t="s">
        <v>324</v>
      </c>
      <c r="C3246" s="444" t="s">
        <v>443</v>
      </c>
      <c r="D3246" s="444" t="s">
        <v>38</v>
      </c>
      <c r="E3246" s="444" t="s">
        <v>79</v>
      </c>
      <c r="F3246" s="37">
        <v>3.45</v>
      </c>
      <c r="G3246" s="443">
        <f t="shared" si="782"/>
        <v>21.734999999999999</v>
      </c>
      <c r="H3246" s="443">
        <v>24</v>
      </c>
      <c r="I3246" s="445">
        <f t="shared" si="783"/>
        <v>521.64</v>
      </c>
      <c r="J3246" s="446">
        <v>500</v>
      </c>
    </row>
    <row r="3247" spans="1:10" x14ac:dyDescent="0.25">
      <c r="A3247" s="31" t="s">
        <v>631</v>
      </c>
      <c r="B3247" s="449" t="s">
        <v>317</v>
      </c>
      <c r="C3247" s="450" t="s">
        <v>156</v>
      </c>
      <c r="D3247" s="42">
        <v>98.4</v>
      </c>
      <c r="E3247" s="450" t="s">
        <v>79</v>
      </c>
      <c r="F3247" s="43">
        <v>10.4</v>
      </c>
      <c r="G3247" s="443">
        <f t="shared" si="782"/>
        <v>65.52</v>
      </c>
      <c r="H3247" s="443">
        <v>24</v>
      </c>
      <c r="I3247" s="445">
        <f t="shared" si="783"/>
        <v>1572.48</v>
      </c>
      <c r="J3247" s="446">
        <v>1600</v>
      </c>
    </row>
    <row r="3248" spans="1:10" x14ac:dyDescent="0.25">
      <c r="A3248" s="31" t="s">
        <v>631</v>
      </c>
      <c r="B3248" s="443" t="s">
        <v>325</v>
      </c>
      <c r="C3248" s="444" t="s">
        <v>158</v>
      </c>
      <c r="D3248" s="452">
        <v>0.27</v>
      </c>
      <c r="E3248" s="444" t="s">
        <v>79</v>
      </c>
      <c r="F3248" s="43">
        <v>6.2</v>
      </c>
      <c r="G3248" s="443">
        <f t="shared" si="782"/>
        <v>39.06</v>
      </c>
      <c r="H3248" s="443">
        <v>24</v>
      </c>
      <c r="I3248" s="445">
        <f t="shared" si="783"/>
        <v>937.44</v>
      </c>
      <c r="J3248" s="446">
        <v>1000</v>
      </c>
    </row>
    <row r="3249" spans="1:10" ht="15.75" thickBot="1" x14ac:dyDescent="0.3">
      <c r="A3249" s="31" t="s">
        <v>631</v>
      </c>
      <c r="B3249" s="451" t="s">
        <v>326</v>
      </c>
      <c r="C3249" s="453" t="s">
        <v>152</v>
      </c>
      <c r="D3249" s="454">
        <v>0</v>
      </c>
      <c r="E3249" s="450" t="s">
        <v>79</v>
      </c>
      <c r="F3249" s="73">
        <v>8.6</v>
      </c>
      <c r="G3249" s="451">
        <f t="shared" si="782"/>
        <v>54.18</v>
      </c>
      <c r="H3249" s="451">
        <v>24</v>
      </c>
      <c r="I3249" s="456">
        <f t="shared" si="783"/>
        <v>1300.32</v>
      </c>
      <c r="J3249" s="457">
        <v>1300</v>
      </c>
    </row>
    <row r="3250" spans="1:10" ht="19.5" thickBot="1" x14ac:dyDescent="0.35">
      <c r="A3250" s="206"/>
      <c r="B3250" s="458"/>
      <c r="C3250" s="458"/>
      <c r="D3250" s="458"/>
      <c r="E3250" s="458"/>
      <c r="F3250" s="458"/>
      <c r="G3250" s="459"/>
      <c r="H3250" s="460" t="s">
        <v>171</v>
      </c>
      <c r="I3250" s="461">
        <f>SUM(I3244:I3249)</f>
        <v>7136.6399999999994</v>
      </c>
      <c r="J3250" s="462">
        <v>6700</v>
      </c>
    </row>
    <row r="3251" spans="1:10" x14ac:dyDescent="0.25">
      <c r="A3251" s="31" t="s">
        <v>632</v>
      </c>
      <c r="B3251" s="443" t="s">
        <v>322</v>
      </c>
      <c r="C3251" s="444" t="s">
        <v>114</v>
      </c>
      <c r="D3251" s="444">
        <v>11.8</v>
      </c>
      <c r="E3251" s="444" t="s">
        <v>79</v>
      </c>
      <c r="F3251" s="109">
        <v>7.3</v>
      </c>
      <c r="G3251" s="443">
        <f t="shared" ref="G3251:G3256" si="784">F3251*6.3</f>
        <v>45.989999999999995</v>
      </c>
      <c r="H3251" s="443">
        <v>24</v>
      </c>
      <c r="I3251" s="445">
        <f t="shared" ref="I3251:I3256" si="785">G3251*H3251</f>
        <v>1103.7599999999998</v>
      </c>
      <c r="J3251" s="446">
        <v>900</v>
      </c>
    </row>
    <row r="3252" spans="1:10" x14ac:dyDescent="0.25">
      <c r="A3252" s="31" t="s">
        <v>632</v>
      </c>
      <c r="B3252" s="443" t="s">
        <v>323</v>
      </c>
      <c r="C3252" s="444" t="s">
        <v>86</v>
      </c>
      <c r="D3252" s="444" t="s">
        <v>38</v>
      </c>
      <c r="E3252" s="444" t="s">
        <v>79</v>
      </c>
      <c r="F3252" s="38">
        <v>11.4</v>
      </c>
      <c r="G3252" s="443">
        <f t="shared" si="784"/>
        <v>71.819999999999993</v>
      </c>
      <c r="H3252" s="443">
        <v>24</v>
      </c>
      <c r="I3252" s="445">
        <f t="shared" si="785"/>
        <v>1723.6799999999998</v>
      </c>
      <c r="J3252" s="446">
        <v>1400</v>
      </c>
    </row>
    <row r="3253" spans="1:10" x14ac:dyDescent="0.25">
      <c r="A3253" s="31" t="s">
        <v>632</v>
      </c>
      <c r="B3253" s="448" t="s">
        <v>324</v>
      </c>
      <c r="C3253" s="444" t="s">
        <v>443</v>
      </c>
      <c r="D3253" s="444" t="s">
        <v>38</v>
      </c>
      <c r="E3253" s="444" t="s">
        <v>79</v>
      </c>
      <c r="F3253" s="37">
        <v>3.45</v>
      </c>
      <c r="G3253" s="443">
        <f t="shared" si="784"/>
        <v>21.734999999999999</v>
      </c>
      <c r="H3253" s="443">
        <v>24</v>
      </c>
      <c r="I3253" s="445">
        <f t="shared" si="785"/>
        <v>521.64</v>
      </c>
      <c r="J3253" s="446">
        <v>500</v>
      </c>
    </row>
    <row r="3254" spans="1:10" x14ac:dyDescent="0.25">
      <c r="A3254" s="31" t="s">
        <v>632</v>
      </c>
      <c r="B3254" s="449" t="s">
        <v>317</v>
      </c>
      <c r="C3254" s="450" t="s">
        <v>156</v>
      </c>
      <c r="D3254" s="42">
        <v>98.6</v>
      </c>
      <c r="E3254" s="450" t="s">
        <v>79</v>
      </c>
      <c r="F3254" s="43">
        <v>10.4</v>
      </c>
      <c r="G3254" s="443">
        <f t="shared" si="784"/>
        <v>65.52</v>
      </c>
      <c r="H3254" s="443">
        <v>24</v>
      </c>
      <c r="I3254" s="445">
        <f t="shared" si="785"/>
        <v>1572.48</v>
      </c>
      <c r="J3254" s="446">
        <v>1600</v>
      </c>
    </row>
    <row r="3255" spans="1:10" x14ac:dyDescent="0.25">
      <c r="A3255" s="31" t="s">
        <v>632</v>
      </c>
      <c r="B3255" s="443" t="s">
        <v>325</v>
      </c>
      <c r="C3255" s="444" t="s">
        <v>158</v>
      </c>
      <c r="D3255" s="452">
        <v>0.27</v>
      </c>
      <c r="E3255" s="444" t="s">
        <v>79</v>
      </c>
      <c r="F3255" s="43">
        <v>6.4</v>
      </c>
      <c r="G3255" s="443">
        <f t="shared" si="784"/>
        <v>40.32</v>
      </c>
      <c r="H3255" s="443">
        <v>24</v>
      </c>
      <c r="I3255" s="445">
        <f t="shared" si="785"/>
        <v>967.68000000000006</v>
      </c>
      <c r="J3255" s="446">
        <v>1000</v>
      </c>
    </row>
    <row r="3256" spans="1:10" ht="15.75" thickBot="1" x14ac:dyDescent="0.3">
      <c r="A3256" s="31" t="s">
        <v>632</v>
      </c>
      <c r="B3256" s="451" t="s">
        <v>326</v>
      </c>
      <c r="C3256" s="453" t="s">
        <v>152</v>
      </c>
      <c r="D3256" s="454">
        <v>0</v>
      </c>
      <c r="E3256" s="450" t="s">
        <v>79</v>
      </c>
      <c r="F3256" s="73">
        <v>8.6</v>
      </c>
      <c r="G3256" s="451">
        <f t="shared" si="784"/>
        <v>54.18</v>
      </c>
      <c r="H3256" s="451">
        <v>24</v>
      </c>
      <c r="I3256" s="456">
        <f t="shared" si="785"/>
        <v>1300.32</v>
      </c>
      <c r="J3256" s="457">
        <v>1300</v>
      </c>
    </row>
    <row r="3257" spans="1:10" ht="19.5" thickBot="1" x14ac:dyDescent="0.35">
      <c r="A3257" s="206"/>
      <c r="B3257" s="458"/>
      <c r="C3257" s="458"/>
      <c r="D3257" s="458"/>
      <c r="E3257" s="458"/>
      <c r="F3257" s="458"/>
      <c r="G3257" s="459"/>
      <c r="H3257" s="460" t="s">
        <v>171</v>
      </c>
      <c r="I3257" s="461">
        <f>SUM(I3251:I3256)</f>
        <v>7189.5599999999995</v>
      </c>
      <c r="J3257" s="462">
        <v>6700</v>
      </c>
    </row>
    <row r="3258" spans="1:10" x14ac:dyDescent="0.25">
      <c r="A3258" s="31" t="s">
        <v>633</v>
      </c>
      <c r="B3258" s="443" t="s">
        <v>322</v>
      </c>
      <c r="C3258" s="444" t="s">
        <v>114</v>
      </c>
      <c r="D3258" s="444">
        <v>17</v>
      </c>
      <c r="E3258" s="444" t="s">
        <v>79</v>
      </c>
      <c r="F3258" s="109">
        <v>7.2</v>
      </c>
      <c r="G3258" s="443">
        <f t="shared" ref="G3258:G3263" si="786">F3258*6.3</f>
        <v>45.36</v>
      </c>
      <c r="H3258" s="443">
        <v>24</v>
      </c>
      <c r="I3258" s="445">
        <f t="shared" ref="I3258:I3263" si="787">G3258*H3258</f>
        <v>1088.6399999999999</v>
      </c>
      <c r="J3258" s="446">
        <v>900</v>
      </c>
    </row>
    <row r="3259" spans="1:10" x14ac:dyDescent="0.25">
      <c r="A3259" s="31" t="s">
        <v>633</v>
      </c>
      <c r="B3259" s="443" t="s">
        <v>323</v>
      </c>
      <c r="C3259" s="444" t="s">
        <v>86</v>
      </c>
      <c r="D3259" s="444" t="s">
        <v>38</v>
      </c>
      <c r="E3259" s="444" t="s">
        <v>79</v>
      </c>
      <c r="F3259" s="38">
        <v>10.8</v>
      </c>
      <c r="G3259" s="443">
        <f t="shared" si="786"/>
        <v>68.040000000000006</v>
      </c>
      <c r="H3259" s="443">
        <v>24</v>
      </c>
      <c r="I3259" s="445">
        <f t="shared" si="787"/>
        <v>1632.96</v>
      </c>
      <c r="J3259" s="446">
        <v>1400</v>
      </c>
    </row>
    <row r="3260" spans="1:10" x14ac:dyDescent="0.25">
      <c r="A3260" s="31" t="s">
        <v>633</v>
      </c>
      <c r="B3260" s="448" t="s">
        <v>324</v>
      </c>
      <c r="C3260" s="444" t="s">
        <v>443</v>
      </c>
      <c r="D3260" s="444" t="s">
        <v>38</v>
      </c>
      <c r="E3260" s="444" t="s">
        <v>79</v>
      </c>
      <c r="F3260" s="37">
        <v>3.45</v>
      </c>
      <c r="G3260" s="443">
        <f t="shared" si="786"/>
        <v>21.734999999999999</v>
      </c>
      <c r="H3260" s="443">
        <v>24</v>
      </c>
      <c r="I3260" s="445">
        <f t="shared" si="787"/>
        <v>521.64</v>
      </c>
      <c r="J3260" s="446">
        <v>500</v>
      </c>
    </row>
    <row r="3261" spans="1:10" x14ac:dyDescent="0.25">
      <c r="A3261" s="31" t="s">
        <v>633</v>
      </c>
      <c r="B3261" s="449" t="s">
        <v>317</v>
      </c>
      <c r="C3261" s="450" t="s">
        <v>156</v>
      </c>
      <c r="D3261" s="42">
        <v>97.24</v>
      </c>
      <c r="E3261" s="450" t="s">
        <v>79</v>
      </c>
      <c r="F3261" s="43">
        <v>10.4</v>
      </c>
      <c r="G3261" s="443">
        <f t="shared" si="786"/>
        <v>65.52</v>
      </c>
      <c r="H3261" s="443">
        <v>24</v>
      </c>
      <c r="I3261" s="445">
        <f t="shared" si="787"/>
        <v>1572.48</v>
      </c>
      <c r="J3261" s="446">
        <v>1600</v>
      </c>
    </row>
    <row r="3262" spans="1:10" x14ac:dyDescent="0.25">
      <c r="A3262" s="31" t="s">
        <v>633</v>
      </c>
      <c r="B3262" s="443" t="s">
        <v>325</v>
      </c>
      <c r="C3262" s="444" t="s">
        <v>158</v>
      </c>
      <c r="D3262" s="452">
        <v>0.27</v>
      </c>
      <c r="E3262" s="444" t="s">
        <v>79</v>
      </c>
      <c r="F3262" s="43">
        <v>6.4</v>
      </c>
      <c r="G3262" s="443">
        <f t="shared" si="786"/>
        <v>40.32</v>
      </c>
      <c r="H3262" s="443">
        <v>24</v>
      </c>
      <c r="I3262" s="445">
        <f t="shared" si="787"/>
        <v>967.68000000000006</v>
      </c>
      <c r="J3262" s="446">
        <v>1000</v>
      </c>
    </row>
    <row r="3263" spans="1:10" ht="15.75" thickBot="1" x14ac:dyDescent="0.3">
      <c r="A3263" s="31" t="s">
        <v>633</v>
      </c>
      <c r="B3263" s="451" t="s">
        <v>326</v>
      </c>
      <c r="C3263" s="453" t="s">
        <v>152</v>
      </c>
      <c r="D3263" s="454">
        <v>0</v>
      </c>
      <c r="E3263" s="450" t="s">
        <v>79</v>
      </c>
      <c r="F3263" s="73">
        <v>8.8000000000000007</v>
      </c>
      <c r="G3263" s="451">
        <f t="shared" si="786"/>
        <v>55.440000000000005</v>
      </c>
      <c r="H3263" s="451">
        <v>24</v>
      </c>
      <c r="I3263" s="456">
        <f t="shared" si="787"/>
        <v>1330.5600000000002</v>
      </c>
      <c r="J3263" s="457">
        <v>1300</v>
      </c>
    </row>
    <row r="3264" spans="1:10" ht="19.5" thickBot="1" x14ac:dyDescent="0.35">
      <c r="A3264" s="206"/>
      <c r="B3264" s="458"/>
      <c r="C3264" s="458"/>
      <c r="D3264" s="458"/>
      <c r="E3264" s="458"/>
      <c r="F3264" s="458"/>
      <c r="G3264" s="459"/>
      <c r="H3264" s="460" t="s">
        <v>171</v>
      </c>
      <c r="I3264" s="461">
        <f>SUM(I3258:I3263)</f>
        <v>7113.96</v>
      </c>
      <c r="J3264" s="462">
        <v>6700</v>
      </c>
    </row>
    <row r="3265" spans="1:10" x14ac:dyDescent="0.25">
      <c r="A3265" s="31" t="s">
        <v>634</v>
      </c>
      <c r="B3265" s="443" t="s">
        <v>322</v>
      </c>
      <c r="C3265" s="444" t="s">
        <v>114</v>
      </c>
      <c r="D3265" s="444">
        <v>24</v>
      </c>
      <c r="E3265" s="444" t="s">
        <v>79</v>
      </c>
      <c r="F3265" s="109">
        <v>7.2</v>
      </c>
      <c r="G3265" s="443">
        <f t="shared" ref="G3265:G3270" si="788">F3265*6.3</f>
        <v>45.36</v>
      </c>
      <c r="H3265" s="443">
        <v>24</v>
      </c>
      <c r="I3265" s="445">
        <f t="shared" ref="I3265:I3270" si="789">G3265*H3265</f>
        <v>1088.6399999999999</v>
      </c>
      <c r="J3265" s="446">
        <v>900</v>
      </c>
    </row>
    <row r="3266" spans="1:10" x14ac:dyDescent="0.25">
      <c r="A3266" s="31" t="s">
        <v>634</v>
      </c>
      <c r="B3266" s="443" t="s">
        <v>323</v>
      </c>
      <c r="C3266" s="444" t="s">
        <v>86</v>
      </c>
      <c r="D3266" s="444" t="s">
        <v>38</v>
      </c>
      <c r="E3266" s="444" t="s">
        <v>79</v>
      </c>
      <c r="F3266" s="38">
        <v>10.7</v>
      </c>
      <c r="G3266" s="443">
        <f t="shared" si="788"/>
        <v>67.41</v>
      </c>
      <c r="H3266" s="443">
        <v>24</v>
      </c>
      <c r="I3266" s="445">
        <f t="shared" si="789"/>
        <v>1617.84</v>
      </c>
      <c r="J3266" s="446">
        <v>1400</v>
      </c>
    </row>
    <row r="3267" spans="1:10" x14ac:dyDescent="0.25">
      <c r="A3267" s="31" t="s">
        <v>634</v>
      </c>
      <c r="B3267" s="448" t="s">
        <v>324</v>
      </c>
      <c r="C3267" s="444" t="s">
        <v>443</v>
      </c>
      <c r="D3267" s="444" t="s">
        <v>38</v>
      </c>
      <c r="E3267" s="444" t="s">
        <v>79</v>
      </c>
      <c r="F3267" s="37">
        <v>3.45</v>
      </c>
      <c r="G3267" s="443">
        <f t="shared" si="788"/>
        <v>21.734999999999999</v>
      </c>
      <c r="H3267" s="443">
        <v>24</v>
      </c>
      <c r="I3267" s="445">
        <f t="shared" si="789"/>
        <v>521.64</v>
      </c>
      <c r="J3267" s="446">
        <v>500</v>
      </c>
    </row>
    <row r="3268" spans="1:10" x14ac:dyDescent="0.25">
      <c r="A3268" s="31" t="s">
        <v>634</v>
      </c>
      <c r="B3268" s="449" t="s">
        <v>317</v>
      </c>
      <c r="C3268" s="450" t="s">
        <v>156</v>
      </c>
      <c r="D3268" s="42">
        <v>97.24</v>
      </c>
      <c r="E3268" s="450" t="s">
        <v>79</v>
      </c>
      <c r="F3268" s="43">
        <v>10.4</v>
      </c>
      <c r="G3268" s="443">
        <f t="shared" si="788"/>
        <v>65.52</v>
      </c>
      <c r="H3268" s="443">
        <v>24</v>
      </c>
      <c r="I3268" s="445">
        <f t="shared" si="789"/>
        <v>1572.48</v>
      </c>
      <c r="J3268" s="446">
        <v>1600</v>
      </c>
    </row>
    <row r="3269" spans="1:10" x14ac:dyDescent="0.25">
      <c r="A3269" s="31" t="s">
        <v>634</v>
      </c>
      <c r="B3269" s="443" t="s">
        <v>325</v>
      </c>
      <c r="C3269" s="444" t="s">
        <v>158</v>
      </c>
      <c r="D3269" s="452">
        <v>0.27</v>
      </c>
      <c r="E3269" s="444" t="s">
        <v>79</v>
      </c>
      <c r="F3269" s="43">
        <v>6.5</v>
      </c>
      <c r="G3269" s="443">
        <f t="shared" si="788"/>
        <v>40.949999999999996</v>
      </c>
      <c r="H3269" s="443">
        <v>24</v>
      </c>
      <c r="I3269" s="445">
        <f t="shared" si="789"/>
        <v>982.8</v>
      </c>
      <c r="J3269" s="446">
        <v>1000</v>
      </c>
    </row>
    <row r="3270" spans="1:10" ht="15.75" thickBot="1" x14ac:dyDescent="0.3">
      <c r="A3270" s="31" t="s">
        <v>634</v>
      </c>
      <c r="B3270" s="451" t="s">
        <v>326</v>
      </c>
      <c r="C3270" s="453" t="s">
        <v>152</v>
      </c>
      <c r="D3270" s="454">
        <v>0</v>
      </c>
      <c r="E3270" s="450" t="s">
        <v>79</v>
      </c>
      <c r="F3270" s="73">
        <v>8.8000000000000007</v>
      </c>
      <c r="G3270" s="451">
        <f t="shared" si="788"/>
        <v>55.440000000000005</v>
      </c>
      <c r="H3270" s="451">
        <v>24</v>
      </c>
      <c r="I3270" s="456">
        <f t="shared" si="789"/>
        <v>1330.5600000000002</v>
      </c>
      <c r="J3270" s="457">
        <v>1300</v>
      </c>
    </row>
    <row r="3271" spans="1:10" ht="19.5" thickBot="1" x14ac:dyDescent="0.35">
      <c r="A3271" s="206"/>
      <c r="B3271" s="458"/>
      <c r="C3271" s="458"/>
      <c r="D3271" s="458"/>
      <c r="E3271" s="458"/>
      <c r="F3271" s="458"/>
      <c r="G3271" s="459"/>
      <c r="H3271" s="460" t="s">
        <v>171</v>
      </c>
      <c r="I3271" s="461">
        <f>SUM(I3265:I3270)</f>
        <v>7113.96</v>
      </c>
      <c r="J3271" s="462">
        <v>6700</v>
      </c>
    </row>
    <row r="3272" spans="1:10" x14ac:dyDescent="0.25">
      <c r="A3272" s="31" t="s">
        <v>635</v>
      </c>
      <c r="B3272" s="443" t="s">
        <v>322</v>
      </c>
      <c r="C3272" s="444" t="s">
        <v>114</v>
      </c>
      <c r="D3272" s="444">
        <v>29</v>
      </c>
      <c r="E3272" s="444" t="s">
        <v>79</v>
      </c>
      <c r="F3272" s="109">
        <v>7.15</v>
      </c>
      <c r="G3272" s="443">
        <f t="shared" ref="G3272:G3277" si="790">F3272*6.3</f>
        <v>45.045000000000002</v>
      </c>
      <c r="H3272" s="443">
        <v>24</v>
      </c>
      <c r="I3272" s="445">
        <f t="shared" ref="I3272:I3277" si="791">G3272*H3272</f>
        <v>1081.08</v>
      </c>
      <c r="J3272" s="446">
        <v>900</v>
      </c>
    </row>
    <row r="3273" spans="1:10" x14ac:dyDescent="0.25">
      <c r="A3273" s="31" t="s">
        <v>635</v>
      </c>
      <c r="B3273" s="443" t="s">
        <v>323</v>
      </c>
      <c r="C3273" s="444" t="s">
        <v>86</v>
      </c>
      <c r="D3273" s="444" t="s">
        <v>38</v>
      </c>
      <c r="E3273" s="444" t="s">
        <v>79</v>
      </c>
      <c r="F3273" s="38">
        <v>10.3</v>
      </c>
      <c r="G3273" s="443">
        <f t="shared" si="790"/>
        <v>64.89</v>
      </c>
      <c r="H3273" s="443">
        <v>24</v>
      </c>
      <c r="I3273" s="445">
        <f t="shared" si="791"/>
        <v>1557.3600000000001</v>
      </c>
      <c r="J3273" s="446">
        <v>1400</v>
      </c>
    </row>
    <row r="3274" spans="1:10" x14ac:dyDescent="0.25">
      <c r="A3274" s="31" t="s">
        <v>635</v>
      </c>
      <c r="B3274" s="448" t="s">
        <v>324</v>
      </c>
      <c r="C3274" s="444" t="s">
        <v>443</v>
      </c>
      <c r="D3274" s="444" t="s">
        <v>38</v>
      </c>
      <c r="E3274" s="444" t="s">
        <v>79</v>
      </c>
      <c r="F3274" s="37">
        <v>3.45</v>
      </c>
      <c r="G3274" s="443">
        <f t="shared" si="790"/>
        <v>21.734999999999999</v>
      </c>
      <c r="H3274" s="443">
        <v>24</v>
      </c>
      <c r="I3274" s="445">
        <f t="shared" si="791"/>
        <v>521.64</v>
      </c>
      <c r="J3274" s="446">
        <v>500</v>
      </c>
    </row>
    <row r="3275" spans="1:10" x14ac:dyDescent="0.25">
      <c r="A3275" s="31" t="s">
        <v>635</v>
      </c>
      <c r="B3275" s="449" t="s">
        <v>317</v>
      </c>
      <c r="C3275" s="450" t="s">
        <v>156</v>
      </c>
      <c r="D3275" s="42">
        <v>96.8</v>
      </c>
      <c r="E3275" s="450" t="s">
        <v>79</v>
      </c>
      <c r="F3275" s="43">
        <v>10.4</v>
      </c>
      <c r="G3275" s="443">
        <f t="shared" si="790"/>
        <v>65.52</v>
      </c>
      <c r="H3275" s="443">
        <v>24</v>
      </c>
      <c r="I3275" s="445">
        <f t="shared" si="791"/>
        <v>1572.48</v>
      </c>
      <c r="J3275" s="446">
        <v>1600</v>
      </c>
    </row>
    <row r="3276" spans="1:10" x14ac:dyDescent="0.25">
      <c r="A3276" s="31" t="s">
        <v>635</v>
      </c>
      <c r="B3276" s="443" t="s">
        <v>325</v>
      </c>
      <c r="C3276" s="444" t="s">
        <v>158</v>
      </c>
      <c r="D3276" s="452">
        <v>0.27</v>
      </c>
      <c r="E3276" s="444" t="s">
        <v>79</v>
      </c>
      <c r="F3276" s="43">
        <v>6.8</v>
      </c>
      <c r="G3276" s="443">
        <f t="shared" si="790"/>
        <v>42.839999999999996</v>
      </c>
      <c r="H3276" s="443">
        <v>24</v>
      </c>
      <c r="I3276" s="445">
        <f t="shared" si="791"/>
        <v>1028.1599999999999</v>
      </c>
      <c r="J3276" s="446">
        <v>1000</v>
      </c>
    </row>
    <row r="3277" spans="1:10" ht="15.75" thickBot="1" x14ac:dyDescent="0.3">
      <c r="A3277" s="31" t="s">
        <v>635</v>
      </c>
      <c r="B3277" s="451" t="s">
        <v>326</v>
      </c>
      <c r="C3277" s="453" t="s">
        <v>152</v>
      </c>
      <c r="D3277" s="454">
        <v>0</v>
      </c>
      <c r="E3277" s="450" t="s">
        <v>79</v>
      </c>
      <c r="F3277" s="73">
        <v>9.4</v>
      </c>
      <c r="G3277" s="451">
        <f t="shared" si="790"/>
        <v>59.22</v>
      </c>
      <c r="H3277" s="451">
        <v>24</v>
      </c>
      <c r="I3277" s="456">
        <f t="shared" si="791"/>
        <v>1421.28</v>
      </c>
      <c r="J3277" s="457">
        <v>1300</v>
      </c>
    </row>
    <row r="3278" spans="1:10" ht="19.5" thickBot="1" x14ac:dyDescent="0.35">
      <c r="A3278" s="206"/>
      <c r="B3278" s="458"/>
      <c r="C3278" s="458"/>
      <c r="D3278" s="458"/>
      <c r="E3278" s="458"/>
      <c r="F3278" s="458"/>
      <c r="G3278" s="459"/>
      <c r="H3278" s="460" t="s">
        <v>171</v>
      </c>
      <c r="I3278" s="461">
        <f>SUM(I3272:I3277)</f>
        <v>7181.9999999999991</v>
      </c>
      <c r="J3278" s="462">
        <v>6700</v>
      </c>
    </row>
    <row r="3279" spans="1:10" x14ac:dyDescent="0.25">
      <c r="A3279" s="31" t="s">
        <v>636</v>
      </c>
      <c r="B3279" s="443" t="s">
        <v>322</v>
      </c>
      <c r="C3279" s="444" t="s">
        <v>114</v>
      </c>
      <c r="D3279" s="444">
        <v>29</v>
      </c>
      <c r="E3279" s="444" t="s">
        <v>79</v>
      </c>
      <c r="F3279" s="109">
        <v>7.15</v>
      </c>
      <c r="G3279" s="443">
        <f t="shared" ref="G3279:G3284" si="792">F3279*6.3</f>
        <v>45.045000000000002</v>
      </c>
      <c r="H3279" s="443">
        <v>24</v>
      </c>
      <c r="I3279" s="445">
        <f t="shared" ref="I3279:I3284" si="793">G3279*H3279</f>
        <v>1081.08</v>
      </c>
      <c r="J3279" s="446">
        <v>900</v>
      </c>
    </row>
    <row r="3280" spans="1:10" x14ac:dyDescent="0.25">
      <c r="A3280" s="31" t="s">
        <v>636</v>
      </c>
      <c r="B3280" s="443" t="s">
        <v>323</v>
      </c>
      <c r="C3280" s="444" t="s">
        <v>86</v>
      </c>
      <c r="D3280" s="444" t="s">
        <v>38</v>
      </c>
      <c r="E3280" s="444" t="s">
        <v>79</v>
      </c>
      <c r="F3280" s="38">
        <v>9.8000000000000007</v>
      </c>
      <c r="G3280" s="443">
        <f t="shared" si="792"/>
        <v>61.74</v>
      </c>
      <c r="H3280" s="443">
        <v>24</v>
      </c>
      <c r="I3280" s="445">
        <f t="shared" si="793"/>
        <v>1481.76</v>
      </c>
      <c r="J3280" s="446">
        <v>1400</v>
      </c>
    </row>
    <row r="3281" spans="1:10" x14ac:dyDescent="0.25">
      <c r="A3281" s="31" t="s">
        <v>636</v>
      </c>
      <c r="B3281" s="448" t="s">
        <v>324</v>
      </c>
      <c r="C3281" s="444" t="s">
        <v>443</v>
      </c>
      <c r="D3281" s="444" t="s">
        <v>38</v>
      </c>
      <c r="E3281" s="444" t="s">
        <v>79</v>
      </c>
      <c r="F3281" s="37">
        <v>3.45</v>
      </c>
      <c r="G3281" s="443">
        <f t="shared" si="792"/>
        <v>21.734999999999999</v>
      </c>
      <c r="H3281" s="443">
        <v>24</v>
      </c>
      <c r="I3281" s="445">
        <f t="shared" si="793"/>
        <v>521.64</v>
      </c>
      <c r="J3281" s="446">
        <v>500</v>
      </c>
    </row>
    <row r="3282" spans="1:10" x14ac:dyDescent="0.25">
      <c r="A3282" s="31" t="s">
        <v>636</v>
      </c>
      <c r="B3282" s="449" t="s">
        <v>317</v>
      </c>
      <c r="C3282" s="450" t="s">
        <v>156</v>
      </c>
      <c r="D3282" s="42">
        <v>5</v>
      </c>
      <c r="E3282" s="450" t="s">
        <v>79</v>
      </c>
      <c r="F3282" s="43">
        <v>11</v>
      </c>
      <c r="G3282" s="443">
        <f t="shared" si="792"/>
        <v>69.3</v>
      </c>
      <c r="H3282" s="443">
        <v>24</v>
      </c>
      <c r="I3282" s="445">
        <f t="shared" si="793"/>
        <v>1663.1999999999998</v>
      </c>
      <c r="J3282" s="446">
        <v>1600</v>
      </c>
    </row>
    <row r="3283" spans="1:10" x14ac:dyDescent="0.25">
      <c r="A3283" s="31" t="s">
        <v>636</v>
      </c>
      <c r="B3283" s="443" t="s">
        <v>325</v>
      </c>
      <c r="C3283" s="444" t="s">
        <v>158</v>
      </c>
      <c r="D3283" s="452">
        <v>0.27</v>
      </c>
      <c r="E3283" s="444" t="s">
        <v>79</v>
      </c>
      <c r="F3283" s="43">
        <v>6.2</v>
      </c>
      <c r="G3283" s="443">
        <f t="shared" si="792"/>
        <v>39.06</v>
      </c>
      <c r="H3283" s="443">
        <v>24</v>
      </c>
      <c r="I3283" s="445">
        <f t="shared" si="793"/>
        <v>937.44</v>
      </c>
      <c r="J3283" s="446">
        <v>1000</v>
      </c>
    </row>
    <row r="3284" spans="1:10" ht="15.75" thickBot="1" x14ac:dyDescent="0.3">
      <c r="A3284" s="31" t="s">
        <v>636</v>
      </c>
      <c r="B3284" s="451" t="s">
        <v>326</v>
      </c>
      <c r="C3284" s="453" t="s">
        <v>152</v>
      </c>
      <c r="D3284" s="454">
        <v>0</v>
      </c>
      <c r="E3284" s="450" t="s">
        <v>79</v>
      </c>
      <c r="F3284" s="73">
        <v>10</v>
      </c>
      <c r="G3284" s="451">
        <f t="shared" si="792"/>
        <v>63</v>
      </c>
      <c r="H3284" s="451">
        <v>24</v>
      </c>
      <c r="I3284" s="456">
        <f t="shared" si="793"/>
        <v>1512</v>
      </c>
      <c r="J3284" s="457">
        <v>1300</v>
      </c>
    </row>
    <row r="3285" spans="1:10" ht="19.5" thickBot="1" x14ac:dyDescent="0.35">
      <c r="A3285" s="206"/>
      <c r="B3285" s="458"/>
      <c r="C3285" s="458"/>
      <c r="D3285" s="458"/>
      <c r="E3285" s="458"/>
      <c r="F3285" s="458"/>
      <c r="G3285" s="459"/>
      <c r="H3285" s="460" t="s">
        <v>171</v>
      </c>
      <c r="I3285" s="461">
        <f>SUM(I3279:I3284)</f>
        <v>7197.1200000000008</v>
      </c>
      <c r="J3285" s="462">
        <v>6700</v>
      </c>
    </row>
    <row r="3286" spans="1:10" x14ac:dyDescent="0.25">
      <c r="A3286" s="31" t="s">
        <v>637</v>
      </c>
      <c r="B3286" s="443" t="s">
        <v>322</v>
      </c>
      <c r="C3286" s="444" t="s">
        <v>114</v>
      </c>
      <c r="D3286" s="444">
        <v>30</v>
      </c>
      <c r="E3286" s="444" t="s">
        <v>79</v>
      </c>
      <c r="F3286" s="109">
        <v>7.15</v>
      </c>
      <c r="G3286" s="443">
        <f t="shared" ref="G3286:G3291" si="794">F3286*6.3</f>
        <v>45.045000000000002</v>
      </c>
      <c r="H3286" s="443">
        <v>24</v>
      </c>
      <c r="I3286" s="445">
        <f t="shared" ref="I3286:I3291" si="795">G3286*H3286</f>
        <v>1081.08</v>
      </c>
      <c r="J3286" s="446">
        <v>900</v>
      </c>
    </row>
    <row r="3287" spans="1:10" x14ac:dyDescent="0.25">
      <c r="A3287" s="31" t="s">
        <v>637</v>
      </c>
      <c r="B3287" s="443" t="s">
        <v>323</v>
      </c>
      <c r="C3287" s="444" t="s">
        <v>86</v>
      </c>
      <c r="D3287" s="444" t="s">
        <v>38</v>
      </c>
      <c r="E3287" s="444" t="s">
        <v>79</v>
      </c>
      <c r="F3287" s="38">
        <v>9.8000000000000007</v>
      </c>
      <c r="G3287" s="443">
        <f t="shared" si="794"/>
        <v>61.74</v>
      </c>
      <c r="H3287" s="443">
        <v>24</v>
      </c>
      <c r="I3287" s="445">
        <f t="shared" si="795"/>
        <v>1481.76</v>
      </c>
      <c r="J3287" s="446">
        <v>1400</v>
      </c>
    </row>
    <row r="3288" spans="1:10" x14ac:dyDescent="0.25">
      <c r="A3288" s="31" t="s">
        <v>637</v>
      </c>
      <c r="B3288" s="448" t="s">
        <v>324</v>
      </c>
      <c r="C3288" s="444" t="s">
        <v>443</v>
      </c>
      <c r="D3288" s="444" t="s">
        <v>38</v>
      </c>
      <c r="E3288" s="444" t="s">
        <v>79</v>
      </c>
      <c r="F3288" s="37">
        <v>3.45</v>
      </c>
      <c r="G3288" s="443">
        <f t="shared" si="794"/>
        <v>21.734999999999999</v>
      </c>
      <c r="H3288" s="443">
        <v>24</v>
      </c>
      <c r="I3288" s="445">
        <f t="shared" si="795"/>
        <v>521.64</v>
      </c>
      <c r="J3288" s="446">
        <v>500</v>
      </c>
    </row>
    <row r="3289" spans="1:10" x14ac:dyDescent="0.25">
      <c r="A3289" s="31" t="s">
        <v>637</v>
      </c>
      <c r="B3289" s="449" t="s">
        <v>317</v>
      </c>
      <c r="C3289" s="450" t="s">
        <v>156</v>
      </c>
      <c r="D3289" s="42">
        <v>13</v>
      </c>
      <c r="E3289" s="450" t="s">
        <v>79</v>
      </c>
      <c r="F3289" s="43">
        <v>11.2</v>
      </c>
      <c r="G3289" s="443">
        <f t="shared" si="794"/>
        <v>70.559999999999988</v>
      </c>
      <c r="H3289" s="443">
        <v>24</v>
      </c>
      <c r="I3289" s="445">
        <f t="shared" si="795"/>
        <v>1693.4399999999996</v>
      </c>
      <c r="J3289" s="446">
        <v>1600</v>
      </c>
    </row>
    <row r="3290" spans="1:10" x14ac:dyDescent="0.25">
      <c r="A3290" s="31" t="s">
        <v>637</v>
      </c>
      <c r="B3290" s="443" t="s">
        <v>325</v>
      </c>
      <c r="C3290" s="444" t="s">
        <v>158</v>
      </c>
      <c r="D3290" s="452">
        <v>0.27</v>
      </c>
      <c r="E3290" s="444" t="s">
        <v>79</v>
      </c>
      <c r="F3290" s="43">
        <v>6.2</v>
      </c>
      <c r="G3290" s="443">
        <f t="shared" si="794"/>
        <v>39.06</v>
      </c>
      <c r="H3290" s="443">
        <v>24</v>
      </c>
      <c r="I3290" s="445">
        <f t="shared" si="795"/>
        <v>937.44</v>
      </c>
      <c r="J3290" s="446">
        <v>1000</v>
      </c>
    </row>
    <row r="3291" spans="1:10" ht="15.75" thickBot="1" x14ac:dyDescent="0.3">
      <c r="A3291" s="31" t="s">
        <v>637</v>
      </c>
      <c r="B3291" s="451" t="s">
        <v>326</v>
      </c>
      <c r="C3291" s="453" t="s">
        <v>152</v>
      </c>
      <c r="D3291" s="454">
        <v>0</v>
      </c>
      <c r="E3291" s="450" t="s">
        <v>79</v>
      </c>
      <c r="F3291" s="73">
        <v>10</v>
      </c>
      <c r="G3291" s="451">
        <f t="shared" si="794"/>
        <v>63</v>
      </c>
      <c r="H3291" s="451">
        <v>24</v>
      </c>
      <c r="I3291" s="456">
        <f t="shared" si="795"/>
        <v>1512</v>
      </c>
      <c r="J3291" s="457">
        <v>1300</v>
      </c>
    </row>
    <row r="3292" spans="1:10" ht="19.5" thickBot="1" x14ac:dyDescent="0.35">
      <c r="A3292" s="206"/>
      <c r="B3292" s="458"/>
      <c r="C3292" s="458"/>
      <c r="D3292" s="458"/>
      <c r="E3292" s="458"/>
      <c r="F3292" s="458"/>
      <c r="G3292" s="459"/>
      <c r="H3292" s="460" t="s">
        <v>171</v>
      </c>
      <c r="I3292" s="461">
        <f>SUM(I3286:I3291)</f>
        <v>7227.3600000000006</v>
      </c>
      <c r="J3292" s="462">
        <v>6700</v>
      </c>
    </row>
    <row r="3293" spans="1:10" x14ac:dyDescent="0.25">
      <c r="A3293" s="31" t="s">
        <v>638</v>
      </c>
      <c r="B3293" s="443" t="s">
        <v>322</v>
      </c>
      <c r="C3293" s="444" t="s">
        <v>114</v>
      </c>
      <c r="D3293" s="444">
        <v>31</v>
      </c>
      <c r="E3293" s="444" t="s">
        <v>79</v>
      </c>
      <c r="F3293" s="109">
        <v>6.5</v>
      </c>
      <c r="G3293" s="443">
        <f t="shared" ref="G3293:G3298" si="796">F3293*6.3</f>
        <v>40.949999999999996</v>
      </c>
      <c r="H3293" s="443">
        <v>24</v>
      </c>
      <c r="I3293" s="445">
        <f t="shared" ref="I3293:I3298" si="797">G3293*H3293</f>
        <v>982.8</v>
      </c>
      <c r="J3293" s="446">
        <v>900</v>
      </c>
    </row>
    <row r="3294" spans="1:10" x14ac:dyDescent="0.25">
      <c r="A3294" s="31" t="s">
        <v>638</v>
      </c>
      <c r="B3294" s="443" t="s">
        <v>323</v>
      </c>
      <c r="C3294" s="444" t="s">
        <v>86</v>
      </c>
      <c r="D3294" s="444" t="s">
        <v>38</v>
      </c>
      <c r="E3294" s="444" t="s">
        <v>79</v>
      </c>
      <c r="F3294" s="38">
        <v>8.5</v>
      </c>
      <c r="G3294" s="443">
        <f t="shared" si="796"/>
        <v>53.55</v>
      </c>
      <c r="H3294" s="443">
        <v>24</v>
      </c>
      <c r="I3294" s="445">
        <f t="shared" si="797"/>
        <v>1285.1999999999998</v>
      </c>
      <c r="J3294" s="446">
        <v>1400</v>
      </c>
    </row>
    <row r="3295" spans="1:10" x14ac:dyDescent="0.25">
      <c r="A3295" s="31" t="s">
        <v>638</v>
      </c>
      <c r="B3295" s="448" t="s">
        <v>324</v>
      </c>
      <c r="C3295" s="444" t="s">
        <v>443</v>
      </c>
      <c r="D3295" s="444" t="s">
        <v>38</v>
      </c>
      <c r="E3295" s="444" t="s">
        <v>79</v>
      </c>
      <c r="F3295" s="37">
        <v>3.45</v>
      </c>
      <c r="G3295" s="443">
        <f t="shared" si="796"/>
        <v>21.734999999999999</v>
      </c>
      <c r="H3295" s="443">
        <v>24</v>
      </c>
      <c r="I3295" s="445">
        <f t="shared" si="797"/>
        <v>521.64</v>
      </c>
      <c r="J3295" s="446">
        <v>500</v>
      </c>
    </row>
    <row r="3296" spans="1:10" x14ac:dyDescent="0.25">
      <c r="A3296" s="31" t="s">
        <v>638</v>
      </c>
      <c r="B3296" s="449" t="s">
        <v>317</v>
      </c>
      <c r="C3296" s="450" t="s">
        <v>156</v>
      </c>
      <c r="D3296" s="42">
        <v>17</v>
      </c>
      <c r="E3296" s="450" t="s">
        <v>79</v>
      </c>
      <c r="F3296" s="43">
        <v>10</v>
      </c>
      <c r="G3296" s="443">
        <f t="shared" si="796"/>
        <v>63</v>
      </c>
      <c r="H3296" s="443">
        <v>24</v>
      </c>
      <c r="I3296" s="445">
        <f t="shared" si="797"/>
        <v>1512</v>
      </c>
      <c r="J3296" s="446">
        <v>1600</v>
      </c>
    </row>
    <row r="3297" spans="1:10" x14ac:dyDescent="0.25">
      <c r="A3297" s="31" t="s">
        <v>638</v>
      </c>
      <c r="B3297" s="443" t="s">
        <v>325</v>
      </c>
      <c r="C3297" s="444" t="s">
        <v>158</v>
      </c>
      <c r="D3297" s="452">
        <v>0.27</v>
      </c>
      <c r="E3297" s="444" t="s">
        <v>79</v>
      </c>
      <c r="F3297" s="43">
        <v>6</v>
      </c>
      <c r="G3297" s="443">
        <f t="shared" si="796"/>
        <v>37.799999999999997</v>
      </c>
      <c r="H3297" s="443">
        <v>24</v>
      </c>
      <c r="I3297" s="445">
        <f t="shared" si="797"/>
        <v>907.19999999999993</v>
      </c>
      <c r="J3297" s="446">
        <v>1000</v>
      </c>
    </row>
    <row r="3298" spans="1:10" ht="15.75" thickBot="1" x14ac:dyDescent="0.3">
      <c r="A3298" s="31" t="s">
        <v>638</v>
      </c>
      <c r="B3298" s="451" t="s">
        <v>326</v>
      </c>
      <c r="C3298" s="453" t="s">
        <v>152</v>
      </c>
      <c r="D3298" s="454">
        <v>0</v>
      </c>
      <c r="E3298" s="450" t="s">
        <v>79</v>
      </c>
      <c r="F3298" s="73">
        <v>10</v>
      </c>
      <c r="G3298" s="451">
        <f t="shared" si="796"/>
        <v>63</v>
      </c>
      <c r="H3298" s="451">
        <v>24</v>
      </c>
      <c r="I3298" s="456">
        <f t="shared" si="797"/>
        <v>1512</v>
      </c>
      <c r="J3298" s="457">
        <v>1300</v>
      </c>
    </row>
    <row r="3299" spans="1:10" ht="19.5" thickBot="1" x14ac:dyDescent="0.35">
      <c r="A3299" s="206"/>
      <c r="B3299" s="458"/>
      <c r="C3299" s="458"/>
      <c r="D3299" s="458"/>
      <c r="E3299" s="458"/>
      <c r="F3299" s="458"/>
      <c r="G3299" s="459"/>
      <c r="H3299" s="460" t="s">
        <v>171</v>
      </c>
      <c r="I3299" s="461">
        <f>SUM(I3293:I3298)</f>
        <v>6720.8399999999992</v>
      </c>
      <c r="J3299" s="462">
        <v>6700</v>
      </c>
    </row>
    <row r="3300" spans="1:10" x14ac:dyDescent="0.25">
      <c r="A3300" s="31" t="s">
        <v>639</v>
      </c>
      <c r="B3300" s="443" t="s">
        <v>322</v>
      </c>
      <c r="C3300" s="444" t="s">
        <v>114</v>
      </c>
      <c r="D3300" s="444">
        <v>32</v>
      </c>
      <c r="E3300" s="444" t="s">
        <v>79</v>
      </c>
      <c r="F3300" s="109">
        <v>7</v>
      </c>
      <c r="G3300" s="443">
        <f t="shared" ref="G3300:G3305" si="798">F3300*6.3</f>
        <v>44.1</v>
      </c>
      <c r="H3300" s="443">
        <v>24</v>
      </c>
      <c r="I3300" s="445">
        <f t="shared" ref="I3300:I3305" si="799">G3300*H3300</f>
        <v>1058.4000000000001</v>
      </c>
      <c r="J3300" s="446">
        <v>900</v>
      </c>
    </row>
    <row r="3301" spans="1:10" x14ac:dyDescent="0.25">
      <c r="A3301" s="31" t="s">
        <v>639</v>
      </c>
      <c r="B3301" s="443" t="s">
        <v>323</v>
      </c>
      <c r="C3301" s="444" t="s">
        <v>86</v>
      </c>
      <c r="D3301" s="444" t="s">
        <v>38</v>
      </c>
      <c r="E3301" s="444" t="s">
        <v>79</v>
      </c>
      <c r="F3301" s="38">
        <v>9</v>
      </c>
      <c r="G3301" s="443">
        <f t="shared" si="798"/>
        <v>56.699999999999996</v>
      </c>
      <c r="H3301" s="443">
        <v>24</v>
      </c>
      <c r="I3301" s="445">
        <f t="shared" si="799"/>
        <v>1360.8</v>
      </c>
      <c r="J3301" s="446">
        <v>1400</v>
      </c>
    </row>
    <row r="3302" spans="1:10" x14ac:dyDescent="0.25">
      <c r="A3302" s="31" t="s">
        <v>639</v>
      </c>
      <c r="B3302" s="448" t="s">
        <v>324</v>
      </c>
      <c r="C3302" s="444" t="s">
        <v>443</v>
      </c>
      <c r="D3302" s="444" t="s">
        <v>38</v>
      </c>
      <c r="E3302" s="444" t="s">
        <v>79</v>
      </c>
      <c r="F3302" s="37">
        <v>3.45</v>
      </c>
      <c r="G3302" s="443">
        <f t="shared" si="798"/>
        <v>21.734999999999999</v>
      </c>
      <c r="H3302" s="443">
        <v>24</v>
      </c>
      <c r="I3302" s="445">
        <f t="shared" si="799"/>
        <v>521.64</v>
      </c>
      <c r="J3302" s="446">
        <v>500</v>
      </c>
    </row>
    <row r="3303" spans="1:10" x14ac:dyDescent="0.25">
      <c r="A3303" s="31" t="s">
        <v>639</v>
      </c>
      <c r="B3303" s="449" t="s">
        <v>317</v>
      </c>
      <c r="C3303" s="450" t="s">
        <v>156</v>
      </c>
      <c r="D3303" s="42">
        <v>17</v>
      </c>
      <c r="E3303" s="450" t="s">
        <v>79</v>
      </c>
      <c r="F3303" s="43">
        <v>10.8</v>
      </c>
      <c r="G3303" s="443">
        <f t="shared" si="798"/>
        <v>68.040000000000006</v>
      </c>
      <c r="H3303" s="443">
        <v>24</v>
      </c>
      <c r="I3303" s="445">
        <f t="shared" si="799"/>
        <v>1632.96</v>
      </c>
      <c r="J3303" s="446">
        <v>1600</v>
      </c>
    </row>
    <row r="3304" spans="1:10" x14ac:dyDescent="0.25">
      <c r="A3304" s="31" t="s">
        <v>639</v>
      </c>
      <c r="B3304" s="443" t="s">
        <v>325</v>
      </c>
      <c r="C3304" s="444" t="s">
        <v>158</v>
      </c>
      <c r="D3304" s="452">
        <v>0.27</v>
      </c>
      <c r="E3304" s="444" t="s">
        <v>79</v>
      </c>
      <c r="F3304" s="43">
        <v>6.9</v>
      </c>
      <c r="G3304" s="443">
        <f t="shared" si="798"/>
        <v>43.47</v>
      </c>
      <c r="H3304" s="443">
        <v>24</v>
      </c>
      <c r="I3304" s="445">
        <f t="shared" si="799"/>
        <v>1043.28</v>
      </c>
      <c r="J3304" s="446">
        <v>1000</v>
      </c>
    </row>
    <row r="3305" spans="1:10" ht="15.75" thickBot="1" x14ac:dyDescent="0.3">
      <c r="A3305" s="31" t="s">
        <v>639</v>
      </c>
      <c r="B3305" s="451" t="s">
        <v>326</v>
      </c>
      <c r="C3305" s="453" t="s">
        <v>152</v>
      </c>
      <c r="D3305" s="454">
        <v>0</v>
      </c>
      <c r="E3305" s="450" t="s">
        <v>79</v>
      </c>
      <c r="F3305" s="73">
        <v>10</v>
      </c>
      <c r="G3305" s="451">
        <f t="shared" si="798"/>
        <v>63</v>
      </c>
      <c r="H3305" s="451">
        <v>24</v>
      </c>
      <c r="I3305" s="456">
        <f t="shared" si="799"/>
        <v>1512</v>
      </c>
      <c r="J3305" s="457">
        <v>1300</v>
      </c>
    </row>
    <row r="3306" spans="1:10" ht="19.5" thickBot="1" x14ac:dyDescent="0.35">
      <c r="A3306" s="206"/>
      <c r="B3306" s="458"/>
      <c r="C3306" s="458"/>
      <c r="D3306" s="458"/>
      <c r="E3306" s="458"/>
      <c r="F3306" s="458"/>
      <c r="G3306" s="459"/>
      <c r="H3306" s="460" t="s">
        <v>171</v>
      </c>
      <c r="I3306" s="461">
        <f>SUM(I3300:I3305)</f>
        <v>7129.079999999999</v>
      </c>
      <c r="J3306" s="462">
        <v>6700</v>
      </c>
    </row>
    <row r="3307" spans="1:10" x14ac:dyDescent="0.25">
      <c r="A3307" s="31" t="s">
        <v>640</v>
      </c>
      <c r="B3307" s="443" t="s">
        <v>322</v>
      </c>
      <c r="C3307" s="444" t="s">
        <v>114</v>
      </c>
      <c r="D3307" s="444">
        <v>13</v>
      </c>
      <c r="E3307" s="444" t="s">
        <v>79</v>
      </c>
      <c r="F3307" s="109">
        <v>6.8</v>
      </c>
      <c r="G3307" s="443">
        <f t="shared" ref="G3307:G3312" si="800">F3307*6.3</f>
        <v>42.839999999999996</v>
      </c>
      <c r="H3307" s="443">
        <v>24</v>
      </c>
      <c r="I3307" s="445">
        <f t="shared" ref="I3307:I3312" si="801">G3307*H3307</f>
        <v>1028.1599999999999</v>
      </c>
      <c r="J3307" s="446">
        <v>900</v>
      </c>
    </row>
    <row r="3308" spans="1:10" x14ac:dyDescent="0.25">
      <c r="A3308" s="31" t="s">
        <v>640</v>
      </c>
      <c r="B3308" s="443" t="s">
        <v>323</v>
      </c>
      <c r="C3308" s="444" t="s">
        <v>86</v>
      </c>
      <c r="D3308" s="444" t="s">
        <v>38</v>
      </c>
      <c r="E3308" s="444" t="s">
        <v>79</v>
      </c>
      <c r="F3308" s="38">
        <v>9.6</v>
      </c>
      <c r="G3308" s="443">
        <f t="shared" si="800"/>
        <v>60.48</v>
      </c>
      <c r="H3308" s="443">
        <v>24</v>
      </c>
      <c r="I3308" s="445">
        <f t="shared" si="801"/>
        <v>1451.52</v>
      </c>
      <c r="J3308" s="446">
        <v>1400</v>
      </c>
    </row>
    <row r="3309" spans="1:10" x14ac:dyDescent="0.25">
      <c r="A3309" s="31" t="s">
        <v>640</v>
      </c>
      <c r="B3309" s="448" t="s">
        <v>324</v>
      </c>
      <c r="C3309" s="444" t="s">
        <v>443</v>
      </c>
      <c r="D3309" s="444" t="s">
        <v>38</v>
      </c>
      <c r="E3309" s="444" t="s">
        <v>79</v>
      </c>
      <c r="F3309" s="37">
        <v>3.45</v>
      </c>
      <c r="G3309" s="443">
        <f t="shared" si="800"/>
        <v>21.734999999999999</v>
      </c>
      <c r="H3309" s="443">
        <v>24</v>
      </c>
      <c r="I3309" s="445">
        <f t="shared" si="801"/>
        <v>521.64</v>
      </c>
      <c r="J3309" s="446">
        <v>500</v>
      </c>
    </row>
    <row r="3310" spans="1:10" x14ac:dyDescent="0.25">
      <c r="A3310" s="31" t="s">
        <v>640</v>
      </c>
      <c r="B3310" s="449" t="s">
        <v>317</v>
      </c>
      <c r="C3310" s="450" t="s">
        <v>156</v>
      </c>
      <c r="D3310" s="42">
        <v>21</v>
      </c>
      <c r="E3310" s="450" t="s">
        <v>79</v>
      </c>
      <c r="F3310" s="43">
        <v>10.8</v>
      </c>
      <c r="G3310" s="443">
        <f t="shared" si="800"/>
        <v>68.040000000000006</v>
      </c>
      <c r="H3310" s="443">
        <v>24</v>
      </c>
      <c r="I3310" s="445">
        <f t="shared" si="801"/>
        <v>1632.96</v>
      </c>
      <c r="J3310" s="446">
        <v>1600</v>
      </c>
    </row>
    <row r="3311" spans="1:10" x14ac:dyDescent="0.25">
      <c r="A3311" s="31" t="s">
        <v>640</v>
      </c>
      <c r="B3311" s="443" t="s">
        <v>325</v>
      </c>
      <c r="C3311" s="444" t="s">
        <v>158</v>
      </c>
      <c r="D3311" s="452">
        <v>0.27</v>
      </c>
      <c r="E3311" s="444" t="s">
        <v>79</v>
      </c>
      <c r="F3311" s="43">
        <v>7</v>
      </c>
      <c r="G3311" s="443">
        <f t="shared" si="800"/>
        <v>44.1</v>
      </c>
      <c r="H3311" s="443">
        <v>24</v>
      </c>
      <c r="I3311" s="445">
        <f t="shared" si="801"/>
        <v>1058.4000000000001</v>
      </c>
      <c r="J3311" s="446">
        <v>1000</v>
      </c>
    </row>
    <row r="3312" spans="1:10" ht="15.75" thickBot="1" x14ac:dyDescent="0.3">
      <c r="A3312" s="31" t="s">
        <v>640</v>
      </c>
      <c r="B3312" s="451" t="s">
        <v>326</v>
      </c>
      <c r="C3312" s="453" t="s">
        <v>152</v>
      </c>
      <c r="D3312" s="454">
        <v>0</v>
      </c>
      <c r="E3312" s="450" t="s">
        <v>79</v>
      </c>
      <c r="F3312" s="73">
        <v>9.4</v>
      </c>
      <c r="G3312" s="451">
        <f t="shared" si="800"/>
        <v>59.22</v>
      </c>
      <c r="H3312" s="451">
        <v>24</v>
      </c>
      <c r="I3312" s="456">
        <f t="shared" si="801"/>
        <v>1421.28</v>
      </c>
      <c r="J3312" s="457">
        <v>1300</v>
      </c>
    </row>
    <row r="3313" spans="1:10" ht="19.5" thickBot="1" x14ac:dyDescent="0.35">
      <c r="A3313" s="206"/>
      <c r="B3313" s="458"/>
      <c r="C3313" s="458"/>
      <c r="D3313" s="458"/>
      <c r="E3313" s="458"/>
      <c r="F3313" s="458"/>
      <c r="G3313" s="459"/>
      <c r="H3313" s="460" t="s">
        <v>171</v>
      </c>
      <c r="I3313" s="461">
        <f>SUM(I3307:I3312)</f>
        <v>7113.96</v>
      </c>
      <c r="J3313" s="462">
        <v>6700</v>
      </c>
    </row>
    <row r="3314" spans="1:10" x14ac:dyDescent="0.25">
      <c r="A3314" s="31" t="s">
        <v>641</v>
      </c>
      <c r="B3314" s="443" t="s">
        <v>322</v>
      </c>
      <c r="C3314" s="444" t="s">
        <v>114</v>
      </c>
      <c r="D3314" s="444">
        <v>13</v>
      </c>
      <c r="E3314" s="444" t="s">
        <v>79</v>
      </c>
      <c r="F3314" s="109">
        <v>6.6</v>
      </c>
      <c r="G3314" s="443">
        <f t="shared" ref="G3314:G3319" si="802">F3314*6.3</f>
        <v>41.58</v>
      </c>
      <c r="H3314" s="443">
        <v>24</v>
      </c>
      <c r="I3314" s="445">
        <f t="shared" ref="I3314:I3319" si="803">G3314*H3314</f>
        <v>997.92</v>
      </c>
      <c r="J3314" s="446">
        <v>900</v>
      </c>
    </row>
    <row r="3315" spans="1:10" x14ac:dyDescent="0.25">
      <c r="A3315" s="31" t="s">
        <v>641</v>
      </c>
      <c r="B3315" s="443" t="s">
        <v>323</v>
      </c>
      <c r="C3315" s="444" t="s">
        <v>86</v>
      </c>
      <c r="D3315" s="444" t="s">
        <v>38</v>
      </c>
      <c r="E3315" s="444" t="s">
        <v>79</v>
      </c>
      <c r="F3315" s="38">
        <v>9.8000000000000007</v>
      </c>
      <c r="G3315" s="443">
        <f t="shared" si="802"/>
        <v>61.74</v>
      </c>
      <c r="H3315" s="443">
        <v>24</v>
      </c>
      <c r="I3315" s="445">
        <f t="shared" si="803"/>
        <v>1481.76</v>
      </c>
      <c r="J3315" s="446">
        <v>1400</v>
      </c>
    </row>
    <row r="3316" spans="1:10" x14ac:dyDescent="0.25">
      <c r="A3316" s="31" t="s">
        <v>641</v>
      </c>
      <c r="B3316" s="448" t="s">
        <v>324</v>
      </c>
      <c r="C3316" s="444" t="s">
        <v>443</v>
      </c>
      <c r="D3316" s="444" t="s">
        <v>38</v>
      </c>
      <c r="E3316" s="444" t="s">
        <v>79</v>
      </c>
      <c r="F3316" s="37">
        <v>3.45</v>
      </c>
      <c r="G3316" s="443">
        <f t="shared" si="802"/>
        <v>21.734999999999999</v>
      </c>
      <c r="H3316" s="443">
        <v>24</v>
      </c>
      <c r="I3316" s="445">
        <f t="shared" si="803"/>
        <v>521.64</v>
      </c>
      <c r="J3316" s="446">
        <v>500</v>
      </c>
    </row>
    <row r="3317" spans="1:10" x14ac:dyDescent="0.25">
      <c r="A3317" s="31" t="s">
        <v>641</v>
      </c>
      <c r="B3317" s="449" t="s">
        <v>317</v>
      </c>
      <c r="C3317" s="450" t="s">
        <v>156</v>
      </c>
      <c r="D3317" s="42">
        <v>26</v>
      </c>
      <c r="E3317" s="450" t="s">
        <v>79</v>
      </c>
      <c r="F3317" s="43">
        <v>10.6</v>
      </c>
      <c r="G3317" s="443">
        <f t="shared" si="802"/>
        <v>66.78</v>
      </c>
      <c r="H3317" s="443">
        <v>24</v>
      </c>
      <c r="I3317" s="445">
        <f t="shared" si="803"/>
        <v>1602.72</v>
      </c>
      <c r="J3317" s="446">
        <v>1600</v>
      </c>
    </row>
    <row r="3318" spans="1:10" x14ac:dyDescent="0.25">
      <c r="A3318" s="31" t="s">
        <v>641</v>
      </c>
      <c r="B3318" s="443" t="s">
        <v>325</v>
      </c>
      <c r="C3318" s="444" t="s">
        <v>158</v>
      </c>
      <c r="D3318" s="452">
        <v>0.27</v>
      </c>
      <c r="E3318" s="444" t="s">
        <v>79</v>
      </c>
      <c r="F3318" s="43">
        <v>7.5</v>
      </c>
      <c r="G3318" s="443">
        <f t="shared" si="802"/>
        <v>47.25</v>
      </c>
      <c r="H3318" s="443">
        <v>24</v>
      </c>
      <c r="I3318" s="445">
        <f t="shared" si="803"/>
        <v>1134</v>
      </c>
      <c r="J3318" s="446">
        <v>1000</v>
      </c>
    </row>
    <row r="3319" spans="1:10" ht="15.75" thickBot="1" x14ac:dyDescent="0.3">
      <c r="A3319" s="31" t="s">
        <v>641</v>
      </c>
      <c r="B3319" s="451" t="s">
        <v>326</v>
      </c>
      <c r="C3319" s="453" t="s">
        <v>152</v>
      </c>
      <c r="D3319" s="454">
        <v>0</v>
      </c>
      <c r="E3319" s="450" t="s">
        <v>79</v>
      </c>
      <c r="F3319" s="73">
        <v>9.4</v>
      </c>
      <c r="G3319" s="451">
        <f t="shared" si="802"/>
        <v>59.22</v>
      </c>
      <c r="H3319" s="451">
        <v>24</v>
      </c>
      <c r="I3319" s="456">
        <f t="shared" si="803"/>
        <v>1421.28</v>
      </c>
      <c r="J3319" s="457">
        <v>1300</v>
      </c>
    </row>
    <row r="3320" spans="1:10" ht="19.5" thickBot="1" x14ac:dyDescent="0.35">
      <c r="A3320" s="206"/>
      <c r="B3320" s="458"/>
      <c r="C3320" s="458"/>
      <c r="D3320" s="458"/>
      <c r="E3320" s="458"/>
      <c r="F3320" s="458"/>
      <c r="G3320" s="459"/>
      <c r="H3320" s="460" t="s">
        <v>171</v>
      </c>
      <c r="I3320" s="461">
        <f>SUM(I3314:I3319)</f>
        <v>7159.32</v>
      </c>
      <c r="J3320" s="462">
        <v>6700</v>
      </c>
    </row>
    <row r="3321" spans="1:10" x14ac:dyDescent="0.25">
      <c r="A3321" s="31" t="s">
        <v>642</v>
      </c>
      <c r="B3321" s="443" t="s">
        <v>322</v>
      </c>
      <c r="C3321" s="444" t="s">
        <v>114</v>
      </c>
      <c r="D3321" s="444">
        <v>13</v>
      </c>
      <c r="E3321" s="444" t="s">
        <v>79</v>
      </c>
      <c r="F3321" s="109">
        <v>6.6</v>
      </c>
      <c r="G3321" s="443">
        <f t="shared" ref="G3321:G3326" si="804">F3321*6.3</f>
        <v>41.58</v>
      </c>
      <c r="H3321" s="443">
        <v>24</v>
      </c>
      <c r="I3321" s="445">
        <f t="shared" ref="I3321:I3326" si="805">G3321*H3321</f>
        <v>997.92</v>
      </c>
      <c r="J3321" s="446">
        <v>900</v>
      </c>
    </row>
    <row r="3322" spans="1:10" x14ac:dyDescent="0.25">
      <c r="A3322" s="31" t="s">
        <v>642</v>
      </c>
      <c r="B3322" s="443" t="s">
        <v>323</v>
      </c>
      <c r="C3322" s="444" t="s">
        <v>86</v>
      </c>
      <c r="D3322" s="444" t="s">
        <v>38</v>
      </c>
      <c r="E3322" s="444" t="s">
        <v>79</v>
      </c>
      <c r="F3322" s="38">
        <v>9.83</v>
      </c>
      <c r="G3322" s="443">
        <f t="shared" si="804"/>
        <v>61.929000000000002</v>
      </c>
      <c r="H3322" s="443">
        <v>24</v>
      </c>
      <c r="I3322" s="445">
        <f t="shared" si="805"/>
        <v>1486.296</v>
      </c>
      <c r="J3322" s="446">
        <v>1400</v>
      </c>
    </row>
    <row r="3323" spans="1:10" x14ac:dyDescent="0.25">
      <c r="A3323" s="31" t="s">
        <v>642</v>
      </c>
      <c r="B3323" s="448" t="s">
        <v>324</v>
      </c>
      <c r="C3323" s="444" t="s">
        <v>443</v>
      </c>
      <c r="D3323" s="444" t="s">
        <v>38</v>
      </c>
      <c r="E3323" s="444" t="s">
        <v>79</v>
      </c>
      <c r="F3323" s="37">
        <v>3.48</v>
      </c>
      <c r="G3323" s="443">
        <f t="shared" si="804"/>
        <v>21.923999999999999</v>
      </c>
      <c r="H3323" s="443">
        <v>24</v>
      </c>
      <c r="I3323" s="445">
        <f t="shared" si="805"/>
        <v>526.17599999999993</v>
      </c>
      <c r="J3323" s="446">
        <v>500</v>
      </c>
    </row>
    <row r="3324" spans="1:10" x14ac:dyDescent="0.25">
      <c r="A3324" s="31" t="s">
        <v>642</v>
      </c>
      <c r="B3324" s="449" t="s">
        <v>317</v>
      </c>
      <c r="C3324" s="450" t="s">
        <v>156</v>
      </c>
      <c r="D3324" s="42">
        <v>28.03</v>
      </c>
      <c r="E3324" s="450" t="s">
        <v>79</v>
      </c>
      <c r="F3324" s="43">
        <v>10.65</v>
      </c>
      <c r="G3324" s="443">
        <f t="shared" si="804"/>
        <v>67.094999999999999</v>
      </c>
      <c r="H3324" s="443">
        <v>24</v>
      </c>
      <c r="I3324" s="445">
        <f t="shared" si="805"/>
        <v>1610.28</v>
      </c>
      <c r="J3324" s="446">
        <v>1600</v>
      </c>
    </row>
    <row r="3325" spans="1:10" x14ac:dyDescent="0.25">
      <c r="A3325" s="31" t="s">
        <v>642</v>
      </c>
      <c r="B3325" s="443" t="s">
        <v>325</v>
      </c>
      <c r="C3325" s="444" t="s">
        <v>158</v>
      </c>
      <c r="D3325" s="452">
        <v>0.27</v>
      </c>
      <c r="E3325" s="444" t="s">
        <v>79</v>
      </c>
      <c r="F3325" s="43">
        <v>7.53</v>
      </c>
      <c r="G3325" s="443">
        <f t="shared" si="804"/>
        <v>47.439</v>
      </c>
      <c r="H3325" s="443">
        <v>24</v>
      </c>
      <c r="I3325" s="445">
        <f t="shared" si="805"/>
        <v>1138.5360000000001</v>
      </c>
      <c r="J3325" s="446">
        <v>1000</v>
      </c>
    </row>
    <row r="3326" spans="1:10" ht="15.75" thickBot="1" x14ac:dyDescent="0.3">
      <c r="A3326" s="31" t="s">
        <v>642</v>
      </c>
      <c r="B3326" s="451" t="s">
        <v>326</v>
      </c>
      <c r="C3326" s="453" t="s">
        <v>152</v>
      </c>
      <c r="D3326" s="454">
        <v>0</v>
      </c>
      <c r="E3326" s="450" t="s">
        <v>79</v>
      </c>
      <c r="F3326" s="73">
        <v>9.43</v>
      </c>
      <c r="G3326" s="451">
        <f t="shared" si="804"/>
        <v>59.408999999999999</v>
      </c>
      <c r="H3326" s="451">
        <v>24</v>
      </c>
      <c r="I3326" s="456">
        <f t="shared" si="805"/>
        <v>1425.816</v>
      </c>
      <c r="J3326" s="457">
        <v>1300</v>
      </c>
    </row>
    <row r="3327" spans="1:10" ht="19.5" thickBot="1" x14ac:dyDescent="0.35">
      <c r="A3327" s="206"/>
      <c r="B3327" s="458"/>
      <c r="C3327" s="458"/>
      <c r="D3327" s="458"/>
      <c r="E3327" s="458"/>
      <c r="F3327" s="458"/>
      <c r="G3327" s="459"/>
      <c r="H3327" s="460" t="s">
        <v>171</v>
      </c>
      <c r="I3327" s="461">
        <f>SUM(I3321:I3326)</f>
        <v>7185.0239999999994</v>
      </c>
      <c r="J3327" s="462">
        <v>6700</v>
      </c>
    </row>
    <row r="3328" spans="1:10" x14ac:dyDescent="0.25">
      <c r="A3328" s="31" t="s">
        <v>643</v>
      </c>
      <c r="B3328" s="443" t="s">
        <v>322</v>
      </c>
      <c r="C3328" s="444" t="s">
        <v>114</v>
      </c>
      <c r="D3328" s="444">
        <v>26.26</v>
      </c>
      <c r="E3328" s="444" t="s">
        <v>79</v>
      </c>
      <c r="F3328" s="109">
        <v>6.6</v>
      </c>
      <c r="G3328" s="443">
        <f t="shared" ref="G3328:G3333" si="806">F3328*6.3</f>
        <v>41.58</v>
      </c>
      <c r="H3328" s="443">
        <v>24</v>
      </c>
      <c r="I3328" s="445">
        <f t="shared" ref="I3328:I3333" si="807">G3328*H3328</f>
        <v>997.92</v>
      </c>
      <c r="J3328" s="446">
        <v>900</v>
      </c>
    </row>
    <row r="3329" spans="1:10" x14ac:dyDescent="0.25">
      <c r="A3329" s="31" t="s">
        <v>643</v>
      </c>
      <c r="B3329" s="443" t="s">
        <v>323</v>
      </c>
      <c r="C3329" s="444" t="s">
        <v>86</v>
      </c>
      <c r="D3329" s="444" t="s">
        <v>38</v>
      </c>
      <c r="E3329" s="444" t="s">
        <v>79</v>
      </c>
      <c r="F3329" s="38">
        <v>9.86</v>
      </c>
      <c r="G3329" s="443">
        <f t="shared" si="806"/>
        <v>62.117999999999995</v>
      </c>
      <c r="H3329" s="443">
        <v>24</v>
      </c>
      <c r="I3329" s="445">
        <f t="shared" si="807"/>
        <v>1490.8319999999999</v>
      </c>
      <c r="J3329" s="446">
        <v>1400</v>
      </c>
    </row>
    <row r="3330" spans="1:10" x14ac:dyDescent="0.25">
      <c r="A3330" s="31" t="s">
        <v>643</v>
      </c>
      <c r="B3330" s="448" t="s">
        <v>324</v>
      </c>
      <c r="C3330" s="444" t="s">
        <v>443</v>
      </c>
      <c r="D3330" s="444" t="s">
        <v>38</v>
      </c>
      <c r="E3330" s="444" t="s">
        <v>79</v>
      </c>
      <c r="F3330" s="37">
        <v>3.48</v>
      </c>
      <c r="G3330" s="443">
        <f t="shared" si="806"/>
        <v>21.923999999999999</v>
      </c>
      <c r="H3330" s="443">
        <v>24</v>
      </c>
      <c r="I3330" s="445">
        <f t="shared" si="807"/>
        <v>526.17599999999993</v>
      </c>
      <c r="J3330" s="446">
        <v>500</v>
      </c>
    </row>
    <row r="3331" spans="1:10" x14ac:dyDescent="0.25">
      <c r="A3331" s="31" t="s">
        <v>643</v>
      </c>
      <c r="B3331" s="449" t="s">
        <v>317</v>
      </c>
      <c r="C3331" s="450" t="s">
        <v>156</v>
      </c>
      <c r="D3331" s="42">
        <v>29.28</v>
      </c>
      <c r="E3331" s="450" t="s">
        <v>79</v>
      </c>
      <c r="F3331" s="43">
        <v>10.65</v>
      </c>
      <c r="G3331" s="443">
        <f t="shared" si="806"/>
        <v>67.094999999999999</v>
      </c>
      <c r="H3331" s="443">
        <v>24</v>
      </c>
      <c r="I3331" s="445">
        <f t="shared" si="807"/>
        <v>1610.28</v>
      </c>
      <c r="J3331" s="446">
        <v>1600</v>
      </c>
    </row>
    <row r="3332" spans="1:10" x14ac:dyDescent="0.25">
      <c r="A3332" s="31" t="s">
        <v>643</v>
      </c>
      <c r="B3332" s="443" t="s">
        <v>325</v>
      </c>
      <c r="C3332" s="444" t="s">
        <v>158</v>
      </c>
      <c r="D3332" s="452">
        <v>0.27</v>
      </c>
      <c r="E3332" s="444" t="s">
        <v>79</v>
      </c>
      <c r="F3332" s="43">
        <v>7.5</v>
      </c>
      <c r="G3332" s="443">
        <f t="shared" si="806"/>
        <v>47.25</v>
      </c>
      <c r="H3332" s="443">
        <v>24</v>
      </c>
      <c r="I3332" s="445">
        <f t="shared" si="807"/>
        <v>1134</v>
      </c>
      <c r="J3332" s="446">
        <v>1000</v>
      </c>
    </row>
    <row r="3333" spans="1:10" ht="15.75" thickBot="1" x14ac:dyDescent="0.3">
      <c r="A3333" s="31" t="s">
        <v>643</v>
      </c>
      <c r="B3333" s="451" t="s">
        <v>326</v>
      </c>
      <c r="C3333" s="453" t="s">
        <v>152</v>
      </c>
      <c r="D3333" s="454">
        <v>0</v>
      </c>
      <c r="E3333" s="450" t="s">
        <v>79</v>
      </c>
      <c r="F3333" s="73">
        <v>9.5</v>
      </c>
      <c r="G3333" s="451">
        <f t="shared" si="806"/>
        <v>59.85</v>
      </c>
      <c r="H3333" s="451">
        <v>24</v>
      </c>
      <c r="I3333" s="456">
        <f t="shared" si="807"/>
        <v>1436.4</v>
      </c>
      <c r="J3333" s="457">
        <v>1300</v>
      </c>
    </row>
    <row r="3334" spans="1:10" ht="19.5" thickBot="1" x14ac:dyDescent="0.35">
      <c r="A3334" s="206"/>
      <c r="B3334" s="458"/>
      <c r="C3334" s="458"/>
      <c r="D3334" s="458"/>
      <c r="E3334" s="458"/>
      <c r="F3334" s="458"/>
      <c r="G3334" s="459"/>
      <c r="H3334" s="460" t="s">
        <v>171</v>
      </c>
      <c r="I3334" s="461">
        <f>SUM(I3328:I3333)</f>
        <v>7195.6080000000002</v>
      </c>
      <c r="J3334" s="462">
        <v>6700</v>
      </c>
    </row>
    <row r="3335" spans="1:10" x14ac:dyDescent="0.25">
      <c r="A3335" s="31" t="s">
        <v>644</v>
      </c>
      <c r="B3335" s="443" t="s">
        <v>322</v>
      </c>
      <c r="C3335" s="444" t="s">
        <v>114</v>
      </c>
      <c r="D3335" s="444">
        <v>27.54</v>
      </c>
      <c r="E3335" s="444" t="s">
        <v>79</v>
      </c>
      <c r="F3335" s="109">
        <v>6.32</v>
      </c>
      <c r="G3335" s="443">
        <f t="shared" ref="G3335:G3340" si="808">F3335*6.3</f>
        <v>39.816000000000003</v>
      </c>
      <c r="H3335" s="443">
        <v>24</v>
      </c>
      <c r="I3335" s="445">
        <f t="shared" ref="I3335:I3340" si="809">G3335*H3335</f>
        <v>955.58400000000006</v>
      </c>
      <c r="J3335" s="446">
        <v>900</v>
      </c>
    </row>
    <row r="3336" spans="1:10" x14ac:dyDescent="0.25">
      <c r="A3336" s="31" t="s">
        <v>644</v>
      </c>
      <c r="B3336" s="443" t="s">
        <v>323</v>
      </c>
      <c r="C3336" s="444" t="s">
        <v>86</v>
      </c>
      <c r="D3336" s="444" t="s">
        <v>38</v>
      </c>
      <c r="E3336" s="444" t="s">
        <v>79</v>
      </c>
      <c r="F3336" s="38">
        <v>9.7799999999999994</v>
      </c>
      <c r="G3336" s="443">
        <f t="shared" si="808"/>
        <v>61.613999999999997</v>
      </c>
      <c r="H3336" s="443">
        <v>24</v>
      </c>
      <c r="I3336" s="445">
        <f t="shared" si="809"/>
        <v>1478.7359999999999</v>
      </c>
      <c r="J3336" s="446">
        <v>1400</v>
      </c>
    </row>
    <row r="3337" spans="1:10" x14ac:dyDescent="0.25">
      <c r="A3337" s="31" t="s">
        <v>644</v>
      </c>
      <c r="B3337" s="448" t="s">
        <v>324</v>
      </c>
      <c r="C3337" s="444" t="s">
        <v>443</v>
      </c>
      <c r="D3337" s="444" t="s">
        <v>38</v>
      </c>
      <c r="E3337" s="444" t="s">
        <v>79</v>
      </c>
      <c r="F3337" s="37">
        <v>3.42</v>
      </c>
      <c r="G3337" s="443">
        <f t="shared" si="808"/>
        <v>21.545999999999999</v>
      </c>
      <c r="H3337" s="443">
        <v>24</v>
      </c>
      <c r="I3337" s="445">
        <f t="shared" si="809"/>
        <v>517.10400000000004</v>
      </c>
      <c r="J3337" s="446">
        <v>500</v>
      </c>
    </row>
    <row r="3338" spans="1:10" x14ac:dyDescent="0.25">
      <c r="A3338" s="31" t="s">
        <v>644</v>
      </c>
      <c r="B3338" s="449" t="s">
        <v>317</v>
      </c>
      <c r="C3338" s="450" t="s">
        <v>156</v>
      </c>
      <c r="D3338" s="42">
        <v>32.53</v>
      </c>
      <c r="E3338" s="450" t="s">
        <v>79</v>
      </c>
      <c r="F3338" s="43">
        <v>10.6</v>
      </c>
      <c r="G3338" s="443">
        <f t="shared" si="808"/>
        <v>66.78</v>
      </c>
      <c r="H3338" s="443">
        <v>24</v>
      </c>
      <c r="I3338" s="445">
        <f t="shared" si="809"/>
        <v>1602.72</v>
      </c>
      <c r="J3338" s="446">
        <v>1600</v>
      </c>
    </row>
    <row r="3339" spans="1:10" x14ac:dyDescent="0.25">
      <c r="A3339" s="31" t="s">
        <v>644</v>
      </c>
      <c r="B3339" s="443" t="s">
        <v>325</v>
      </c>
      <c r="C3339" s="444" t="s">
        <v>158</v>
      </c>
      <c r="D3339" s="452">
        <v>0.27</v>
      </c>
      <c r="E3339" s="444" t="s">
        <v>79</v>
      </c>
      <c r="F3339" s="43">
        <v>7.44</v>
      </c>
      <c r="G3339" s="443">
        <f t="shared" si="808"/>
        <v>46.872</v>
      </c>
      <c r="H3339" s="443">
        <v>24</v>
      </c>
      <c r="I3339" s="445">
        <f t="shared" si="809"/>
        <v>1124.9279999999999</v>
      </c>
      <c r="J3339" s="446">
        <v>1000</v>
      </c>
    </row>
    <row r="3340" spans="1:10" ht="15.75" thickBot="1" x14ac:dyDescent="0.3">
      <c r="A3340" s="31" t="s">
        <v>644</v>
      </c>
      <c r="B3340" s="451" t="s">
        <v>326</v>
      </c>
      <c r="C3340" s="453" t="s">
        <v>152</v>
      </c>
      <c r="D3340" s="454">
        <v>0</v>
      </c>
      <c r="E3340" s="450" t="s">
        <v>79</v>
      </c>
      <c r="F3340" s="73">
        <v>9.34</v>
      </c>
      <c r="G3340" s="451">
        <f t="shared" si="808"/>
        <v>58.841999999999999</v>
      </c>
      <c r="H3340" s="451">
        <v>24</v>
      </c>
      <c r="I3340" s="456">
        <f t="shared" si="809"/>
        <v>1412.2080000000001</v>
      </c>
      <c r="J3340" s="457">
        <v>1300</v>
      </c>
    </row>
    <row r="3341" spans="1:10" ht="19.5" thickBot="1" x14ac:dyDescent="0.35">
      <c r="A3341" s="206"/>
      <c r="B3341" s="458"/>
      <c r="C3341" s="458"/>
      <c r="D3341" s="458"/>
      <c r="E3341" s="458"/>
      <c r="F3341" s="458"/>
      <c r="G3341" s="459"/>
      <c r="H3341" s="469" t="s">
        <v>171</v>
      </c>
      <c r="I3341" s="468">
        <f>SUM(I3335:I3340)</f>
        <v>7091.2800000000007</v>
      </c>
      <c r="J3341" s="462">
        <v>6700</v>
      </c>
    </row>
    <row r="3342" spans="1:10" x14ac:dyDescent="0.25">
      <c r="A3342" s="31" t="s">
        <v>645</v>
      </c>
      <c r="B3342" s="443" t="s">
        <v>322</v>
      </c>
      <c r="C3342" s="444" t="s">
        <v>114</v>
      </c>
      <c r="D3342" s="444">
        <v>28.59</v>
      </c>
      <c r="E3342" s="444" t="s">
        <v>79</v>
      </c>
      <c r="F3342" s="109">
        <v>6.2</v>
      </c>
      <c r="G3342" s="443">
        <f t="shared" ref="G3342:G3347" si="810">F3342*6.3</f>
        <v>39.06</v>
      </c>
      <c r="H3342" s="443">
        <v>24</v>
      </c>
      <c r="I3342" s="445">
        <f t="shared" ref="I3342:I3347" si="811">G3342*H3342</f>
        <v>937.44</v>
      </c>
      <c r="J3342" s="446">
        <v>900</v>
      </c>
    </row>
    <row r="3343" spans="1:10" x14ac:dyDescent="0.25">
      <c r="A3343" s="31" t="s">
        <v>645</v>
      </c>
      <c r="B3343" s="443" t="s">
        <v>323</v>
      </c>
      <c r="C3343" s="444" t="s">
        <v>86</v>
      </c>
      <c r="D3343" s="444" t="s">
        <v>38</v>
      </c>
      <c r="E3343" s="444" t="s">
        <v>79</v>
      </c>
      <c r="F3343" s="38">
        <v>9.6999999999999993</v>
      </c>
      <c r="G3343" s="443">
        <f t="shared" si="810"/>
        <v>61.109999999999992</v>
      </c>
      <c r="H3343" s="443">
        <v>24</v>
      </c>
      <c r="I3343" s="445">
        <f t="shared" si="811"/>
        <v>1466.6399999999999</v>
      </c>
      <c r="J3343" s="446">
        <v>1400</v>
      </c>
    </row>
    <row r="3344" spans="1:10" x14ac:dyDescent="0.25">
      <c r="A3344" s="31" t="s">
        <v>645</v>
      </c>
      <c r="B3344" s="448" t="s">
        <v>324</v>
      </c>
      <c r="C3344" s="444" t="s">
        <v>443</v>
      </c>
      <c r="D3344" s="444" t="s">
        <v>38</v>
      </c>
      <c r="E3344" s="444" t="s">
        <v>79</v>
      </c>
      <c r="F3344" s="37">
        <v>3.38</v>
      </c>
      <c r="G3344" s="443">
        <f t="shared" si="810"/>
        <v>21.294</v>
      </c>
      <c r="H3344" s="443">
        <v>24</v>
      </c>
      <c r="I3344" s="445">
        <f t="shared" si="811"/>
        <v>511.05600000000004</v>
      </c>
      <c r="J3344" s="446">
        <v>500</v>
      </c>
    </row>
    <row r="3345" spans="1:10" x14ac:dyDescent="0.25">
      <c r="A3345" s="31" t="s">
        <v>645</v>
      </c>
      <c r="B3345" s="449" t="s">
        <v>317</v>
      </c>
      <c r="C3345" s="450" t="s">
        <v>156</v>
      </c>
      <c r="D3345" s="42">
        <v>33.67</v>
      </c>
      <c r="E3345" s="450" t="s">
        <v>79</v>
      </c>
      <c r="F3345" s="43">
        <v>10.4</v>
      </c>
      <c r="G3345" s="443">
        <f t="shared" si="810"/>
        <v>65.52</v>
      </c>
      <c r="H3345" s="443">
        <v>24</v>
      </c>
      <c r="I3345" s="445">
        <f t="shared" si="811"/>
        <v>1572.48</v>
      </c>
      <c r="J3345" s="446">
        <v>1600</v>
      </c>
    </row>
    <row r="3346" spans="1:10" x14ac:dyDescent="0.25">
      <c r="A3346" s="31" t="s">
        <v>645</v>
      </c>
      <c r="B3346" s="443" t="s">
        <v>325</v>
      </c>
      <c r="C3346" s="444" t="s">
        <v>158</v>
      </c>
      <c r="D3346" s="452">
        <v>0.27</v>
      </c>
      <c r="E3346" s="444" t="s">
        <v>79</v>
      </c>
      <c r="F3346" s="43">
        <v>7.45</v>
      </c>
      <c r="G3346" s="443">
        <f t="shared" si="810"/>
        <v>46.935000000000002</v>
      </c>
      <c r="H3346" s="443">
        <v>24</v>
      </c>
      <c r="I3346" s="445">
        <f t="shared" si="811"/>
        <v>1126.44</v>
      </c>
      <c r="J3346" s="446">
        <v>1000</v>
      </c>
    </row>
    <row r="3347" spans="1:10" ht="15.75" thickBot="1" x14ac:dyDescent="0.3">
      <c r="A3347" s="31" t="s">
        <v>645</v>
      </c>
      <c r="B3347" s="451" t="s">
        <v>326</v>
      </c>
      <c r="C3347" s="453" t="s">
        <v>152</v>
      </c>
      <c r="D3347" s="454">
        <v>0</v>
      </c>
      <c r="E3347" s="450" t="s">
        <v>79</v>
      </c>
      <c r="F3347" s="73">
        <v>9.25</v>
      </c>
      <c r="G3347" s="451">
        <f t="shared" si="810"/>
        <v>58.274999999999999</v>
      </c>
      <c r="H3347" s="451">
        <v>24</v>
      </c>
      <c r="I3347" s="456">
        <f t="shared" si="811"/>
        <v>1398.6</v>
      </c>
      <c r="J3347" s="457">
        <v>1300</v>
      </c>
    </row>
    <row r="3348" spans="1:10" ht="19.5" thickBot="1" x14ac:dyDescent="0.35">
      <c r="A3348" s="206"/>
      <c r="B3348" s="458"/>
      <c r="C3348" s="458"/>
      <c r="D3348" s="458"/>
      <c r="E3348" s="458"/>
      <c r="F3348" s="458"/>
      <c r="G3348" s="459"/>
      <c r="H3348" s="460" t="s">
        <v>171</v>
      </c>
      <c r="I3348" s="461">
        <f>SUM(I3342:I3347)</f>
        <v>7012.6560000000009</v>
      </c>
      <c r="J3348" s="462">
        <v>6700</v>
      </c>
    </row>
    <row r="3349" spans="1:10" x14ac:dyDescent="0.25">
      <c r="A3349" s="31" t="s">
        <v>646</v>
      </c>
      <c r="B3349" s="443" t="s">
        <v>322</v>
      </c>
      <c r="C3349" s="444" t="s">
        <v>114</v>
      </c>
      <c r="D3349" s="444">
        <v>9.44</v>
      </c>
      <c r="E3349" s="444" t="s">
        <v>79</v>
      </c>
      <c r="F3349" s="109">
        <v>6.56</v>
      </c>
      <c r="G3349" s="443">
        <f t="shared" ref="G3349:G3354" si="812">F3349*6.3</f>
        <v>41.327999999999996</v>
      </c>
      <c r="H3349" s="443">
        <v>24</v>
      </c>
      <c r="I3349" s="445">
        <f t="shared" ref="I3349:I3354" si="813">G3349*H3349</f>
        <v>991.87199999999984</v>
      </c>
      <c r="J3349" s="446">
        <v>900</v>
      </c>
    </row>
    <row r="3350" spans="1:10" x14ac:dyDescent="0.25">
      <c r="A3350" s="31" t="s">
        <v>646</v>
      </c>
      <c r="B3350" s="443" t="s">
        <v>323</v>
      </c>
      <c r="C3350" s="444" t="s">
        <v>86</v>
      </c>
      <c r="D3350" s="444" t="s">
        <v>38</v>
      </c>
      <c r="E3350" s="444" t="s">
        <v>79</v>
      </c>
      <c r="F3350" s="38">
        <v>9.82</v>
      </c>
      <c r="G3350" s="443">
        <f t="shared" si="812"/>
        <v>61.866</v>
      </c>
      <c r="H3350" s="443">
        <v>24</v>
      </c>
      <c r="I3350" s="445">
        <f t="shared" si="813"/>
        <v>1484.7840000000001</v>
      </c>
      <c r="J3350" s="446">
        <v>1400</v>
      </c>
    </row>
    <row r="3351" spans="1:10" x14ac:dyDescent="0.25">
      <c r="A3351" s="31" t="s">
        <v>646</v>
      </c>
      <c r="B3351" s="448" t="s">
        <v>324</v>
      </c>
      <c r="C3351" s="444" t="s">
        <v>443</v>
      </c>
      <c r="D3351" s="444" t="s">
        <v>38</v>
      </c>
      <c r="E3351" s="444" t="s">
        <v>79</v>
      </c>
      <c r="F3351" s="37">
        <v>3.43</v>
      </c>
      <c r="G3351" s="443">
        <f t="shared" si="812"/>
        <v>21.609000000000002</v>
      </c>
      <c r="H3351" s="443">
        <v>24</v>
      </c>
      <c r="I3351" s="445">
        <f t="shared" si="813"/>
        <v>518.61599999999999</v>
      </c>
      <c r="J3351" s="446">
        <v>500</v>
      </c>
    </row>
    <row r="3352" spans="1:10" x14ac:dyDescent="0.25">
      <c r="A3352" s="31" t="s">
        <v>646</v>
      </c>
      <c r="B3352" s="449" t="s">
        <v>317</v>
      </c>
      <c r="C3352" s="450" t="s">
        <v>156</v>
      </c>
      <c r="D3352" s="42">
        <v>35.67</v>
      </c>
      <c r="E3352" s="450" t="s">
        <v>79</v>
      </c>
      <c r="F3352" s="43">
        <v>10.62</v>
      </c>
      <c r="G3352" s="443">
        <f t="shared" si="812"/>
        <v>66.905999999999992</v>
      </c>
      <c r="H3352" s="443">
        <v>24</v>
      </c>
      <c r="I3352" s="445">
        <f t="shared" si="813"/>
        <v>1605.7439999999997</v>
      </c>
      <c r="J3352" s="446">
        <v>1600</v>
      </c>
    </row>
    <row r="3353" spans="1:10" x14ac:dyDescent="0.25">
      <c r="A3353" s="31" t="s">
        <v>646</v>
      </c>
      <c r="B3353" s="443" t="s">
        <v>325</v>
      </c>
      <c r="C3353" s="444" t="s">
        <v>158</v>
      </c>
      <c r="D3353" s="452">
        <v>0.27</v>
      </c>
      <c r="E3353" s="444" t="s">
        <v>79</v>
      </c>
      <c r="F3353" s="43">
        <v>7.5</v>
      </c>
      <c r="G3353" s="443">
        <f t="shared" si="812"/>
        <v>47.25</v>
      </c>
      <c r="H3353" s="443">
        <v>24</v>
      </c>
      <c r="I3353" s="445">
        <f t="shared" si="813"/>
        <v>1134</v>
      </c>
      <c r="J3353" s="446">
        <v>1000</v>
      </c>
    </row>
    <row r="3354" spans="1:10" ht="15.75" thickBot="1" x14ac:dyDescent="0.3">
      <c r="A3354" s="31" t="s">
        <v>646</v>
      </c>
      <c r="B3354" s="451" t="s">
        <v>326</v>
      </c>
      <c r="C3354" s="453" t="s">
        <v>152</v>
      </c>
      <c r="D3354" s="454">
        <v>0</v>
      </c>
      <c r="E3354" s="450" t="s">
        <v>79</v>
      </c>
      <c r="F3354" s="73">
        <v>9.4600000000000009</v>
      </c>
      <c r="G3354" s="451">
        <f t="shared" si="812"/>
        <v>59.598000000000006</v>
      </c>
      <c r="H3354" s="451">
        <v>24</v>
      </c>
      <c r="I3354" s="456">
        <f t="shared" si="813"/>
        <v>1430.3520000000001</v>
      </c>
      <c r="J3354" s="457">
        <v>1300</v>
      </c>
    </row>
    <row r="3355" spans="1:10" ht="19.5" thickBot="1" x14ac:dyDescent="0.35">
      <c r="A3355" s="206"/>
      <c r="B3355" s="458"/>
      <c r="C3355" s="458"/>
      <c r="D3355" s="458"/>
      <c r="E3355" s="458"/>
      <c r="F3355" s="458"/>
      <c r="G3355" s="459"/>
      <c r="H3355" s="460" t="s">
        <v>171</v>
      </c>
      <c r="I3355" s="461">
        <f>SUM(I3349:I3354)</f>
        <v>7165.3679999999995</v>
      </c>
      <c r="J3355" s="462">
        <v>6700</v>
      </c>
    </row>
    <row r="3356" spans="1:10" x14ac:dyDescent="0.25">
      <c r="A3356" s="31" t="s">
        <v>647</v>
      </c>
      <c r="B3356" s="443" t="s">
        <v>322</v>
      </c>
      <c r="C3356" s="444" t="s">
        <v>114</v>
      </c>
      <c r="D3356" s="444">
        <v>27.49</v>
      </c>
      <c r="E3356" s="444" t="s">
        <v>79</v>
      </c>
      <c r="F3356" s="109">
        <v>7.01</v>
      </c>
      <c r="G3356" s="443">
        <f t="shared" ref="G3356:G3361" si="814">F3356*6.3</f>
        <v>44.162999999999997</v>
      </c>
      <c r="H3356" s="443">
        <v>24</v>
      </c>
      <c r="I3356" s="445">
        <f t="shared" ref="I3356:I3361" si="815">G3356*H3356</f>
        <v>1059.9119999999998</v>
      </c>
      <c r="J3356" s="446">
        <v>900</v>
      </c>
    </row>
    <row r="3357" spans="1:10" x14ac:dyDescent="0.25">
      <c r="A3357" s="31" t="s">
        <v>647</v>
      </c>
      <c r="B3357" s="443" t="s">
        <v>323</v>
      </c>
      <c r="C3357" s="444" t="s">
        <v>86</v>
      </c>
      <c r="D3357" s="444" t="s">
        <v>38</v>
      </c>
      <c r="E3357" s="444" t="s">
        <v>79</v>
      </c>
      <c r="F3357" s="38">
        <v>9.76</v>
      </c>
      <c r="G3357" s="443">
        <f t="shared" si="814"/>
        <v>61.488</v>
      </c>
      <c r="H3357" s="443">
        <v>24</v>
      </c>
      <c r="I3357" s="445">
        <f t="shared" si="815"/>
        <v>1475.712</v>
      </c>
      <c r="J3357" s="446">
        <v>1400</v>
      </c>
    </row>
    <row r="3358" spans="1:10" x14ac:dyDescent="0.25">
      <c r="A3358" s="31" t="s">
        <v>647</v>
      </c>
      <c r="B3358" s="448" t="s">
        <v>324</v>
      </c>
      <c r="C3358" s="444" t="s">
        <v>443</v>
      </c>
      <c r="D3358" s="444" t="s">
        <v>38</v>
      </c>
      <c r="E3358" s="444" t="s">
        <v>79</v>
      </c>
      <c r="F3358" s="37">
        <v>3.38</v>
      </c>
      <c r="G3358" s="443">
        <f t="shared" si="814"/>
        <v>21.294</v>
      </c>
      <c r="H3358" s="443">
        <v>24</v>
      </c>
      <c r="I3358" s="445">
        <f t="shared" si="815"/>
        <v>511.05600000000004</v>
      </c>
      <c r="J3358" s="446">
        <v>500</v>
      </c>
    </row>
    <row r="3359" spans="1:10" x14ac:dyDescent="0.25">
      <c r="A3359" s="31" t="s">
        <v>647</v>
      </c>
      <c r="B3359" s="449" t="s">
        <v>317</v>
      </c>
      <c r="C3359" s="450" t="s">
        <v>156</v>
      </c>
      <c r="D3359" s="42">
        <v>36.36</v>
      </c>
      <c r="E3359" s="450" t="s">
        <v>79</v>
      </c>
      <c r="F3359" s="43">
        <v>10.58</v>
      </c>
      <c r="G3359" s="443">
        <f t="shared" si="814"/>
        <v>66.653999999999996</v>
      </c>
      <c r="H3359" s="443">
        <v>24</v>
      </c>
      <c r="I3359" s="445">
        <f t="shared" si="815"/>
        <v>1599.6959999999999</v>
      </c>
      <c r="J3359" s="446">
        <v>1600</v>
      </c>
    </row>
    <row r="3360" spans="1:10" x14ac:dyDescent="0.25">
      <c r="A3360" s="31" t="s">
        <v>647</v>
      </c>
      <c r="B3360" s="443" t="s">
        <v>325</v>
      </c>
      <c r="C3360" s="444" t="s">
        <v>158</v>
      </c>
      <c r="D3360" s="452">
        <v>0.27</v>
      </c>
      <c r="E3360" s="444" t="s">
        <v>79</v>
      </c>
      <c r="F3360" s="43">
        <v>7.03</v>
      </c>
      <c r="G3360" s="443">
        <f t="shared" si="814"/>
        <v>44.289000000000001</v>
      </c>
      <c r="H3360" s="443">
        <v>24</v>
      </c>
      <c r="I3360" s="445">
        <f t="shared" si="815"/>
        <v>1062.9360000000001</v>
      </c>
      <c r="J3360" s="446">
        <v>1000</v>
      </c>
    </row>
    <row r="3361" spans="1:10" ht="15.75" thickBot="1" x14ac:dyDescent="0.3">
      <c r="A3361" s="31" t="s">
        <v>647</v>
      </c>
      <c r="B3361" s="451" t="s">
        <v>326</v>
      </c>
      <c r="C3361" s="453" t="s">
        <v>152</v>
      </c>
      <c r="D3361" s="454">
        <v>0</v>
      </c>
      <c r="E3361" s="450" t="s">
        <v>79</v>
      </c>
      <c r="F3361" s="73">
        <v>9.3000000000000007</v>
      </c>
      <c r="G3361" s="451">
        <f t="shared" si="814"/>
        <v>58.59</v>
      </c>
      <c r="H3361" s="451">
        <v>24</v>
      </c>
      <c r="I3361" s="456">
        <f t="shared" si="815"/>
        <v>1406.16</v>
      </c>
      <c r="J3361" s="457">
        <v>1300</v>
      </c>
    </row>
    <row r="3362" spans="1:10" ht="19.5" thickBot="1" x14ac:dyDescent="0.35">
      <c r="A3362" s="206"/>
      <c r="B3362" s="458"/>
      <c r="C3362" s="458"/>
      <c r="D3362" s="458"/>
      <c r="E3362" s="458"/>
      <c r="F3362" s="458"/>
      <c r="G3362" s="459"/>
      <c r="H3362" s="460" t="s">
        <v>171</v>
      </c>
      <c r="I3362" s="461">
        <f>SUM(I3356:I3361)</f>
        <v>7115.4719999999998</v>
      </c>
      <c r="J3362" s="462">
        <v>6700</v>
      </c>
    </row>
    <row r="3363" spans="1:10" x14ac:dyDescent="0.25">
      <c r="A3363" s="31" t="s">
        <v>648</v>
      </c>
      <c r="B3363" s="443" t="s">
        <v>322</v>
      </c>
      <c r="C3363" s="444" t="s">
        <v>114</v>
      </c>
      <c r="D3363" s="444">
        <v>28.59</v>
      </c>
      <c r="E3363" s="444" t="s">
        <v>79</v>
      </c>
      <c r="F3363" s="109">
        <v>6.75</v>
      </c>
      <c r="G3363" s="443">
        <f t="shared" ref="G3363:G3368" si="816">F3363*6.3</f>
        <v>42.524999999999999</v>
      </c>
      <c r="H3363" s="443">
        <v>24</v>
      </c>
      <c r="I3363" s="445">
        <f t="shared" ref="I3363:I3368" si="817">G3363*H3363</f>
        <v>1020.5999999999999</v>
      </c>
      <c r="J3363" s="446">
        <v>900</v>
      </c>
    </row>
    <row r="3364" spans="1:10" x14ac:dyDescent="0.25">
      <c r="A3364" s="31" t="s">
        <v>648</v>
      </c>
      <c r="B3364" s="443" t="s">
        <v>323</v>
      </c>
      <c r="C3364" s="444" t="s">
        <v>86</v>
      </c>
      <c r="D3364" s="444" t="s">
        <v>38</v>
      </c>
      <c r="E3364" s="444" t="s">
        <v>79</v>
      </c>
      <c r="F3364" s="38">
        <v>9.4499999999999993</v>
      </c>
      <c r="G3364" s="443">
        <f t="shared" si="816"/>
        <v>59.534999999999997</v>
      </c>
      <c r="H3364" s="443">
        <v>24</v>
      </c>
      <c r="I3364" s="445">
        <f t="shared" si="817"/>
        <v>1428.84</v>
      </c>
      <c r="J3364" s="446">
        <v>1400</v>
      </c>
    </row>
    <row r="3365" spans="1:10" x14ac:dyDescent="0.25">
      <c r="A3365" s="31" t="s">
        <v>648</v>
      </c>
      <c r="B3365" s="448" t="s">
        <v>324</v>
      </c>
      <c r="C3365" s="444" t="s">
        <v>443</v>
      </c>
      <c r="D3365" s="444" t="s">
        <v>38</v>
      </c>
      <c r="E3365" s="444" t="s">
        <v>79</v>
      </c>
      <c r="F3365" s="37">
        <v>3.25</v>
      </c>
      <c r="G3365" s="443">
        <f t="shared" si="816"/>
        <v>20.474999999999998</v>
      </c>
      <c r="H3365" s="443">
        <v>24</v>
      </c>
      <c r="I3365" s="445">
        <f t="shared" si="817"/>
        <v>491.4</v>
      </c>
      <c r="J3365" s="446">
        <v>500</v>
      </c>
    </row>
    <row r="3366" spans="1:10" x14ac:dyDescent="0.25">
      <c r="A3366" s="31" t="s">
        <v>648</v>
      </c>
      <c r="B3366" s="449" t="s">
        <v>317</v>
      </c>
      <c r="C3366" s="450" t="s">
        <v>156</v>
      </c>
      <c r="D3366" s="42">
        <v>36.450000000000003</v>
      </c>
      <c r="E3366" s="450" t="s">
        <v>79</v>
      </c>
      <c r="F3366" s="43">
        <v>10.25</v>
      </c>
      <c r="G3366" s="443">
        <f t="shared" si="816"/>
        <v>64.575000000000003</v>
      </c>
      <c r="H3366" s="443">
        <v>24</v>
      </c>
      <c r="I3366" s="445">
        <f t="shared" si="817"/>
        <v>1549.8000000000002</v>
      </c>
      <c r="J3366" s="446">
        <v>1600</v>
      </c>
    </row>
    <row r="3367" spans="1:10" x14ac:dyDescent="0.25">
      <c r="A3367" s="31" t="s">
        <v>648</v>
      </c>
      <c r="B3367" s="443" t="s">
        <v>325</v>
      </c>
      <c r="C3367" s="444" t="s">
        <v>158</v>
      </c>
      <c r="D3367" s="452">
        <v>0.27</v>
      </c>
      <c r="E3367" s="444" t="s">
        <v>79</v>
      </c>
      <c r="F3367" s="43">
        <v>6.8</v>
      </c>
      <c r="G3367" s="443">
        <f t="shared" si="816"/>
        <v>42.839999999999996</v>
      </c>
      <c r="H3367" s="443">
        <v>24</v>
      </c>
      <c r="I3367" s="445">
        <f t="shared" si="817"/>
        <v>1028.1599999999999</v>
      </c>
      <c r="J3367" s="446">
        <v>1000</v>
      </c>
    </row>
    <row r="3368" spans="1:10" ht="15.75" thickBot="1" x14ac:dyDescent="0.3">
      <c r="A3368" s="31" t="s">
        <v>648</v>
      </c>
      <c r="B3368" s="451" t="s">
        <v>326</v>
      </c>
      <c r="C3368" s="453" t="s">
        <v>152</v>
      </c>
      <c r="D3368" s="454">
        <v>0</v>
      </c>
      <c r="E3368" s="450" t="s">
        <v>79</v>
      </c>
      <c r="F3368" s="73">
        <v>8.99</v>
      </c>
      <c r="G3368" s="451">
        <f t="shared" si="816"/>
        <v>56.637</v>
      </c>
      <c r="H3368" s="451">
        <v>24</v>
      </c>
      <c r="I3368" s="456">
        <f t="shared" si="817"/>
        <v>1359.288</v>
      </c>
      <c r="J3368" s="457">
        <v>1300</v>
      </c>
    </row>
    <row r="3369" spans="1:10" ht="18.75" x14ac:dyDescent="0.3">
      <c r="A3369" s="251"/>
      <c r="B3369" s="474"/>
      <c r="C3369" s="474"/>
      <c r="D3369" s="474"/>
      <c r="E3369" s="474"/>
      <c r="F3369" s="474"/>
      <c r="G3369" s="475"/>
      <c r="H3369" s="476" t="s">
        <v>171</v>
      </c>
      <c r="I3369" s="477">
        <f>SUM(I3363:I3368)</f>
        <v>6878.0879999999997</v>
      </c>
      <c r="J3369" s="478">
        <v>6700</v>
      </c>
    </row>
    <row r="3370" spans="1:10" x14ac:dyDescent="0.25">
      <c r="A3370" s="46" t="s">
        <v>649</v>
      </c>
      <c r="B3370" s="46" t="s">
        <v>322</v>
      </c>
      <c r="C3370" s="46" t="s">
        <v>114</v>
      </c>
      <c r="D3370" s="46">
        <v>26</v>
      </c>
      <c r="E3370" s="46" t="s">
        <v>79</v>
      </c>
      <c r="F3370" s="46">
        <v>6.35</v>
      </c>
      <c r="G3370" s="46">
        <v>40</v>
      </c>
      <c r="H3370" s="46">
        <v>24</v>
      </c>
      <c r="I3370" s="46">
        <v>960</v>
      </c>
      <c r="J3370" s="46">
        <v>900</v>
      </c>
    </row>
    <row r="3371" spans="1:10" x14ac:dyDescent="0.25">
      <c r="A3371" s="46" t="s">
        <v>649</v>
      </c>
      <c r="B3371" s="46" t="s">
        <v>323</v>
      </c>
      <c r="C3371" s="46" t="s">
        <v>86</v>
      </c>
      <c r="D3371" s="46" t="s">
        <v>38</v>
      </c>
      <c r="E3371" s="46" t="s">
        <v>79</v>
      </c>
      <c r="F3371" s="46">
        <v>9.25</v>
      </c>
      <c r="G3371" s="46">
        <v>58</v>
      </c>
      <c r="H3371" s="46">
        <v>24</v>
      </c>
      <c r="I3371" s="46">
        <v>1399</v>
      </c>
      <c r="J3371" s="46">
        <v>1400</v>
      </c>
    </row>
    <row r="3372" spans="1:10" x14ac:dyDescent="0.25">
      <c r="A3372" s="46" t="s">
        <v>649</v>
      </c>
      <c r="B3372" s="46" t="s">
        <v>324</v>
      </c>
      <c r="C3372" s="46" t="s">
        <v>443</v>
      </c>
      <c r="D3372" s="46" t="s">
        <v>38</v>
      </c>
      <c r="E3372" s="46" t="s">
        <v>79</v>
      </c>
      <c r="F3372" s="46">
        <v>3.2</v>
      </c>
      <c r="G3372" s="46">
        <v>20</v>
      </c>
      <c r="H3372" s="46">
        <v>24</v>
      </c>
      <c r="I3372" s="46">
        <v>484</v>
      </c>
      <c r="J3372" s="46">
        <v>500</v>
      </c>
    </row>
    <row r="3373" spans="1:10" x14ac:dyDescent="0.25">
      <c r="A3373" s="46" t="s">
        <v>649</v>
      </c>
      <c r="B3373" s="46" t="s">
        <v>317</v>
      </c>
      <c r="C3373" s="46" t="s">
        <v>156</v>
      </c>
      <c r="D3373" s="46">
        <v>31.02</v>
      </c>
      <c r="E3373" s="46" t="s">
        <v>79</v>
      </c>
      <c r="F3373" s="46">
        <v>10.3</v>
      </c>
      <c r="G3373" s="46">
        <v>65</v>
      </c>
      <c r="H3373" s="46">
        <v>24</v>
      </c>
      <c r="I3373" s="46">
        <v>1557</v>
      </c>
      <c r="J3373" s="46">
        <v>1600</v>
      </c>
    </row>
    <row r="3374" spans="1:10" x14ac:dyDescent="0.25">
      <c r="A3374" s="46" t="s">
        <v>649</v>
      </c>
      <c r="B3374" s="46" t="s">
        <v>325</v>
      </c>
      <c r="C3374" s="46" t="s">
        <v>158</v>
      </c>
      <c r="D3374" s="46">
        <v>25</v>
      </c>
      <c r="E3374" s="46" t="s">
        <v>79</v>
      </c>
      <c r="F3374" s="46">
        <v>6.35</v>
      </c>
      <c r="G3374" s="46">
        <v>40</v>
      </c>
      <c r="H3374" s="46">
        <v>24</v>
      </c>
      <c r="I3374" s="46">
        <v>960</v>
      </c>
      <c r="J3374" s="46">
        <v>1000</v>
      </c>
    </row>
    <row r="3375" spans="1:10" ht="15.75" thickBot="1" x14ac:dyDescent="0.3">
      <c r="A3375" s="52" t="s">
        <v>649</v>
      </c>
      <c r="B3375" s="52" t="s">
        <v>326</v>
      </c>
      <c r="C3375" s="52" t="s">
        <v>152</v>
      </c>
      <c r="D3375" s="52">
        <v>0</v>
      </c>
      <c r="E3375" s="52" t="s">
        <v>79</v>
      </c>
      <c r="F3375" s="52">
        <v>8.6</v>
      </c>
      <c r="G3375" s="52">
        <v>54</v>
      </c>
      <c r="H3375" s="52">
        <v>24</v>
      </c>
      <c r="I3375" s="52">
        <v>1300</v>
      </c>
      <c r="J3375" s="52">
        <v>1300</v>
      </c>
    </row>
    <row r="3376" spans="1:10" ht="19.5" thickBot="1" x14ac:dyDescent="0.35">
      <c r="A3376" s="206"/>
      <c r="B3376" s="100"/>
      <c r="C3376" s="100"/>
      <c r="D3376" s="221"/>
      <c r="E3376" s="100"/>
      <c r="F3376" s="100"/>
      <c r="G3376" s="100"/>
      <c r="H3376" s="392" t="s">
        <v>171</v>
      </c>
      <c r="I3376" s="100">
        <v>6660</v>
      </c>
      <c r="J3376" s="391">
        <v>6700</v>
      </c>
    </row>
    <row r="3377" spans="1:11" x14ac:dyDescent="0.25">
      <c r="A3377" s="31" t="s">
        <v>650</v>
      </c>
      <c r="B3377" s="443" t="s">
        <v>322</v>
      </c>
      <c r="C3377" s="444" t="s">
        <v>114</v>
      </c>
      <c r="D3377" s="444">
        <v>0</v>
      </c>
      <c r="E3377" s="444" t="s">
        <v>79</v>
      </c>
      <c r="F3377" s="109">
        <v>6.15</v>
      </c>
      <c r="G3377" s="443">
        <f t="shared" ref="G3377:G3382" si="818">F3377*6.3</f>
        <v>38.745000000000005</v>
      </c>
      <c r="H3377" s="443">
        <v>6.5</v>
      </c>
      <c r="I3377" s="445">
        <f t="shared" ref="I3377:I3382" si="819">G3377*H3377</f>
        <v>251.84250000000003</v>
      </c>
      <c r="J3377" s="446">
        <v>900</v>
      </c>
    </row>
    <row r="3378" spans="1:11" x14ac:dyDescent="0.25">
      <c r="A3378" s="31" t="s">
        <v>650</v>
      </c>
      <c r="B3378" s="443" t="s">
        <v>323</v>
      </c>
      <c r="C3378" s="444" t="s">
        <v>86</v>
      </c>
      <c r="D3378" s="444" t="s">
        <v>38</v>
      </c>
      <c r="E3378" s="444" t="s">
        <v>79</v>
      </c>
      <c r="F3378" s="38">
        <v>8.9499999999999993</v>
      </c>
      <c r="G3378" s="443">
        <f t="shared" si="818"/>
        <v>56.384999999999991</v>
      </c>
      <c r="H3378" s="443">
        <v>6.5</v>
      </c>
      <c r="I3378" s="445">
        <f t="shared" si="819"/>
        <v>366.50249999999994</v>
      </c>
      <c r="J3378" s="446">
        <v>1400</v>
      </c>
    </row>
    <row r="3379" spans="1:11" x14ac:dyDescent="0.25">
      <c r="A3379" s="31" t="s">
        <v>650</v>
      </c>
      <c r="B3379" s="448" t="s">
        <v>324</v>
      </c>
      <c r="C3379" s="444" t="s">
        <v>443</v>
      </c>
      <c r="D3379" s="444" t="s">
        <v>38</v>
      </c>
      <c r="E3379" s="444" t="s">
        <v>79</v>
      </c>
      <c r="F3379" s="37">
        <v>2.15</v>
      </c>
      <c r="G3379" s="443">
        <f t="shared" si="818"/>
        <v>13.545</v>
      </c>
      <c r="H3379" s="443">
        <v>24</v>
      </c>
      <c r="I3379" s="445">
        <f t="shared" si="819"/>
        <v>325.08</v>
      </c>
      <c r="J3379" s="446">
        <v>500</v>
      </c>
    </row>
    <row r="3380" spans="1:11" x14ac:dyDescent="0.25">
      <c r="A3380" s="31" t="s">
        <v>650</v>
      </c>
      <c r="B3380" s="449" t="s">
        <v>317</v>
      </c>
      <c r="C3380" s="450" t="s">
        <v>156</v>
      </c>
      <c r="D3380" s="42">
        <v>21.91</v>
      </c>
      <c r="E3380" s="450" t="s">
        <v>79</v>
      </c>
      <c r="F3380" s="43">
        <v>8.6</v>
      </c>
      <c r="G3380" s="443">
        <f t="shared" si="818"/>
        <v>54.18</v>
      </c>
      <c r="H3380" s="443">
        <v>24</v>
      </c>
      <c r="I3380" s="445">
        <f t="shared" si="819"/>
        <v>1300.32</v>
      </c>
      <c r="J3380" s="446">
        <v>1600</v>
      </c>
    </row>
    <row r="3381" spans="1:11" x14ac:dyDescent="0.25">
      <c r="A3381" s="31" t="s">
        <v>650</v>
      </c>
      <c r="B3381" s="443" t="s">
        <v>325</v>
      </c>
      <c r="C3381" s="444" t="s">
        <v>158</v>
      </c>
      <c r="D3381" s="452">
        <v>27.1</v>
      </c>
      <c r="E3381" s="444" t="s">
        <v>79</v>
      </c>
      <c r="F3381" s="43">
        <v>4.6500000000000004</v>
      </c>
      <c r="G3381" s="443">
        <f t="shared" si="818"/>
        <v>29.295000000000002</v>
      </c>
      <c r="H3381" s="443">
        <v>24</v>
      </c>
      <c r="I3381" s="445">
        <f t="shared" si="819"/>
        <v>703.08</v>
      </c>
      <c r="J3381" s="446">
        <v>1000</v>
      </c>
    </row>
    <row r="3382" spans="1:11" ht="15.75" thickBot="1" x14ac:dyDescent="0.3">
      <c r="A3382" s="31" t="s">
        <v>650</v>
      </c>
      <c r="B3382" s="451" t="s">
        <v>326</v>
      </c>
      <c r="C3382" s="453" t="s">
        <v>152</v>
      </c>
      <c r="D3382" s="454">
        <v>6.21</v>
      </c>
      <c r="E3382" s="450" t="s">
        <v>79</v>
      </c>
      <c r="F3382" s="73">
        <v>7.3</v>
      </c>
      <c r="G3382" s="451">
        <f t="shared" si="818"/>
        <v>45.989999999999995</v>
      </c>
      <c r="H3382" s="451">
        <v>24</v>
      </c>
      <c r="I3382" s="456">
        <f t="shared" si="819"/>
        <v>1103.7599999999998</v>
      </c>
      <c r="J3382" s="457">
        <v>1300</v>
      </c>
    </row>
    <row r="3383" spans="1:11" s="404" customFormat="1" ht="19.5" thickBot="1" x14ac:dyDescent="0.35">
      <c r="A3383" s="206"/>
      <c r="B3383" s="458"/>
      <c r="C3383" s="458"/>
      <c r="D3383" s="458"/>
      <c r="E3383" s="458"/>
      <c r="F3383" s="458"/>
      <c r="G3383" s="458"/>
      <c r="H3383" s="471" t="s">
        <v>171</v>
      </c>
      <c r="I3383" s="472">
        <f>SUM(I3377:I3382)</f>
        <v>4050.5849999999996</v>
      </c>
      <c r="J3383" s="473">
        <v>6700</v>
      </c>
      <c r="K3383" s="470"/>
    </row>
    <row r="3384" spans="1:11" x14ac:dyDescent="0.25">
      <c r="A3384" s="31" t="s">
        <v>651</v>
      </c>
      <c r="B3384" s="443" t="s">
        <v>322</v>
      </c>
      <c r="C3384" s="444" t="s">
        <v>114</v>
      </c>
      <c r="D3384" s="444">
        <v>12.37</v>
      </c>
      <c r="E3384" s="444" t="s">
        <v>79</v>
      </c>
      <c r="F3384" s="109">
        <v>6.78</v>
      </c>
      <c r="G3384" s="443">
        <f t="shared" ref="G3384:G3389" si="820">F3384*6.3</f>
        <v>42.713999999999999</v>
      </c>
      <c r="H3384" s="443">
        <v>18.5</v>
      </c>
      <c r="I3384" s="445">
        <f t="shared" ref="I3384:I3389" si="821">G3384*H3384</f>
        <v>790.20899999999995</v>
      </c>
      <c r="J3384" s="446">
        <v>900</v>
      </c>
    </row>
    <row r="3385" spans="1:11" x14ac:dyDescent="0.25">
      <c r="A3385" s="31" t="s">
        <v>651</v>
      </c>
      <c r="B3385" s="443" t="s">
        <v>323</v>
      </c>
      <c r="C3385" s="444" t="s">
        <v>86</v>
      </c>
      <c r="D3385" s="444" t="s">
        <v>38</v>
      </c>
      <c r="E3385" s="444" t="s">
        <v>79</v>
      </c>
      <c r="F3385" s="38">
        <v>9.52</v>
      </c>
      <c r="G3385" s="443">
        <f t="shared" si="820"/>
        <v>59.975999999999999</v>
      </c>
      <c r="H3385" s="443">
        <v>18.5</v>
      </c>
      <c r="I3385" s="445">
        <f t="shared" si="821"/>
        <v>1109.556</v>
      </c>
      <c r="J3385" s="446">
        <v>1400</v>
      </c>
    </row>
    <row r="3386" spans="1:11" x14ac:dyDescent="0.25">
      <c r="A3386" s="31" t="s">
        <v>651</v>
      </c>
      <c r="B3386" s="448" t="s">
        <v>324</v>
      </c>
      <c r="C3386" s="444" t="s">
        <v>443</v>
      </c>
      <c r="D3386" s="444" t="s">
        <v>38</v>
      </c>
      <c r="E3386" s="444" t="s">
        <v>79</v>
      </c>
      <c r="F3386" s="37">
        <v>2.85</v>
      </c>
      <c r="G3386" s="443">
        <f t="shared" si="820"/>
        <v>17.954999999999998</v>
      </c>
      <c r="H3386" s="443">
        <v>24</v>
      </c>
      <c r="I3386" s="445">
        <f t="shared" si="821"/>
        <v>430.91999999999996</v>
      </c>
      <c r="J3386" s="446">
        <v>500</v>
      </c>
    </row>
    <row r="3387" spans="1:11" x14ac:dyDescent="0.25">
      <c r="A3387" s="31" t="s">
        <v>651</v>
      </c>
      <c r="B3387" s="449" t="s">
        <v>317</v>
      </c>
      <c r="C3387" s="450" t="s">
        <v>156</v>
      </c>
      <c r="D3387" s="42">
        <v>15.47</v>
      </c>
      <c r="E3387" s="450" t="s">
        <v>79</v>
      </c>
      <c r="F3387" s="43">
        <v>9.02</v>
      </c>
      <c r="G3387" s="443">
        <f t="shared" si="820"/>
        <v>56.825999999999993</v>
      </c>
      <c r="H3387" s="443">
        <v>24</v>
      </c>
      <c r="I3387" s="445">
        <f t="shared" si="821"/>
        <v>1363.8239999999998</v>
      </c>
      <c r="J3387" s="446">
        <v>1600</v>
      </c>
    </row>
    <row r="3388" spans="1:11" x14ac:dyDescent="0.25">
      <c r="A3388" s="31" t="s">
        <v>651</v>
      </c>
      <c r="B3388" s="443" t="s">
        <v>325</v>
      </c>
      <c r="C3388" s="444" t="s">
        <v>158</v>
      </c>
      <c r="D3388" s="452">
        <v>36.090000000000003</v>
      </c>
      <c r="E3388" s="444" t="s">
        <v>79</v>
      </c>
      <c r="F3388" s="43">
        <v>5.35</v>
      </c>
      <c r="G3388" s="443">
        <f t="shared" si="820"/>
        <v>33.704999999999998</v>
      </c>
      <c r="H3388" s="443">
        <v>24</v>
      </c>
      <c r="I3388" s="445">
        <f t="shared" si="821"/>
        <v>808.92</v>
      </c>
      <c r="J3388" s="446">
        <v>1000</v>
      </c>
    </row>
    <row r="3389" spans="1:11" ht="15.75" thickBot="1" x14ac:dyDescent="0.3">
      <c r="A3389" s="31" t="s">
        <v>651</v>
      </c>
      <c r="B3389" s="451" t="s">
        <v>326</v>
      </c>
      <c r="C3389" s="453" t="s">
        <v>152</v>
      </c>
      <c r="D3389" s="454">
        <v>10.74</v>
      </c>
      <c r="E3389" s="450" t="s">
        <v>79</v>
      </c>
      <c r="F3389" s="73">
        <v>8.23</v>
      </c>
      <c r="G3389" s="451">
        <f t="shared" si="820"/>
        <v>51.849000000000004</v>
      </c>
      <c r="H3389" s="451">
        <v>24</v>
      </c>
      <c r="I3389" s="456">
        <f t="shared" si="821"/>
        <v>1244.3760000000002</v>
      </c>
      <c r="J3389" s="457">
        <v>1300</v>
      </c>
    </row>
    <row r="3390" spans="1:11" ht="19.5" thickBot="1" x14ac:dyDescent="0.35">
      <c r="A3390" s="206"/>
      <c r="B3390" s="458"/>
      <c r="C3390" s="458"/>
      <c r="D3390" s="458"/>
      <c r="E3390" s="458"/>
      <c r="F3390" s="458"/>
      <c r="G3390" s="459"/>
      <c r="H3390" s="460" t="s">
        <v>171</v>
      </c>
      <c r="I3390" s="461">
        <f>SUM(I3384:I3389)</f>
        <v>5747.8050000000003</v>
      </c>
      <c r="J3390" s="462">
        <v>6700</v>
      </c>
    </row>
    <row r="3391" spans="1:11" x14ac:dyDescent="0.25">
      <c r="A3391" s="31" t="s">
        <v>653</v>
      </c>
      <c r="B3391" s="443" t="s">
        <v>322</v>
      </c>
      <c r="C3391" s="444" t="s">
        <v>114</v>
      </c>
      <c r="D3391" s="444">
        <v>29.13</v>
      </c>
      <c r="E3391" s="444" t="s">
        <v>79</v>
      </c>
      <c r="F3391" s="109">
        <v>6.45</v>
      </c>
      <c r="G3391" s="443">
        <f t="shared" ref="G3391:G3396" si="822">F3391*6.3</f>
        <v>40.634999999999998</v>
      </c>
      <c r="H3391" s="443">
        <v>24</v>
      </c>
      <c r="I3391" s="445">
        <f t="shared" ref="I3391:I3396" si="823">G3391*H3391</f>
        <v>975.24</v>
      </c>
      <c r="J3391" s="446">
        <v>900</v>
      </c>
    </row>
    <row r="3392" spans="1:11" x14ac:dyDescent="0.25">
      <c r="A3392" s="31" t="s">
        <v>653</v>
      </c>
      <c r="B3392" s="443" t="s">
        <v>323</v>
      </c>
      <c r="C3392" s="444" t="s">
        <v>86</v>
      </c>
      <c r="D3392" s="444" t="s">
        <v>38</v>
      </c>
      <c r="E3392" s="444" t="s">
        <v>79</v>
      </c>
      <c r="F3392" s="38">
        <v>9.4</v>
      </c>
      <c r="G3392" s="443">
        <f t="shared" si="822"/>
        <v>59.22</v>
      </c>
      <c r="H3392" s="443">
        <v>24</v>
      </c>
      <c r="I3392" s="445">
        <f t="shared" si="823"/>
        <v>1421.28</v>
      </c>
      <c r="J3392" s="446">
        <v>1400</v>
      </c>
    </row>
    <row r="3393" spans="1:10" x14ac:dyDescent="0.25">
      <c r="A3393" s="31" t="s">
        <v>653</v>
      </c>
      <c r="B3393" s="448" t="s">
        <v>324</v>
      </c>
      <c r="C3393" s="444" t="s">
        <v>443</v>
      </c>
      <c r="D3393" s="444" t="s">
        <v>38</v>
      </c>
      <c r="E3393" s="444" t="s">
        <v>79</v>
      </c>
      <c r="F3393" s="37">
        <v>3.42</v>
      </c>
      <c r="G3393" s="443">
        <f t="shared" si="822"/>
        <v>21.545999999999999</v>
      </c>
      <c r="H3393" s="443">
        <v>24</v>
      </c>
      <c r="I3393" s="445">
        <f t="shared" si="823"/>
        <v>517.10400000000004</v>
      </c>
      <c r="J3393" s="446">
        <v>500</v>
      </c>
    </row>
    <row r="3394" spans="1:10" x14ac:dyDescent="0.25">
      <c r="A3394" s="31" t="s">
        <v>653</v>
      </c>
      <c r="B3394" s="449" t="s">
        <v>317</v>
      </c>
      <c r="C3394" s="450" t="s">
        <v>156</v>
      </c>
      <c r="D3394" s="42">
        <v>39</v>
      </c>
      <c r="E3394" s="450" t="s">
        <v>79</v>
      </c>
      <c r="F3394" s="43">
        <v>10.52</v>
      </c>
      <c r="G3394" s="443">
        <f t="shared" si="822"/>
        <v>66.275999999999996</v>
      </c>
      <c r="H3394" s="443">
        <v>24</v>
      </c>
      <c r="I3394" s="445">
        <f t="shared" si="823"/>
        <v>1590.6239999999998</v>
      </c>
      <c r="J3394" s="446">
        <v>1600</v>
      </c>
    </row>
    <row r="3395" spans="1:10" x14ac:dyDescent="0.25">
      <c r="A3395" s="31" t="s">
        <v>653</v>
      </c>
      <c r="B3395" s="443" t="s">
        <v>325</v>
      </c>
      <c r="C3395" s="444" t="s">
        <v>158</v>
      </c>
      <c r="D3395" s="452">
        <v>36.71</v>
      </c>
      <c r="E3395" s="444" t="s">
        <v>79</v>
      </c>
      <c r="F3395" s="43">
        <v>6.7</v>
      </c>
      <c r="G3395" s="443">
        <f t="shared" si="822"/>
        <v>42.21</v>
      </c>
      <c r="H3395" s="443">
        <v>24</v>
      </c>
      <c r="I3395" s="445">
        <f t="shared" si="823"/>
        <v>1013.04</v>
      </c>
      <c r="J3395" s="446">
        <v>1000</v>
      </c>
    </row>
    <row r="3396" spans="1:10" ht="15.75" thickBot="1" x14ac:dyDescent="0.3">
      <c r="A3396" s="31" t="s">
        <v>653</v>
      </c>
      <c r="B3396" s="451" t="s">
        <v>326</v>
      </c>
      <c r="C3396" s="453" t="s">
        <v>152</v>
      </c>
      <c r="D3396" s="454">
        <v>11.24</v>
      </c>
      <c r="E3396" s="450" t="s">
        <v>79</v>
      </c>
      <c r="F3396" s="73">
        <v>10.57</v>
      </c>
      <c r="G3396" s="451">
        <f t="shared" si="822"/>
        <v>66.590999999999994</v>
      </c>
      <c r="H3396" s="451">
        <v>24</v>
      </c>
      <c r="I3396" s="456">
        <f t="shared" si="823"/>
        <v>1598.1839999999997</v>
      </c>
      <c r="J3396" s="457">
        <v>1300</v>
      </c>
    </row>
    <row r="3397" spans="1:10" ht="19.5" thickBot="1" x14ac:dyDescent="0.35">
      <c r="A3397" s="206"/>
      <c r="B3397" s="458"/>
      <c r="C3397" s="458"/>
      <c r="D3397" s="458"/>
      <c r="E3397" s="458"/>
      <c r="F3397" s="458"/>
      <c r="G3397" s="459"/>
      <c r="H3397" s="460" t="s">
        <v>171</v>
      </c>
      <c r="I3397" s="461">
        <f>SUM(I3391:I3396)</f>
        <v>7115.4719999999998</v>
      </c>
      <c r="J3397" s="462">
        <v>6700</v>
      </c>
    </row>
    <row r="3398" spans="1:10" x14ac:dyDescent="0.25">
      <c r="A3398" s="31" t="s">
        <v>654</v>
      </c>
      <c r="B3398" s="443" t="s">
        <v>322</v>
      </c>
      <c r="C3398" s="444" t="s">
        <v>114</v>
      </c>
      <c r="D3398" s="444">
        <v>11.37</v>
      </c>
      <c r="E3398" s="444" t="s">
        <v>79</v>
      </c>
      <c r="F3398" s="109">
        <v>6.7</v>
      </c>
      <c r="G3398" s="443">
        <f t="shared" ref="G3398:G3403" si="824">F3398*6.3</f>
        <v>42.21</v>
      </c>
      <c r="H3398" s="443">
        <v>24</v>
      </c>
      <c r="I3398" s="445">
        <f t="shared" ref="I3398:I3403" si="825">G3398*H3398</f>
        <v>1013.04</v>
      </c>
      <c r="J3398" s="446">
        <v>900</v>
      </c>
    </row>
    <row r="3399" spans="1:10" x14ac:dyDescent="0.25">
      <c r="A3399" s="31" t="s">
        <v>654</v>
      </c>
      <c r="B3399" s="443" t="s">
        <v>323</v>
      </c>
      <c r="C3399" s="444" t="s">
        <v>86</v>
      </c>
      <c r="D3399" s="444" t="s">
        <v>38</v>
      </c>
      <c r="E3399" s="444" t="s">
        <v>79</v>
      </c>
      <c r="F3399" s="38">
        <v>9.6300000000000008</v>
      </c>
      <c r="G3399" s="443">
        <f t="shared" si="824"/>
        <v>60.669000000000004</v>
      </c>
      <c r="H3399" s="443">
        <v>24</v>
      </c>
      <c r="I3399" s="445">
        <f t="shared" si="825"/>
        <v>1456.056</v>
      </c>
      <c r="J3399" s="446">
        <v>1400</v>
      </c>
    </row>
    <row r="3400" spans="1:10" x14ac:dyDescent="0.25">
      <c r="A3400" s="31" t="s">
        <v>654</v>
      </c>
      <c r="B3400" s="448" t="s">
        <v>324</v>
      </c>
      <c r="C3400" s="444" t="s">
        <v>443</v>
      </c>
      <c r="D3400" s="444" t="s">
        <v>38</v>
      </c>
      <c r="E3400" s="444" t="s">
        <v>79</v>
      </c>
      <c r="F3400" s="37">
        <v>3.53</v>
      </c>
      <c r="G3400" s="443">
        <f t="shared" si="824"/>
        <v>22.238999999999997</v>
      </c>
      <c r="H3400" s="443">
        <v>24</v>
      </c>
      <c r="I3400" s="445">
        <f t="shared" si="825"/>
        <v>533.73599999999988</v>
      </c>
      <c r="J3400" s="446">
        <v>500</v>
      </c>
    </row>
    <row r="3401" spans="1:10" x14ac:dyDescent="0.25">
      <c r="A3401" s="31" t="s">
        <v>654</v>
      </c>
      <c r="B3401" s="449" t="s">
        <v>317</v>
      </c>
      <c r="C3401" s="450" t="s">
        <v>156</v>
      </c>
      <c r="D3401" s="42">
        <v>39.69</v>
      </c>
      <c r="E3401" s="450" t="s">
        <v>79</v>
      </c>
      <c r="F3401" s="43">
        <v>10.61</v>
      </c>
      <c r="G3401" s="443">
        <f t="shared" si="824"/>
        <v>66.842999999999989</v>
      </c>
      <c r="H3401" s="443">
        <v>24</v>
      </c>
      <c r="I3401" s="445">
        <f t="shared" si="825"/>
        <v>1604.2319999999997</v>
      </c>
      <c r="J3401" s="446">
        <v>1600</v>
      </c>
    </row>
    <row r="3402" spans="1:10" x14ac:dyDescent="0.25">
      <c r="A3402" s="31" t="s">
        <v>654</v>
      </c>
      <c r="B3402" s="443" t="s">
        <v>325</v>
      </c>
      <c r="C3402" s="444" t="s">
        <v>158</v>
      </c>
      <c r="D3402" s="452">
        <v>36.94</v>
      </c>
      <c r="E3402" s="444" t="s">
        <v>79</v>
      </c>
      <c r="F3402" s="43">
        <v>6.75</v>
      </c>
      <c r="G3402" s="443">
        <f t="shared" si="824"/>
        <v>42.524999999999999</v>
      </c>
      <c r="H3402" s="443">
        <v>24</v>
      </c>
      <c r="I3402" s="445">
        <f t="shared" si="825"/>
        <v>1020.5999999999999</v>
      </c>
      <c r="J3402" s="446">
        <v>1000</v>
      </c>
    </row>
    <row r="3403" spans="1:10" ht="15.75" thickBot="1" x14ac:dyDescent="0.3">
      <c r="A3403" s="31" t="s">
        <v>654</v>
      </c>
      <c r="B3403" s="451" t="s">
        <v>326</v>
      </c>
      <c r="C3403" s="453" t="s">
        <v>152</v>
      </c>
      <c r="D3403" s="454">
        <v>11.54</v>
      </c>
      <c r="E3403" s="450" t="s">
        <v>79</v>
      </c>
      <c r="F3403" s="73">
        <v>10.15</v>
      </c>
      <c r="G3403" s="451">
        <f t="shared" si="824"/>
        <v>63.945</v>
      </c>
      <c r="H3403" s="451">
        <v>24</v>
      </c>
      <c r="I3403" s="456">
        <f t="shared" si="825"/>
        <v>1534.68</v>
      </c>
      <c r="J3403" s="457">
        <v>1300</v>
      </c>
    </row>
    <row r="3404" spans="1:10" ht="19.5" thickBot="1" x14ac:dyDescent="0.35">
      <c r="A3404" s="206"/>
      <c r="B3404" s="458"/>
      <c r="C3404" s="458"/>
      <c r="D3404" s="458"/>
      <c r="E3404" s="458"/>
      <c r="F3404" s="458"/>
      <c r="G3404" s="459"/>
      <c r="H3404" s="460" t="s">
        <v>171</v>
      </c>
      <c r="I3404" s="461">
        <f>SUM(I3398:I3403)</f>
        <v>7162.3439999999991</v>
      </c>
      <c r="J3404" s="462">
        <v>6700</v>
      </c>
    </row>
    <row r="3405" spans="1:10" x14ac:dyDescent="0.25">
      <c r="A3405" s="31" t="s">
        <v>655</v>
      </c>
      <c r="B3405" s="443" t="s">
        <v>322</v>
      </c>
      <c r="C3405" s="444" t="s">
        <v>114</v>
      </c>
      <c r="D3405" s="444">
        <v>30.67</v>
      </c>
      <c r="E3405" s="444" t="s">
        <v>79</v>
      </c>
      <c r="F3405" s="109">
        <v>6.75</v>
      </c>
      <c r="G3405" s="443">
        <f t="shared" ref="G3405:G3410" si="826">F3405*6.3</f>
        <v>42.524999999999999</v>
      </c>
      <c r="H3405" s="443">
        <v>24</v>
      </c>
      <c r="I3405" s="445">
        <f t="shared" ref="I3405:I3410" si="827">G3405*H3405</f>
        <v>1020.5999999999999</v>
      </c>
      <c r="J3405" s="446">
        <v>900</v>
      </c>
    </row>
    <row r="3406" spans="1:10" x14ac:dyDescent="0.25">
      <c r="A3406" s="31" t="s">
        <v>655</v>
      </c>
      <c r="B3406" s="443" t="s">
        <v>323</v>
      </c>
      <c r="C3406" s="444" t="s">
        <v>86</v>
      </c>
      <c r="D3406" s="444" t="s">
        <v>38</v>
      </c>
      <c r="E3406" s="444" t="s">
        <v>79</v>
      </c>
      <c r="F3406" s="38">
        <v>9.65</v>
      </c>
      <c r="G3406" s="443">
        <f t="shared" si="826"/>
        <v>60.795000000000002</v>
      </c>
      <c r="H3406" s="443">
        <v>24</v>
      </c>
      <c r="I3406" s="445">
        <f t="shared" si="827"/>
        <v>1459.08</v>
      </c>
      <c r="J3406" s="446">
        <v>1400</v>
      </c>
    </row>
    <row r="3407" spans="1:10" x14ac:dyDescent="0.25">
      <c r="A3407" s="31" t="s">
        <v>655</v>
      </c>
      <c r="B3407" s="448" t="s">
        <v>324</v>
      </c>
      <c r="C3407" s="444" t="s">
        <v>443</v>
      </c>
      <c r="D3407" s="444" t="s">
        <v>38</v>
      </c>
      <c r="E3407" s="444" t="s">
        <v>79</v>
      </c>
      <c r="F3407" s="37">
        <v>3.51</v>
      </c>
      <c r="G3407" s="443">
        <f t="shared" si="826"/>
        <v>22.113</v>
      </c>
      <c r="H3407" s="443">
        <v>24</v>
      </c>
      <c r="I3407" s="445">
        <f t="shared" si="827"/>
        <v>530.71199999999999</v>
      </c>
      <c r="J3407" s="446">
        <v>500</v>
      </c>
    </row>
    <row r="3408" spans="1:10" x14ac:dyDescent="0.25">
      <c r="A3408" s="31" t="s">
        <v>655</v>
      </c>
      <c r="B3408" s="449" t="s">
        <v>317</v>
      </c>
      <c r="C3408" s="450" t="s">
        <v>156</v>
      </c>
      <c r="D3408" s="42">
        <v>40.049999999999997</v>
      </c>
      <c r="E3408" s="450" t="s">
        <v>79</v>
      </c>
      <c r="F3408" s="43">
        <v>10.59</v>
      </c>
      <c r="G3408" s="443">
        <f t="shared" si="826"/>
        <v>66.716999999999999</v>
      </c>
      <c r="H3408" s="443">
        <v>24</v>
      </c>
      <c r="I3408" s="445">
        <f t="shared" si="827"/>
        <v>1601.2080000000001</v>
      </c>
      <c r="J3408" s="446">
        <v>1600</v>
      </c>
    </row>
    <row r="3409" spans="1:10" x14ac:dyDescent="0.25">
      <c r="A3409" s="31" t="s">
        <v>655</v>
      </c>
      <c r="B3409" s="443" t="s">
        <v>325</v>
      </c>
      <c r="C3409" s="444" t="s">
        <v>158</v>
      </c>
      <c r="D3409" s="452">
        <v>37.49</v>
      </c>
      <c r="E3409" s="444" t="s">
        <v>79</v>
      </c>
      <c r="F3409" s="43">
        <v>6.72</v>
      </c>
      <c r="G3409" s="443">
        <f t="shared" si="826"/>
        <v>42.335999999999999</v>
      </c>
      <c r="H3409" s="443">
        <v>24</v>
      </c>
      <c r="I3409" s="445">
        <f t="shared" si="827"/>
        <v>1016.064</v>
      </c>
      <c r="J3409" s="446">
        <v>1000</v>
      </c>
    </row>
    <row r="3410" spans="1:10" ht="15.75" thickBot="1" x14ac:dyDescent="0.3">
      <c r="A3410" s="31" t="s">
        <v>655</v>
      </c>
      <c r="B3410" s="451" t="s">
        <v>326</v>
      </c>
      <c r="C3410" s="453" t="s">
        <v>152</v>
      </c>
      <c r="D3410" s="454">
        <v>11.14</v>
      </c>
      <c r="E3410" s="450" t="s">
        <v>79</v>
      </c>
      <c r="F3410" s="73">
        <v>10</v>
      </c>
      <c r="G3410" s="451">
        <f t="shared" si="826"/>
        <v>63</v>
      </c>
      <c r="H3410" s="451">
        <v>24</v>
      </c>
      <c r="I3410" s="456">
        <f t="shared" si="827"/>
        <v>1512</v>
      </c>
      <c r="J3410" s="457">
        <v>1300</v>
      </c>
    </row>
    <row r="3411" spans="1:10" ht="19.5" thickBot="1" x14ac:dyDescent="0.35">
      <c r="A3411" s="206"/>
      <c r="B3411" s="458"/>
      <c r="C3411" s="458"/>
      <c r="D3411" s="458"/>
      <c r="E3411" s="458"/>
      <c r="F3411" s="458"/>
      <c r="G3411" s="459"/>
      <c r="H3411" s="460" t="s">
        <v>171</v>
      </c>
      <c r="I3411" s="461">
        <f>SUM(I3405:I3410)</f>
        <v>7139.6640000000007</v>
      </c>
      <c r="J3411" s="462">
        <v>6700</v>
      </c>
    </row>
    <row r="3412" spans="1:10" x14ac:dyDescent="0.25">
      <c r="A3412" s="31" t="s">
        <v>656</v>
      </c>
      <c r="B3412" s="443" t="s">
        <v>322</v>
      </c>
      <c r="C3412" s="444" t="s">
        <v>114</v>
      </c>
      <c r="D3412" s="444">
        <v>23.76</v>
      </c>
      <c r="E3412" s="444" t="s">
        <v>79</v>
      </c>
      <c r="F3412" s="109">
        <v>7.2</v>
      </c>
      <c r="G3412" s="443">
        <f t="shared" ref="G3412:G3417" si="828">F3412*6.3</f>
        <v>45.36</v>
      </c>
      <c r="H3412" s="443">
        <v>24</v>
      </c>
      <c r="I3412" s="445">
        <f t="shared" ref="I3412:I3417" si="829">G3412*H3412</f>
        <v>1088.6399999999999</v>
      </c>
      <c r="J3412" s="446">
        <v>900</v>
      </c>
    </row>
    <row r="3413" spans="1:10" x14ac:dyDescent="0.25">
      <c r="A3413" s="31" t="s">
        <v>656</v>
      </c>
      <c r="B3413" s="443" t="s">
        <v>323</v>
      </c>
      <c r="C3413" s="444" t="s">
        <v>86</v>
      </c>
      <c r="D3413" s="444" t="s">
        <v>38</v>
      </c>
      <c r="E3413" s="444" t="s">
        <v>79</v>
      </c>
      <c r="F3413" s="38">
        <v>9.5</v>
      </c>
      <c r="G3413" s="443">
        <f t="shared" si="828"/>
        <v>59.85</v>
      </c>
      <c r="H3413" s="443">
        <v>24</v>
      </c>
      <c r="I3413" s="445">
        <f t="shared" si="829"/>
        <v>1436.4</v>
      </c>
      <c r="J3413" s="446">
        <v>1400</v>
      </c>
    </row>
    <row r="3414" spans="1:10" x14ac:dyDescent="0.25">
      <c r="A3414" s="31" t="s">
        <v>656</v>
      </c>
      <c r="B3414" s="448" t="s">
        <v>324</v>
      </c>
      <c r="C3414" s="444" t="s">
        <v>443</v>
      </c>
      <c r="D3414" s="444" t="s">
        <v>38</v>
      </c>
      <c r="E3414" s="444" t="s">
        <v>79</v>
      </c>
      <c r="F3414" s="37">
        <v>3.4</v>
      </c>
      <c r="G3414" s="443">
        <f t="shared" si="828"/>
        <v>21.419999999999998</v>
      </c>
      <c r="H3414" s="443">
        <v>24</v>
      </c>
      <c r="I3414" s="445">
        <f t="shared" si="829"/>
        <v>514.07999999999993</v>
      </c>
      <c r="J3414" s="446">
        <v>500</v>
      </c>
    </row>
    <row r="3415" spans="1:10" x14ac:dyDescent="0.25">
      <c r="A3415" s="31" t="s">
        <v>656</v>
      </c>
      <c r="B3415" s="449" t="s">
        <v>317</v>
      </c>
      <c r="C3415" s="450" t="s">
        <v>156</v>
      </c>
      <c r="D3415" s="42">
        <v>38.4</v>
      </c>
      <c r="E3415" s="450" t="s">
        <v>79</v>
      </c>
      <c r="F3415" s="43">
        <v>12</v>
      </c>
      <c r="G3415" s="443">
        <f t="shared" si="828"/>
        <v>75.599999999999994</v>
      </c>
      <c r="H3415" s="443">
        <v>24</v>
      </c>
      <c r="I3415" s="445">
        <f t="shared" si="829"/>
        <v>1814.3999999999999</v>
      </c>
      <c r="J3415" s="446">
        <v>1600</v>
      </c>
    </row>
    <row r="3416" spans="1:10" x14ac:dyDescent="0.25">
      <c r="A3416" s="31" t="s">
        <v>656</v>
      </c>
      <c r="B3416" s="443" t="s">
        <v>325</v>
      </c>
      <c r="C3416" s="444" t="s">
        <v>158</v>
      </c>
      <c r="D3416" s="452">
        <v>30</v>
      </c>
      <c r="E3416" s="444" t="s">
        <v>79</v>
      </c>
      <c r="F3416" s="43">
        <v>6.6</v>
      </c>
      <c r="G3416" s="443">
        <f t="shared" si="828"/>
        <v>41.58</v>
      </c>
      <c r="H3416" s="443">
        <v>24</v>
      </c>
      <c r="I3416" s="445">
        <f t="shared" si="829"/>
        <v>997.92</v>
      </c>
      <c r="J3416" s="446">
        <v>1000</v>
      </c>
    </row>
    <row r="3417" spans="1:10" ht="15.75" thickBot="1" x14ac:dyDescent="0.3">
      <c r="A3417" s="31" t="s">
        <v>656</v>
      </c>
      <c r="B3417" s="451" t="s">
        <v>326</v>
      </c>
      <c r="C3417" s="453" t="s">
        <v>152</v>
      </c>
      <c r="D3417" s="454">
        <v>9</v>
      </c>
      <c r="E3417" s="450" t="s">
        <v>79</v>
      </c>
      <c r="F3417" s="73">
        <v>8.8000000000000007</v>
      </c>
      <c r="G3417" s="451">
        <f t="shared" si="828"/>
        <v>55.440000000000005</v>
      </c>
      <c r="H3417" s="451">
        <v>24</v>
      </c>
      <c r="I3417" s="456">
        <f t="shared" si="829"/>
        <v>1330.5600000000002</v>
      </c>
      <c r="J3417" s="457">
        <v>1300</v>
      </c>
    </row>
    <row r="3418" spans="1:10" ht="19.5" thickBot="1" x14ac:dyDescent="0.35">
      <c r="A3418" s="206"/>
      <c r="B3418" s="458"/>
      <c r="C3418" s="458"/>
      <c r="D3418" s="458"/>
      <c r="E3418" s="458"/>
      <c r="F3418" s="458"/>
      <c r="G3418" s="459"/>
      <c r="H3418" s="460" t="s">
        <v>171</v>
      </c>
      <c r="I3418" s="461">
        <f>SUM(I3412:I3417)</f>
        <v>7182</v>
      </c>
      <c r="J3418" s="462">
        <v>6700</v>
      </c>
    </row>
    <row r="3419" spans="1:10" x14ac:dyDescent="0.25">
      <c r="A3419" s="31" t="s">
        <v>657</v>
      </c>
      <c r="B3419" s="443" t="s">
        <v>322</v>
      </c>
      <c r="C3419" s="444" t="s">
        <v>114</v>
      </c>
      <c r="D3419" s="444">
        <v>29</v>
      </c>
      <c r="E3419" s="444" t="s">
        <v>79</v>
      </c>
      <c r="F3419" s="109">
        <v>7.1</v>
      </c>
      <c r="G3419" s="443">
        <f t="shared" ref="G3419:G3424" si="830">F3419*6.3</f>
        <v>44.73</v>
      </c>
      <c r="H3419" s="443">
        <v>24</v>
      </c>
      <c r="I3419" s="445">
        <f t="shared" ref="I3419:I3424" si="831">G3419*H3419</f>
        <v>1073.52</v>
      </c>
      <c r="J3419" s="446">
        <v>900</v>
      </c>
    </row>
    <row r="3420" spans="1:10" x14ac:dyDescent="0.25">
      <c r="A3420" s="31" t="s">
        <v>657</v>
      </c>
      <c r="B3420" s="443" t="s">
        <v>323</v>
      </c>
      <c r="C3420" s="444" t="s">
        <v>86</v>
      </c>
      <c r="D3420" s="444" t="s">
        <v>38</v>
      </c>
      <c r="E3420" s="444" t="s">
        <v>79</v>
      </c>
      <c r="F3420" s="38">
        <v>9.8000000000000007</v>
      </c>
      <c r="G3420" s="443">
        <f t="shared" si="830"/>
        <v>61.74</v>
      </c>
      <c r="H3420" s="443">
        <v>24</v>
      </c>
      <c r="I3420" s="445">
        <f t="shared" si="831"/>
        <v>1481.76</v>
      </c>
      <c r="J3420" s="446">
        <v>1400</v>
      </c>
    </row>
    <row r="3421" spans="1:10" x14ac:dyDescent="0.25">
      <c r="A3421" s="31" t="s">
        <v>657</v>
      </c>
      <c r="B3421" s="448" t="s">
        <v>324</v>
      </c>
      <c r="C3421" s="444" t="s">
        <v>443</v>
      </c>
      <c r="D3421" s="444" t="s">
        <v>38</v>
      </c>
      <c r="E3421" s="444" t="s">
        <v>79</v>
      </c>
      <c r="F3421" s="37">
        <v>3.4</v>
      </c>
      <c r="G3421" s="443">
        <f t="shared" si="830"/>
        <v>21.419999999999998</v>
      </c>
      <c r="H3421" s="443">
        <v>24</v>
      </c>
      <c r="I3421" s="445">
        <f t="shared" si="831"/>
        <v>514.07999999999993</v>
      </c>
      <c r="J3421" s="446">
        <v>500</v>
      </c>
    </row>
    <row r="3422" spans="1:10" x14ac:dyDescent="0.25">
      <c r="A3422" s="31" t="s">
        <v>657</v>
      </c>
      <c r="B3422" s="449" t="s">
        <v>317</v>
      </c>
      <c r="C3422" s="450" t="s">
        <v>156</v>
      </c>
      <c r="D3422" s="42">
        <v>39</v>
      </c>
      <c r="E3422" s="450" t="s">
        <v>79</v>
      </c>
      <c r="F3422" s="43">
        <v>11.2</v>
      </c>
      <c r="G3422" s="443">
        <f t="shared" si="830"/>
        <v>70.559999999999988</v>
      </c>
      <c r="H3422" s="443">
        <v>24</v>
      </c>
      <c r="I3422" s="445">
        <f t="shared" si="831"/>
        <v>1693.4399999999996</v>
      </c>
      <c r="J3422" s="446">
        <v>1600</v>
      </c>
    </row>
    <row r="3423" spans="1:10" x14ac:dyDescent="0.25">
      <c r="A3423" s="31" t="s">
        <v>657</v>
      </c>
      <c r="B3423" s="443" t="s">
        <v>325</v>
      </c>
      <c r="C3423" s="444" t="s">
        <v>158</v>
      </c>
      <c r="D3423" s="452">
        <v>34</v>
      </c>
      <c r="E3423" s="444" t="s">
        <v>79</v>
      </c>
      <c r="F3423" s="43">
        <v>7</v>
      </c>
      <c r="G3423" s="443">
        <f t="shared" si="830"/>
        <v>44.1</v>
      </c>
      <c r="H3423" s="443">
        <v>24</v>
      </c>
      <c r="I3423" s="445">
        <f t="shared" si="831"/>
        <v>1058.4000000000001</v>
      </c>
      <c r="J3423" s="446">
        <v>1000</v>
      </c>
    </row>
    <row r="3424" spans="1:10" ht="15.75" thickBot="1" x14ac:dyDescent="0.3">
      <c r="A3424" s="31" t="s">
        <v>657</v>
      </c>
      <c r="B3424" s="451" t="s">
        <v>326</v>
      </c>
      <c r="C3424" s="453" t="s">
        <v>152</v>
      </c>
      <c r="D3424" s="454">
        <v>12</v>
      </c>
      <c r="E3424" s="450" t="s">
        <v>79</v>
      </c>
      <c r="F3424" s="73">
        <v>9</v>
      </c>
      <c r="G3424" s="451">
        <f t="shared" si="830"/>
        <v>56.699999999999996</v>
      </c>
      <c r="H3424" s="451">
        <v>24</v>
      </c>
      <c r="I3424" s="456">
        <f t="shared" si="831"/>
        <v>1360.8</v>
      </c>
      <c r="J3424" s="457">
        <v>1300</v>
      </c>
    </row>
    <row r="3425" spans="1:10" ht="19.5" thickBot="1" x14ac:dyDescent="0.35">
      <c r="A3425" s="206"/>
      <c r="B3425" s="458"/>
      <c r="C3425" s="458"/>
      <c r="D3425" s="458"/>
      <c r="E3425" s="458"/>
      <c r="F3425" s="458"/>
      <c r="G3425" s="459"/>
      <c r="H3425" s="460" t="s">
        <v>171</v>
      </c>
      <c r="I3425" s="461">
        <f>SUM(I3419:I3424)</f>
        <v>7181.9999999999991</v>
      </c>
      <c r="J3425" s="462">
        <v>6700</v>
      </c>
    </row>
    <row r="3426" spans="1:10" x14ac:dyDescent="0.25">
      <c r="A3426" s="31" t="s">
        <v>658</v>
      </c>
      <c r="B3426" s="443" t="s">
        <v>322</v>
      </c>
      <c r="C3426" s="444" t="s">
        <v>114</v>
      </c>
      <c r="D3426" s="444">
        <v>33</v>
      </c>
      <c r="E3426" s="444" t="s">
        <v>79</v>
      </c>
      <c r="F3426" s="109">
        <v>7.1</v>
      </c>
      <c r="G3426" s="443">
        <f t="shared" ref="G3426:G3431" si="832">F3426*6.3</f>
        <v>44.73</v>
      </c>
      <c r="H3426" s="443">
        <v>24</v>
      </c>
      <c r="I3426" s="445">
        <f t="shared" ref="I3426:I3431" si="833">G3426*H3426</f>
        <v>1073.52</v>
      </c>
      <c r="J3426" s="446">
        <v>900</v>
      </c>
    </row>
    <row r="3427" spans="1:10" x14ac:dyDescent="0.25">
      <c r="A3427" s="31" t="s">
        <v>658</v>
      </c>
      <c r="B3427" s="443" t="s">
        <v>323</v>
      </c>
      <c r="C3427" s="444" t="s">
        <v>86</v>
      </c>
      <c r="D3427" s="444" t="s">
        <v>38</v>
      </c>
      <c r="E3427" s="444" t="s">
        <v>79</v>
      </c>
      <c r="F3427" s="38">
        <v>9.8000000000000007</v>
      </c>
      <c r="G3427" s="443">
        <f t="shared" si="832"/>
        <v>61.74</v>
      </c>
      <c r="H3427" s="443">
        <v>24</v>
      </c>
      <c r="I3427" s="445">
        <f t="shared" si="833"/>
        <v>1481.76</v>
      </c>
      <c r="J3427" s="446">
        <v>1400</v>
      </c>
    </row>
    <row r="3428" spans="1:10" x14ac:dyDescent="0.25">
      <c r="A3428" s="31" t="s">
        <v>658</v>
      </c>
      <c r="B3428" s="448" t="s">
        <v>324</v>
      </c>
      <c r="C3428" s="444" t="s">
        <v>443</v>
      </c>
      <c r="D3428" s="444" t="s">
        <v>38</v>
      </c>
      <c r="E3428" s="444" t="s">
        <v>79</v>
      </c>
      <c r="F3428" s="37">
        <v>3.4</v>
      </c>
      <c r="G3428" s="443">
        <f t="shared" si="832"/>
        <v>21.419999999999998</v>
      </c>
      <c r="H3428" s="443">
        <v>24</v>
      </c>
      <c r="I3428" s="445">
        <f t="shared" si="833"/>
        <v>514.07999999999993</v>
      </c>
      <c r="J3428" s="446">
        <v>500</v>
      </c>
    </row>
    <row r="3429" spans="1:10" x14ac:dyDescent="0.25">
      <c r="A3429" s="31" t="s">
        <v>658</v>
      </c>
      <c r="B3429" s="449" t="s">
        <v>317</v>
      </c>
      <c r="C3429" s="450" t="s">
        <v>156</v>
      </c>
      <c r="D3429" s="42">
        <v>42</v>
      </c>
      <c r="E3429" s="450" t="s">
        <v>79</v>
      </c>
      <c r="F3429" s="43">
        <v>10.9</v>
      </c>
      <c r="G3429" s="443">
        <f t="shared" si="832"/>
        <v>68.67</v>
      </c>
      <c r="H3429" s="443">
        <v>24</v>
      </c>
      <c r="I3429" s="445">
        <f t="shared" si="833"/>
        <v>1648.08</v>
      </c>
      <c r="J3429" s="446">
        <v>1600</v>
      </c>
    </row>
    <row r="3430" spans="1:10" x14ac:dyDescent="0.25">
      <c r="A3430" s="31" t="s">
        <v>658</v>
      </c>
      <c r="B3430" s="443" t="s">
        <v>325</v>
      </c>
      <c r="C3430" s="444" t="s">
        <v>158</v>
      </c>
      <c r="D3430" s="452">
        <v>33</v>
      </c>
      <c r="E3430" s="444" t="s">
        <v>79</v>
      </c>
      <c r="F3430" s="43">
        <v>7.1</v>
      </c>
      <c r="G3430" s="443">
        <f t="shared" si="832"/>
        <v>44.73</v>
      </c>
      <c r="H3430" s="443">
        <v>24</v>
      </c>
      <c r="I3430" s="445">
        <f t="shared" si="833"/>
        <v>1073.52</v>
      </c>
      <c r="J3430" s="446">
        <v>1000</v>
      </c>
    </row>
    <row r="3431" spans="1:10" ht="15.75" thickBot="1" x14ac:dyDescent="0.3">
      <c r="A3431" s="31" t="s">
        <v>658</v>
      </c>
      <c r="B3431" s="451" t="s">
        <v>326</v>
      </c>
      <c r="C3431" s="453" t="s">
        <v>152</v>
      </c>
      <c r="D3431" s="454">
        <v>18</v>
      </c>
      <c r="E3431" s="450" t="s">
        <v>79</v>
      </c>
      <c r="F3431" s="73">
        <v>8.9</v>
      </c>
      <c r="G3431" s="451">
        <f t="shared" si="832"/>
        <v>56.07</v>
      </c>
      <c r="H3431" s="451">
        <v>24</v>
      </c>
      <c r="I3431" s="456">
        <f t="shared" si="833"/>
        <v>1345.68</v>
      </c>
      <c r="J3431" s="457">
        <v>1300</v>
      </c>
    </row>
    <row r="3432" spans="1:10" ht="19.5" thickBot="1" x14ac:dyDescent="0.35">
      <c r="A3432" s="206"/>
      <c r="B3432" s="458"/>
      <c r="C3432" s="458"/>
      <c r="D3432" s="458"/>
      <c r="E3432" s="458"/>
      <c r="F3432" s="458"/>
      <c r="G3432" s="459"/>
      <c r="H3432" s="460" t="s">
        <v>171</v>
      </c>
      <c r="I3432" s="461">
        <f>SUM(I3426:I3431)</f>
        <v>7136.6399999999994</v>
      </c>
      <c r="J3432" s="462">
        <v>6700</v>
      </c>
    </row>
    <row r="3433" spans="1:10" x14ac:dyDescent="0.25">
      <c r="A3433" s="31" t="s">
        <v>659</v>
      </c>
      <c r="B3433" s="443" t="s">
        <v>322</v>
      </c>
      <c r="C3433" s="444" t="s">
        <v>114</v>
      </c>
      <c r="D3433" s="444">
        <v>33</v>
      </c>
      <c r="E3433" s="444" t="s">
        <v>79</v>
      </c>
      <c r="F3433" s="109">
        <v>7</v>
      </c>
      <c r="G3433" s="443">
        <f t="shared" ref="G3433:G3438" si="834">F3433*6.3</f>
        <v>44.1</v>
      </c>
      <c r="H3433" s="443">
        <v>24</v>
      </c>
      <c r="I3433" s="445">
        <f t="shared" ref="I3433:I3438" si="835">G3433*H3433</f>
        <v>1058.4000000000001</v>
      </c>
      <c r="J3433" s="446">
        <v>900</v>
      </c>
    </row>
    <row r="3434" spans="1:10" x14ac:dyDescent="0.25">
      <c r="A3434" s="31" t="s">
        <v>659</v>
      </c>
      <c r="B3434" s="443" t="s">
        <v>323</v>
      </c>
      <c r="C3434" s="444" t="s">
        <v>86</v>
      </c>
      <c r="D3434" s="444" t="s">
        <v>38</v>
      </c>
      <c r="E3434" s="444" t="s">
        <v>79</v>
      </c>
      <c r="F3434" s="38">
        <v>9.6</v>
      </c>
      <c r="G3434" s="443">
        <f t="shared" si="834"/>
        <v>60.48</v>
      </c>
      <c r="H3434" s="443">
        <v>9</v>
      </c>
      <c r="I3434" s="445">
        <f t="shared" si="835"/>
        <v>544.31999999999994</v>
      </c>
      <c r="J3434" s="446">
        <v>1400</v>
      </c>
    </row>
    <row r="3435" spans="1:10" x14ac:dyDescent="0.25">
      <c r="A3435" s="31" t="s">
        <v>659</v>
      </c>
      <c r="B3435" s="448" t="s">
        <v>324</v>
      </c>
      <c r="C3435" s="444" t="s">
        <v>443</v>
      </c>
      <c r="D3435" s="444" t="s">
        <v>38</v>
      </c>
      <c r="E3435" s="444" t="s">
        <v>79</v>
      </c>
      <c r="F3435" s="37">
        <v>3.4</v>
      </c>
      <c r="G3435" s="443">
        <f t="shared" si="834"/>
        <v>21.419999999999998</v>
      </c>
      <c r="H3435" s="443">
        <v>24</v>
      </c>
      <c r="I3435" s="445">
        <f t="shared" si="835"/>
        <v>514.07999999999993</v>
      </c>
      <c r="J3435" s="446">
        <v>500</v>
      </c>
    </row>
    <row r="3436" spans="1:10" x14ac:dyDescent="0.25">
      <c r="A3436" s="31" t="s">
        <v>659</v>
      </c>
      <c r="B3436" s="449" t="s">
        <v>317</v>
      </c>
      <c r="C3436" s="450" t="s">
        <v>156</v>
      </c>
      <c r="D3436" s="42">
        <v>39.4</v>
      </c>
      <c r="E3436" s="450" t="s">
        <v>79</v>
      </c>
      <c r="F3436" s="43">
        <v>11.8</v>
      </c>
      <c r="G3436" s="443">
        <f t="shared" si="834"/>
        <v>74.34</v>
      </c>
      <c r="H3436" s="443">
        <v>24</v>
      </c>
      <c r="I3436" s="445">
        <f t="shared" si="835"/>
        <v>1784.16</v>
      </c>
      <c r="J3436" s="446">
        <v>1600</v>
      </c>
    </row>
    <row r="3437" spans="1:10" x14ac:dyDescent="0.25">
      <c r="A3437" s="31" t="s">
        <v>659</v>
      </c>
      <c r="B3437" s="443" t="s">
        <v>325</v>
      </c>
      <c r="C3437" s="444" t="s">
        <v>158</v>
      </c>
      <c r="D3437" s="452">
        <v>31</v>
      </c>
      <c r="E3437" s="444" t="s">
        <v>79</v>
      </c>
      <c r="F3437" s="43">
        <v>6.8</v>
      </c>
      <c r="G3437" s="443">
        <f t="shared" si="834"/>
        <v>42.839999999999996</v>
      </c>
      <c r="H3437" s="443">
        <v>24</v>
      </c>
      <c r="I3437" s="445">
        <f t="shared" si="835"/>
        <v>1028.1599999999999</v>
      </c>
      <c r="J3437" s="446">
        <v>1000</v>
      </c>
    </row>
    <row r="3438" spans="1:10" ht="15.75" thickBot="1" x14ac:dyDescent="0.3">
      <c r="A3438" s="31" t="s">
        <v>659</v>
      </c>
      <c r="B3438" s="451" t="s">
        <v>326</v>
      </c>
      <c r="C3438" s="453" t="s">
        <v>152</v>
      </c>
      <c r="D3438" s="454">
        <v>19.399999999999999</v>
      </c>
      <c r="E3438" s="450" t="s">
        <v>79</v>
      </c>
      <c r="F3438" s="73">
        <v>9</v>
      </c>
      <c r="G3438" s="451">
        <f t="shared" si="834"/>
        <v>56.699999999999996</v>
      </c>
      <c r="H3438" s="451">
        <v>24</v>
      </c>
      <c r="I3438" s="456">
        <f t="shared" si="835"/>
        <v>1360.8</v>
      </c>
      <c r="J3438" s="457">
        <v>1300</v>
      </c>
    </row>
    <row r="3439" spans="1:10" ht="19.5" thickBot="1" x14ac:dyDescent="0.35">
      <c r="A3439" s="206"/>
      <c r="B3439" s="458"/>
      <c r="C3439" s="458"/>
      <c r="D3439" s="458"/>
      <c r="E3439" s="458"/>
      <c r="F3439" s="458"/>
      <c r="G3439" s="459"/>
      <c r="H3439" s="460" t="s">
        <v>171</v>
      </c>
      <c r="I3439" s="461">
        <f>SUM(I3433:I3438)</f>
        <v>6289.92</v>
      </c>
      <c r="J3439" s="462">
        <v>6700</v>
      </c>
    </row>
    <row r="3440" spans="1:10" x14ac:dyDescent="0.25">
      <c r="A3440" s="31" t="s">
        <v>660</v>
      </c>
      <c r="B3440" s="443" t="s">
        <v>322</v>
      </c>
      <c r="C3440" s="444" t="s">
        <v>114</v>
      </c>
      <c r="D3440" s="444">
        <v>35</v>
      </c>
      <c r="E3440" s="444" t="s">
        <v>79</v>
      </c>
      <c r="F3440" s="109">
        <v>7</v>
      </c>
      <c r="G3440" s="443">
        <f t="shared" ref="G3440:G3445" si="836">F3440*6.3</f>
        <v>44.1</v>
      </c>
      <c r="H3440" s="443">
        <v>24</v>
      </c>
      <c r="I3440" s="445">
        <f t="shared" ref="I3440:I3445" si="837">G3440*H3440</f>
        <v>1058.4000000000001</v>
      </c>
      <c r="J3440" s="446">
        <v>900</v>
      </c>
    </row>
    <row r="3441" spans="1:10" x14ac:dyDescent="0.25">
      <c r="A3441" s="31" t="s">
        <v>660</v>
      </c>
      <c r="B3441" s="443" t="s">
        <v>323</v>
      </c>
      <c r="C3441" s="444" t="s">
        <v>86</v>
      </c>
      <c r="D3441" s="444" t="s">
        <v>38</v>
      </c>
      <c r="E3441" s="444" t="s">
        <v>79</v>
      </c>
      <c r="F3441" s="38">
        <v>10.199999999999999</v>
      </c>
      <c r="G3441" s="443">
        <f t="shared" si="836"/>
        <v>64.259999999999991</v>
      </c>
      <c r="H3441" s="443">
        <v>23</v>
      </c>
      <c r="I3441" s="445">
        <f t="shared" si="837"/>
        <v>1477.9799999999998</v>
      </c>
      <c r="J3441" s="446">
        <v>1400</v>
      </c>
    </row>
    <row r="3442" spans="1:10" x14ac:dyDescent="0.25">
      <c r="A3442" s="31" t="s">
        <v>660</v>
      </c>
      <c r="B3442" s="448" t="s">
        <v>324</v>
      </c>
      <c r="C3442" s="444" t="s">
        <v>443</v>
      </c>
      <c r="D3442" s="444" t="s">
        <v>38</v>
      </c>
      <c r="E3442" s="444" t="s">
        <v>79</v>
      </c>
      <c r="F3442" s="37">
        <v>3.4</v>
      </c>
      <c r="G3442" s="443">
        <f t="shared" si="836"/>
        <v>21.419999999999998</v>
      </c>
      <c r="H3442" s="443">
        <v>24</v>
      </c>
      <c r="I3442" s="445">
        <f t="shared" si="837"/>
        <v>514.07999999999993</v>
      </c>
      <c r="J3442" s="446">
        <v>500</v>
      </c>
    </row>
    <row r="3443" spans="1:10" x14ac:dyDescent="0.25">
      <c r="A3443" s="31" t="s">
        <v>660</v>
      </c>
      <c r="B3443" s="449" t="s">
        <v>317</v>
      </c>
      <c r="C3443" s="450" t="s">
        <v>156</v>
      </c>
      <c r="D3443" s="42">
        <v>40</v>
      </c>
      <c r="E3443" s="450" t="s">
        <v>79</v>
      </c>
      <c r="F3443" s="43">
        <v>11.6</v>
      </c>
      <c r="G3443" s="443">
        <f t="shared" si="836"/>
        <v>73.08</v>
      </c>
      <c r="H3443" s="443">
        <v>24</v>
      </c>
      <c r="I3443" s="445">
        <f t="shared" si="837"/>
        <v>1753.92</v>
      </c>
      <c r="J3443" s="446">
        <v>1600</v>
      </c>
    </row>
    <row r="3444" spans="1:10" x14ac:dyDescent="0.25">
      <c r="A3444" s="31" t="s">
        <v>660</v>
      </c>
      <c r="B3444" s="443" t="s">
        <v>325</v>
      </c>
      <c r="C3444" s="444" t="s">
        <v>158</v>
      </c>
      <c r="D3444" s="452">
        <v>33</v>
      </c>
      <c r="E3444" s="444" t="s">
        <v>79</v>
      </c>
      <c r="F3444" s="43">
        <v>7.1</v>
      </c>
      <c r="G3444" s="443">
        <f t="shared" si="836"/>
        <v>44.73</v>
      </c>
      <c r="H3444" s="443">
        <v>24</v>
      </c>
      <c r="I3444" s="445">
        <f t="shared" si="837"/>
        <v>1073.52</v>
      </c>
      <c r="J3444" s="446">
        <v>1000</v>
      </c>
    </row>
    <row r="3445" spans="1:10" ht="15.75" thickBot="1" x14ac:dyDescent="0.3">
      <c r="A3445" s="31" t="s">
        <v>660</v>
      </c>
      <c r="B3445" s="451" t="s">
        <v>326</v>
      </c>
      <c r="C3445" s="453" t="s">
        <v>152</v>
      </c>
      <c r="D3445" s="454">
        <v>21</v>
      </c>
      <c r="E3445" s="450" t="s">
        <v>79</v>
      </c>
      <c r="F3445" s="73">
        <v>8.9</v>
      </c>
      <c r="G3445" s="451">
        <f t="shared" si="836"/>
        <v>56.07</v>
      </c>
      <c r="H3445" s="451">
        <v>24</v>
      </c>
      <c r="I3445" s="456">
        <f t="shared" si="837"/>
        <v>1345.68</v>
      </c>
      <c r="J3445" s="457">
        <v>1300</v>
      </c>
    </row>
    <row r="3446" spans="1:10" ht="19.5" thickBot="1" x14ac:dyDescent="0.35">
      <c r="A3446" s="206"/>
      <c r="B3446" s="458"/>
      <c r="C3446" s="458"/>
      <c r="D3446" s="458"/>
      <c r="E3446" s="458"/>
      <c r="F3446" s="458"/>
      <c r="G3446" s="459"/>
      <c r="H3446" s="460" t="s">
        <v>171</v>
      </c>
      <c r="I3446" s="461">
        <f>SUM(I3440:I3445)</f>
        <v>7223.58</v>
      </c>
      <c r="J3446" s="462">
        <v>6700</v>
      </c>
    </row>
    <row r="3447" spans="1:10" x14ac:dyDescent="0.25">
      <c r="A3447" s="31" t="s">
        <v>661</v>
      </c>
      <c r="B3447" s="443" t="s">
        <v>322</v>
      </c>
      <c r="C3447" s="444" t="s">
        <v>114</v>
      </c>
      <c r="D3447" s="444">
        <v>25</v>
      </c>
      <c r="E3447" s="444" t="s">
        <v>79</v>
      </c>
      <c r="F3447" s="109">
        <v>7</v>
      </c>
      <c r="G3447" s="443">
        <f t="shared" ref="G3447:G3452" si="838">F3447*6.3</f>
        <v>44.1</v>
      </c>
      <c r="H3447" s="443">
        <v>24</v>
      </c>
      <c r="I3447" s="445">
        <f t="shared" ref="I3447:I3452" si="839">G3447*H3447</f>
        <v>1058.4000000000001</v>
      </c>
      <c r="J3447" s="446">
        <v>900</v>
      </c>
    </row>
    <row r="3448" spans="1:10" x14ac:dyDescent="0.25">
      <c r="A3448" s="31" t="s">
        <v>661</v>
      </c>
      <c r="B3448" s="443" t="s">
        <v>323</v>
      </c>
      <c r="C3448" s="444" t="s">
        <v>86</v>
      </c>
      <c r="D3448" s="444" t="s">
        <v>38</v>
      </c>
      <c r="E3448" s="444" t="s">
        <v>79</v>
      </c>
      <c r="F3448" s="38">
        <v>9.8000000000000007</v>
      </c>
      <c r="G3448" s="443">
        <f t="shared" si="838"/>
        <v>61.74</v>
      </c>
      <c r="H3448" s="443">
        <v>24</v>
      </c>
      <c r="I3448" s="445">
        <f t="shared" si="839"/>
        <v>1481.76</v>
      </c>
      <c r="J3448" s="446">
        <v>1400</v>
      </c>
    </row>
    <row r="3449" spans="1:10" x14ac:dyDescent="0.25">
      <c r="A3449" s="31" t="s">
        <v>661</v>
      </c>
      <c r="B3449" s="448" t="s">
        <v>324</v>
      </c>
      <c r="C3449" s="444" t="s">
        <v>443</v>
      </c>
      <c r="D3449" s="444" t="s">
        <v>38</v>
      </c>
      <c r="E3449" s="444" t="s">
        <v>79</v>
      </c>
      <c r="F3449" s="37">
        <v>3.4</v>
      </c>
      <c r="G3449" s="443">
        <f t="shared" si="838"/>
        <v>21.419999999999998</v>
      </c>
      <c r="H3449" s="443">
        <v>24</v>
      </c>
      <c r="I3449" s="445">
        <f t="shared" si="839"/>
        <v>514.07999999999993</v>
      </c>
      <c r="J3449" s="446">
        <v>500</v>
      </c>
    </row>
    <row r="3450" spans="1:10" x14ac:dyDescent="0.25">
      <c r="A3450" s="31" t="s">
        <v>661</v>
      </c>
      <c r="B3450" s="449" t="s">
        <v>317</v>
      </c>
      <c r="C3450" s="450" t="s">
        <v>156</v>
      </c>
      <c r="D3450" s="42">
        <v>41</v>
      </c>
      <c r="E3450" s="450" t="s">
        <v>79</v>
      </c>
      <c r="F3450" s="43">
        <v>10.9</v>
      </c>
      <c r="G3450" s="443">
        <f t="shared" si="838"/>
        <v>68.67</v>
      </c>
      <c r="H3450" s="443">
        <v>24</v>
      </c>
      <c r="I3450" s="445">
        <f t="shared" si="839"/>
        <v>1648.08</v>
      </c>
      <c r="J3450" s="446">
        <v>1600</v>
      </c>
    </row>
    <row r="3451" spans="1:10" x14ac:dyDescent="0.25">
      <c r="A3451" s="31" t="s">
        <v>661</v>
      </c>
      <c r="B3451" s="443" t="s">
        <v>325</v>
      </c>
      <c r="C3451" s="444" t="s">
        <v>158</v>
      </c>
      <c r="D3451" s="452">
        <v>28</v>
      </c>
      <c r="E3451" s="444" t="s">
        <v>79</v>
      </c>
      <c r="F3451" s="43">
        <v>7.2</v>
      </c>
      <c r="G3451" s="443">
        <f t="shared" si="838"/>
        <v>45.36</v>
      </c>
      <c r="H3451" s="443">
        <v>24</v>
      </c>
      <c r="I3451" s="445">
        <f t="shared" si="839"/>
        <v>1088.6399999999999</v>
      </c>
      <c r="J3451" s="446">
        <v>1000</v>
      </c>
    </row>
    <row r="3452" spans="1:10" ht="15.75" thickBot="1" x14ac:dyDescent="0.3">
      <c r="A3452" s="31" t="s">
        <v>661</v>
      </c>
      <c r="B3452" s="451" t="s">
        <v>326</v>
      </c>
      <c r="C3452" s="453" t="s">
        <v>152</v>
      </c>
      <c r="D3452" s="454">
        <v>19</v>
      </c>
      <c r="E3452" s="450" t="s">
        <v>79</v>
      </c>
      <c r="F3452" s="73">
        <v>8.8000000000000007</v>
      </c>
      <c r="G3452" s="451">
        <f t="shared" si="838"/>
        <v>55.440000000000005</v>
      </c>
      <c r="H3452" s="451">
        <v>24</v>
      </c>
      <c r="I3452" s="456">
        <f t="shared" si="839"/>
        <v>1330.5600000000002</v>
      </c>
      <c r="J3452" s="457">
        <v>1300</v>
      </c>
    </row>
    <row r="3453" spans="1:10" ht="19.5" thickBot="1" x14ac:dyDescent="0.35">
      <c r="A3453" s="206"/>
      <c r="B3453" s="458"/>
      <c r="C3453" s="458"/>
      <c r="D3453" s="458"/>
      <c r="E3453" s="458"/>
      <c r="F3453" s="458"/>
      <c r="G3453" s="459"/>
      <c r="H3453" s="460" t="s">
        <v>171</v>
      </c>
      <c r="I3453" s="461">
        <f>SUM(I3447:I3452)</f>
        <v>7121.5199999999995</v>
      </c>
      <c r="J3453" s="462">
        <v>6700</v>
      </c>
    </row>
    <row r="3454" spans="1:10" x14ac:dyDescent="0.25">
      <c r="A3454" s="31" t="s">
        <v>662</v>
      </c>
      <c r="B3454" s="443" t="s">
        <v>322</v>
      </c>
      <c r="C3454" s="444" t="s">
        <v>114</v>
      </c>
      <c r="D3454" s="444">
        <v>30</v>
      </c>
      <c r="E3454" s="444" t="s">
        <v>79</v>
      </c>
      <c r="F3454" s="109">
        <v>6.8</v>
      </c>
      <c r="G3454" s="443">
        <f t="shared" ref="G3454:G3459" si="840">F3454*6.3</f>
        <v>42.839999999999996</v>
      </c>
      <c r="H3454" s="443">
        <v>24</v>
      </c>
      <c r="I3454" s="445">
        <f t="shared" ref="I3454:I3459" si="841">G3454*H3454</f>
        <v>1028.1599999999999</v>
      </c>
      <c r="J3454" s="446">
        <v>900</v>
      </c>
    </row>
    <row r="3455" spans="1:10" x14ac:dyDescent="0.25">
      <c r="A3455" s="31" t="s">
        <v>662</v>
      </c>
      <c r="B3455" s="443" t="s">
        <v>323</v>
      </c>
      <c r="C3455" s="444" t="s">
        <v>86</v>
      </c>
      <c r="D3455" s="444" t="s">
        <v>38</v>
      </c>
      <c r="E3455" s="444" t="s">
        <v>79</v>
      </c>
      <c r="F3455" s="38">
        <v>9.6</v>
      </c>
      <c r="G3455" s="443">
        <f t="shared" si="840"/>
        <v>60.48</v>
      </c>
      <c r="H3455" s="443">
        <v>24</v>
      </c>
      <c r="I3455" s="445">
        <f t="shared" si="841"/>
        <v>1451.52</v>
      </c>
      <c r="J3455" s="446">
        <v>1400</v>
      </c>
    </row>
    <row r="3456" spans="1:10" x14ac:dyDescent="0.25">
      <c r="A3456" s="31" t="s">
        <v>662</v>
      </c>
      <c r="B3456" s="448" t="s">
        <v>324</v>
      </c>
      <c r="C3456" s="444" t="s">
        <v>443</v>
      </c>
      <c r="D3456" s="444" t="s">
        <v>38</v>
      </c>
      <c r="E3456" s="444" t="s">
        <v>79</v>
      </c>
      <c r="F3456" s="37">
        <v>3.4</v>
      </c>
      <c r="G3456" s="443">
        <f t="shared" si="840"/>
        <v>21.419999999999998</v>
      </c>
      <c r="H3456" s="443">
        <v>24</v>
      </c>
      <c r="I3456" s="445">
        <f t="shared" si="841"/>
        <v>514.07999999999993</v>
      </c>
      <c r="J3456" s="446">
        <v>500</v>
      </c>
    </row>
    <row r="3457" spans="1:10" x14ac:dyDescent="0.25">
      <c r="A3457" s="31" t="s">
        <v>662</v>
      </c>
      <c r="B3457" s="449" t="s">
        <v>317</v>
      </c>
      <c r="C3457" s="450" t="s">
        <v>156</v>
      </c>
      <c r="D3457" s="42">
        <v>44</v>
      </c>
      <c r="E3457" s="450" t="s">
        <v>79</v>
      </c>
      <c r="F3457" s="43">
        <v>10.9</v>
      </c>
      <c r="G3457" s="443">
        <f t="shared" si="840"/>
        <v>68.67</v>
      </c>
      <c r="H3457" s="443">
        <v>24</v>
      </c>
      <c r="I3457" s="445">
        <f t="shared" si="841"/>
        <v>1648.08</v>
      </c>
      <c r="J3457" s="446">
        <v>1600</v>
      </c>
    </row>
    <row r="3458" spans="1:10" x14ac:dyDescent="0.25">
      <c r="A3458" s="31" t="s">
        <v>662</v>
      </c>
      <c r="B3458" s="443" t="s">
        <v>325</v>
      </c>
      <c r="C3458" s="444" t="s">
        <v>158</v>
      </c>
      <c r="D3458" s="452">
        <v>30</v>
      </c>
      <c r="E3458" s="444" t="s">
        <v>79</v>
      </c>
      <c r="F3458" s="43">
        <v>7.4</v>
      </c>
      <c r="G3458" s="443">
        <f t="shared" si="840"/>
        <v>46.62</v>
      </c>
      <c r="H3458" s="443">
        <v>24</v>
      </c>
      <c r="I3458" s="445">
        <f t="shared" si="841"/>
        <v>1118.8799999999999</v>
      </c>
      <c r="J3458" s="446">
        <v>1000</v>
      </c>
    </row>
    <row r="3459" spans="1:10" ht="15.75" thickBot="1" x14ac:dyDescent="0.3">
      <c r="A3459" s="31" t="s">
        <v>662</v>
      </c>
      <c r="B3459" s="451" t="s">
        <v>326</v>
      </c>
      <c r="C3459" s="453" t="s">
        <v>152</v>
      </c>
      <c r="D3459" s="454">
        <v>17</v>
      </c>
      <c r="E3459" s="450" t="s">
        <v>79</v>
      </c>
      <c r="F3459" s="73">
        <v>9.1999999999999993</v>
      </c>
      <c r="G3459" s="451">
        <f t="shared" si="840"/>
        <v>57.959999999999994</v>
      </c>
      <c r="H3459" s="451">
        <v>24</v>
      </c>
      <c r="I3459" s="456">
        <f t="shared" si="841"/>
        <v>1391.04</v>
      </c>
      <c r="J3459" s="457">
        <v>1300</v>
      </c>
    </row>
    <row r="3460" spans="1:10" ht="19.5" thickBot="1" x14ac:dyDescent="0.35">
      <c r="A3460" s="206"/>
      <c r="B3460" s="458"/>
      <c r="C3460" s="458"/>
      <c r="D3460" s="458"/>
      <c r="E3460" s="458"/>
      <c r="F3460" s="458"/>
      <c r="G3460" s="459"/>
      <c r="H3460" s="460" t="s">
        <v>171</v>
      </c>
      <c r="I3460" s="461">
        <f>SUM(I3454:I3459)</f>
        <v>7151.76</v>
      </c>
      <c r="J3460" s="462">
        <v>6700</v>
      </c>
    </row>
    <row r="3461" spans="1:10" x14ac:dyDescent="0.25">
      <c r="A3461" s="31" t="s">
        <v>663</v>
      </c>
      <c r="B3461" s="443" t="s">
        <v>322</v>
      </c>
      <c r="C3461" s="444" t="s">
        <v>114</v>
      </c>
      <c r="D3461" s="444">
        <v>30</v>
      </c>
      <c r="E3461" s="444" t="s">
        <v>79</v>
      </c>
      <c r="F3461" s="109">
        <v>6.5</v>
      </c>
      <c r="G3461" s="443">
        <f t="shared" ref="G3461:G3466" si="842">F3461*6.3</f>
        <v>40.949999999999996</v>
      </c>
      <c r="H3461" s="443">
        <v>24</v>
      </c>
      <c r="I3461" s="445">
        <f t="shared" ref="I3461:I3466" si="843">G3461*H3461</f>
        <v>982.8</v>
      </c>
      <c r="J3461" s="446">
        <v>900</v>
      </c>
    </row>
    <row r="3462" spans="1:10" x14ac:dyDescent="0.25">
      <c r="A3462" s="31" t="s">
        <v>663</v>
      </c>
      <c r="B3462" s="443" t="s">
        <v>323</v>
      </c>
      <c r="C3462" s="444" t="s">
        <v>86</v>
      </c>
      <c r="D3462" s="444" t="s">
        <v>38</v>
      </c>
      <c r="E3462" s="444" t="s">
        <v>79</v>
      </c>
      <c r="F3462" s="38">
        <v>9.8000000000000007</v>
      </c>
      <c r="G3462" s="443">
        <f t="shared" si="842"/>
        <v>61.74</v>
      </c>
      <c r="H3462" s="443">
        <v>24</v>
      </c>
      <c r="I3462" s="445">
        <f t="shared" si="843"/>
        <v>1481.76</v>
      </c>
      <c r="J3462" s="446">
        <v>1400</v>
      </c>
    </row>
    <row r="3463" spans="1:10" x14ac:dyDescent="0.25">
      <c r="A3463" s="31" t="s">
        <v>663</v>
      </c>
      <c r="B3463" s="448" t="s">
        <v>324</v>
      </c>
      <c r="C3463" s="444" t="s">
        <v>443</v>
      </c>
      <c r="D3463" s="444" t="s">
        <v>38</v>
      </c>
      <c r="E3463" s="444" t="s">
        <v>79</v>
      </c>
      <c r="F3463" s="37">
        <v>3.4</v>
      </c>
      <c r="G3463" s="443">
        <f t="shared" si="842"/>
        <v>21.419999999999998</v>
      </c>
      <c r="H3463" s="443">
        <v>24</v>
      </c>
      <c r="I3463" s="445">
        <f t="shared" si="843"/>
        <v>514.07999999999993</v>
      </c>
      <c r="J3463" s="446">
        <v>500</v>
      </c>
    </row>
    <row r="3464" spans="1:10" x14ac:dyDescent="0.25">
      <c r="A3464" s="31" t="s">
        <v>663</v>
      </c>
      <c r="B3464" s="449" t="s">
        <v>317</v>
      </c>
      <c r="C3464" s="450" t="s">
        <v>156</v>
      </c>
      <c r="D3464" s="42">
        <v>45</v>
      </c>
      <c r="E3464" s="450" t="s">
        <v>79</v>
      </c>
      <c r="F3464" s="43">
        <v>10.8</v>
      </c>
      <c r="G3464" s="443">
        <f t="shared" si="842"/>
        <v>68.040000000000006</v>
      </c>
      <c r="H3464" s="443">
        <v>24</v>
      </c>
      <c r="I3464" s="445">
        <f t="shared" si="843"/>
        <v>1632.96</v>
      </c>
      <c r="J3464" s="446">
        <v>1600</v>
      </c>
    </row>
    <row r="3465" spans="1:10" x14ac:dyDescent="0.25">
      <c r="A3465" s="31" t="s">
        <v>663</v>
      </c>
      <c r="B3465" s="443" t="s">
        <v>325</v>
      </c>
      <c r="C3465" s="444" t="s">
        <v>158</v>
      </c>
      <c r="D3465" s="452">
        <v>31</v>
      </c>
      <c r="E3465" s="444" t="s">
        <v>79</v>
      </c>
      <c r="F3465" s="43">
        <v>7.5</v>
      </c>
      <c r="G3465" s="443">
        <f t="shared" si="842"/>
        <v>47.25</v>
      </c>
      <c r="H3465" s="443">
        <v>24</v>
      </c>
      <c r="I3465" s="445">
        <f t="shared" si="843"/>
        <v>1134</v>
      </c>
      <c r="J3465" s="446">
        <v>1000</v>
      </c>
    </row>
    <row r="3466" spans="1:10" ht="15.75" thickBot="1" x14ac:dyDescent="0.3">
      <c r="A3466" s="31" t="s">
        <v>663</v>
      </c>
      <c r="B3466" s="451" t="s">
        <v>326</v>
      </c>
      <c r="C3466" s="453" t="s">
        <v>152</v>
      </c>
      <c r="D3466" s="454">
        <v>21</v>
      </c>
      <c r="E3466" s="450" t="s">
        <v>79</v>
      </c>
      <c r="F3466" s="73">
        <v>9.4</v>
      </c>
      <c r="G3466" s="451">
        <f t="shared" si="842"/>
        <v>59.22</v>
      </c>
      <c r="H3466" s="451">
        <v>24</v>
      </c>
      <c r="I3466" s="456">
        <f t="shared" si="843"/>
        <v>1421.28</v>
      </c>
      <c r="J3466" s="457">
        <v>1300</v>
      </c>
    </row>
    <row r="3467" spans="1:10" ht="19.5" thickBot="1" x14ac:dyDescent="0.35">
      <c r="A3467" s="206"/>
      <c r="B3467" s="458"/>
      <c r="C3467" s="458"/>
      <c r="D3467" s="458"/>
      <c r="E3467" s="458"/>
      <c r="F3467" s="458"/>
      <c r="G3467" s="459"/>
      <c r="H3467" s="460" t="s">
        <v>171</v>
      </c>
      <c r="I3467" s="461">
        <f>SUM(I3461:I3466)</f>
        <v>7166.88</v>
      </c>
      <c r="J3467" s="462">
        <v>6700</v>
      </c>
    </row>
    <row r="3468" spans="1:10" x14ac:dyDescent="0.25">
      <c r="A3468" s="31" t="s">
        <v>664</v>
      </c>
      <c r="B3468" s="443" t="s">
        <v>322</v>
      </c>
      <c r="C3468" s="444" t="s">
        <v>114</v>
      </c>
      <c r="D3468" s="444">
        <v>28</v>
      </c>
      <c r="E3468" s="444" t="s">
        <v>79</v>
      </c>
      <c r="F3468" s="109">
        <v>6.9</v>
      </c>
      <c r="G3468" s="443">
        <f t="shared" ref="G3468:G3473" si="844">F3468*6.3</f>
        <v>43.47</v>
      </c>
      <c r="H3468" s="443">
        <v>24</v>
      </c>
      <c r="I3468" s="445">
        <f t="shared" ref="I3468:I3473" si="845">G3468*H3468</f>
        <v>1043.28</v>
      </c>
      <c r="J3468" s="446">
        <v>900</v>
      </c>
    </row>
    <row r="3469" spans="1:10" x14ac:dyDescent="0.25">
      <c r="A3469" s="31" t="s">
        <v>664</v>
      </c>
      <c r="B3469" s="443" t="s">
        <v>323</v>
      </c>
      <c r="C3469" s="444" t="s">
        <v>86</v>
      </c>
      <c r="D3469" s="444" t="s">
        <v>38</v>
      </c>
      <c r="E3469" s="444" t="s">
        <v>79</v>
      </c>
      <c r="F3469" s="38">
        <v>9.6999999999999993</v>
      </c>
      <c r="G3469" s="443">
        <f t="shared" si="844"/>
        <v>61.109999999999992</v>
      </c>
      <c r="H3469" s="443">
        <v>24</v>
      </c>
      <c r="I3469" s="445">
        <f t="shared" si="845"/>
        <v>1466.6399999999999</v>
      </c>
      <c r="J3469" s="446">
        <v>1400</v>
      </c>
    </row>
    <row r="3470" spans="1:10" x14ac:dyDescent="0.25">
      <c r="A3470" s="31" t="s">
        <v>664</v>
      </c>
      <c r="B3470" s="448" t="s">
        <v>324</v>
      </c>
      <c r="C3470" s="444" t="s">
        <v>443</v>
      </c>
      <c r="D3470" s="444" t="s">
        <v>38</v>
      </c>
      <c r="E3470" s="444" t="s">
        <v>79</v>
      </c>
      <c r="F3470" s="37">
        <v>3.4</v>
      </c>
      <c r="G3470" s="443">
        <f t="shared" si="844"/>
        <v>21.419999999999998</v>
      </c>
      <c r="H3470" s="443">
        <v>24</v>
      </c>
      <c r="I3470" s="445">
        <f t="shared" si="845"/>
        <v>514.07999999999993</v>
      </c>
      <c r="J3470" s="446">
        <v>500</v>
      </c>
    </row>
    <row r="3471" spans="1:10" x14ac:dyDescent="0.25">
      <c r="A3471" s="31" t="s">
        <v>664</v>
      </c>
      <c r="B3471" s="449" t="s">
        <v>317</v>
      </c>
      <c r="C3471" s="450" t="s">
        <v>156</v>
      </c>
      <c r="D3471" s="42">
        <v>44</v>
      </c>
      <c r="E3471" s="450" t="s">
        <v>79</v>
      </c>
      <c r="F3471" s="43">
        <v>10.6</v>
      </c>
      <c r="G3471" s="443">
        <f t="shared" si="844"/>
        <v>66.78</v>
      </c>
      <c r="H3471" s="443">
        <v>24</v>
      </c>
      <c r="I3471" s="445">
        <f t="shared" si="845"/>
        <v>1602.72</v>
      </c>
      <c r="J3471" s="446">
        <v>1600</v>
      </c>
    </row>
    <row r="3472" spans="1:10" x14ac:dyDescent="0.25">
      <c r="A3472" s="31" t="s">
        <v>664</v>
      </c>
      <c r="B3472" s="443" t="s">
        <v>325</v>
      </c>
      <c r="C3472" s="444" t="s">
        <v>158</v>
      </c>
      <c r="D3472" s="452">
        <v>33</v>
      </c>
      <c r="E3472" s="444" t="s">
        <v>79</v>
      </c>
      <c r="F3472" s="43">
        <v>7.8</v>
      </c>
      <c r="G3472" s="443">
        <f t="shared" si="844"/>
        <v>49.14</v>
      </c>
      <c r="H3472" s="443">
        <v>24</v>
      </c>
      <c r="I3472" s="445">
        <f t="shared" si="845"/>
        <v>1179.3600000000001</v>
      </c>
      <c r="J3472" s="446">
        <v>1000</v>
      </c>
    </row>
    <row r="3473" spans="1:10" ht="15.75" thickBot="1" x14ac:dyDescent="0.3">
      <c r="A3473" s="31" t="s">
        <v>664</v>
      </c>
      <c r="B3473" s="451" t="s">
        <v>326</v>
      </c>
      <c r="C3473" s="453" t="s">
        <v>152</v>
      </c>
      <c r="D3473" s="454">
        <v>24</v>
      </c>
      <c r="E3473" s="450" t="s">
        <v>79</v>
      </c>
      <c r="F3473" s="73">
        <v>9</v>
      </c>
      <c r="G3473" s="451">
        <f t="shared" si="844"/>
        <v>56.699999999999996</v>
      </c>
      <c r="H3473" s="451">
        <v>24</v>
      </c>
      <c r="I3473" s="456">
        <f t="shared" si="845"/>
        <v>1360.8</v>
      </c>
      <c r="J3473" s="457">
        <v>1300</v>
      </c>
    </row>
    <row r="3474" spans="1:10" ht="19.5" thickBot="1" x14ac:dyDescent="0.35">
      <c r="A3474" s="206"/>
      <c r="B3474" s="458"/>
      <c r="C3474" s="458"/>
      <c r="D3474" s="458"/>
      <c r="E3474" s="458"/>
      <c r="F3474" s="458"/>
      <c r="G3474" s="459"/>
      <c r="H3474" s="460" t="s">
        <v>171</v>
      </c>
      <c r="I3474" s="461">
        <f>SUM(I3468:I3473)</f>
        <v>7166.88</v>
      </c>
      <c r="J3474" s="462">
        <v>6700</v>
      </c>
    </row>
    <row r="3475" spans="1:10" x14ac:dyDescent="0.25">
      <c r="A3475" s="31" t="s">
        <v>665</v>
      </c>
      <c r="B3475" s="443" t="s">
        <v>322</v>
      </c>
      <c r="C3475" s="444" t="s">
        <v>114</v>
      </c>
      <c r="D3475" s="444">
        <v>32</v>
      </c>
      <c r="E3475" s="444" t="s">
        <v>79</v>
      </c>
      <c r="F3475" s="109">
        <v>6.7</v>
      </c>
      <c r="G3475" s="443">
        <f t="shared" ref="G3475:G3480" si="846">F3475*6.3</f>
        <v>42.21</v>
      </c>
      <c r="H3475" s="443">
        <v>24</v>
      </c>
      <c r="I3475" s="445">
        <f t="shared" ref="I3475:I3480" si="847">G3475*H3475</f>
        <v>1013.04</v>
      </c>
      <c r="J3475" s="446">
        <v>900</v>
      </c>
    </row>
    <row r="3476" spans="1:10" x14ac:dyDescent="0.25">
      <c r="A3476" s="31" t="s">
        <v>665</v>
      </c>
      <c r="B3476" s="443" t="s">
        <v>323</v>
      </c>
      <c r="C3476" s="444" t="s">
        <v>86</v>
      </c>
      <c r="D3476" s="444" t="s">
        <v>38</v>
      </c>
      <c r="E3476" s="444" t="s">
        <v>79</v>
      </c>
      <c r="F3476" s="38">
        <v>9.6999999999999993</v>
      </c>
      <c r="G3476" s="443">
        <f t="shared" si="846"/>
        <v>61.109999999999992</v>
      </c>
      <c r="H3476" s="443">
        <v>24</v>
      </c>
      <c r="I3476" s="445">
        <f t="shared" si="847"/>
        <v>1466.6399999999999</v>
      </c>
      <c r="J3476" s="446">
        <v>1400</v>
      </c>
    </row>
    <row r="3477" spans="1:10" x14ac:dyDescent="0.25">
      <c r="A3477" s="31" t="s">
        <v>665</v>
      </c>
      <c r="B3477" s="448" t="s">
        <v>324</v>
      </c>
      <c r="C3477" s="444" t="s">
        <v>443</v>
      </c>
      <c r="D3477" s="444" t="s">
        <v>38</v>
      </c>
      <c r="E3477" s="444" t="s">
        <v>79</v>
      </c>
      <c r="F3477" s="37">
        <v>3.4</v>
      </c>
      <c r="G3477" s="443">
        <f t="shared" si="846"/>
        <v>21.419999999999998</v>
      </c>
      <c r="H3477" s="443">
        <v>24</v>
      </c>
      <c r="I3477" s="445">
        <f t="shared" si="847"/>
        <v>514.07999999999993</v>
      </c>
      <c r="J3477" s="446">
        <v>500</v>
      </c>
    </row>
    <row r="3478" spans="1:10" x14ac:dyDescent="0.25">
      <c r="A3478" s="31" t="s">
        <v>665</v>
      </c>
      <c r="B3478" s="449" t="s">
        <v>317</v>
      </c>
      <c r="C3478" s="450" t="s">
        <v>156</v>
      </c>
      <c r="D3478" s="42">
        <v>45</v>
      </c>
      <c r="E3478" s="450" t="s">
        <v>79</v>
      </c>
      <c r="F3478" s="43">
        <v>10.8</v>
      </c>
      <c r="G3478" s="443">
        <f t="shared" si="846"/>
        <v>68.040000000000006</v>
      </c>
      <c r="H3478" s="443">
        <v>24</v>
      </c>
      <c r="I3478" s="445">
        <f t="shared" si="847"/>
        <v>1632.96</v>
      </c>
      <c r="J3478" s="446">
        <v>1600</v>
      </c>
    </row>
    <row r="3479" spans="1:10" x14ac:dyDescent="0.25">
      <c r="A3479" s="31" t="s">
        <v>665</v>
      </c>
      <c r="B3479" s="443" t="s">
        <v>325</v>
      </c>
      <c r="C3479" s="444" t="s">
        <v>158</v>
      </c>
      <c r="D3479" s="452">
        <v>35</v>
      </c>
      <c r="E3479" s="444" t="s">
        <v>79</v>
      </c>
      <c r="F3479" s="43">
        <v>7.8</v>
      </c>
      <c r="G3479" s="443">
        <f t="shared" si="846"/>
        <v>49.14</v>
      </c>
      <c r="H3479" s="443">
        <v>24</v>
      </c>
      <c r="I3479" s="445">
        <f t="shared" si="847"/>
        <v>1179.3600000000001</v>
      </c>
      <c r="J3479" s="446">
        <v>1000</v>
      </c>
    </row>
    <row r="3480" spans="1:10" ht="15.75" thickBot="1" x14ac:dyDescent="0.3">
      <c r="A3480" s="31" t="s">
        <v>665</v>
      </c>
      <c r="B3480" s="451" t="s">
        <v>326</v>
      </c>
      <c r="C3480" s="453" t="s">
        <v>152</v>
      </c>
      <c r="D3480" s="454">
        <v>26</v>
      </c>
      <c r="E3480" s="450" t="s">
        <v>79</v>
      </c>
      <c r="F3480" s="73">
        <v>8.8000000000000007</v>
      </c>
      <c r="G3480" s="451">
        <f t="shared" si="846"/>
        <v>55.440000000000005</v>
      </c>
      <c r="H3480" s="451">
        <v>24</v>
      </c>
      <c r="I3480" s="456">
        <f t="shared" si="847"/>
        <v>1330.5600000000002</v>
      </c>
      <c r="J3480" s="457">
        <v>1300</v>
      </c>
    </row>
    <row r="3481" spans="1:10" ht="19.5" thickBot="1" x14ac:dyDescent="0.35">
      <c r="A3481" s="206"/>
      <c r="B3481" s="458"/>
      <c r="C3481" s="458"/>
      <c r="D3481" s="458"/>
      <c r="E3481" s="458"/>
      <c r="F3481" s="458"/>
      <c r="G3481" s="459"/>
      <c r="H3481" s="460" t="s">
        <v>171</v>
      </c>
      <c r="I3481" s="461">
        <f>SUM(I3475:I3480)</f>
        <v>7136.64</v>
      </c>
      <c r="J3481" s="462">
        <v>6700</v>
      </c>
    </row>
    <row r="3482" spans="1:10" x14ac:dyDescent="0.25">
      <c r="A3482" s="31" t="s">
        <v>666</v>
      </c>
      <c r="B3482" s="443" t="s">
        <v>322</v>
      </c>
      <c r="C3482" s="444" t="s">
        <v>114</v>
      </c>
      <c r="D3482" s="444">
        <v>30</v>
      </c>
      <c r="E3482" s="444" t="s">
        <v>79</v>
      </c>
      <c r="F3482" s="109">
        <v>7</v>
      </c>
      <c r="G3482" s="443">
        <f t="shared" ref="G3482:G3487" si="848">F3482*6.3</f>
        <v>44.1</v>
      </c>
      <c r="H3482" s="443">
        <v>24</v>
      </c>
      <c r="I3482" s="445">
        <f t="shared" ref="I3482:I3487" si="849">G3482*H3482</f>
        <v>1058.4000000000001</v>
      </c>
      <c r="J3482" s="446">
        <v>900</v>
      </c>
    </row>
    <row r="3483" spans="1:10" x14ac:dyDescent="0.25">
      <c r="A3483" s="31" t="s">
        <v>666</v>
      </c>
      <c r="B3483" s="443" t="s">
        <v>323</v>
      </c>
      <c r="C3483" s="444" t="s">
        <v>86</v>
      </c>
      <c r="D3483" s="444" t="s">
        <v>38</v>
      </c>
      <c r="E3483" s="444" t="s">
        <v>79</v>
      </c>
      <c r="F3483" s="38">
        <v>9.6</v>
      </c>
      <c r="G3483" s="443">
        <f t="shared" si="848"/>
        <v>60.48</v>
      </c>
      <c r="H3483" s="443">
        <v>24</v>
      </c>
      <c r="I3483" s="445">
        <f t="shared" si="849"/>
        <v>1451.52</v>
      </c>
      <c r="J3483" s="446">
        <v>1400</v>
      </c>
    </row>
    <row r="3484" spans="1:10" x14ac:dyDescent="0.25">
      <c r="A3484" s="31" t="s">
        <v>666</v>
      </c>
      <c r="B3484" s="448" t="s">
        <v>324</v>
      </c>
      <c r="C3484" s="444" t="s">
        <v>443</v>
      </c>
      <c r="D3484" s="444" t="s">
        <v>38</v>
      </c>
      <c r="E3484" s="444" t="s">
        <v>79</v>
      </c>
      <c r="F3484" s="37">
        <v>3.4</v>
      </c>
      <c r="G3484" s="443">
        <f t="shared" si="848"/>
        <v>21.419999999999998</v>
      </c>
      <c r="H3484" s="443">
        <v>24</v>
      </c>
      <c r="I3484" s="445">
        <f t="shared" si="849"/>
        <v>514.07999999999993</v>
      </c>
      <c r="J3484" s="446">
        <v>500</v>
      </c>
    </row>
    <row r="3485" spans="1:10" x14ac:dyDescent="0.25">
      <c r="A3485" s="31" t="s">
        <v>666</v>
      </c>
      <c r="B3485" s="449" t="s">
        <v>317</v>
      </c>
      <c r="C3485" s="450" t="s">
        <v>156</v>
      </c>
      <c r="D3485" s="42">
        <v>46</v>
      </c>
      <c r="E3485" s="450" t="s">
        <v>79</v>
      </c>
      <c r="F3485" s="43">
        <v>10.8</v>
      </c>
      <c r="G3485" s="443">
        <f t="shared" si="848"/>
        <v>68.040000000000006</v>
      </c>
      <c r="H3485" s="443">
        <v>24</v>
      </c>
      <c r="I3485" s="445">
        <f t="shared" si="849"/>
        <v>1632.96</v>
      </c>
      <c r="J3485" s="446">
        <v>1600</v>
      </c>
    </row>
    <row r="3486" spans="1:10" x14ac:dyDescent="0.25">
      <c r="A3486" s="31" t="s">
        <v>666</v>
      </c>
      <c r="B3486" s="443" t="s">
        <v>325</v>
      </c>
      <c r="C3486" s="444" t="s">
        <v>158</v>
      </c>
      <c r="D3486" s="452">
        <v>37</v>
      </c>
      <c r="E3486" s="444" t="s">
        <v>79</v>
      </c>
      <c r="F3486" s="43">
        <v>7.5</v>
      </c>
      <c r="G3486" s="443">
        <f t="shared" si="848"/>
        <v>47.25</v>
      </c>
      <c r="H3486" s="443">
        <v>24</v>
      </c>
      <c r="I3486" s="445">
        <f t="shared" si="849"/>
        <v>1134</v>
      </c>
      <c r="J3486" s="446">
        <v>1000</v>
      </c>
    </row>
    <row r="3487" spans="1:10" ht="15.75" thickBot="1" x14ac:dyDescent="0.3">
      <c r="A3487" s="31" t="s">
        <v>666</v>
      </c>
      <c r="B3487" s="451" t="s">
        <v>326</v>
      </c>
      <c r="C3487" s="453" t="s">
        <v>152</v>
      </c>
      <c r="D3487" s="454">
        <v>28</v>
      </c>
      <c r="E3487" s="450" t="s">
        <v>79</v>
      </c>
      <c r="F3487" s="73">
        <v>8.8000000000000007</v>
      </c>
      <c r="G3487" s="451">
        <f t="shared" si="848"/>
        <v>55.440000000000005</v>
      </c>
      <c r="H3487" s="451">
        <v>24</v>
      </c>
      <c r="I3487" s="456">
        <f t="shared" si="849"/>
        <v>1330.5600000000002</v>
      </c>
      <c r="J3487" s="457">
        <v>1300</v>
      </c>
    </row>
    <row r="3488" spans="1:10" ht="19.5" thickBot="1" x14ac:dyDescent="0.35">
      <c r="A3488" s="206"/>
      <c r="B3488" s="458"/>
      <c r="C3488" s="458"/>
      <c r="D3488" s="458"/>
      <c r="E3488" s="458"/>
      <c r="F3488" s="458"/>
      <c r="G3488" s="459"/>
      <c r="H3488" s="460" t="s">
        <v>171</v>
      </c>
      <c r="I3488" s="461">
        <f>SUM(I3482:I3487)</f>
        <v>7121.52</v>
      </c>
      <c r="J3488" s="462">
        <v>6700</v>
      </c>
    </row>
    <row r="3489" spans="1:11" x14ac:dyDescent="0.25">
      <c r="A3489" s="31" t="s">
        <v>667</v>
      </c>
      <c r="B3489" s="443" t="s">
        <v>322</v>
      </c>
      <c r="C3489" s="444" t="s">
        <v>114</v>
      </c>
      <c r="D3489" s="444">
        <v>15</v>
      </c>
      <c r="E3489" s="444" t="s">
        <v>79</v>
      </c>
      <c r="F3489" s="109">
        <v>6.9</v>
      </c>
      <c r="G3489" s="443">
        <f t="shared" ref="G3489:G3494" si="850">F3489*6.3</f>
        <v>43.47</v>
      </c>
      <c r="H3489" s="443">
        <v>20</v>
      </c>
      <c r="I3489" s="445">
        <f t="shared" ref="I3489:I3494" si="851">G3489*H3489</f>
        <v>869.4</v>
      </c>
      <c r="J3489" s="446">
        <v>900</v>
      </c>
    </row>
    <row r="3490" spans="1:11" x14ac:dyDescent="0.25">
      <c r="A3490" s="31" t="s">
        <v>667</v>
      </c>
      <c r="B3490" s="443" t="s">
        <v>323</v>
      </c>
      <c r="C3490" s="444" t="s">
        <v>86</v>
      </c>
      <c r="D3490" s="444" t="s">
        <v>38</v>
      </c>
      <c r="E3490" s="444" t="s">
        <v>79</v>
      </c>
      <c r="F3490" s="38">
        <v>9.6</v>
      </c>
      <c r="G3490" s="443">
        <f t="shared" si="850"/>
        <v>60.48</v>
      </c>
      <c r="H3490" s="443">
        <v>20</v>
      </c>
      <c r="I3490" s="445">
        <f t="shared" si="851"/>
        <v>1209.5999999999999</v>
      </c>
      <c r="J3490" s="446">
        <v>1400</v>
      </c>
    </row>
    <row r="3491" spans="1:11" x14ac:dyDescent="0.25">
      <c r="A3491" s="31" t="s">
        <v>667</v>
      </c>
      <c r="B3491" s="448" t="s">
        <v>324</v>
      </c>
      <c r="C3491" s="444" t="s">
        <v>443</v>
      </c>
      <c r="D3491" s="444" t="s">
        <v>38</v>
      </c>
      <c r="E3491" s="444" t="s">
        <v>79</v>
      </c>
      <c r="F3491" s="37">
        <v>3.4</v>
      </c>
      <c r="G3491" s="443">
        <f t="shared" si="850"/>
        <v>21.419999999999998</v>
      </c>
      <c r="H3491" s="443">
        <v>20</v>
      </c>
      <c r="I3491" s="445">
        <f t="shared" si="851"/>
        <v>428.4</v>
      </c>
      <c r="J3491" s="446">
        <v>500</v>
      </c>
    </row>
    <row r="3492" spans="1:11" x14ac:dyDescent="0.25">
      <c r="A3492" s="31" t="s">
        <v>667</v>
      </c>
      <c r="B3492" s="449" t="s">
        <v>317</v>
      </c>
      <c r="C3492" s="450" t="s">
        <v>156</v>
      </c>
      <c r="D3492" s="42">
        <v>32</v>
      </c>
      <c r="E3492" s="450" t="s">
        <v>79</v>
      </c>
      <c r="F3492" s="43">
        <v>10.8</v>
      </c>
      <c r="G3492" s="443">
        <f t="shared" si="850"/>
        <v>68.040000000000006</v>
      </c>
      <c r="H3492" s="443">
        <v>20</v>
      </c>
      <c r="I3492" s="445">
        <f t="shared" si="851"/>
        <v>1360.8000000000002</v>
      </c>
      <c r="J3492" s="446">
        <v>1600</v>
      </c>
    </row>
    <row r="3493" spans="1:11" x14ac:dyDescent="0.25">
      <c r="A3493" s="31" t="s">
        <v>667</v>
      </c>
      <c r="B3493" s="443" t="s">
        <v>325</v>
      </c>
      <c r="C3493" s="444" t="s">
        <v>158</v>
      </c>
      <c r="D3493" s="452">
        <v>21</v>
      </c>
      <c r="E3493" s="444" t="s">
        <v>79</v>
      </c>
      <c r="F3493" s="43">
        <v>7.4</v>
      </c>
      <c r="G3493" s="443">
        <f t="shared" si="850"/>
        <v>46.62</v>
      </c>
      <c r="H3493" s="443">
        <v>20</v>
      </c>
      <c r="I3493" s="445">
        <f t="shared" si="851"/>
        <v>932.4</v>
      </c>
      <c r="J3493" s="446">
        <v>1000</v>
      </c>
    </row>
    <row r="3494" spans="1:11" ht="15.75" thickBot="1" x14ac:dyDescent="0.3">
      <c r="A3494" s="31" t="s">
        <v>667</v>
      </c>
      <c r="B3494" s="451" t="s">
        <v>326</v>
      </c>
      <c r="C3494" s="453" t="s">
        <v>152</v>
      </c>
      <c r="D3494" s="454">
        <v>14</v>
      </c>
      <c r="E3494" s="450" t="s">
        <v>79</v>
      </c>
      <c r="F3494" s="73">
        <v>8.8000000000000007</v>
      </c>
      <c r="G3494" s="451">
        <f t="shared" si="850"/>
        <v>55.440000000000005</v>
      </c>
      <c r="H3494" s="451">
        <v>20</v>
      </c>
      <c r="I3494" s="456">
        <f t="shared" si="851"/>
        <v>1108.8000000000002</v>
      </c>
      <c r="J3494" s="457">
        <v>1300</v>
      </c>
    </row>
    <row r="3495" spans="1:11" ht="19.5" thickBot="1" x14ac:dyDescent="0.35">
      <c r="A3495" s="206"/>
      <c r="B3495" s="458"/>
      <c r="C3495" s="458"/>
      <c r="D3495" s="458"/>
      <c r="E3495" s="458"/>
      <c r="F3495" s="458"/>
      <c r="G3495" s="459"/>
      <c r="H3495" s="460" t="s">
        <v>171</v>
      </c>
      <c r="I3495" s="461">
        <f>SUM(I3489:I3494)</f>
        <v>5909.4000000000005</v>
      </c>
      <c r="J3495" s="462">
        <v>6700</v>
      </c>
      <c r="K3495" s="479" t="s">
        <v>668</v>
      </c>
    </row>
    <row r="3496" spans="1:11" x14ac:dyDescent="0.25">
      <c r="A3496" s="31" t="s">
        <v>669</v>
      </c>
      <c r="B3496" s="443" t="s">
        <v>322</v>
      </c>
      <c r="C3496" s="444" t="s">
        <v>114</v>
      </c>
      <c r="D3496" s="444">
        <v>30</v>
      </c>
      <c r="E3496" s="444" t="s">
        <v>79</v>
      </c>
      <c r="F3496" s="109">
        <v>7</v>
      </c>
      <c r="G3496" s="443">
        <f t="shared" ref="G3496:G3501" si="852">F3496*6.3</f>
        <v>44.1</v>
      </c>
      <c r="H3496" s="443">
        <v>24</v>
      </c>
      <c r="I3496" s="445">
        <f t="shared" ref="I3496:I3501" si="853">G3496*H3496</f>
        <v>1058.4000000000001</v>
      </c>
      <c r="J3496" s="446">
        <v>900</v>
      </c>
    </row>
    <row r="3497" spans="1:11" x14ac:dyDescent="0.25">
      <c r="A3497" s="31" t="s">
        <v>669</v>
      </c>
      <c r="B3497" s="443" t="s">
        <v>323</v>
      </c>
      <c r="C3497" s="444" t="s">
        <v>86</v>
      </c>
      <c r="D3497" s="444" t="s">
        <v>38</v>
      </c>
      <c r="E3497" s="444" t="s">
        <v>79</v>
      </c>
      <c r="F3497" s="38">
        <v>9.6999999999999993</v>
      </c>
      <c r="G3497" s="443">
        <f t="shared" si="852"/>
        <v>61.109999999999992</v>
      </c>
      <c r="H3497" s="443">
        <v>24</v>
      </c>
      <c r="I3497" s="445">
        <f t="shared" si="853"/>
        <v>1466.6399999999999</v>
      </c>
      <c r="J3497" s="446">
        <v>1400</v>
      </c>
    </row>
    <row r="3498" spans="1:11" x14ac:dyDescent="0.25">
      <c r="A3498" s="31" t="s">
        <v>669</v>
      </c>
      <c r="B3498" s="448" t="s">
        <v>324</v>
      </c>
      <c r="C3498" s="444" t="s">
        <v>443</v>
      </c>
      <c r="D3498" s="444" t="s">
        <v>38</v>
      </c>
      <c r="E3498" s="444" t="s">
        <v>79</v>
      </c>
      <c r="F3498" s="37">
        <v>3.4</v>
      </c>
      <c r="G3498" s="443">
        <f t="shared" si="852"/>
        <v>21.419999999999998</v>
      </c>
      <c r="H3498" s="443">
        <v>24</v>
      </c>
      <c r="I3498" s="445">
        <f t="shared" si="853"/>
        <v>514.07999999999993</v>
      </c>
      <c r="J3498" s="446">
        <v>500</v>
      </c>
    </row>
    <row r="3499" spans="1:11" x14ac:dyDescent="0.25">
      <c r="A3499" s="31" t="s">
        <v>669</v>
      </c>
      <c r="B3499" s="449" t="s">
        <v>317</v>
      </c>
      <c r="C3499" s="450" t="s">
        <v>156</v>
      </c>
      <c r="D3499" s="42">
        <v>42</v>
      </c>
      <c r="E3499" s="450" t="s">
        <v>79</v>
      </c>
      <c r="F3499" s="43">
        <v>10.9</v>
      </c>
      <c r="G3499" s="443">
        <f t="shared" si="852"/>
        <v>68.67</v>
      </c>
      <c r="H3499" s="443">
        <v>24</v>
      </c>
      <c r="I3499" s="445">
        <f t="shared" si="853"/>
        <v>1648.08</v>
      </c>
      <c r="J3499" s="446">
        <v>1600</v>
      </c>
    </row>
    <row r="3500" spans="1:11" x14ac:dyDescent="0.25">
      <c r="A3500" s="31" t="s">
        <v>669</v>
      </c>
      <c r="B3500" s="443" t="s">
        <v>325</v>
      </c>
      <c r="C3500" s="444" t="s">
        <v>158</v>
      </c>
      <c r="D3500" s="452">
        <v>33</v>
      </c>
      <c r="E3500" s="444" t="s">
        <v>79</v>
      </c>
      <c r="F3500" s="43">
        <v>7.3</v>
      </c>
      <c r="G3500" s="443">
        <f t="shared" si="852"/>
        <v>45.989999999999995</v>
      </c>
      <c r="H3500" s="443">
        <v>24</v>
      </c>
      <c r="I3500" s="445">
        <f t="shared" si="853"/>
        <v>1103.7599999999998</v>
      </c>
      <c r="J3500" s="446">
        <v>1000</v>
      </c>
    </row>
    <row r="3501" spans="1:11" ht="15.75" thickBot="1" x14ac:dyDescent="0.3">
      <c r="A3501" s="31" t="s">
        <v>669</v>
      </c>
      <c r="B3501" s="451" t="s">
        <v>326</v>
      </c>
      <c r="C3501" s="453" t="s">
        <v>152</v>
      </c>
      <c r="D3501" s="454">
        <v>25</v>
      </c>
      <c r="E3501" s="450" t="s">
        <v>79</v>
      </c>
      <c r="F3501" s="73">
        <v>9</v>
      </c>
      <c r="G3501" s="451">
        <f t="shared" si="852"/>
        <v>56.699999999999996</v>
      </c>
      <c r="H3501" s="451">
        <v>24</v>
      </c>
      <c r="I3501" s="456">
        <f t="shared" si="853"/>
        <v>1360.8</v>
      </c>
      <c r="J3501" s="457">
        <v>1300</v>
      </c>
    </row>
    <row r="3502" spans="1:11" ht="19.5" thickBot="1" x14ac:dyDescent="0.35">
      <c r="A3502" s="206"/>
      <c r="B3502" s="458"/>
      <c r="C3502" s="458"/>
      <c r="D3502" s="458"/>
      <c r="E3502" s="458"/>
      <c r="F3502" s="458"/>
      <c r="G3502" s="459"/>
      <c r="H3502" s="460" t="s">
        <v>171</v>
      </c>
      <c r="I3502" s="461">
        <f>SUM(I3496:I3501)</f>
        <v>7151.7599999999993</v>
      </c>
      <c r="J3502" s="462">
        <v>6700</v>
      </c>
    </row>
    <row r="3503" spans="1:11" x14ac:dyDescent="0.25">
      <c r="A3503" s="31" t="s">
        <v>670</v>
      </c>
      <c r="B3503" s="443" t="s">
        <v>322</v>
      </c>
      <c r="C3503" s="444" t="s">
        <v>114</v>
      </c>
      <c r="D3503" s="444">
        <v>8.0299999999999994</v>
      </c>
      <c r="E3503" s="444" t="s">
        <v>79</v>
      </c>
      <c r="F3503" s="109">
        <v>7</v>
      </c>
      <c r="G3503" s="443">
        <f t="shared" ref="G3503:G3508" si="854">F3503*6.3</f>
        <v>44.1</v>
      </c>
      <c r="H3503" s="443">
        <v>24</v>
      </c>
      <c r="I3503" s="445">
        <f t="shared" ref="I3503:I3508" si="855">G3503*H3503</f>
        <v>1058.4000000000001</v>
      </c>
      <c r="J3503" s="446">
        <v>900</v>
      </c>
    </row>
    <row r="3504" spans="1:11" x14ac:dyDescent="0.25">
      <c r="A3504" s="31" t="s">
        <v>670</v>
      </c>
      <c r="B3504" s="443" t="s">
        <v>323</v>
      </c>
      <c r="C3504" s="444" t="s">
        <v>86</v>
      </c>
      <c r="D3504" s="444" t="s">
        <v>38</v>
      </c>
      <c r="E3504" s="444" t="s">
        <v>79</v>
      </c>
      <c r="F3504" s="38">
        <v>9.7200000000000006</v>
      </c>
      <c r="G3504" s="443">
        <f t="shared" si="854"/>
        <v>61.236000000000004</v>
      </c>
      <c r="H3504" s="443">
        <v>24</v>
      </c>
      <c r="I3504" s="445">
        <f t="shared" si="855"/>
        <v>1469.6640000000002</v>
      </c>
      <c r="J3504" s="446">
        <v>1400</v>
      </c>
    </row>
    <row r="3505" spans="1:10" x14ac:dyDescent="0.25">
      <c r="A3505" s="31" t="s">
        <v>670</v>
      </c>
      <c r="B3505" s="448" t="s">
        <v>324</v>
      </c>
      <c r="C3505" s="444" t="s">
        <v>443</v>
      </c>
      <c r="D3505" s="444" t="s">
        <v>38</v>
      </c>
      <c r="E3505" s="444" t="s">
        <v>79</v>
      </c>
      <c r="F3505" s="37">
        <v>3.42</v>
      </c>
      <c r="G3505" s="443">
        <f t="shared" si="854"/>
        <v>21.545999999999999</v>
      </c>
      <c r="H3505" s="443">
        <v>24</v>
      </c>
      <c r="I3505" s="445">
        <f t="shared" si="855"/>
        <v>517.10400000000004</v>
      </c>
      <c r="J3505" s="446">
        <v>500</v>
      </c>
    </row>
    <row r="3506" spans="1:10" x14ac:dyDescent="0.25">
      <c r="A3506" s="31" t="s">
        <v>670</v>
      </c>
      <c r="B3506" s="449" t="s">
        <v>317</v>
      </c>
      <c r="C3506" s="450" t="s">
        <v>156</v>
      </c>
      <c r="D3506" s="42">
        <v>44.19</v>
      </c>
      <c r="E3506" s="450" t="s">
        <v>79</v>
      </c>
      <c r="F3506" s="43">
        <v>10.7</v>
      </c>
      <c r="G3506" s="443">
        <f t="shared" si="854"/>
        <v>67.41</v>
      </c>
      <c r="H3506" s="443">
        <v>24</v>
      </c>
      <c r="I3506" s="445">
        <f t="shared" si="855"/>
        <v>1617.84</v>
      </c>
      <c r="J3506" s="446">
        <v>1600</v>
      </c>
    </row>
    <row r="3507" spans="1:10" x14ac:dyDescent="0.25">
      <c r="A3507" s="31" t="s">
        <v>670</v>
      </c>
      <c r="B3507" s="443" t="s">
        <v>325</v>
      </c>
      <c r="C3507" s="444" t="s">
        <v>158</v>
      </c>
      <c r="D3507" s="452">
        <v>38.909999999999997</v>
      </c>
      <c r="E3507" s="444" t="s">
        <v>79</v>
      </c>
      <c r="F3507" s="43">
        <v>7.33</v>
      </c>
      <c r="G3507" s="443">
        <f t="shared" si="854"/>
        <v>46.179000000000002</v>
      </c>
      <c r="H3507" s="443">
        <v>24</v>
      </c>
      <c r="I3507" s="445">
        <f t="shared" si="855"/>
        <v>1108.296</v>
      </c>
      <c r="J3507" s="446">
        <v>1000</v>
      </c>
    </row>
    <row r="3508" spans="1:10" ht="15.75" thickBot="1" x14ac:dyDescent="0.3">
      <c r="A3508" s="31" t="s">
        <v>670</v>
      </c>
      <c r="B3508" s="451" t="s">
        <v>326</v>
      </c>
      <c r="C3508" s="453" t="s">
        <v>152</v>
      </c>
      <c r="D3508" s="454">
        <v>16.43</v>
      </c>
      <c r="E3508" s="450" t="s">
        <v>79</v>
      </c>
      <c r="F3508" s="73">
        <v>9.08</v>
      </c>
      <c r="G3508" s="451">
        <f t="shared" si="854"/>
        <v>57.204000000000001</v>
      </c>
      <c r="H3508" s="451">
        <v>24</v>
      </c>
      <c r="I3508" s="456">
        <f t="shared" si="855"/>
        <v>1372.896</v>
      </c>
      <c r="J3508" s="457">
        <v>1300</v>
      </c>
    </row>
    <row r="3509" spans="1:10" ht="19.5" thickBot="1" x14ac:dyDescent="0.35">
      <c r="A3509" s="206"/>
      <c r="B3509" s="458"/>
      <c r="C3509" s="458"/>
      <c r="D3509" s="458"/>
      <c r="E3509" s="458"/>
      <c r="F3509" s="458"/>
      <c r="G3509" s="459"/>
      <c r="H3509" s="460" t="s">
        <v>171</v>
      </c>
      <c r="I3509" s="461">
        <f>SUM(I3503:I3508)</f>
        <v>7144.2000000000007</v>
      </c>
      <c r="J3509" s="462">
        <v>6700</v>
      </c>
    </row>
    <row r="3510" spans="1:10" ht="15.75" thickBot="1" x14ac:dyDescent="0.3">
      <c r="A3510" s="146" t="s">
        <v>671</v>
      </c>
      <c r="B3510" s="443" t="s">
        <v>322</v>
      </c>
      <c r="C3510" s="444" t="s">
        <v>114</v>
      </c>
      <c r="D3510" s="444">
        <v>8.0299999999999994</v>
      </c>
      <c r="E3510" s="444" t="s">
        <v>79</v>
      </c>
      <c r="F3510" s="109">
        <v>7.12</v>
      </c>
      <c r="G3510" s="443">
        <f t="shared" ref="G3510:G3515" si="856">F3510*6.3</f>
        <v>44.856000000000002</v>
      </c>
      <c r="H3510" s="443">
        <v>24</v>
      </c>
      <c r="I3510" s="445">
        <f t="shared" ref="I3510:I3515" si="857">G3510*H3510</f>
        <v>1076.5440000000001</v>
      </c>
      <c r="J3510" s="446">
        <v>900</v>
      </c>
    </row>
    <row r="3511" spans="1:10" ht="15.75" thickBot="1" x14ac:dyDescent="0.3">
      <c r="A3511" s="146" t="s">
        <v>671</v>
      </c>
      <c r="B3511" s="443" t="s">
        <v>323</v>
      </c>
      <c r="C3511" s="444" t="s">
        <v>86</v>
      </c>
      <c r="D3511" s="444" t="s">
        <v>38</v>
      </c>
      <c r="E3511" s="444" t="s">
        <v>79</v>
      </c>
      <c r="F3511" s="38">
        <v>9.75</v>
      </c>
      <c r="G3511" s="443">
        <f t="shared" si="856"/>
        <v>61.424999999999997</v>
      </c>
      <c r="H3511" s="443">
        <v>24</v>
      </c>
      <c r="I3511" s="445">
        <f t="shared" si="857"/>
        <v>1474.1999999999998</v>
      </c>
      <c r="J3511" s="446">
        <v>1400</v>
      </c>
    </row>
    <row r="3512" spans="1:10" ht="15.75" thickBot="1" x14ac:dyDescent="0.3">
      <c r="A3512" s="146" t="s">
        <v>671</v>
      </c>
      <c r="B3512" s="448" t="s">
        <v>324</v>
      </c>
      <c r="C3512" s="444" t="s">
        <v>443</v>
      </c>
      <c r="D3512" s="444" t="s">
        <v>38</v>
      </c>
      <c r="E3512" s="444" t="s">
        <v>79</v>
      </c>
      <c r="F3512" s="37">
        <v>3.44</v>
      </c>
      <c r="G3512" s="443">
        <f t="shared" si="856"/>
        <v>21.672000000000001</v>
      </c>
      <c r="H3512" s="443">
        <v>24</v>
      </c>
      <c r="I3512" s="445">
        <f t="shared" si="857"/>
        <v>520.12800000000004</v>
      </c>
      <c r="J3512" s="446">
        <v>500</v>
      </c>
    </row>
    <row r="3513" spans="1:10" ht="15.75" thickBot="1" x14ac:dyDescent="0.3">
      <c r="A3513" s="146" t="s">
        <v>671</v>
      </c>
      <c r="B3513" s="449" t="s">
        <v>317</v>
      </c>
      <c r="C3513" s="450" t="s">
        <v>156</v>
      </c>
      <c r="D3513" s="42">
        <v>44.47</v>
      </c>
      <c r="E3513" s="450" t="s">
        <v>79</v>
      </c>
      <c r="F3513" s="43">
        <v>10.75</v>
      </c>
      <c r="G3513" s="443">
        <f t="shared" si="856"/>
        <v>67.724999999999994</v>
      </c>
      <c r="H3513" s="443">
        <v>24</v>
      </c>
      <c r="I3513" s="445">
        <f t="shared" si="857"/>
        <v>1625.3999999999999</v>
      </c>
      <c r="J3513" s="446">
        <v>1600</v>
      </c>
    </row>
    <row r="3514" spans="1:10" ht="15.75" thickBot="1" x14ac:dyDescent="0.3">
      <c r="A3514" s="146" t="s">
        <v>671</v>
      </c>
      <c r="B3514" s="443" t="s">
        <v>325</v>
      </c>
      <c r="C3514" s="444" t="s">
        <v>158</v>
      </c>
      <c r="D3514" s="452">
        <v>38.909999999999997</v>
      </c>
      <c r="E3514" s="444" t="s">
        <v>79</v>
      </c>
      <c r="F3514" s="43">
        <v>7.35</v>
      </c>
      <c r="G3514" s="443">
        <f t="shared" si="856"/>
        <v>46.305</v>
      </c>
      <c r="H3514" s="443">
        <v>24</v>
      </c>
      <c r="I3514" s="445">
        <f t="shared" si="857"/>
        <v>1111.32</v>
      </c>
      <c r="J3514" s="446">
        <v>1000</v>
      </c>
    </row>
    <row r="3515" spans="1:10" ht="15.75" thickBot="1" x14ac:dyDescent="0.3">
      <c r="A3515" s="146" t="s">
        <v>671</v>
      </c>
      <c r="B3515" s="451" t="s">
        <v>326</v>
      </c>
      <c r="C3515" s="453" t="s">
        <v>152</v>
      </c>
      <c r="D3515" s="454">
        <v>16.43</v>
      </c>
      <c r="E3515" s="450" t="s">
        <v>79</v>
      </c>
      <c r="F3515" s="73">
        <v>9.1</v>
      </c>
      <c r="G3515" s="451">
        <f t="shared" si="856"/>
        <v>57.33</v>
      </c>
      <c r="H3515" s="451">
        <v>24</v>
      </c>
      <c r="I3515" s="456">
        <f t="shared" si="857"/>
        <v>1375.92</v>
      </c>
      <c r="J3515" s="457">
        <v>1300</v>
      </c>
    </row>
    <row r="3516" spans="1:10" ht="19.5" thickBot="1" x14ac:dyDescent="0.35">
      <c r="A3516" s="206"/>
      <c r="B3516" s="458"/>
      <c r="C3516" s="458"/>
      <c r="D3516" s="458"/>
      <c r="E3516" s="458"/>
      <c r="F3516" s="458"/>
      <c r="G3516" s="459"/>
      <c r="H3516" s="460" t="s">
        <v>171</v>
      </c>
      <c r="I3516" s="461">
        <f>SUM(I3510:I3515)</f>
        <v>7183.5119999999997</v>
      </c>
      <c r="J3516" s="462">
        <v>6700</v>
      </c>
    </row>
    <row r="3517" spans="1:10" x14ac:dyDescent="0.25">
      <c r="A3517" s="31" t="s">
        <v>672</v>
      </c>
      <c r="B3517" s="443" t="s">
        <v>322</v>
      </c>
      <c r="C3517" s="444" t="s">
        <v>114</v>
      </c>
      <c r="D3517" s="444">
        <v>26.32</v>
      </c>
      <c r="E3517" s="444" t="s">
        <v>79</v>
      </c>
      <c r="F3517" s="109">
        <v>7.05</v>
      </c>
      <c r="G3517" s="443">
        <f t="shared" ref="G3517:G3522" si="858">F3517*6.3</f>
        <v>44.414999999999999</v>
      </c>
      <c r="H3517" s="443">
        <v>24</v>
      </c>
      <c r="I3517" s="445">
        <f t="shared" ref="I3517:I3522" si="859">G3517*H3517</f>
        <v>1065.96</v>
      </c>
      <c r="J3517" s="446">
        <v>900</v>
      </c>
    </row>
    <row r="3518" spans="1:10" x14ac:dyDescent="0.25">
      <c r="A3518" s="31" t="s">
        <v>672</v>
      </c>
      <c r="B3518" s="443" t="s">
        <v>323</v>
      </c>
      <c r="C3518" s="444" t="s">
        <v>86</v>
      </c>
      <c r="D3518" s="444" t="s">
        <v>38</v>
      </c>
      <c r="E3518" s="444" t="s">
        <v>79</v>
      </c>
      <c r="F3518" s="38">
        <v>9.81</v>
      </c>
      <c r="G3518" s="443">
        <f t="shared" si="858"/>
        <v>61.803000000000004</v>
      </c>
      <c r="H3518" s="443">
        <v>24</v>
      </c>
      <c r="I3518" s="445">
        <f t="shared" si="859"/>
        <v>1483.2720000000002</v>
      </c>
      <c r="J3518" s="446">
        <v>1400</v>
      </c>
    </row>
    <row r="3519" spans="1:10" x14ac:dyDescent="0.25">
      <c r="A3519" s="31" t="s">
        <v>672</v>
      </c>
      <c r="B3519" s="448" t="s">
        <v>324</v>
      </c>
      <c r="C3519" s="444" t="s">
        <v>443</v>
      </c>
      <c r="D3519" s="444" t="s">
        <v>38</v>
      </c>
      <c r="E3519" s="444" t="s">
        <v>79</v>
      </c>
      <c r="F3519" s="37">
        <v>3.5</v>
      </c>
      <c r="G3519" s="443">
        <f t="shared" si="858"/>
        <v>22.05</v>
      </c>
      <c r="H3519" s="443">
        <v>24</v>
      </c>
      <c r="I3519" s="445">
        <f t="shared" si="859"/>
        <v>529.20000000000005</v>
      </c>
      <c r="J3519" s="446">
        <v>500</v>
      </c>
    </row>
    <row r="3520" spans="1:10" x14ac:dyDescent="0.25">
      <c r="A3520" s="31" t="s">
        <v>672</v>
      </c>
      <c r="B3520" s="449" t="s">
        <v>317</v>
      </c>
      <c r="C3520" s="450" t="s">
        <v>156</v>
      </c>
      <c r="D3520" s="42">
        <v>44.47</v>
      </c>
      <c r="E3520" s="450" t="s">
        <v>79</v>
      </c>
      <c r="F3520" s="43">
        <v>10.73</v>
      </c>
      <c r="G3520" s="443">
        <f t="shared" si="858"/>
        <v>67.599000000000004</v>
      </c>
      <c r="H3520" s="443">
        <v>24</v>
      </c>
      <c r="I3520" s="445">
        <f t="shared" si="859"/>
        <v>1622.3760000000002</v>
      </c>
      <c r="J3520" s="446">
        <v>1600</v>
      </c>
    </row>
    <row r="3521" spans="1:10" x14ac:dyDescent="0.25">
      <c r="A3521" s="31" t="s">
        <v>672</v>
      </c>
      <c r="B3521" s="443" t="s">
        <v>325</v>
      </c>
      <c r="C3521" s="444" t="s">
        <v>158</v>
      </c>
      <c r="D3521" s="452">
        <v>39.159999999999997</v>
      </c>
      <c r="E3521" s="444" t="s">
        <v>79</v>
      </c>
      <c r="F3521" s="43">
        <v>7.35</v>
      </c>
      <c r="G3521" s="443">
        <f t="shared" si="858"/>
        <v>46.305</v>
      </c>
      <c r="H3521" s="443">
        <v>24</v>
      </c>
      <c r="I3521" s="445">
        <f t="shared" si="859"/>
        <v>1111.32</v>
      </c>
      <c r="J3521" s="446">
        <v>1000</v>
      </c>
    </row>
    <row r="3522" spans="1:10" ht="15.75" thickBot="1" x14ac:dyDescent="0.3">
      <c r="A3522" s="31" t="s">
        <v>672</v>
      </c>
      <c r="B3522" s="451" t="s">
        <v>326</v>
      </c>
      <c r="C3522" s="453" t="s">
        <v>152</v>
      </c>
      <c r="D3522" s="454">
        <v>14.28</v>
      </c>
      <c r="E3522" s="450" t="s">
        <v>79</v>
      </c>
      <c r="F3522" s="73">
        <v>9</v>
      </c>
      <c r="G3522" s="451">
        <f t="shared" si="858"/>
        <v>56.699999999999996</v>
      </c>
      <c r="H3522" s="451">
        <v>24</v>
      </c>
      <c r="I3522" s="456">
        <f t="shared" si="859"/>
        <v>1360.8</v>
      </c>
      <c r="J3522" s="457">
        <v>1300</v>
      </c>
    </row>
    <row r="3523" spans="1:10" ht="19.5" thickBot="1" x14ac:dyDescent="0.35">
      <c r="A3523" s="486"/>
      <c r="B3523" s="481"/>
      <c r="C3523" s="481"/>
      <c r="D3523" s="481"/>
      <c r="E3523" s="481"/>
      <c r="F3523" s="481"/>
      <c r="G3523" s="482"/>
      <c r="H3523" s="483" t="s">
        <v>171</v>
      </c>
      <c r="I3523" s="484">
        <f>SUM(I3517:I3522)</f>
        <v>7172.9279999999999</v>
      </c>
      <c r="J3523" s="485">
        <v>6700</v>
      </c>
    </row>
    <row r="3524" spans="1:10" x14ac:dyDescent="0.25">
      <c r="A3524" s="31" t="s">
        <v>673</v>
      </c>
      <c r="B3524" s="443" t="s">
        <v>322</v>
      </c>
      <c r="C3524" s="444" t="s">
        <v>114</v>
      </c>
      <c r="D3524" s="444">
        <v>29.39</v>
      </c>
      <c r="E3524" s="444" t="s">
        <v>79</v>
      </c>
      <c r="F3524" s="109">
        <v>7.06</v>
      </c>
      <c r="G3524" s="443">
        <f t="shared" ref="G3524:G3529" si="860">F3524*6.3</f>
        <v>44.477999999999994</v>
      </c>
      <c r="H3524" s="443">
        <v>24</v>
      </c>
      <c r="I3524" s="445">
        <f t="shared" ref="I3524:I3529" si="861">G3524*H3524</f>
        <v>1067.4719999999998</v>
      </c>
      <c r="J3524" s="446">
        <v>900</v>
      </c>
    </row>
    <row r="3525" spans="1:10" x14ac:dyDescent="0.25">
      <c r="A3525" s="31" t="s">
        <v>673</v>
      </c>
      <c r="B3525" s="443" t="s">
        <v>323</v>
      </c>
      <c r="C3525" s="444" t="s">
        <v>86</v>
      </c>
      <c r="D3525" s="444" t="s">
        <v>38</v>
      </c>
      <c r="E3525" s="444" t="s">
        <v>79</v>
      </c>
      <c r="F3525" s="38">
        <v>9.7899999999999991</v>
      </c>
      <c r="G3525" s="443">
        <f t="shared" si="860"/>
        <v>61.676999999999992</v>
      </c>
      <c r="H3525" s="443">
        <v>24</v>
      </c>
      <c r="I3525" s="445">
        <f t="shared" si="861"/>
        <v>1480.2479999999998</v>
      </c>
      <c r="J3525" s="446">
        <v>1400</v>
      </c>
    </row>
    <row r="3526" spans="1:10" x14ac:dyDescent="0.25">
      <c r="A3526" s="31" t="s">
        <v>673</v>
      </c>
      <c r="B3526" s="448" t="s">
        <v>324</v>
      </c>
      <c r="C3526" s="444" t="s">
        <v>443</v>
      </c>
      <c r="D3526" s="444" t="s">
        <v>38</v>
      </c>
      <c r="E3526" s="444" t="s">
        <v>79</v>
      </c>
      <c r="F3526" s="37">
        <v>3.53</v>
      </c>
      <c r="G3526" s="443">
        <f t="shared" si="860"/>
        <v>22.238999999999997</v>
      </c>
      <c r="H3526" s="443">
        <v>24</v>
      </c>
      <c r="I3526" s="445">
        <f t="shared" si="861"/>
        <v>533.73599999999988</v>
      </c>
      <c r="J3526" s="446">
        <v>500</v>
      </c>
    </row>
    <row r="3527" spans="1:10" x14ac:dyDescent="0.25">
      <c r="A3527" s="31" t="s">
        <v>673</v>
      </c>
      <c r="B3527" s="449" t="s">
        <v>317</v>
      </c>
      <c r="C3527" s="450" t="s">
        <v>156</v>
      </c>
      <c r="D3527" s="42">
        <v>44.68</v>
      </c>
      <c r="E3527" s="450" t="s">
        <v>79</v>
      </c>
      <c r="F3527" s="43">
        <v>10.77</v>
      </c>
      <c r="G3527" s="443">
        <f t="shared" si="860"/>
        <v>67.850999999999999</v>
      </c>
      <c r="H3527" s="443">
        <v>24</v>
      </c>
      <c r="I3527" s="445">
        <f t="shared" si="861"/>
        <v>1628.424</v>
      </c>
      <c r="J3527" s="446">
        <v>1600</v>
      </c>
    </row>
    <row r="3528" spans="1:10" x14ac:dyDescent="0.25">
      <c r="A3528" s="31" t="s">
        <v>673</v>
      </c>
      <c r="B3528" s="443" t="s">
        <v>325</v>
      </c>
      <c r="C3528" s="444" t="s">
        <v>158</v>
      </c>
      <c r="D3528" s="452">
        <v>39.159999999999997</v>
      </c>
      <c r="E3528" s="444" t="s">
        <v>79</v>
      </c>
      <c r="F3528" s="43">
        <v>7.38</v>
      </c>
      <c r="G3528" s="443">
        <f t="shared" si="860"/>
        <v>46.494</v>
      </c>
      <c r="H3528" s="443">
        <v>24</v>
      </c>
      <c r="I3528" s="445">
        <f t="shared" si="861"/>
        <v>1115.856</v>
      </c>
      <c r="J3528" s="446">
        <v>1000</v>
      </c>
    </row>
    <row r="3529" spans="1:10" ht="15.75" thickBot="1" x14ac:dyDescent="0.3">
      <c r="A3529" s="31" t="s">
        <v>673</v>
      </c>
      <c r="B3529" s="451" t="s">
        <v>326</v>
      </c>
      <c r="C3529" s="453" t="s">
        <v>152</v>
      </c>
      <c r="D3529" s="454">
        <v>14.04</v>
      </c>
      <c r="E3529" s="450" t="s">
        <v>79</v>
      </c>
      <c r="F3529" s="73">
        <v>9.15</v>
      </c>
      <c r="G3529" s="451">
        <f t="shared" si="860"/>
        <v>57.645000000000003</v>
      </c>
      <c r="H3529" s="451">
        <v>24</v>
      </c>
      <c r="I3529" s="456">
        <f t="shared" si="861"/>
        <v>1383.48</v>
      </c>
      <c r="J3529" s="457">
        <v>1300</v>
      </c>
    </row>
    <row r="3530" spans="1:10" ht="19.5" thickBot="1" x14ac:dyDescent="0.35">
      <c r="A3530" s="206"/>
      <c r="B3530" s="458"/>
      <c r="C3530" s="458"/>
      <c r="D3530" s="458"/>
      <c r="E3530" s="458"/>
      <c r="F3530" s="458"/>
      <c r="G3530" s="459"/>
      <c r="H3530" s="460" t="s">
        <v>171</v>
      </c>
      <c r="I3530" s="461">
        <f>SUM(I3524:I3529)</f>
        <v>7209.2159999999985</v>
      </c>
      <c r="J3530" s="462">
        <v>6700</v>
      </c>
    </row>
    <row r="3531" spans="1:10" x14ac:dyDescent="0.25">
      <c r="A3531" s="31" t="s">
        <v>674</v>
      </c>
      <c r="B3531" s="443" t="s">
        <v>322</v>
      </c>
      <c r="C3531" s="444" t="s">
        <v>114</v>
      </c>
      <c r="D3531" s="444">
        <v>29.39</v>
      </c>
      <c r="E3531" s="444" t="s">
        <v>79</v>
      </c>
      <c r="F3531" s="109">
        <v>6.58</v>
      </c>
      <c r="G3531" s="443">
        <f t="shared" ref="G3531:G3536" si="862">F3531*6.3</f>
        <v>41.454000000000001</v>
      </c>
      <c r="H3531" s="443">
        <v>24</v>
      </c>
      <c r="I3531" s="445">
        <f t="shared" ref="I3531:I3536" si="863">G3531*H3531</f>
        <v>994.89599999999996</v>
      </c>
      <c r="J3531" s="446">
        <v>900</v>
      </c>
    </row>
    <row r="3532" spans="1:10" x14ac:dyDescent="0.25">
      <c r="A3532" s="31" t="s">
        <v>674</v>
      </c>
      <c r="B3532" s="443" t="s">
        <v>323</v>
      </c>
      <c r="C3532" s="444" t="s">
        <v>86</v>
      </c>
      <c r="D3532" s="444" t="s">
        <v>38</v>
      </c>
      <c r="E3532" s="444" t="s">
        <v>79</v>
      </c>
      <c r="F3532" s="38">
        <v>9.57</v>
      </c>
      <c r="G3532" s="443">
        <f t="shared" si="862"/>
        <v>60.290999999999997</v>
      </c>
      <c r="H3532" s="443">
        <v>24</v>
      </c>
      <c r="I3532" s="445">
        <f t="shared" si="863"/>
        <v>1446.9839999999999</v>
      </c>
      <c r="J3532" s="446">
        <v>1400</v>
      </c>
    </row>
    <row r="3533" spans="1:10" x14ac:dyDescent="0.25">
      <c r="A3533" s="31" t="s">
        <v>674</v>
      </c>
      <c r="B3533" s="448" t="s">
        <v>324</v>
      </c>
      <c r="C3533" s="444" t="s">
        <v>443</v>
      </c>
      <c r="D3533" s="444" t="s">
        <v>38</v>
      </c>
      <c r="E3533" s="444" t="s">
        <v>79</v>
      </c>
      <c r="F3533" s="37">
        <v>3.5</v>
      </c>
      <c r="G3533" s="443">
        <f t="shared" si="862"/>
        <v>22.05</v>
      </c>
      <c r="H3533" s="443">
        <v>24</v>
      </c>
      <c r="I3533" s="445">
        <f t="shared" si="863"/>
        <v>529.20000000000005</v>
      </c>
      <c r="J3533" s="446">
        <v>500</v>
      </c>
    </row>
    <row r="3534" spans="1:10" x14ac:dyDescent="0.25">
      <c r="A3534" s="31" t="s">
        <v>674</v>
      </c>
      <c r="B3534" s="449" t="s">
        <v>317</v>
      </c>
      <c r="C3534" s="450" t="s">
        <v>156</v>
      </c>
      <c r="D3534" s="42">
        <v>43.82</v>
      </c>
      <c r="E3534" s="450" t="s">
        <v>79</v>
      </c>
      <c r="F3534" s="43">
        <v>10.63</v>
      </c>
      <c r="G3534" s="443">
        <f t="shared" si="862"/>
        <v>66.969000000000008</v>
      </c>
      <c r="H3534" s="443">
        <v>24</v>
      </c>
      <c r="I3534" s="445">
        <f t="shared" si="863"/>
        <v>1607.2560000000003</v>
      </c>
      <c r="J3534" s="446">
        <v>1600</v>
      </c>
    </row>
    <row r="3535" spans="1:10" x14ac:dyDescent="0.25">
      <c r="A3535" s="31" t="s">
        <v>674</v>
      </c>
      <c r="B3535" s="443" t="s">
        <v>325</v>
      </c>
      <c r="C3535" s="444" t="s">
        <v>158</v>
      </c>
      <c r="D3535" s="452">
        <v>39.159999999999997</v>
      </c>
      <c r="E3535" s="444" t="s">
        <v>79</v>
      </c>
      <c r="F3535" s="43">
        <v>7.32</v>
      </c>
      <c r="G3535" s="443">
        <f t="shared" si="862"/>
        <v>46.116</v>
      </c>
      <c r="H3535" s="443">
        <v>24</v>
      </c>
      <c r="I3535" s="445">
        <f t="shared" si="863"/>
        <v>1106.7840000000001</v>
      </c>
      <c r="J3535" s="446">
        <v>1000</v>
      </c>
    </row>
    <row r="3536" spans="1:10" ht="15.75" thickBot="1" x14ac:dyDescent="0.3">
      <c r="A3536" s="31" t="s">
        <v>674</v>
      </c>
      <c r="B3536" s="451" t="s">
        <v>326</v>
      </c>
      <c r="C3536" s="453" t="s">
        <v>152</v>
      </c>
      <c r="D3536" s="454">
        <v>14.04</v>
      </c>
      <c r="E3536" s="450" t="s">
        <v>79</v>
      </c>
      <c r="F3536" s="73">
        <v>9.09</v>
      </c>
      <c r="G3536" s="451">
        <f t="shared" si="862"/>
        <v>57.266999999999996</v>
      </c>
      <c r="H3536" s="451">
        <v>24</v>
      </c>
      <c r="I3536" s="456">
        <f t="shared" si="863"/>
        <v>1374.4079999999999</v>
      </c>
      <c r="J3536" s="457">
        <v>1300</v>
      </c>
    </row>
    <row r="3537" spans="1:10" ht="19.5" thickBot="1" x14ac:dyDescent="0.35">
      <c r="A3537" s="206"/>
      <c r="B3537" s="458"/>
      <c r="C3537" s="458"/>
      <c r="D3537" s="458"/>
      <c r="E3537" s="458"/>
      <c r="F3537" s="458"/>
      <c r="G3537" s="459"/>
      <c r="H3537" s="460" t="s">
        <v>171</v>
      </c>
      <c r="I3537" s="461">
        <f>SUM(I3531:I3536)</f>
        <v>7059.5280000000002</v>
      </c>
      <c r="J3537" s="462">
        <v>6700</v>
      </c>
    </row>
    <row r="3538" spans="1:10" x14ac:dyDescent="0.25">
      <c r="A3538" s="31" t="s">
        <v>675</v>
      </c>
      <c r="B3538" s="443" t="s">
        <v>322</v>
      </c>
      <c r="C3538" s="444" t="s">
        <v>114</v>
      </c>
      <c r="D3538" s="444">
        <v>28.54</v>
      </c>
      <c r="E3538" s="444" t="s">
        <v>79</v>
      </c>
      <c r="F3538" s="109">
        <v>6.54</v>
      </c>
      <c r="G3538" s="443">
        <f t="shared" ref="G3538:G3543" si="864">F3538*6.3</f>
        <v>41.201999999999998</v>
      </c>
      <c r="H3538" s="443">
        <v>24</v>
      </c>
      <c r="I3538" s="445">
        <f t="shared" ref="I3538:I3543" si="865">G3538*H3538</f>
        <v>988.84799999999996</v>
      </c>
      <c r="J3538" s="446">
        <v>900</v>
      </c>
    </row>
    <row r="3539" spans="1:10" x14ac:dyDescent="0.25">
      <c r="A3539" s="31" t="s">
        <v>675</v>
      </c>
      <c r="B3539" s="443" t="s">
        <v>323</v>
      </c>
      <c r="C3539" s="444" t="s">
        <v>86</v>
      </c>
      <c r="D3539" s="444" t="s">
        <v>38</v>
      </c>
      <c r="E3539" s="444" t="s">
        <v>79</v>
      </c>
      <c r="F3539" s="38">
        <v>9.5299999999999994</v>
      </c>
      <c r="G3539" s="443">
        <f t="shared" si="864"/>
        <v>60.038999999999994</v>
      </c>
      <c r="H3539" s="443">
        <v>24</v>
      </c>
      <c r="I3539" s="445">
        <f t="shared" si="865"/>
        <v>1440.9359999999999</v>
      </c>
      <c r="J3539" s="446">
        <v>1400</v>
      </c>
    </row>
    <row r="3540" spans="1:10" x14ac:dyDescent="0.25">
      <c r="A3540" s="31" t="s">
        <v>675</v>
      </c>
      <c r="B3540" s="448" t="s">
        <v>324</v>
      </c>
      <c r="C3540" s="444" t="s">
        <v>443</v>
      </c>
      <c r="D3540" s="444" t="s">
        <v>38</v>
      </c>
      <c r="E3540" s="444" t="s">
        <v>79</v>
      </c>
      <c r="F3540" s="37">
        <v>3.48</v>
      </c>
      <c r="G3540" s="443">
        <f t="shared" si="864"/>
        <v>21.923999999999999</v>
      </c>
      <c r="H3540" s="443">
        <v>24</v>
      </c>
      <c r="I3540" s="445">
        <f t="shared" si="865"/>
        <v>526.17599999999993</v>
      </c>
      <c r="J3540" s="446">
        <v>500</v>
      </c>
    </row>
    <row r="3541" spans="1:10" x14ac:dyDescent="0.25">
      <c r="A3541" s="31" t="s">
        <v>675</v>
      </c>
      <c r="B3541" s="449" t="s">
        <v>317</v>
      </c>
      <c r="C3541" s="450" t="s">
        <v>156</v>
      </c>
      <c r="D3541" s="42">
        <v>44.96</v>
      </c>
      <c r="E3541" s="450" t="s">
        <v>79</v>
      </c>
      <c r="F3541" s="43">
        <v>10.6</v>
      </c>
      <c r="G3541" s="443">
        <f t="shared" si="864"/>
        <v>66.78</v>
      </c>
      <c r="H3541" s="443">
        <v>24</v>
      </c>
      <c r="I3541" s="445">
        <f t="shared" si="865"/>
        <v>1602.72</v>
      </c>
      <c r="J3541" s="446">
        <v>1600</v>
      </c>
    </row>
    <row r="3542" spans="1:10" x14ac:dyDescent="0.25">
      <c r="A3542" s="31" t="s">
        <v>675</v>
      </c>
      <c r="B3542" s="443" t="s">
        <v>325</v>
      </c>
      <c r="C3542" s="444" t="s">
        <v>158</v>
      </c>
      <c r="D3542" s="452">
        <v>39.83</v>
      </c>
      <c r="E3542" s="444" t="s">
        <v>79</v>
      </c>
      <c r="F3542" s="43">
        <v>7.3</v>
      </c>
      <c r="G3542" s="443">
        <f t="shared" si="864"/>
        <v>45.989999999999995</v>
      </c>
      <c r="H3542" s="443">
        <v>24</v>
      </c>
      <c r="I3542" s="445">
        <f t="shared" si="865"/>
        <v>1103.7599999999998</v>
      </c>
      <c r="J3542" s="446">
        <v>1000</v>
      </c>
    </row>
    <row r="3543" spans="1:10" ht="15.75" thickBot="1" x14ac:dyDescent="0.3">
      <c r="A3543" s="31" t="s">
        <v>675</v>
      </c>
      <c r="B3543" s="451" t="s">
        <v>326</v>
      </c>
      <c r="C3543" s="453" t="s">
        <v>152</v>
      </c>
      <c r="D3543" s="454">
        <v>14.35</v>
      </c>
      <c r="E3543" s="450" t="s">
        <v>79</v>
      </c>
      <c r="F3543" s="73">
        <v>9.0500000000000007</v>
      </c>
      <c r="G3543" s="451">
        <f t="shared" si="864"/>
        <v>57.015000000000001</v>
      </c>
      <c r="H3543" s="451">
        <v>24</v>
      </c>
      <c r="I3543" s="456">
        <f t="shared" si="865"/>
        <v>1368.3600000000001</v>
      </c>
      <c r="J3543" s="457">
        <v>1300</v>
      </c>
    </row>
    <row r="3544" spans="1:10" ht="19.5" thickBot="1" x14ac:dyDescent="0.35">
      <c r="A3544" s="206"/>
      <c r="B3544" s="458"/>
      <c r="C3544" s="458"/>
      <c r="D3544" s="458"/>
      <c r="E3544" s="458"/>
      <c r="F3544" s="458"/>
      <c r="G3544" s="459"/>
      <c r="H3544" s="460" t="s">
        <v>171</v>
      </c>
      <c r="I3544" s="461">
        <f>SUM(I3538:I3543)</f>
        <v>7030.7999999999993</v>
      </c>
      <c r="J3544" s="462">
        <v>6700</v>
      </c>
    </row>
    <row r="3545" spans="1:10" x14ac:dyDescent="0.25">
      <c r="A3545" s="31" t="s">
        <v>677</v>
      </c>
      <c r="B3545" s="443" t="s">
        <v>322</v>
      </c>
      <c r="C3545" s="444" t="s">
        <v>114</v>
      </c>
      <c r="D3545" s="444">
        <v>26.93</v>
      </c>
      <c r="E3545" s="444" t="s">
        <v>79</v>
      </c>
      <c r="F3545" s="109">
        <v>7</v>
      </c>
      <c r="G3545" s="443">
        <f t="shared" ref="G3545:G3550" si="866">F3545*6.3</f>
        <v>44.1</v>
      </c>
      <c r="H3545" s="443">
        <v>24</v>
      </c>
      <c r="I3545" s="445">
        <f t="shared" ref="I3545:I3550" si="867">G3545*H3545</f>
        <v>1058.4000000000001</v>
      </c>
      <c r="J3545" s="446">
        <v>900</v>
      </c>
    </row>
    <row r="3546" spans="1:10" x14ac:dyDescent="0.25">
      <c r="A3546" s="31" t="s">
        <v>677</v>
      </c>
      <c r="B3546" s="443" t="s">
        <v>323</v>
      </c>
      <c r="C3546" s="444" t="s">
        <v>86</v>
      </c>
      <c r="D3546" s="444" t="s">
        <v>38</v>
      </c>
      <c r="E3546" s="444" t="s">
        <v>79</v>
      </c>
      <c r="F3546" s="38">
        <v>9.6999999999999993</v>
      </c>
      <c r="G3546" s="443">
        <f t="shared" si="866"/>
        <v>61.109999999999992</v>
      </c>
      <c r="H3546" s="443">
        <v>24</v>
      </c>
      <c r="I3546" s="445">
        <f t="shared" si="867"/>
        <v>1466.6399999999999</v>
      </c>
      <c r="J3546" s="446">
        <v>1400</v>
      </c>
    </row>
    <row r="3547" spans="1:10" x14ac:dyDescent="0.25">
      <c r="A3547" s="31" t="s">
        <v>677</v>
      </c>
      <c r="B3547" s="448" t="s">
        <v>324</v>
      </c>
      <c r="C3547" s="444" t="s">
        <v>443</v>
      </c>
      <c r="D3547" s="444" t="s">
        <v>38</v>
      </c>
      <c r="E3547" s="444" t="s">
        <v>79</v>
      </c>
      <c r="F3547" s="37">
        <v>3.52</v>
      </c>
      <c r="G3547" s="443">
        <f t="shared" si="866"/>
        <v>22.175999999999998</v>
      </c>
      <c r="H3547" s="443">
        <v>24</v>
      </c>
      <c r="I3547" s="445">
        <f t="shared" si="867"/>
        <v>532.22399999999993</v>
      </c>
      <c r="J3547" s="446">
        <v>500</v>
      </c>
    </row>
    <row r="3548" spans="1:10" x14ac:dyDescent="0.25">
      <c r="A3548" s="31" t="s">
        <v>677</v>
      </c>
      <c r="B3548" s="449" t="s">
        <v>317</v>
      </c>
      <c r="C3548" s="450" t="s">
        <v>156</v>
      </c>
      <c r="D3548" s="42">
        <v>45.35</v>
      </c>
      <c r="E3548" s="450" t="s">
        <v>79</v>
      </c>
      <c r="F3548" s="43">
        <v>10.78</v>
      </c>
      <c r="G3548" s="443">
        <f t="shared" si="866"/>
        <v>67.913999999999987</v>
      </c>
      <c r="H3548" s="443">
        <v>24</v>
      </c>
      <c r="I3548" s="445">
        <f t="shared" si="867"/>
        <v>1629.9359999999997</v>
      </c>
      <c r="J3548" s="446">
        <v>1600</v>
      </c>
    </row>
    <row r="3549" spans="1:10" x14ac:dyDescent="0.25">
      <c r="A3549" s="31" t="s">
        <v>677</v>
      </c>
      <c r="B3549" s="443" t="s">
        <v>325</v>
      </c>
      <c r="C3549" s="444" t="s">
        <v>158</v>
      </c>
      <c r="D3549" s="452">
        <v>39.83</v>
      </c>
      <c r="E3549" s="444" t="s">
        <v>79</v>
      </c>
      <c r="F3549" s="43">
        <v>7.05</v>
      </c>
      <c r="G3549" s="443">
        <f t="shared" si="866"/>
        <v>44.414999999999999</v>
      </c>
      <c r="H3549" s="443">
        <v>24</v>
      </c>
      <c r="I3549" s="445">
        <f t="shared" si="867"/>
        <v>1065.96</v>
      </c>
      <c r="J3549" s="446">
        <v>1000</v>
      </c>
    </row>
    <row r="3550" spans="1:10" ht="15.75" thickBot="1" x14ac:dyDescent="0.3">
      <c r="A3550" s="31" t="s">
        <v>677</v>
      </c>
      <c r="B3550" s="451" t="s">
        <v>326</v>
      </c>
      <c r="C3550" s="453" t="s">
        <v>152</v>
      </c>
      <c r="D3550" s="454">
        <v>14.35</v>
      </c>
      <c r="E3550" s="450" t="s">
        <v>79</v>
      </c>
      <c r="F3550" s="73">
        <v>9.0399999999999991</v>
      </c>
      <c r="G3550" s="451">
        <f t="shared" si="866"/>
        <v>56.951999999999991</v>
      </c>
      <c r="H3550" s="451">
        <v>24</v>
      </c>
      <c r="I3550" s="456">
        <f t="shared" si="867"/>
        <v>1366.8479999999997</v>
      </c>
      <c r="J3550" s="457">
        <v>1300</v>
      </c>
    </row>
    <row r="3551" spans="1:10" ht="19.5" thickBot="1" x14ac:dyDescent="0.35">
      <c r="A3551" s="206"/>
      <c r="B3551" s="458"/>
      <c r="C3551" s="458"/>
      <c r="D3551" s="458"/>
      <c r="E3551" s="458"/>
      <c r="F3551" s="458"/>
      <c r="G3551" s="459"/>
      <c r="H3551" s="460" t="s">
        <v>171</v>
      </c>
      <c r="I3551" s="461">
        <f>SUM(I3545:I3550)</f>
        <v>7120.0079999999998</v>
      </c>
      <c r="J3551" s="462">
        <v>6700</v>
      </c>
    </row>
    <row r="3552" spans="1:10" x14ac:dyDescent="0.25">
      <c r="A3552" s="31" t="s">
        <v>678</v>
      </c>
      <c r="B3552" s="443" t="s">
        <v>322</v>
      </c>
      <c r="C3552" s="444" t="s">
        <v>114</v>
      </c>
      <c r="D3552" s="444">
        <v>25.65</v>
      </c>
      <c r="E3552" s="444" t="s">
        <v>79</v>
      </c>
      <c r="F3552" s="109">
        <v>7.05</v>
      </c>
      <c r="G3552" s="443">
        <f t="shared" ref="G3552:G3557" si="868">F3552*6.3</f>
        <v>44.414999999999999</v>
      </c>
      <c r="H3552" s="443">
        <v>24</v>
      </c>
      <c r="I3552" s="445">
        <f t="shared" ref="I3552:I3557" si="869">G3552*H3552</f>
        <v>1065.96</v>
      </c>
      <c r="J3552" s="446">
        <v>900</v>
      </c>
    </row>
    <row r="3553" spans="1:10" x14ac:dyDescent="0.25">
      <c r="A3553" s="31" t="s">
        <v>678</v>
      </c>
      <c r="B3553" s="443" t="s">
        <v>323</v>
      </c>
      <c r="C3553" s="444" t="s">
        <v>86</v>
      </c>
      <c r="D3553" s="444" t="s">
        <v>38</v>
      </c>
      <c r="E3553" s="444" t="s">
        <v>79</v>
      </c>
      <c r="F3553" s="38">
        <v>9.6999999999999993</v>
      </c>
      <c r="G3553" s="443">
        <f t="shared" si="868"/>
        <v>61.109999999999992</v>
      </c>
      <c r="H3553" s="443">
        <v>24</v>
      </c>
      <c r="I3553" s="445">
        <f t="shared" si="869"/>
        <v>1466.6399999999999</v>
      </c>
      <c r="J3553" s="446">
        <v>1400</v>
      </c>
    </row>
    <row r="3554" spans="1:10" x14ac:dyDescent="0.25">
      <c r="A3554" s="31" t="s">
        <v>678</v>
      </c>
      <c r="B3554" s="448" t="s">
        <v>324</v>
      </c>
      <c r="C3554" s="444" t="s">
        <v>443</v>
      </c>
      <c r="D3554" s="444" t="s">
        <v>38</v>
      </c>
      <c r="E3554" s="444" t="s">
        <v>79</v>
      </c>
      <c r="F3554" s="37">
        <v>3.56</v>
      </c>
      <c r="G3554" s="443">
        <f t="shared" si="868"/>
        <v>22.428000000000001</v>
      </c>
      <c r="H3554" s="443">
        <v>24</v>
      </c>
      <c r="I3554" s="445">
        <f t="shared" si="869"/>
        <v>538.27200000000005</v>
      </c>
      <c r="J3554" s="446">
        <v>500</v>
      </c>
    </row>
    <row r="3555" spans="1:10" x14ac:dyDescent="0.25">
      <c r="A3555" s="31" t="s">
        <v>678</v>
      </c>
      <c r="B3555" s="449" t="s">
        <v>317</v>
      </c>
      <c r="C3555" s="450" t="s">
        <v>156</v>
      </c>
      <c r="D3555" s="42">
        <v>45.35</v>
      </c>
      <c r="E3555" s="450" t="s">
        <v>79</v>
      </c>
      <c r="F3555" s="43">
        <v>10.78</v>
      </c>
      <c r="G3555" s="443">
        <f t="shared" si="868"/>
        <v>67.913999999999987</v>
      </c>
      <c r="H3555" s="443">
        <v>24</v>
      </c>
      <c r="I3555" s="445">
        <f t="shared" si="869"/>
        <v>1629.9359999999997</v>
      </c>
      <c r="J3555" s="446">
        <v>1600</v>
      </c>
    </row>
    <row r="3556" spans="1:10" x14ac:dyDescent="0.25">
      <c r="A3556" s="31" t="s">
        <v>678</v>
      </c>
      <c r="B3556" s="443" t="s">
        <v>325</v>
      </c>
      <c r="C3556" s="444" t="s">
        <v>158</v>
      </c>
      <c r="D3556" s="452">
        <v>39.950000000000003</v>
      </c>
      <c r="E3556" s="444" t="s">
        <v>79</v>
      </c>
      <c r="F3556" s="43">
        <v>7.02</v>
      </c>
      <c r="G3556" s="443">
        <f t="shared" si="868"/>
        <v>44.225999999999999</v>
      </c>
      <c r="H3556" s="443">
        <v>24</v>
      </c>
      <c r="I3556" s="445">
        <f t="shared" si="869"/>
        <v>1061.424</v>
      </c>
      <c r="J3556" s="446">
        <v>1000</v>
      </c>
    </row>
    <row r="3557" spans="1:10" ht="15.75" thickBot="1" x14ac:dyDescent="0.3">
      <c r="A3557" s="31" t="s">
        <v>678</v>
      </c>
      <c r="B3557" s="451" t="s">
        <v>326</v>
      </c>
      <c r="C3557" s="453" t="s">
        <v>152</v>
      </c>
      <c r="D3557" s="454">
        <v>14.83</v>
      </c>
      <c r="E3557" s="450" t="s">
        <v>79</v>
      </c>
      <c r="F3557" s="73">
        <v>9.1</v>
      </c>
      <c r="G3557" s="451">
        <f t="shared" si="868"/>
        <v>57.33</v>
      </c>
      <c r="H3557" s="451">
        <v>24</v>
      </c>
      <c r="I3557" s="456">
        <f t="shared" si="869"/>
        <v>1375.92</v>
      </c>
      <c r="J3557" s="457">
        <v>1300</v>
      </c>
    </row>
    <row r="3558" spans="1:10" ht="19.5" thickBot="1" x14ac:dyDescent="0.35">
      <c r="A3558" s="220"/>
      <c r="B3558" s="509"/>
      <c r="C3558" s="509"/>
      <c r="D3558" s="509"/>
      <c r="E3558" s="509"/>
      <c r="F3558" s="509"/>
      <c r="G3558" s="509"/>
      <c r="H3558" s="460" t="s">
        <v>171</v>
      </c>
      <c r="I3558" s="461">
        <f>SUM(I3552:I3557)</f>
        <v>7138.1519999999991</v>
      </c>
      <c r="J3558" s="462">
        <v>6700</v>
      </c>
    </row>
    <row r="3559" spans="1:10" x14ac:dyDescent="0.25">
      <c r="A3559" s="31" t="s">
        <v>679</v>
      </c>
      <c r="B3559" s="443" t="s">
        <v>322</v>
      </c>
      <c r="C3559" s="444" t="s">
        <v>114</v>
      </c>
      <c r="D3559" s="444">
        <v>4.79</v>
      </c>
      <c r="E3559" s="444" t="s">
        <v>79</v>
      </c>
      <c r="F3559" s="109">
        <v>7.04</v>
      </c>
      <c r="G3559" s="443">
        <f t="shared" ref="G3559:G3564" si="870">F3559*6.3</f>
        <v>44.351999999999997</v>
      </c>
      <c r="H3559" s="443">
        <v>24</v>
      </c>
      <c r="I3559" s="445">
        <f t="shared" ref="I3559:I3564" si="871">G3559*H3559</f>
        <v>1064.4479999999999</v>
      </c>
      <c r="J3559" s="446">
        <v>900</v>
      </c>
    </row>
    <row r="3560" spans="1:10" x14ac:dyDescent="0.25">
      <c r="A3560" s="31" t="s">
        <v>679</v>
      </c>
      <c r="B3560" s="443" t="s">
        <v>323</v>
      </c>
      <c r="C3560" s="444" t="s">
        <v>86</v>
      </c>
      <c r="D3560" s="444" t="s">
        <v>38</v>
      </c>
      <c r="E3560" s="444" t="s">
        <v>79</v>
      </c>
      <c r="F3560" s="38">
        <v>9.8000000000000007</v>
      </c>
      <c r="G3560" s="443">
        <f t="shared" si="870"/>
        <v>61.74</v>
      </c>
      <c r="H3560" s="443">
        <v>24</v>
      </c>
      <c r="I3560" s="445">
        <f t="shared" si="871"/>
        <v>1481.76</v>
      </c>
      <c r="J3560" s="446">
        <v>1400</v>
      </c>
    </row>
    <row r="3561" spans="1:10" x14ac:dyDescent="0.25">
      <c r="A3561" s="31" t="s">
        <v>679</v>
      </c>
      <c r="B3561" s="448" t="s">
        <v>324</v>
      </c>
      <c r="C3561" s="444" t="s">
        <v>443</v>
      </c>
      <c r="D3561" s="444" t="s">
        <v>38</v>
      </c>
      <c r="E3561" s="444" t="s">
        <v>79</v>
      </c>
      <c r="F3561" s="37">
        <v>3.56</v>
      </c>
      <c r="G3561" s="443">
        <f t="shared" si="870"/>
        <v>22.428000000000001</v>
      </c>
      <c r="H3561" s="443">
        <v>24</v>
      </c>
      <c r="I3561" s="445">
        <f t="shared" si="871"/>
        <v>538.27200000000005</v>
      </c>
      <c r="J3561" s="446">
        <v>500</v>
      </c>
    </row>
    <row r="3562" spans="1:10" x14ac:dyDescent="0.25">
      <c r="A3562" s="31" t="s">
        <v>679</v>
      </c>
      <c r="B3562" s="449" t="s">
        <v>317</v>
      </c>
      <c r="C3562" s="450" t="s">
        <v>156</v>
      </c>
      <c r="D3562" s="42">
        <v>45.43</v>
      </c>
      <c r="E3562" s="450" t="s">
        <v>79</v>
      </c>
      <c r="F3562" s="43">
        <v>10.74</v>
      </c>
      <c r="G3562" s="443">
        <f t="shared" si="870"/>
        <v>67.662000000000006</v>
      </c>
      <c r="H3562" s="443">
        <v>24</v>
      </c>
      <c r="I3562" s="445">
        <f t="shared" si="871"/>
        <v>1623.8880000000001</v>
      </c>
      <c r="J3562" s="446">
        <v>1600</v>
      </c>
    </row>
    <row r="3563" spans="1:10" x14ac:dyDescent="0.25">
      <c r="A3563" s="31" t="s">
        <v>679</v>
      </c>
      <c r="B3563" s="443" t="s">
        <v>325</v>
      </c>
      <c r="C3563" s="444" t="s">
        <v>158</v>
      </c>
      <c r="D3563" s="452">
        <v>39.950000000000003</v>
      </c>
      <c r="E3563" s="444" t="s">
        <v>79</v>
      </c>
      <c r="F3563" s="43">
        <v>7.1</v>
      </c>
      <c r="G3563" s="443">
        <f t="shared" si="870"/>
        <v>44.73</v>
      </c>
      <c r="H3563" s="443">
        <v>24</v>
      </c>
      <c r="I3563" s="445">
        <f t="shared" si="871"/>
        <v>1073.52</v>
      </c>
      <c r="J3563" s="446">
        <v>1000</v>
      </c>
    </row>
    <row r="3564" spans="1:10" ht="15.75" thickBot="1" x14ac:dyDescent="0.3">
      <c r="A3564" s="31" t="s">
        <v>679</v>
      </c>
      <c r="B3564" s="451" t="s">
        <v>326</v>
      </c>
      <c r="C3564" s="453" t="s">
        <v>152</v>
      </c>
      <c r="D3564" s="454">
        <v>14.83</v>
      </c>
      <c r="E3564" s="450" t="s">
        <v>79</v>
      </c>
      <c r="F3564" s="73">
        <v>9.1999999999999993</v>
      </c>
      <c r="G3564" s="451">
        <f t="shared" si="870"/>
        <v>57.959999999999994</v>
      </c>
      <c r="H3564" s="451">
        <v>24</v>
      </c>
      <c r="I3564" s="456">
        <f t="shared" si="871"/>
        <v>1391.04</v>
      </c>
      <c r="J3564" s="457">
        <v>1300</v>
      </c>
    </row>
    <row r="3565" spans="1:10" ht="19.5" thickBot="1" x14ac:dyDescent="0.35">
      <c r="A3565" s="206"/>
      <c r="B3565" s="458"/>
      <c r="C3565" s="458"/>
      <c r="D3565" s="458"/>
      <c r="E3565" s="458"/>
      <c r="F3565" s="458"/>
      <c r="G3565" s="459"/>
      <c r="H3565" s="460" t="s">
        <v>171</v>
      </c>
      <c r="I3565" s="461">
        <f>SUM(I3559:I3564)</f>
        <v>7172.927999999999</v>
      </c>
      <c r="J3565" s="462">
        <v>6700</v>
      </c>
    </row>
    <row r="3566" spans="1:10" x14ac:dyDescent="0.25">
      <c r="A3566" s="31" t="s">
        <v>680</v>
      </c>
      <c r="B3566" s="443" t="s">
        <v>322</v>
      </c>
      <c r="C3566" s="444" t="s">
        <v>114</v>
      </c>
      <c r="D3566" s="444">
        <v>6.23</v>
      </c>
      <c r="E3566" s="444" t="s">
        <v>79</v>
      </c>
      <c r="F3566" s="109">
        <v>6.97</v>
      </c>
      <c r="G3566" s="443">
        <f t="shared" ref="G3566:G3571" si="872">F3566*6.3</f>
        <v>43.910999999999994</v>
      </c>
      <c r="H3566" s="443">
        <v>24</v>
      </c>
      <c r="I3566" s="445">
        <f t="shared" ref="I3566:I3571" si="873">G3566*H3566</f>
        <v>1053.8639999999998</v>
      </c>
      <c r="J3566" s="446">
        <v>900</v>
      </c>
    </row>
    <row r="3567" spans="1:10" x14ac:dyDescent="0.25">
      <c r="A3567" s="31" t="s">
        <v>680</v>
      </c>
      <c r="B3567" s="443" t="s">
        <v>323</v>
      </c>
      <c r="C3567" s="444" t="s">
        <v>86</v>
      </c>
      <c r="D3567" s="444" t="s">
        <v>38</v>
      </c>
      <c r="E3567" s="444" t="s">
        <v>79</v>
      </c>
      <c r="F3567" s="38">
        <v>9.85</v>
      </c>
      <c r="G3567" s="443">
        <f t="shared" si="872"/>
        <v>62.054999999999993</v>
      </c>
      <c r="H3567" s="443">
        <v>24</v>
      </c>
      <c r="I3567" s="445">
        <f t="shared" si="873"/>
        <v>1489.3199999999997</v>
      </c>
      <c r="J3567" s="446">
        <v>1400</v>
      </c>
    </row>
    <row r="3568" spans="1:10" x14ac:dyDescent="0.25">
      <c r="A3568" s="31" t="s">
        <v>680</v>
      </c>
      <c r="B3568" s="448" t="s">
        <v>324</v>
      </c>
      <c r="C3568" s="444" t="s">
        <v>443</v>
      </c>
      <c r="D3568" s="444" t="s">
        <v>38</v>
      </c>
      <c r="E3568" s="444" t="s">
        <v>79</v>
      </c>
      <c r="F3568" s="37">
        <v>3.65</v>
      </c>
      <c r="G3568" s="443">
        <f t="shared" si="872"/>
        <v>22.994999999999997</v>
      </c>
      <c r="H3568" s="443">
        <v>24</v>
      </c>
      <c r="I3568" s="445">
        <f t="shared" si="873"/>
        <v>551.87999999999988</v>
      </c>
      <c r="J3568" s="446">
        <v>500</v>
      </c>
    </row>
    <row r="3569" spans="1:10" x14ac:dyDescent="0.25">
      <c r="A3569" s="31" t="s">
        <v>680</v>
      </c>
      <c r="B3569" s="449" t="s">
        <v>317</v>
      </c>
      <c r="C3569" s="450" t="s">
        <v>156</v>
      </c>
      <c r="D3569" s="42">
        <v>45.93</v>
      </c>
      <c r="E3569" s="450" t="s">
        <v>79</v>
      </c>
      <c r="F3569" s="43">
        <v>10.77</v>
      </c>
      <c r="G3569" s="443">
        <f t="shared" si="872"/>
        <v>67.850999999999999</v>
      </c>
      <c r="H3569" s="443">
        <v>24</v>
      </c>
      <c r="I3569" s="445">
        <f t="shared" si="873"/>
        <v>1628.424</v>
      </c>
      <c r="J3569" s="446">
        <v>1600</v>
      </c>
    </row>
    <row r="3570" spans="1:10" x14ac:dyDescent="0.25">
      <c r="A3570" s="31" t="s">
        <v>680</v>
      </c>
      <c r="B3570" s="443" t="s">
        <v>325</v>
      </c>
      <c r="C3570" s="444" t="s">
        <v>158</v>
      </c>
      <c r="D3570" s="452">
        <v>40.630000000000003</v>
      </c>
      <c r="E3570" s="444" t="s">
        <v>79</v>
      </c>
      <c r="F3570" s="43">
        <v>7.1</v>
      </c>
      <c r="G3570" s="443">
        <f t="shared" si="872"/>
        <v>44.73</v>
      </c>
      <c r="H3570" s="443">
        <v>24</v>
      </c>
      <c r="I3570" s="445">
        <f t="shared" si="873"/>
        <v>1073.52</v>
      </c>
      <c r="J3570" s="446">
        <v>1000</v>
      </c>
    </row>
    <row r="3571" spans="1:10" ht="15.75" thickBot="1" x14ac:dyDescent="0.3">
      <c r="A3571" s="31" t="s">
        <v>680</v>
      </c>
      <c r="B3571" s="451" t="s">
        <v>326</v>
      </c>
      <c r="C3571" s="453" t="s">
        <v>152</v>
      </c>
      <c r="D3571" s="454">
        <v>15.26</v>
      </c>
      <c r="E3571" s="450" t="s">
        <v>79</v>
      </c>
      <c r="F3571" s="73">
        <v>9</v>
      </c>
      <c r="G3571" s="451">
        <f t="shared" si="872"/>
        <v>56.699999999999996</v>
      </c>
      <c r="H3571" s="451">
        <v>24</v>
      </c>
      <c r="I3571" s="456">
        <f t="shared" si="873"/>
        <v>1360.8</v>
      </c>
      <c r="J3571" s="457">
        <v>1300</v>
      </c>
    </row>
    <row r="3572" spans="1:10" ht="19.5" thickBot="1" x14ac:dyDescent="0.35">
      <c r="A3572" s="206"/>
      <c r="B3572" s="458"/>
      <c r="C3572" s="458"/>
      <c r="D3572" s="458"/>
      <c r="E3572" s="458"/>
      <c r="F3572" s="458"/>
      <c r="G3572" s="459"/>
      <c r="H3572" s="460" t="s">
        <v>171</v>
      </c>
      <c r="I3572" s="461">
        <f>SUM(I3566:I3571)</f>
        <v>7157.808</v>
      </c>
      <c r="J3572" s="462">
        <v>6700</v>
      </c>
    </row>
    <row r="3573" spans="1:10" x14ac:dyDescent="0.25">
      <c r="A3573" s="31" t="s">
        <v>681</v>
      </c>
      <c r="B3573" s="443" t="s">
        <v>322</v>
      </c>
      <c r="C3573" s="444" t="s">
        <v>114</v>
      </c>
      <c r="D3573" s="444">
        <v>15.08</v>
      </c>
      <c r="E3573" s="444" t="s">
        <v>79</v>
      </c>
      <c r="F3573" s="109">
        <v>6.92</v>
      </c>
      <c r="G3573" s="443">
        <f t="shared" ref="G3573:G3578" si="874">F3573*6.3</f>
        <v>43.595999999999997</v>
      </c>
      <c r="H3573" s="443">
        <v>24</v>
      </c>
      <c r="I3573" s="445">
        <f t="shared" ref="I3573:I3578" si="875">G3573*H3573</f>
        <v>1046.3039999999999</v>
      </c>
      <c r="J3573" s="446">
        <v>900</v>
      </c>
    </row>
    <row r="3574" spans="1:10" x14ac:dyDescent="0.25">
      <c r="A3574" s="31" t="s">
        <v>681</v>
      </c>
      <c r="B3574" s="443" t="s">
        <v>323</v>
      </c>
      <c r="C3574" s="444" t="s">
        <v>86</v>
      </c>
      <c r="D3574" s="444" t="s">
        <v>38</v>
      </c>
      <c r="E3574" s="444" t="s">
        <v>79</v>
      </c>
      <c r="F3574" s="38">
        <v>9.75</v>
      </c>
      <c r="G3574" s="443">
        <f t="shared" si="874"/>
        <v>61.424999999999997</v>
      </c>
      <c r="H3574" s="443">
        <v>24</v>
      </c>
      <c r="I3574" s="445">
        <f t="shared" si="875"/>
        <v>1474.1999999999998</v>
      </c>
      <c r="J3574" s="446">
        <v>1400</v>
      </c>
    </row>
    <row r="3575" spans="1:10" x14ac:dyDescent="0.25">
      <c r="A3575" s="31" t="s">
        <v>681</v>
      </c>
      <c r="B3575" s="448" t="s">
        <v>324</v>
      </c>
      <c r="C3575" s="444" t="s">
        <v>443</v>
      </c>
      <c r="D3575" s="444" t="s">
        <v>38</v>
      </c>
      <c r="E3575" s="444" t="s">
        <v>79</v>
      </c>
      <c r="F3575" s="37">
        <v>3.62</v>
      </c>
      <c r="G3575" s="443">
        <f t="shared" si="874"/>
        <v>22.806000000000001</v>
      </c>
      <c r="H3575" s="443">
        <v>24</v>
      </c>
      <c r="I3575" s="445">
        <f t="shared" si="875"/>
        <v>547.34400000000005</v>
      </c>
      <c r="J3575" s="446">
        <v>500</v>
      </c>
    </row>
    <row r="3576" spans="1:10" x14ac:dyDescent="0.25">
      <c r="A3576" s="31" t="s">
        <v>681</v>
      </c>
      <c r="B3576" s="449" t="s">
        <v>317</v>
      </c>
      <c r="C3576" s="450" t="s">
        <v>156</v>
      </c>
      <c r="D3576" s="42">
        <v>42.75</v>
      </c>
      <c r="E3576" s="450" t="s">
        <v>79</v>
      </c>
      <c r="F3576" s="43">
        <v>10.7</v>
      </c>
      <c r="G3576" s="443">
        <f t="shared" si="874"/>
        <v>67.41</v>
      </c>
      <c r="H3576" s="443">
        <v>24</v>
      </c>
      <c r="I3576" s="445">
        <f t="shared" si="875"/>
        <v>1617.84</v>
      </c>
      <c r="J3576" s="446">
        <v>1600</v>
      </c>
    </row>
    <row r="3577" spans="1:10" x14ac:dyDescent="0.25">
      <c r="A3577" s="31" t="s">
        <v>681</v>
      </c>
      <c r="B3577" s="443" t="s">
        <v>325</v>
      </c>
      <c r="C3577" s="444" t="s">
        <v>158</v>
      </c>
      <c r="D3577" s="452">
        <v>37.54</v>
      </c>
      <c r="E3577" s="444" t="s">
        <v>79</v>
      </c>
      <c r="F3577" s="43">
        <v>7</v>
      </c>
      <c r="G3577" s="443">
        <f t="shared" si="874"/>
        <v>44.1</v>
      </c>
      <c r="H3577" s="443">
        <v>24</v>
      </c>
      <c r="I3577" s="445">
        <f t="shared" si="875"/>
        <v>1058.4000000000001</v>
      </c>
      <c r="J3577" s="446">
        <v>1000</v>
      </c>
    </row>
    <row r="3578" spans="1:10" ht="15.75" thickBot="1" x14ac:dyDescent="0.3">
      <c r="A3578" s="31" t="s">
        <v>681</v>
      </c>
      <c r="B3578" s="451" t="s">
        <v>326</v>
      </c>
      <c r="C3578" s="453" t="s">
        <v>152</v>
      </c>
      <c r="D3578" s="454">
        <v>12.5</v>
      </c>
      <c r="E3578" s="450" t="s">
        <v>79</v>
      </c>
      <c r="F3578" s="73">
        <v>9</v>
      </c>
      <c r="G3578" s="451">
        <f t="shared" si="874"/>
        <v>56.699999999999996</v>
      </c>
      <c r="H3578" s="451">
        <v>24</v>
      </c>
      <c r="I3578" s="456">
        <f t="shared" si="875"/>
        <v>1360.8</v>
      </c>
      <c r="J3578" s="457">
        <v>1300</v>
      </c>
    </row>
    <row r="3579" spans="1:10" ht="19.5" thickBot="1" x14ac:dyDescent="0.35">
      <c r="A3579" s="206"/>
      <c r="B3579" s="458"/>
      <c r="C3579" s="458"/>
      <c r="D3579" s="458"/>
      <c r="E3579" s="458"/>
      <c r="F3579" s="458"/>
      <c r="G3579" s="459"/>
      <c r="H3579" s="460" t="s">
        <v>171</v>
      </c>
      <c r="I3579" s="461">
        <f>SUM(I3573:I3578)</f>
        <v>7104.8879999999999</v>
      </c>
      <c r="J3579" s="462">
        <v>6700</v>
      </c>
    </row>
    <row r="3580" spans="1:10" x14ac:dyDescent="0.25">
      <c r="A3580" s="31" t="s">
        <v>684</v>
      </c>
      <c r="B3580" s="443" t="s">
        <v>322</v>
      </c>
      <c r="C3580" s="444" t="s">
        <v>114</v>
      </c>
      <c r="D3580" s="444">
        <v>2</v>
      </c>
      <c r="E3580" s="444" t="s">
        <v>79</v>
      </c>
      <c r="F3580" s="109">
        <v>7</v>
      </c>
      <c r="G3580" s="443">
        <v>44</v>
      </c>
      <c r="H3580" s="443">
        <v>24</v>
      </c>
      <c r="I3580" s="445">
        <v>1058</v>
      </c>
      <c r="J3580" s="446">
        <v>900</v>
      </c>
    </row>
    <row r="3581" spans="1:10" x14ac:dyDescent="0.25">
      <c r="A3581" s="31" t="s">
        <v>684</v>
      </c>
      <c r="B3581" s="443" t="s">
        <v>323</v>
      </c>
      <c r="C3581" s="444" t="s">
        <v>86</v>
      </c>
      <c r="D3581" s="444" t="s">
        <v>38</v>
      </c>
      <c r="E3581" s="444" t="s">
        <v>79</v>
      </c>
      <c r="F3581" s="38">
        <v>9.83</v>
      </c>
      <c r="G3581" s="443">
        <v>62</v>
      </c>
      <c r="H3581" s="443">
        <v>24</v>
      </c>
      <c r="I3581" s="445">
        <v>1486</v>
      </c>
      <c r="J3581" s="446">
        <v>1400</v>
      </c>
    </row>
    <row r="3582" spans="1:10" x14ac:dyDescent="0.25">
      <c r="A3582" s="31" t="s">
        <v>684</v>
      </c>
      <c r="B3582" s="448" t="s">
        <v>324</v>
      </c>
      <c r="C3582" s="444" t="s">
        <v>443</v>
      </c>
      <c r="D3582" s="444" t="s">
        <v>38</v>
      </c>
      <c r="E3582" s="444" t="s">
        <v>79</v>
      </c>
      <c r="F3582" s="37">
        <v>3.65</v>
      </c>
      <c r="G3582" s="443">
        <v>23</v>
      </c>
      <c r="H3582" s="443">
        <v>24</v>
      </c>
      <c r="I3582" s="445">
        <v>552</v>
      </c>
      <c r="J3582" s="446">
        <v>500</v>
      </c>
    </row>
    <row r="3583" spans="1:10" x14ac:dyDescent="0.25">
      <c r="A3583" s="31" t="s">
        <v>684</v>
      </c>
      <c r="B3583" s="449" t="s">
        <v>317</v>
      </c>
      <c r="C3583" s="450" t="s">
        <v>156</v>
      </c>
      <c r="D3583" s="42">
        <v>45.52</v>
      </c>
      <c r="E3583" s="450" t="s">
        <v>79</v>
      </c>
      <c r="F3583" s="43">
        <v>10.76</v>
      </c>
      <c r="G3583" s="443">
        <v>68</v>
      </c>
      <c r="H3583" s="443">
        <v>24</v>
      </c>
      <c r="I3583" s="445">
        <v>1627</v>
      </c>
      <c r="J3583" s="446">
        <v>1600</v>
      </c>
    </row>
    <row r="3584" spans="1:10" x14ac:dyDescent="0.25">
      <c r="A3584" s="31" t="s">
        <v>684</v>
      </c>
      <c r="B3584" s="443" t="s">
        <v>325</v>
      </c>
      <c r="C3584" s="444" t="s">
        <v>158</v>
      </c>
      <c r="D3584" s="452">
        <v>40</v>
      </c>
      <c r="E3584" s="444" t="s">
        <v>79</v>
      </c>
      <c r="F3584" s="43">
        <v>7</v>
      </c>
      <c r="G3584" s="443">
        <v>44</v>
      </c>
      <c r="H3584" s="443">
        <v>24</v>
      </c>
      <c r="I3584" s="445">
        <v>1058</v>
      </c>
      <c r="J3584" s="446">
        <v>1000</v>
      </c>
    </row>
    <row r="3585" spans="1:10" ht="15.75" thickBot="1" x14ac:dyDescent="0.3">
      <c r="A3585" s="31" t="s">
        <v>684</v>
      </c>
      <c r="B3585" s="451" t="s">
        <v>326</v>
      </c>
      <c r="C3585" s="453" t="s">
        <v>152</v>
      </c>
      <c r="D3585" s="454">
        <v>14</v>
      </c>
      <c r="E3585" s="450" t="s">
        <v>79</v>
      </c>
      <c r="F3585" s="73">
        <v>9.01</v>
      </c>
      <c r="G3585" s="451">
        <v>57</v>
      </c>
      <c r="H3585" s="451">
        <v>24</v>
      </c>
      <c r="I3585" s="456">
        <v>1362</v>
      </c>
      <c r="J3585" s="457">
        <v>1300</v>
      </c>
    </row>
    <row r="3586" spans="1:10" ht="19.5" thickBot="1" x14ac:dyDescent="0.35">
      <c r="A3586" s="206"/>
      <c r="B3586" s="458"/>
      <c r="C3586" s="458"/>
      <c r="D3586" s="458"/>
      <c r="E3586" s="458"/>
      <c r="F3586" s="458"/>
      <c r="G3586" s="459"/>
      <c r="H3586" s="460" t="s">
        <v>171</v>
      </c>
      <c r="I3586" s="461">
        <v>7144</v>
      </c>
      <c r="J3586" s="462">
        <v>6700</v>
      </c>
    </row>
    <row r="3587" spans="1:10" x14ac:dyDescent="0.25">
      <c r="A3587" s="31" t="s">
        <v>685</v>
      </c>
      <c r="B3587" s="525" t="s">
        <v>322</v>
      </c>
      <c r="C3587" s="448" t="s">
        <v>114</v>
      </c>
      <c r="D3587" s="448">
        <v>6.13</v>
      </c>
      <c r="E3587" s="448" t="s">
        <v>79</v>
      </c>
      <c r="F3587" s="153">
        <v>7.02</v>
      </c>
      <c r="G3587" s="525">
        <f t="shared" ref="G3587:G3592" si="876">F3587*6.3</f>
        <v>44.225999999999999</v>
      </c>
      <c r="H3587" s="525">
        <v>24</v>
      </c>
      <c r="I3587" s="526">
        <f t="shared" ref="I3587:I3592" si="877">G3587*H3587</f>
        <v>1061.424</v>
      </c>
      <c r="J3587" s="527">
        <v>900</v>
      </c>
    </row>
    <row r="3588" spans="1:10" x14ac:dyDescent="0.25">
      <c r="A3588" s="31" t="s">
        <v>685</v>
      </c>
      <c r="B3588" s="443" t="s">
        <v>323</v>
      </c>
      <c r="C3588" s="444" t="s">
        <v>86</v>
      </c>
      <c r="D3588" s="444" t="s">
        <v>38</v>
      </c>
      <c r="E3588" s="444" t="s">
        <v>79</v>
      </c>
      <c r="F3588" s="38">
        <v>9.86</v>
      </c>
      <c r="G3588" s="443">
        <f t="shared" si="876"/>
        <v>62.117999999999995</v>
      </c>
      <c r="H3588" s="443">
        <v>24</v>
      </c>
      <c r="I3588" s="445">
        <f t="shared" si="877"/>
        <v>1490.8319999999999</v>
      </c>
      <c r="J3588" s="446">
        <v>1400</v>
      </c>
    </row>
    <row r="3589" spans="1:10" x14ac:dyDescent="0.25">
      <c r="A3589" s="31" t="s">
        <v>685</v>
      </c>
      <c r="B3589" s="448" t="s">
        <v>324</v>
      </c>
      <c r="C3589" s="444" t="s">
        <v>443</v>
      </c>
      <c r="D3589" s="444" t="s">
        <v>38</v>
      </c>
      <c r="E3589" s="444" t="s">
        <v>79</v>
      </c>
      <c r="F3589" s="37">
        <v>3.67</v>
      </c>
      <c r="G3589" s="443">
        <f t="shared" si="876"/>
        <v>23.120999999999999</v>
      </c>
      <c r="H3589" s="443">
        <v>24</v>
      </c>
      <c r="I3589" s="445">
        <f t="shared" si="877"/>
        <v>554.904</v>
      </c>
      <c r="J3589" s="446">
        <v>500</v>
      </c>
    </row>
    <row r="3590" spans="1:10" x14ac:dyDescent="0.25">
      <c r="A3590" s="31" t="s">
        <v>685</v>
      </c>
      <c r="B3590" s="449" t="s">
        <v>317</v>
      </c>
      <c r="C3590" s="450" t="s">
        <v>156</v>
      </c>
      <c r="D3590" s="42">
        <v>46.1</v>
      </c>
      <c r="E3590" s="450" t="s">
        <v>79</v>
      </c>
      <c r="F3590" s="43">
        <v>10.8</v>
      </c>
      <c r="G3590" s="443">
        <f t="shared" si="876"/>
        <v>68.040000000000006</v>
      </c>
      <c r="H3590" s="443">
        <v>24</v>
      </c>
      <c r="I3590" s="445">
        <f t="shared" si="877"/>
        <v>1632.96</v>
      </c>
      <c r="J3590" s="446">
        <v>1600</v>
      </c>
    </row>
    <row r="3591" spans="1:10" x14ac:dyDescent="0.25">
      <c r="A3591" s="31" t="s">
        <v>685</v>
      </c>
      <c r="B3591" s="443" t="s">
        <v>325</v>
      </c>
      <c r="C3591" s="444" t="s">
        <v>158</v>
      </c>
      <c r="D3591" s="452">
        <v>41.04</v>
      </c>
      <c r="E3591" s="444" t="s">
        <v>79</v>
      </c>
      <c r="F3591" s="43">
        <v>7.05</v>
      </c>
      <c r="G3591" s="443">
        <f t="shared" si="876"/>
        <v>44.414999999999999</v>
      </c>
      <c r="H3591" s="443">
        <v>24</v>
      </c>
      <c r="I3591" s="445">
        <f t="shared" si="877"/>
        <v>1065.96</v>
      </c>
      <c r="J3591" s="446">
        <v>1000</v>
      </c>
    </row>
    <row r="3592" spans="1:10" ht="15.75" thickBot="1" x14ac:dyDescent="0.3">
      <c r="A3592" s="31" t="s">
        <v>685</v>
      </c>
      <c r="B3592" s="451" t="s">
        <v>326</v>
      </c>
      <c r="C3592" s="453" t="s">
        <v>152</v>
      </c>
      <c r="D3592" s="454">
        <v>16.260000000000002</v>
      </c>
      <c r="E3592" s="450" t="s">
        <v>79</v>
      </c>
      <c r="F3592" s="73">
        <v>9.0299999999999994</v>
      </c>
      <c r="G3592" s="451">
        <f t="shared" si="876"/>
        <v>56.888999999999996</v>
      </c>
      <c r="H3592" s="451">
        <v>24</v>
      </c>
      <c r="I3592" s="456">
        <f t="shared" si="877"/>
        <v>1365.3359999999998</v>
      </c>
      <c r="J3592" s="457">
        <v>1300</v>
      </c>
    </row>
    <row r="3593" spans="1:10" ht="19.5" thickBot="1" x14ac:dyDescent="0.35">
      <c r="A3593" s="206"/>
      <c r="B3593" s="458"/>
      <c r="C3593" s="458"/>
      <c r="D3593" s="458"/>
      <c r="E3593" s="458"/>
      <c r="F3593" s="458"/>
      <c r="G3593" s="459"/>
      <c r="H3593" s="460" t="s">
        <v>171</v>
      </c>
      <c r="I3593" s="461">
        <f>SUM(I3587:I3592)</f>
        <v>7171.4159999999993</v>
      </c>
      <c r="J3593" s="462">
        <v>6700</v>
      </c>
    </row>
    <row r="3594" spans="1:10" x14ac:dyDescent="0.25">
      <c r="A3594" s="31" t="s">
        <v>686</v>
      </c>
      <c r="B3594" s="443" t="s">
        <v>322</v>
      </c>
      <c r="C3594" s="444" t="s">
        <v>114</v>
      </c>
      <c r="D3594" s="444">
        <v>6.1</v>
      </c>
      <c r="E3594" s="444" t="s">
        <v>79</v>
      </c>
      <c r="F3594" s="109">
        <v>6.32</v>
      </c>
      <c r="G3594" s="443">
        <f t="shared" ref="G3594:G3599" si="878">F3594*6.3</f>
        <v>39.816000000000003</v>
      </c>
      <c r="H3594" s="443">
        <v>24</v>
      </c>
      <c r="I3594" s="445">
        <f t="shared" ref="I3594:I3599" si="879">G3594*H3594</f>
        <v>955.58400000000006</v>
      </c>
      <c r="J3594" s="446">
        <v>900</v>
      </c>
    </row>
    <row r="3595" spans="1:10" x14ac:dyDescent="0.25">
      <c r="A3595" s="31" t="s">
        <v>686</v>
      </c>
      <c r="B3595" s="443" t="s">
        <v>323</v>
      </c>
      <c r="C3595" s="444" t="s">
        <v>86</v>
      </c>
      <c r="D3595" s="444" t="s">
        <v>38</v>
      </c>
      <c r="E3595" s="444" t="s">
        <v>79</v>
      </c>
      <c r="F3595" s="38">
        <v>9.4499999999999993</v>
      </c>
      <c r="G3595" s="443">
        <f t="shared" si="878"/>
        <v>59.534999999999997</v>
      </c>
      <c r="H3595" s="443">
        <v>24</v>
      </c>
      <c r="I3595" s="445">
        <f t="shared" si="879"/>
        <v>1428.84</v>
      </c>
      <c r="J3595" s="446">
        <v>1400</v>
      </c>
    </row>
    <row r="3596" spans="1:10" x14ac:dyDescent="0.25">
      <c r="A3596" s="31" t="s">
        <v>686</v>
      </c>
      <c r="B3596" s="448" t="s">
        <v>324</v>
      </c>
      <c r="C3596" s="444" t="s">
        <v>443</v>
      </c>
      <c r="D3596" s="444" t="s">
        <v>38</v>
      </c>
      <c r="E3596" s="444" t="s">
        <v>79</v>
      </c>
      <c r="F3596" s="37">
        <v>3.42</v>
      </c>
      <c r="G3596" s="443">
        <f t="shared" si="878"/>
        <v>21.545999999999999</v>
      </c>
      <c r="H3596" s="443">
        <v>24</v>
      </c>
      <c r="I3596" s="445">
        <f t="shared" si="879"/>
        <v>517.10400000000004</v>
      </c>
      <c r="J3596" s="446">
        <v>500</v>
      </c>
    </row>
    <row r="3597" spans="1:10" x14ac:dyDescent="0.25">
      <c r="A3597" s="31" t="s">
        <v>686</v>
      </c>
      <c r="B3597" s="449" t="s">
        <v>317</v>
      </c>
      <c r="C3597" s="450" t="s">
        <v>156</v>
      </c>
      <c r="D3597" s="42">
        <v>43.42</v>
      </c>
      <c r="E3597" s="450" t="s">
        <v>79</v>
      </c>
      <c r="F3597" s="43">
        <v>10.43</v>
      </c>
      <c r="G3597" s="443">
        <f t="shared" si="878"/>
        <v>65.709000000000003</v>
      </c>
      <c r="H3597" s="443">
        <v>24</v>
      </c>
      <c r="I3597" s="445">
        <f t="shared" si="879"/>
        <v>1577.0160000000001</v>
      </c>
      <c r="J3597" s="446">
        <v>1600</v>
      </c>
    </row>
    <row r="3598" spans="1:10" x14ac:dyDescent="0.25">
      <c r="A3598" s="31" t="s">
        <v>686</v>
      </c>
      <c r="B3598" s="443" t="s">
        <v>325</v>
      </c>
      <c r="C3598" s="444" t="s">
        <v>158</v>
      </c>
      <c r="D3598" s="452">
        <v>38</v>
      </c>
      <c r="E3598" s="444" t="s">
        <v>79</v>
      </c>
      <c r="F3598" s="43">
        <v>6.86</v>
      </c>
      <c r="G3598" s="443">
        <f t="shared" si="878"/>
        <v>43.218000000000004</v>
      </c>
      <c r="H3598" s="443">
        <v>24</v>
      </c>
      <c r="I3598" s="445">
        <f t="shared" si="879"/>
        <v>1037.232</v>
      </c>
      <c r="J3598" s="446">
        <v>1000</v>
      </c>
    </row>
    <row r="3599" spans="1:10" ht="15.75" thickBot="1" x14ac:dyDescent="0.3">
      <c r="A3599" s="31" t="s">
        <v>686</v>
      </c>
      <c r="B3599" s="451" t="s">
        <v>326</v>
      </c>
      <c r="C3599" s="453" t="s">
        <v>152</v>
      </c>
      <c r="D3599" s="454">
        <v>15.5</v>
      </c>
      <c r="E3599" s="450" t="s">
        <v>79</v>
      </c>
      <c r="F3599" s="73">
        <v>8.7799999999999994</v>
      </c>
      <c r="G3599" s="451">
        <f t="shared" si="878"/>
        <v>55.313999999999993</v>
      </c>
      <c r="H3599" s="451">
        <v>24</v>
      </c>
      <c r="I3599" s="456">
        <f t="shared" si="879"/>
        <v>1327.5359999999998</v>
      </c>
      <c r="J3599" s="457">
        <v>1300</v>
      </c>
    </row>
    <row r="3600" spans="1:10" ht="19.5" thickBot="1" x14ac:dyDescent="0.35">
      <c r="A3600" s="206"/>
      <c r="B3600" s="458"/>
      <c r="C3600" s="458"/>
      <c r="D3600" s="458"/>
      <c r="E3600" s="458"/>
      <c r="F3600" s="458"/>
      <c r="G3600" s="459"/>
      <c r="H3600" s="460" t="s">
        <v>171</v>
      </c>
      <c r="I3600" s="461">
        <f>SUM(I3594:I3599)</f>
        <v>6843.3119999999999</v>
      </c>
      <c r="J3600" s="462">
        <v>6700</v>
      </c>
    </row>
    <row r="3601" spans="1:11" x14ac:dyDescent="0.25">
      <c r="A3601" s="31" t="s">
        <v>687</v>
      </c>
      <c r="B3601" s="443" t="s">
        <v>322</v>
      </c>
      <c r="C3601" s="444" t="s">
        <v>114</v>
      </c>
      <c r="D3601" s="444">
        <v>0</v>
      </c>
      <c r="E3601" s="444" t="s">
        <v>79</v>
      </c>
      <c r="F3601" s="109">
        <v>6.4</v>
      </c>
      <c r="G3601" s="443">
        <f t="shared" ref="G3601:G3606" si="880">F3601*6.3</f>
        <v>40.32</v>
      </c>
      <c r="H3601" s="443">
        <v>6</v>
      </c>
      <c r="I3601" s="445">
        <f t="shared" ref="I3601:I3606" si="881">G3601*H3601</f>
        <v>241.92000000000002</v>
      </c>
      <c r="J3601" s="446">
        <v>900</v>
      </c>
    </row>
    <row r="3602" spans="1:11" x14ac:dyDescent="0.25">
      <c r="A3602" s="31" t="s">
        <v>687</v>
      </c>
      <c r="B3602" s="443" t="s">
        <v>323</v>
      </c>
      <c r="C3602" s="444" t="s">
        <v>86</v>
      </c>
      <c r="D3602" s="444">
        <v>0</v>
      </c>
      <c r="E3602" s="444" t="s">
        <v>79</v>
      </c>
      <c r="F3602" s="38">
        <v>9.1999999999999993</v>
      </c>
      <c r="G3602" s="443">
        <f t="shared" si="880"/>
        <v>57.959999999999994</v>
      </c>
      <c r="H3602" s="443">
        <v>6</v>
      </c>
      <c r="I3602" s="445">
        <f t="shared" si="881"/>
        <v>347.76</v>
      </c>
      <c r="J3602" s="446">
        <v>1400</v>
      </c>
    </row>
    <row r="3603" spans="1:11" x14ac:dyDescent="0.25">
      <c r="A3603" s="31" t="s">
        <v>687</v>
      </c>
      <c r="B3603" s="448" t="s">
        <v>324</v>
      </c>
      <c r="C3603" s="444" t="s">
        <v>443</v>
      </c>
      <c r="D3603" s="444" t="s">
        <v>38</v>
      </c>
      <c r="E3603" s="444" t="s">
        <v>79</v>
      </c>
      <c r="F3603" s="37">
        <v>3.42</v>
      </c>
      <c r="G3603" s="443">
        <f t="shared" si="880"/>
        <v>21.545999999999999</v>
      </c>
      <c r="H3603" s="443">
        <v>6</v>
      </c>
      <c r="I3603" s="445">
        <f t="shared" si="881"/>
        <v>129.27600000000001</v>
      </c>
      <c r="J3603" s="446">
        <v>500</v>
      </c>
    </row>
    <row r="3604" spans="1:11" x14ac:dyDescent="0.25">
      <c r="A3604" s="31" t="s">
        <v>687</v>
      </c>
      <c r="B3604" s="449" t="s">
        <v>317</v>
      </c>
      <c r="C3604" s="450" t="s">
        <v>156</v>
      </c>
      <c r="D3604" s="42">
        <v>0</v>
      </c>
      <c r="E3604" s="450" t="s">
        <v>79</v>
      </c>
      <c r="F3604" s="43">
        <v>10.43</v>
      </c>
      <c r="G3604" s="443">
        <f t="shared" si="880"/>
        <v>65.709000000000003</v>
      </c>
      <c r="H3604" s="443">
        <v>6</v>
      </c>
      <c r="I3604" s="445">
        <f t="shared" si="881"/>
        <v>394.25400000000002</v>
      </c>
      <c r="J3604" s="446">
        <v>1600</v>
      </c>
    </row>
    <row r="3605" spans="1:11" x14ac:dyDescent="0.25">
      <c r="A3605" s="31" t="s">
        <v>687</v>
      </c>
      <c r="B3605" s="443" t="s">
        <v>325</v>
      </c>
      <c r="C3605" s="444" t="s">
        <v>158</v>
      </c>
      <c r="D3605" s="452">
        <v>0</v>
      </c>
      <c r="E3605" s="444" t="s">
        <v>79</v>
      </c>
      <c r="F3605" s="43">
        <v>6.86</v>
      </c>
      <c r="G3605" s="443">
        <f t="shared" si="880"/>
        <v>43.218000000000004</v>
      </c>
      <c r="H3605" s="443">
        <v>6</v>
      </c>
      <c r="I3605" s="445">
        <f t="shared" si="881"/>
        <v>259.30799999999999</v>
      </c>
      <c r="J3605" s="446">
        <v>1000</v>
      </c>
    </row>
    <row r="3606" spans="1:11" ht="15.75" thickBot="1" x14ac:dyDescent="0.3">
      <c r="A3606" s="31" t="s">
        <v>687</v>
      </c>
      <c r="B3606" s="451" t="s">
        <v>326</v>
      </c>
      <c r="C3606" s="453" t="s">
        <v>152</v>
      </c>
      <c r="D3606" s="454">
        <v>0</v>
      </c>
      <c r="E3606" s="450" t="s">
        <v>79</v>
      </c>
      <c r="F3606" s="73">
        <v>8.7799999999999994</v>
      </c>
      <c r="G3606" s="451">
        <f t="shared" si="880"/>
        <v>55.313999999999993</v>
      </c>
      <c r="H3606" s="443">
        <v>6</v>
      </c>
      <c r="I3606" s="456">
        <f t="shared" si="881"/>
        <v>331.88399999999996</v>
      </c>
      <c r="J3606" s="457">
        <v>1300</v>
      </c>
    </row>
    <row r="3607" spans="1:11" ht="36.75" customHeight="1" thickBot="1" x14ac:dyDescent="0.3">
      <c r="A3607" s="206"/>
      <c r="B3607" s="528"/>
      <c r="C3607" s="528"/>
      <c r="D3607" s="528"/>
      <c r="E3607" s="528"/>
      <c r="F3607" s="528"/>
      <c r="G3607" s="529"/>
      <c r="H3607" s="530" t="s">
        <v>171</v>
      </c>
      <c r="I3607" s="461">
        <f>SUM(I3601:I3606)</f>
        <v>1704.402</v>
      </c>
      <c r="J3607" s="531">
        <v>6700</v>
      </c>
      <c r="K3607" s="532" t="s">
        <v>688</v>
      </c>
    </row>
    <row r="3608" spans="1:11" x14ac:dyDescent="0.25">
      <c r="A3608" s="31" t="s">
        <v>690</v>
      </c>
      <c r="B3608" s="443" t="s">
        <v>322</v>
      </c>
      <c r="C3608" s="444" t="s">
        <v>114</v>
      </c>
      <c r="D3608" s="444">
        <v>27.8</v>
      </c>
      <c r="E3608" s="444" t="s">
        <v>79</v>
      </c>
      <c r="F3608" s="109">
        <v>7.2</v>
      </c>
      <c r="G3608" s="443">
        <f t="shared" ref="G3608:G3613" si="882">F3608*6.3</f>
        <v>45.36</v>
      </c>
      <c r="H3608" s="443">
        <v>21</v>
      </c>
      <c r="I3608" s="445">
        <f t="shared" ref="I3608:I3613" si="883">G3608*H3608</f>
        <v>952.56</v>
      </c>
      <c r="J3608" s="446">
        <v>900</v>
      </c>
    </row>
    <row r="3609" spans="1:11" x14ac:dyDescent="0.25">
      <c r="A3609" s="31" t="s">
        <v>690</v>
      </c>
      <c r="B3609" s="443" t="s">
        <v>323</v>
      </c>
      <c r="C3609" s="444" t="s">
        <v>86</v>
      </c>
      <c r="D3609" s="444">
        <v>0</v>
      </c>
      <c r="E3609" s="444" t="s">
        <v>79</v>
      </c>
      <c r="F3609" s="38">
        <v>9.6</v>
      </c>
      <c r="G3609" s="443">
        <f t="shared" si="882"/>
        <v>60.48</v>
      </c>
      <c r="H3609" s="443">
        <v>21</v>
      </c>
      <c r="I3609" s="445">
        <f t="shared" si="883"/>
        <v>1270.08</v>
      </c>
      <c r="J3609" s="446">
        <v>1400</v>
      </c>
    </row>
    <row r="3610" spans="1:11" x14ac:dyDescent="0.25">
      <c r="A3610" s="31" t="s">
        <v>690</v>
      </c>
      <c r="B3610" s="448" t="s">
        <v>324</v>
      </c>
      <c r="C3610" s="444" t="s">
        <v>443</v>
      </c>
      <c r="D3610" s="444" t="s">
        <v>38</v>
      </c>
      <c r="E3610" s="444" t="s">
        <v>79</v>
      </c>
      <c r="F3610" s="37">
        <v>3.42</v>
      </c>
      <c r="G3610" s="443">
        <f t="shared" si="882"/>
        <v>21.545999999999999</v>
      </c>
      <c r="H3610" s="443">
        <v>21</v>
      </c>
      <c r="I3610" s="445">
        <f t="shared" si="883"/>
        <v>452.46600000000001</v>
      </c>
      <c r="J3610" s="446">
        <v>500</v>
      </c>
    </row>
    <row r="3611" spans="1:11" x14ac:dyDescent="0.25">
      <c r="A3611" s="31" t="s">
        <v>690</v>
      </c>
      <c r="B3611" s="449" t="s">
        <v>317</v>
      </c>
      <c r="C3611" s="450" t="s">
        <v>156</v>
      </c>
      <c r="D3611" s="42">
        <v>0</v>
      </c>
      <c r="E3611" s="450" t="s">
        <v>79</v>
      </c>
      <c r="F3611" s="43">
        <v>11</v>
      </c>
      <c r="G3611" s="443">
        <f t="shared" si="882"/>
        <v>69.3</v>
      </c>
      <c r="H3611" s="443">
        <v>21</v>
      </c>
      <c r="I3611" s="445">
        <f t="shared" si="883"/>
        <v>1455.3</v>
      </c>
      <c r="J3611" s="446">
        <v>1600</v>
      </c>
    </row>
    <row r="3612" spans="1:11" x14ac:dyDescent="0.25">
      <c r="A3612" s="31" t="s">
        <v>690</v>
      </c>
      <c r="B3612" s="443" t="s">
        <v>325</v>
      </c>
      <c r="C3612" s="444" t="s">
        <v>158</v>
      </c>
      <c r="D3612" s="452">
        <v>39.4</v>
      </c>
      <c r="E3612" s="444" t="s">
        <v>79</v>
      </c>
      <c r="F3612" s="43">
        <v>7</v>
      </c>
      <c r="G3612" s="443">
        <f t="shared" si="882"/>
        <v>44.1</v>
      </c>
      <c r="H3612" s="443">
        <v>21</v>
      </c>
      <c r="I3612" s="445">
        <f t="shared" si="883"/>
        <v>926.1</v>
      </c>
      <c r="J3612" s="446">
        <v>1000</v>
      </c>
    </row>
    <row r="3613" spans="1:11" ht="15.75" thickBot="1" x14ac:dyDescent="0.3">
      <c r="A3613" s="31" t="s">
        <v>690</v>
      </c>
      <c r="B3613" s="451" t="s">
        <v>326</v>
      </c>
      <c r="C3613" s="453" t="s">
        <v>152</v>
      </c>
      <c r="D3613" s="454">
        <v>9.1999999999999993</v>
      </c>
      <c r="E3613" s="450" t="s">
        <v>79</v>
      </c>
      <c r="F3613" s="73">
        <v>11.32</v>
      </c>
      <c r="G3613" s="451">
        <f t="shared" si="882"/>
        <v>71.316000000000003</v>
      </c>
      <c r="H3613" s="443">
        <v>21</v>
      </c>
      <c r="I3613" s="456">
        <f t="shared" si="883"/>
        <v>1497.636</v>
      </c>
      <c r="J3613" s="457">
        <v>1300</v>
      </c>
    </row>
    <row r="3614" spans="1:11" ht="19.5" thickBot="1" x14ac:dyDescent="0.35">
      <c r="A3614" s="206"/>
      <c r="B3614" s="458"/>
      <c r="C3614" s="458"/>
      <c r="D3614" s="458"/>
      <c r="E3614" s="458"/>
      <c r="F3614" s="458"/>
      <c r="G3614" s="459"/>
      <c r="H3614" s="460" t="s">
        <v>171</v>
      </c>
      <c r="I3614" s="461">
        <f>SUM(I3608:I3613)</f>
        <v>6554.1419999999998</v>
      </c>
      <c r="J3614" s="462">
        <v>6700</v>
      </c>
      <c r="K3614" s="467" t="s">
        <v>689</v>
      </c>
    </row>
    <row r="3615" spans="1:11" x14ac:dyDescent="0.25">
      <c r="A3615" s="31" t="s">
        <v>691</v>
      </c>
      <c r="B3615" s="443" t="s">
        <v>322</v>
      </c>
      <c r="C3615" s="444" t="s">
        <v>114</v>
      </c>
      <c r="D3615" s="444">
        <v>28</v>
      </c>
      <c r="E3615" s="444" t="s">
        <v>79</v>
      </c>
      <c r="F3615" s="109">
        <v>6.8</v>
      </c>
      <c r="G3615" s="443">
        <f t="shared" ref="G3615:G3620" si="884">F3615*6.3</f>
        <v>42.839999999999996</v>
      </c>
      <c r="H3615" s="443">
        <v>24</v>
      </c>
      <c r="I3615" s="445">
        <f t="shared" ref="I3615:I3620" si="885">G3615*H3615</f>
        <v>1028.1599999999999</v>
      </c>
      <c r="J3615" s="446">
        <v>900</v>
      </c>
    </row>
    <row r="3616" spans="1:11" x14ac:dyDescent="0.25">
      <c r="A3616" s="31" t="s">
        <v>691</v>
      </c>
      <c r="B3616" s="443" t="s">
        <v>323</v>
      </c>
      <c r="C3616" s="444" t="s">
        <v>86</v>
      </c>
      <c r="D3616" s="444">
        <v>0</v>
      </c>
      <c r="E3616" s="444" t="s">
        <v>79</v>
      </c>
      <c r="F3616" s="38">
        <v>9.4</v>
      </c>
      <c r="G3616" s="443">
        <f t="shared" si="884"/>
        <v>59.22</v>
      </c>
      <c r="H3616" s="443">
        <v>24</v>
      </c>
      <c r="I3616" s="445">
        <f t="shared" si="885"/>
        <v>1421.28</v>
      </c>
      <c r="J3616" s="446">
        <v>1400</v>
      </c>
    </row>
    <row r="3617" spans="1:10" x14ac:dyDescent="0.25">
      <c r="A3617" s="31" t="s">
        <v>691</v>
      </c>
      <c r="B3617" s="448" t="s">
        <v>324</v>
      </c>
      <c r="C3617" s="444" t="s">
        <v>443</v>
      </c>
      <c r="D3617" s="444" t="s">
        <v>38</v>
      </c>
      <c r="E3617" s="444" t="s">
        <v>79</v>
      </c>
      <c r="F3617" s="37">
        <v>3.42</v>
      </c>
      <c r="G3617" s="443">
        <f t="shared" si="884"/>
        <v>21.545999999999999</v>
      </c>
      <c r="H3617" s="443">
        <v>24</v>
      </c>
      <c r="I3617" s="445">
        <f t="shared" si="885"/>
        <v>517.10400000000004</v>
      </c>
      <c r="J3617" s="446">
        <v>500</v>
      </c>
    </row>
    <row r="3618" spans="1:10" x14ac:dyDescent="0.25">
      <c r="A3618" s="31" t="s">
        <v>691</v>
      </c>
      <c r="B3618" s="449" t="s">
        <v>317</v>
      </c>
      <c r="C3618" s="450" t="s">
        <v>156</v>
      </c>
      <c r="D3618" s="42">
        <v>0</v>
      </c>
      <c r="E3618" s="450" t="s">
        <v>79</v>
      </c>
      <c r="F3618" s="43">
        <v>10.8</v>
      </c>
      <c r="G3618" s="443">
        <f t="shared" si="884"/>
        <v>68.040000000000006</v>
      </c>
      <c r="H3618" s="443">
        <v>24</v>
      </c>
      <c r="I3618" s="445">
        <f t="shared" si="885"/>
        <v>1632.96</v>
      </c>
      <c r="J3618" s="446">
        <v>1600</v>
      </c>
    </row>
    <row r="3619" spans="1:10" x14ac:dyDescent="0.25">
      <c r="A3619" s="31" t="s">
        <v>691</v>
      </c>
      <c r="B3619" s="443" t="s">
        <v>325</v>
      </c>
      <c r="C3619" s="444" t="s">
        <v>158</v>
      </c>
      <c r="D3619" s="452">
        <v>39</v>
      </c>
      <c r="E3619" s="444" t="s">
        <v>79</v>
      </c>
      <c r="F3619" s="43">
        <v>7.3</v>
      </c>
      <c r="G3619" s="443">
        <f t="shared" si="884"/>
        <v>45.989999999999995</v>
      </c>
      <c r="H3619" s="443">
        <v>24</v>
      </c>
      <c r="I3619" s="445">
        <f t="shared" si="885"/>
        <v>1103.7599999999998</v>
      </c>
      <c r="J3619" s="446">
        <v>1000</v>
      </c>
    </row>
    <row r="3620" spans="1:10" ht="15.75" thickBot="1" x14ac:dyDescent="0.3">
      <c r="A3620" s="31" t="s">
        <v>691</v>
      </c>
      <c r="B3620" s="451" t="s">
        <v>326</v>
      </c>
      <c r="C3620" s="453" t="s">
        <v>152</v>
      </c>
      <c r="D3620" s="454">
        <v>10</v>
      </c>
      <c r="E3620" s="450" t="s">
        <v>79</v>
      </c>
      <c r="F3620" s="73">
        <v>9.4</v>
      </c>
      <c r="G3620" s="451">
        <f t="shared" si="884"/>
        <v>59.22</v>
      </c>
      <c r="H3620" s="443">
        <v>24</v>
      </c>
      <c r="I3620" s="456">
        <f t="shared" si="885"/>
        <v>1421.28</v>
      </c>
      <c r="J3620" s="457">
        <v>1300</v>
      </c>
    </row>
    <row r="3621" spans="1:10" ht="19.5" thickBot="1" x14ac:dyDescent="0.35">
      <c r="A3621" s="206"/>
      <c r="B3621" s="458"/>
      <c r="C3621" s="458"/>
      <c r="D3621" s="458"/>
      <c r="E3621" s="458"/>
      <c r="F3621" s="458"/>
      <c r="G3621" s="459"/>
      <c r="H3621" s="460" t="s">
        <v>171</v>
      </c>
      <c r="I3621" s="461">
        <f>SUM(I3615:I3620)</f>
        <v>7124.543999999999</v>
      </c>
      <c r="J3621" s="462">
        <v>6700</v>
      </c>
    </row>
    <row r="3622" spans="1:10" x14ac:dyDescent="0.25">
      <c r="A3622" s="31" t="s">
        <v>692</v>
      </c>
      <c r="B3622" s="443" t="s">
        <v>322</v>
      </c>
      <c r="C3622" s="444" t="s">
        <v>114</v>
      </c>
      <c r="D3622" s="444">
        <v>28</v>
      </c>
      <c r="E3622" s="444" t="s">
        <v>79</v>
      </c>
      <c r="F3622" s="109">
        <v>6.95</v>
      </c>
      <c r="G3622" s="443">
        <f t="shared" ref="G3622:G3627" si="886">F3622*6.3</f>
        <v>43.784999999999997</v>
      </c>
      <c r="H3622" s="443">
        <v>24</v>
      </c>
      <c r="I3622" s="445">
        <f t="shared" ref="I3622:I3627" si="887">G3622*H3622</f>
        <v>1050.8399999999999</v>
      </c>
      <c r="J3622" s="446">
        <v>900</v>
      </c>
    </row>
    <row r="3623" spans="1:10" x14ac:dyDescent="0.25">
      <c r="A3623" s="31" t="s">
        <v>692</v>
      </c>
      <c r="B3623" s="443" t="s">
        <v>323</v>
      </c>
      <c r="C3623" s="444" t="s">
        <v>86</v>
      </c>
      <c r="D3623" s="444">
        <v>0</v>
      </c>
      <c r="E3623" s="444" t="s">
        <v>79</v>
      </c>
      <c r="F3623" s="38">
        <v>9.35</v>
      </c>
      <c r="G3623" s="443">
        <f t="shared" si="886"/>
        <v>58.904999999999994</v>
      </c>
      <c r="H3623" s="443">
        <v>24</v>
      </c>
      <c r="I3623" s="445">
        <f t="shared" si="887"/>
        <v>1413.7199999999998</v>
      </c>
      <c r="J3623" s="446">
        <v>1400</v>
      </c>
    </row>
    <row r="3624" spans="1:10" x14ac:dyDescent="0.25">
      <c r="A3624" s="31" t="s">
        <v>692</v>
      </c>
      <c r="B3624" s="448" t="s">
        <v>324</v>
      </c>
      <c r="C3624" s="444" t="s">
        <v>443</v>
      </c>
      <c r="D3624" s="444" t="s">
        <v>38</v>
      </c>
      <c r="E3624" s="444" t="s">
        <v>79</v>
      </c>
      <c r="F3624" s="37">
        <v>3.42</v>
      </c>
      <c r="G3624" s="443">
        <f t="shared" si="886"/>
        <v>21.545999999999999</v>
      </c>
      <c r="H3624" s="443">
        <v>24</v>
      </c>
      <c r="I3624" s="445">
        <f t="shared" si="887"/>
        <v>517.10400000000004</v>
      </c>
      <c r="J3624" s="446">
        <v>500</v>
      </c>
    </row>
    <row r="3625" spans="1:10" x14ac:dyDescent="0.25">
      <c r="A3625" s="31" t="s">
        <v>692</v>
      </c>
      <c r="B3625" s="449" t="s">
        <v>317</v>
      </c>
      <c r="C3625" s="450" t="s">
        <v>156</v>
      </c>
      <c r="D3625" s="42">
        <v>0</v>
      </c>
      <c r="E3625" s="450" t="s">
        <v>79</v>
      </c>
      <c r="F3625" s="43">
        <v>10.8</v>
      </c>
      <c r="G3625" s="443">
        <f t="shared" si="886"/>
        <v>68.040000000000006</v>
      </c>
      <c r="H3625" s="443">
        <v>24</v>
      </c>
      <c r="I3625" s="445">
        <f t="shared" si="887"/>
        <v>1632.96</v>
      </c>
      <c r="J3625" s="446">
        <v>1600</v>
      </c>
    </row>
    <row r="3626" spans="1:10" x14ac:dyDescent="0.25">
      <c r="A3626" s="31" t="s">
        <v>692</v>
      </c>
      <c r="B3626" s="443" t="s">
        <v>325</v>
      </c>
      <c r="C3626" s="444" t="s">
        <v>158</v>
      </c>
      <c r="D3626" s="452">
        <v>39</v>
      </c>
      <c r="E3626" s="444" t="s">
        <v>79</v>
      </c>
      <c r="F3626" s="43">
        <v>7.3</v>
      </c>
      <c r="G3626" s="443">
        <f t="shared" si="886"/>
        <v>45.989999999999995</v>
      </c>
      <c r="H3626" s="443">
        <v>24</v>
      </c>
      <c r="I3626" s="445">
        <f t="shared" si="887"/>
        <v>1103.7599999999998</v>
      </c>
      <c r="J3626" s="446">
        <v>1000</v>
      </c>
    </row>
    <row r="3627" spans="1:10" ht="15.75" thickBot="1" x14ac:dyDescent="0.3">
      <c r="A3627" s="31" t="s">
        <v>692</v>
      </c>
      <c r="B3627" s="451" t="s">
        <v>326</v>
      </c>
      <c r="C3627" s="453" t="s">
        <v>152</v>
      </c>
      <c r="D3627" s="454">
        <v>10</v>
      </c>
      <c r="E3627" s="450" t="s">
        <v>79</v>
      </c>
      <c r="F3627" s="73">
        <v>9.1999999999999993</v>
      </c>
      <c r="G3627" s="451">
        <f t="shared" si="886"/>
        <v>57.959999999999994</v>
      </c>
      <c r="H3627" s="443">
        <v>24</v>
      </c>
      <c r="I3627" s="456">
        <f t="shared" si="887"/>
        <v>1391.04</v>
      </c>
      <c r="J3627" s="457">
        <v>1300</v>
      </c>
    </row>
    <row r="3628" spans="1:10" ht="19.5" thickBot="1" x14ac:dyDescent="0.35">
      <c r="A3628" s="206"/>
      <c r="B3628" s="458"/>
      <c r="C3628" s="458"/>
      <c r="D3628" s="458"/>
      <c r="E3628" s="458"/>
      <c r="F3628" s="458"/>
      <c r="G3628" s="459"/>
      <c r="H3628" s="460" t="s">
        <v>171</v>
      </c>
      <c r="I3628" s="461">
        <f>SUM(I3622:I3627)</f>
        <v>7109.424</v>
      </c>
      <c r="J3628" s="462">
        <v>6700</v>
      </c>
    </row>
    <row r="3629" spans="1:10" x14ac:dyDescent="0.25">
      <c r="A3629" s="31" t="s">
        <v>693</v>
      </c>
      <c r="B3629" s="443" t="s">
        <v>322</v>
      </c>
      <c r="C3629" s="444" t="s">
        <v>114</v>
      </c>
      <c r="D3629" s="444">
        <v>27</v>
      </c>
      <c r="E3629" s="444" t="s">
        <v>79</v>
      </c>
      <c r="F3629" s="109">
        <v>6.95</v>
      </c>
      <c r="G3629" s="443">
        <f t="shared" ref="G3629:G3634" si="888">F3629*6.3</f>
        <v>43.784999999999997</v>
      </c>
      <c r="H3629" s="443">
        <v>24</v>
      </c>
      <c r="I3629" s="445">
        <f t="shared" ref="I3629:I3634" si="889">G3629*H3629</f>
        <v>1050.8399999999999</v>
      </c>
      <c r="J3629" s="446">
        <v>900</v>
      </c>
    </row>
    <row r="3630" spans="1:10" x14ac:dyDescent="0.25">
      <c r="A3630" s="31" t="s">
        <v>693</v>
      </c>
      <c r="B3630" s="443" t="s">
        <v>323</v>
      </c>
      <c r="C3630" s="444" t="s">
        <v>86</v>
      </c>
      <c r="D3630" s="444">
        <v>0</v>
      </c>
      <c r="E3630" s="444" t="s">
        <v>79</v>
      </c>
      <c r="F3630" s="38">
        <v>9.4</v>
      </c>
      <c r="G3630" s="443">
        <f t="shared" si="888"/>
        <v>59.22</v>
      </c>
      <c r="H3630" s="443">
        <v>24</v>
      </c>
      <c r="I3630" s="445">
        <f t="shared" si="889"/>
        <v>1421.28</v>
      </c>
      <c r="J3630" s="446">
        <v>1400</v>
      </c>
    </row>
    <row r="3631" spans="1:10" x14ac:dyDescent="0.25">
      <c r="A3631" s="31" t="s">
        <v>693</v>
      </c>
      <c r="B3631" s="448" t="s">
        <v>324</v>
      </c>
      <c r="C3631" s="444" t="s">
        <v>443</v>
      </c>
      <c r="D3631" s="444" t="s">
        <v>38</v>
      </c>
      <c r="E3631" s="444" t="s">
        <v>79</v>
      </c>
      <c r="F3631" s="37">
        <v>3.42</v>
      </c>
      <c r="G3631" s="443">
        <f t="shared" si="888"/>
        <v>21.545999999999999</v>
      </c>
      <c r="H3631" s="443">
        <v>24</v>
      </c>
      <c r="I3631" s="445">
        <f t="shared" si="889"/>
        <v>517.10400000000004</v>
      </c>
      <c r="J3631" s="446">
        <v>500</v>
      </c>
    </row>
    <row r="3632" spans="1:10" x14ac:dyDescent="0.25">
      <c r="A3632" s="31" t="s">
        <v>693</v>
      </c>
      <c r="B3632" s="449" t="s">
        <v>317</v>
      </c>
      <c r="C3632" s="450" t="s">
        <v>156</v>
      </c>
      <c r="D3632" s="42">
        <v>48</v>
      </c>
      <c r="E3632" s="450" t="s">
        <v>79</v>
      </c>
      <c r="F3632" s="43">
        <v>10.9</v>
      </c>
      <c r="G3632" s="443">
        <f t="shared" si="888"/>
        <v>68.67</v>
      </c>
      <c r="H3632" s="443">
        <v>24</v>
      </c>
      <c r="I3632" s="445">
        <f t="shared" si="889"/>
        <v>1648.08</v>
      </c>
      <c r="J3632" s="446">
        <v>1600</v>
      </c>
    </row>
    <row r="3633" spans="1:10" x14ac:dyDescent="0.25">
      <c r="A3633" s="31" t="s">
        <v>693</v>
      </c>
      <c r="B3633" s="443" t="s">
        <v>325</v>
      </c>
      <c r="C3633" s="444" t="s">
        <v>158</v>
      </c>
      <c r="D3633" s="452">
        <v>40</v>
      </c>
      <c r="E3633" s="444" t="s">
        <v>79</v>
      </c>
      <c r="F3633" s="43">
        <v>7.3</v>
      </c>
      <c r="G3633" s="443">
        <f t="shared" si="888"/>
        <v>45.989999999999995</v>
      </c>
      <c r="H3633" s="443">
        <v>24</v>
      </c>
      <c r="I3633" s="445">
        <f t="shared" si="889"/>
        <v>1103.7599999999998</v>
      </c>
      <c r="J3633" s="446">
        <v>1000</v>
      </c>
    </row>
    <row r="3634" spans="1:10" ht="15.75" thickBot="1" x14ac:dyDescent="0.3">
      <c r="A3634" s="31" t="s">
        <v>693</v>
      </c>
      <c r="B3634" s="451" t="s">
        <v>326</v>
      </c>
      <c r="C3634" s="453" t="s">
        <v>152</v>
      </c>
      <c r="D3634" s="454">
        <v>12</v>
      </c>
      <c r="E3634" s="450" t="s">
        <v>79</v>
      </c>
      <c r="F3634" s="73">
        <v>9.1999999999999993</v>
      </c>
      <c r="G3634" s="451">
        <f t="shared" si="888"/>
        <v>57.959999999999994</v>
      </c>
      <c r="H3634" s="443">
        <v>24</v>
      </c>
      <c r="I3634" s="456">
        <f t="shared" si="889"/>
        <v>1391.04</v>
      </c>
      <c r="J3634" s="457">
        <v>1300</v>
      </c>
    </row>
    <row r="3635" spans="1:10" ht="19.5" thickBot="1" x14ac:dyDescent="0.35">
      <c r="A3635" s="206"/>
      <c r="B3635" s="458"/>
      <c r="C3635" s="458"/>
      <c r="D3635" s="458"/>
      <c r="E3635" s="458"/>
      <c r="F3635" s="458"/>
      <c r="G3635" s="459"/>
      <c r="H3635" s="460" t="s">
        <v>171</v>
      </c>
      <c r="I3635" s="461">
        <f>SUM(I3629:I3634)</f>
        <v>7132.1040000000003</v>
      </c>
      <c r="J3635" s="462">
        <v>6700</v>
      </c>
    </row>
    <row r="3636" spans="1:10" x14ac:dyDescent="0.25">
      <c r="A3636" s="31" t="s">
        <v>694</v>
      </c>
      <c r="B3636" s="443" t="s">
        <v>322</v>
      </c>
      <c r="C3636" s="444" t="s">
        <v>114</v>
      </c>
      <c r="D3636" s="444">
        <v>26</v>
      </c>
      <c r="E3636" s="444" t="s">
        <v>79</v>
      </c>
      <c r="F3636" s="109">
        <v>6.7</v>
      </c>
      <c r="G3636" s="443">
        <f t="shared" ref="G3636:G3641" si="890">F3636*6.3</f>
        <v>42.21</v>
      </c>
      <c r="H3636" s="443">
        <v>24</v>
      </c>
      <c r="I3636" s="445">
        <f t="shared" ref="I3636:I3641" si="891">G3636*H3636</f>
        <v>1013.04</v>
      </c>
      <c r="J3636" s="446">
        <v>900</v>
      </c>
    </row>
    <row r="3637" spans="1:10" x14ac:dyDescent="0.25">
      <c r="A3637" s="31" t="s">
        <v>694</v>
      </c>
      <c r="B3637" s="443" t="s">
        <v>323</v>
      </c>
      <c r="C3637" s="444" t="s">
        <v>86</v>
      </c>
      <c r="D3637" s="444">
        <v>0</v>
      </c>
      <c r="E3637" s="444" t="s">
        <v>79</v>
      </c>
      <c r="F3637" s="38">
        <v>9.4</v>
      </c>
      <c r="G3637" s="443">
        <f t="shared" si="890"/>
        <v>59.22</v>
      </c>
      <c r="H3637" s="443">
        <v>24</v>
      </c>
      <c r="I3637" s="445">
        <f t="shared" si="891"/>
        <v>1421.28</v>
      </c>
      <c r="J3637" s="446">
        <v>1400</v>
      </c>
    </row>
    <row r="3638" spans="1:10" x14ac:dyDescent="0.25">
      <c r="A3638" s="31" t="s">
        <v>694</v>
      </c>
      <c r="B3638" s="448" t="s">
        <v>324</v>
      </c>
      <c r="C3638" s="444" t="s">
        <v>443</v>
      </c>
      <c r="D3638" s="444" t="s">
        <v>38</v>
      </c>
      <c r="E3638" s="444" t="s">
        <v>79</v>
      </c>
      <c r="F3638" s="37">
        <v>3.42</v>
      </c>
      <c r="G3638" s="443">
        <f t="shared" si="890"/>
        <v>21.545999999999999</v>
      </c>
      <c r="H3638" s="443">
        <v>24</v>
      </c>
      <c r="I3638" s="445">
        <f t="shared" si="891"/>
        <v>517.10400000000004</v>
      </c>
      <c r="J3638" s="446">
        <v>500</v>
      </c>
    </row>
    <row r="3639" spans="1:10" x14ac:dyDescent="0.25">
      <c r="A3639" s="31" t="s">
        <v>694</v>
      </c>
      <c r="B3639" s="449" t="s">
        <v>317</v>
      </c>
      <c r="C3639" s="450" t="s">
        <v>156</v>
      </c>
      <c r="D3639" s="42">
        <v>45</v>
      </c>
      <c r="E3639" s="450" t="s">
        <v>79</v>
      </c>
      <c r="F3639" s="43">
        <v>11</v>
      </c>
      <c r="G3639" s="443">
        <f t="shared" si="890"/>
        <v>69.3</v>
      </c>
      <c r="H3639" s="443">
        <v>24</v>
      </c>
      <c r="I3639" s="445">
        <f t="shared" si="891"/>
        <v>1663.1999999999998</v>
      </c>
      <c r="J3639" s="446">
        <v>1600</v>
      </c>
    </row>
    <row r="3640" spans="1:10" x14ac:dyDescent="0.25">
      <c r="A3640" s="31" t="s">
        <v>694</v>
      </c>
      <c r="B3640" s="443" t="s">
        <v>325</v>
      </c>
      <c r="C3640" s="444" t="s">
        <v>158</v>
      </c>
      <c r="D3640" s="452">
        <v>37</v>
      </c>
      <c r="E3640" s="444" t="s">
        <v>79</v>
      </c>
      <c r="F3640" s="43">
        <v>7.2</v>
      </c>
      <c r="G3640" s="443">
        <f t="shared" si="890"/>
        <v>45.36</v>
      </c>
      <c r="H3640" s="443">
        <v>24</v>
      </c>
      <c r="I3640" s="445">
        <f t="shared" si="891"/>
        <v>1088.6399999999999</v>
      </c>
      <c r="J3640" s="446">
        <v>1000</v>
      </c>
    </row>
    <row r="3641" spans="1:10" ht="15.75" thickBot="1" x14ac:dyDescent="0.3">
      <c r="A3641" s="31" t="s">
        <v>694</v>
      </c>
      <c r="B3641" s="451" t="s">
        <v>326</v>
      </c>
      <c r="C3641" s="453" t="s">
        <v>152</v>
      </c>
      <c r="D3641" s="454">
        <v>11</v>
      </c>
      <c r="E3641" s="450" t="s">
        <v>79</v>
      </c>
      <c r="F3641" s="73">
        <v>9.1999999999999993</v>
      </c>
      <c r="G3641" s="451">
        <f t="shared" si="890"/>
        <v>57.959999999999994</v>
      </c>
      <c r="H3641" s="443">
        <v>24</v>
      </c>
      <c r="I3641" s="456">
        <f t="shared" si="891"/>
        <v>1391.04</v>
      </c>
      <c r="J3641" s="457">
        <v>1300</v>
      </c>
    </row>
    <row r="3642" spans="1:10" ht="19.5" thickBot="1" x14ac:dyDescent="0.35">
      <c r="A3642" s="206"/>
      <c r="B3642" s="458"/>
      <c r="C3642" s="458"/>
      <c r="D3642" s="458"/>
      <c r="E3642" s="458"/>
      <c r="F3642" s="458"/>
      <c r="G3642" s="459"/>
      <c r="H3642" s="460" t="s">
        <v>171</v>
      </c>
      <c r="I3642" s="461">
        <f>SUM(I3636:I3641)</f>
        <v>7094.3039999999992</v>
      </c>
      <c r="J3642" s="462">
        <v>6700</v>
      </c>
    </row>
    <row r="3643" spans="1:10" x14ac:dyDescent="0.25">
      <c r="A3643" s="31" t="s">
        <v>695</v>
      </c>
      <c r="B3643" s="443" t="s">
        <v>322</v>
      </c>
      <c r="C3643" s="444" t="s">
        <v>114</v>
      </c>
      <c r="D3643" s="444">
        <v>26</v>
      </c>
      <c r="E3643" s="444" t="s">
        <v>79</v>
      </c>
      <c r="F3643" s="109">
        <v>6.6</v>
      </c>
      <c r="G3643" s="443">
        <f t="shared" ref="G3643:G3648" si="892">F3643*6.3</f>
        <v>41.58</v>
      </c>
      <c r="H3643" s="443">
        <v>24</v>
      </c>
      <c r="I3643" s="445">
        <f t="shared" ref="I3643:I3648" si="893">G3643*H3643</f>
        <v>997.92</v>
      </c>
      <c r="J3643" s="446">
        <v>900</v>
      </c>
    </row>
    <row r="3644" spans="1:10" x14ac:dyDescent="0.25">
      <c r="A3644" s="31" t="s">
        <v>695</v>
      </c>
      <c r="B3644" s="443" t="s">
        <v>323</v>
      </c>
      <c r="C3644" s="444" t="s">
        <v>86</v>
      </c>
      <c r="D3644" s="444">
        <v>0</v>
      </c>
      <c r="E3644" s="444" t="s">
        <v>79</v>
      </c>
      <c r="F3644" s="38">
        <v>9.5</v>
      </c>
      <c r="G3644" s="443">
        <f t="shared" si="892"/>
        <v>59.85</v>
      </c>
      <c r="H3644" s="443">
        <v>24</v>
      </c>
      <c r="I3644" s="445">
        <f t="shared" si="893"/>
        <v>1436.4</v>
      </c>
      <c r="J3644" s="446">
        <v>1400</v>
      </c>
    </row>
    <row r="3645" spans="1:10" x14ac:dyDescent="0.25">
      <c r="A3645" s="31" t="s">
        <v>695</v>
      </c>
      <c r="B3645" s="448" t="s">
        <v>324</v>
      </c>
      <c r="C3645" s="444" t="s">
        <v>443</v>
      </c>
      <c r="D3645" s="444" t="s">
        <v>38</v>
      </c>
      <c r="E3645" s="444" t="s">
        <v>79</v>
      </c>
      <c r="F3645" s="37">
        <v>3.42</v>
      </c>
      <c r="G3645" s="443">
        <f t="shared" si="892"/>
        <v>21.545999999999999</v>
      </c>
      <c r="H3645" s="443">
        <v>24</v>
      </c>
      <c r="I3645" s="445">
        <f t="shared" si="893"/>
        <v>517.10400000000004</v>
      </c>
      <c r="J3645" s="446">
        <v>500</v>
      </c>
    </row>
    <row r="3646" spans="1:10" x14ac:dyDescent="0.25">
      <c r="A3646" s="31" t="s">
        <v>695</v>
      </c>
      <c r="B3646" s="449" t="s">
        <v>317</v>
      </c>
      <c r="C3646" s="450" t="s">
        <v>156</v>
      </c>
      <c r="D3646" s="42">
        <v>48</v>
      </c>
      <c r="E3646" s="450" t="s">
        <v>79</v>
      </c>
      <c r="F3646" s="43">
        <v>11.1</v>
      </c>
      <c r="G3646" s="443">
        <f t="shared" si="892"/>
        <v>69.929999999999993</v>
      </c>
      <c r="H3646" s="443">
        <v>24</v>
      </c>
      <c r="I3646" s="445">
        <f t="shared" si="893"/>
        <v>1678.3199999999997</v>
      </c>
      <c r="J3646" s="446">
        <v>1600</v>
      </c>
    </row>
    <row r="3647" spans="1:10" x14ac:dyDescent="0.25">
      <c r="A3647" s="31" t="s">
        <v>695</v>
      </c>
      <c r="B3647" s="443" t="s">
        <v>325</v>
      </c>
      <c r="C3647" s="444" t="s">
        <v>158</v>
      </c>
      <c r="D3647" s="452">
        <v>35</v>
      </c>
      <c r="E3647" s="444" t="s">
        <v>79</v>
      </c>
      <c r="F3647" s="43">
        <v>7.3</v>
      </c>
      <c r="G3647" s="443">
        <f t="shared" si="892"/>
        <v>45.989999999999995</v>
      </c>
      <c r="H3647" s="443">
        <v>24</v>
      </c>
      <c r="I3647" s="445">
        <f t="shared" si="893"/>
        <v>1103.7599999999998</v>
      </c>
      <c r="J3647" s="446">
        <v>1000</v>
      </c>
    </row>
    <row r="3648" spans="1:10" ht="15.75" thickBot="1" x14ac:dyDescent="0.3">
      <c r="A3648" s="31" t="s">
        <v>695</v>
      </c>
      <c r="B3648" s="451" t="s">
        <v>326</v>
      </c>
      <c r="C3648" s="453" t="s">
        <v>152</v>
      </c>
      <c r="D3648" s="454">
        <v>14</v>
      </c>
      <c r="E3648" s="450" t="s">
        <v>79</v>
      </c>
      <c r="F3648" s="73">
        <v>9.3000000000000007</v>
      </c>
      <c r="G3648" s="451">
        <f t="shared" si="892"/>
        <v>58.59</v>
      </c>
      <c r="H3648" s="443">
        <v>24</v>
      </c>
      <c r="I3648" s="456">
        <f t="shared" si="893"/>
        <v>1406.16</v>
      </c>
      <c r="J3648" s="457">
        <v>1300</v>
      </c>
    </row>
    <row r="3649" spans="1:10" ht="19.5" thickBot="1" x14ac:dyDescent="0.35">
      <c r="A3649" s="206"/>
      <c r="B3649" s="458"/>
      <c r="C3649" s="458"/>
      <c r="D3649" s="458"/>
      <c r="E3649" s="458"/>
      <c r="F3649" s="458"/>
      <c r="G3649" s="459"/>
      <c r="H3649" s="460" t="s">
        <v>171</v>
      </c>
      <c r="I3649" s="461">
        <f>SUM(I3643:I3648)</f>
        <v>7139.6639999999989</v>
      </c>
      <c r="J3649" s="462">
        <v>6700</v>
      </c>
    </row>
    <row r="3650" spans="1:10" x14ac:dyDescent="0.25">
      <c r="A3650" s="31" t="s">
        <v>696</v>
      </c>
      <c r="B3650" s="443" t="s">
        <v>322</v>
      </c>
      <c r="C3650" s="444" t="s">
        <v>114</v>
      </c>
      <c r="D3650" s="444">
        <v>29</v>
      </c>
      <c r="E3650" s="444" t="s">
        <v>79</v>
      </c>
      <c r="F3650" s="109">
        <v>6.6</v>
      </c>
      <c r="G3650" s="443">
        <f t="shared" ref="G3650:G3655" si="894">F3650*6.3</f>
        <v>41.58</v>
      </c>
      <c r="H3650" s="443">
        <v>24</v>
      </c>
      <c r="I3650" s="445">
        <f t="shared" ref="I3650:I3655" si="895">G3650*H3650</f>
        <v>997.92</v>
      </c>
      <c r="J3650" s="446">
        <v>900</v>
      </c>
    </row>
    <row r="3651" spans="1:10" x14ac:dyDescent="0.25">
      <c r="A3651" s="31" t="s">
        <v>696</v>
      </c>
      <c r="B3651" s="443" t="s">
        <v>323</v>
      </c>
      <c r="C3651" s="444" t="s">
        <v>86</v>
      </c>
      <c r="D3651" s="444">
        <v>0</v>
      </c>
      <c r="E3651" s="444" t="s">
        <v>79</v>
      </c>
      <c r="F3651" s="38">
        <v>9.6</v>
      </c>
      <c r="G3651" s="443">
        <f t="shared" si="894"/>
        <v>60.48</v>
      </c>
      <c r="H3651" s="443">
        <v>24</v>
      </c>
      <c r="I3651" s="445">
        <f t="shared" si="895"/>
        <v>1451.52</v>
      </c>
      <c r="J3651" s="446">
        <v>1400</v>
      </c>
    </row>
    <row r="3652" spans="1:10" x14ac:dyDescent="0.25">
      <c r="A3652" s="31" t="s">
        <v>696</v>
      </c>
      <c r="B3652" s="448" t="s">
        <v>324</v>
      </c>
      <c r="C3652" s="444" t="s">
        <v>443</v>
      </c>
      <c r="D3652" s="444" t="s">
        <v>38</v>
      </c>
      <c r="E3652" s="444" t="s">
        <v>79</v>
      </c>
      <c r="F3652" s="37">
        <v>3.42</v>
      </c>
      <c r="G3652" s="443">
        <f t="shared" si="894"/>
        <v>21.545999999999999</v>
      </c>
      <c r="H3652" s="443">
        <v>24</v>
      </c>
      <c r="I3652" s="445">
        <f t="shared" si="895"/>
        <v>517.10400000000004</v>
      </c>
      <c r="J3652" s="446">
        <v>500</v>
      </c>
    </row>
    <row r="3653" spans="1:10" x14ac:dyDescent="0.25">
      <c r="A3653" s="31" t="s">
        <v>696</v>
      </c>
      <c r="B3653" s="449" t="s">
        <v>317</v>
      </c>
      <c r="C3653" s="450" t="s">
        <v>156</v>
      </c>
      <c r="D3653" s="42">
        <v>47</v>
      </c>
      <c r="E3653" s="450" t="s">
        <v>79</v>
      </c>
      <c r="F3653" s="43">
        <v>11.2</v>
      </c>
      <c r="G3653" s="443">
        <f t="shared" si="894"/>
        <v>70.559999999999988</v>
      </c>
      <c r="H3653" s="443">
        <v>24</v>
      </c>
      <c r="I3653" s="445">
        <f t="shared" si="895"/>
        <v>1693.4399999999996</v>
      </c>
      <c r="J3653" s="446">
        <v>1600</v>
      </c>
    </row>
    <row r="3654" spans="1:10" x14ac:dyDescent="0.25">
      <c r="A3654" s="31" t="s">
        <v>696</v>
      </c>
      <c r="B3654" s="443" t="s">
        <v>325</v>
      </c>
      <c r="C3654" s="444" t="s">
        <v>158</v>
      </c>
      <c r="D3654" s="452">
        <v>37</v>
      </c>
      <c r="E3654" s="444" t="s">
        <v>79</v>
      </c>
      <c r="F3654" s="43">
        <v>7.3</v>
      </c>
      <c r="G3654" s="443">
        <f t="shared" si="894"/>
        <v>45.989999999999995</v>
      </c>
      <c r="H3654" s="443">
        <v>24</v>
      </c>
      <c r="I3654" s="445">
        <f t="shared" si="895"/>
        <v>1103.7599999999998</v>
      </c>
      <c r="J3654" s="446">
        <v>1000</v>
      </c>
    </row>
    <row r="3655" spans="1:10" ht="15.75" thickBot="1" x14ac:dyDescent="0.3">
      <c r="A3655" s="31" t="s">
        <v>696</v>
      </c>
      <c r="B3655" s="451" t="s">
        <v>326</v>
      </c>
      <c r="C3655" s="453" t="s">
        <v>152</v>
      </c>
      <c r="D3655" s="454">
        <v>12</v>
      </c>
      <c r="E3655" s="450" t="s">
        <v>79</v>
      </c>
      <c r="F3655" s="73">
        <v>9.3000000000000007</v>
      </c>
      <c r="G3655" s="451">
        <f t="shared" si="894"/>
        <v>58.59</v>
      </c>
      <c r="H3655" s="443">
        <v>24</v>
      </c>
      <c r="I3655" s="456">
        <f t="shared" si="895"/>
        <v>1406.16</v>
      </c>
      <c r="J3655" s="457">
        <v>1300</v>
      </c>
    </row>
    <row r="3656" spans="1:10" ht="19.5" thickBot="1" x14ac:dyDescent="0.35">
      <c r="A3656" s="206"/>
      <c r="B3656" s="458"/>
      <c r="C3656" s="458"/>
      <c r="D3656" s="458"/>
      <c r="E3656" s="458"/>
      <c r="F3656" s="458"/>
      <c r="G3656" s="459"/>
      <c r="H3656" s="460" t="s">
        <v>171</v>
      </c>
      <c r="I3656" s="461">
        <f>SUM(I3650:I3655)</f>
        <v>7169.9039999999986</v>
      </c>
      <c r="J3656" s="462">
        <v>6700</v>
      </c>
    </row>
    <row r="3657" spans="1:10" x14ac:dyDescent="0.25">
      <c r="A3657" s="31" t="s">
        <v>697</v>
      </c>
      <c r="B3657" s="443" t="s">
        <v>322</v>
      </c>
      <c r="C3657" s="444" t="s">
        <v>114</v>
      </c>
      <c r="D3657" s="444">
        <v>30</v>
      </c>
      <c r="E3657" s="444" t="s">
        <v>79</v>
      </c>
      <c r="F3657" s="109">
        <v>6.8</v>
      </c>
      <c r="G3657" s="443">
        <f t="shared" ref="G3657:G3662" si="896">F3657*6.3</f>
        <v>42.839999999999996</v>
      </c>
      <c r="H3657" s="443">
        <v>24</v>
      </c>
      <c r="I3657" s="445">
        <f t="shared" ref="I3657:I3662" si="897">G3657*H3657</f>
        <v>1028.1599999999999</v>
      </c>
      <c r="J3657" s="446">
        <v>900</v>
      </c>
    </row>
    <row r="3658" spans="1:10" x14ac:dyDescent="0.25">
      <c r="A3658" s="31" t="s">
        <v>697</v>
      </c>
      <c r="B3658" s="443" t="s">
        <v>323</v>
      </c>
      <c r="C3658" s="444" t="s">
        <v>86</v>
      </c>
      <c r="D3658" s="444">
        <v>0</v>
      </c>
      <c r="E3658" s="444" t="s">
        <v>79</v>
      </c>
      <c r="F3658" s="38">
        <v>9.6</v>
      </c>
      <c r="G3658" s="443">
        <f t="shared" si="896"/>
        <v>60.48</v>
      </c>
      <c r="H3658" s="443">
        <v>24</v>
      </c>
      <c r="I3658" s="445">
        <f t="shared" si="897"/>
        <v>1451.52</v>
      </c>
      <c r="J3658" s="446">
        <v>1400</v>
      </c>
    </row>
    <row r="3659" spans="1:10" x14ac:dyDescent="0.25">
      <c r="A3659" s="31" t="s">
        <v>697</v>
      </c>
      <c r="B3659" s="448" t="s">
        <v>324</v>
      </c>
      <c r="C3659" s="444" t="s">
        <v>443</v>
      </c>
      <c r="D3659" s="444" t="s">
        <v>38</v>
      </c>
      <c r="E3659" s="444" t="s">
        <v>79</v>
      </c>
      <c r="F3659" s="37">
        <v>3.42</v>
      </c>
      <c r="G3659" s="443">
        <f t="shared" si="896"/>
        <v>21.545999999999999</v>
      </c>
      <c r="H3659" s="443">
        <v>24</v>
      </c>
      <c r="I3659" s="445">
        <f t="shared" si="897"/>
        <v>517.10400000000004</v>
      </c>
      <c r="J3659" s="446">
        <v>500</v>
      </c>
    </row>
    <row r="3660" spans="1:10" x14ac:dyDescent="0.25">
      <c r="A3660" s="31" t="s">
        <v>697</v>
      </c>
      <c r="B3660" s="449" t="s">
        <v>317</v>
      </c>
      <c r="C3660" s="450" t="s">
        <v>156</v>
      </c>
      <c r="D3660" s="42">
        <v>48</v>
      </c>
      <c r="E3660" s="450" t="s">
        <v>79</v>
      </c>
      <c r="F3660" s="43">
        <v>11</v>
      </c>
      <c r="G3660" s="443">
        <f t="shared" si="896"/>
        <v>69.3</v>
      </c>
      <c r="H3660" s="443">
        <v>24</v>
      </c>
      <c r="I3660" s="445">
        <f t="shared" si="897"/>
        <v>1663.1999999999998</v>
      </c>
      <c r="J3660" s="446">
        <v>1600</v>
      </c>
    </row>
    <row r="3661" spans="1:10" x14ac:dyDescent="0.25">
      <c r="A3661" s="31" t="s">
        <v>697</v>
      </c>
      <c r="B3661" s="443" t="s">
        <v>325</v>
      </c>
      <c r="C3661" s="444" t="s">
        <v>158</v>
      </c>
      <c r="D3661" s="452">
        <v>38</v>
      </c>
      <c r="E3661" s="444" t="s">
        <v>79</v>
      </c>
      <c r="F3661" s="43">
        <v>7.5</v>
      </c>
      <c r="G3661" s="443">
        <f t="shared" si="896"/>
        <v>47.25</v>
      </c>
      <c r="H3661" s="443">
        <v>24</v>
      </c>
      <c r="I3661" s="445">
        <f t="shared" si="897"/>
        <v>1134</v>
      </c>
      <c r="J3661" s="446">
        <v>1000</v>
      </c>
    </row>
    <row r="3662" spans="1:10" ht="15.75" thickBot="1" x14ac:dyDescent="0.3">
      <c r="A3662" s="31" t="s">
        <v>697</v>
      </c>
      <c r="B3662" s="451" t="s">
        <v>326</v>
      </c>
      <c r="C3662" s="453" t="s">
        <v>152</v>
      </c>
      <c r="D3662" s="454">
        <v>12</v>
      </c>
      <c r="E3662" s="450" t="s">
        <v>79</v>
      </c>
      <c r="F3662" s="73">
        <v>8.8000000000000007</v>
      </c>
      <c r="G3662" s="451">
        <f t="shared" si="896"/>
        <v>55.440000000000005</v>
      </c>
      <c r="H3662" s="443">
        <v>24</v>
      </c>
      <c r="I3662" s="456">
        <f t="shared" si="897"/>
        <v>1330.5600000000002</v>
      </c>
      <c r="J3662" s="457">
        <v>1300</v>
      </c>
    </row>
    <row r="3663" spans="1:10" ht="19.5" thickBot="1" x14ac:dyDescent="0.35">
      <c r="A3663" s="206"/>
      <c r="B3663" s="458"/>
      <c r="C3663" s="458"/>
      <c r="D3663" s="458"/>
      <c r="E3663" s="458"/>
      <c r="F3663" s="458"/>
      <c r="G3663" s="459"/>
      <c r="H3663" s="460" t="s">
        <v>171</v>
      </c>
      <c r="I3663" s="461">
        <f>SUM(I3657:I3662)</f>
        <v>7124.5439999999999</v>
      </c>
      <c r="J3663" s="462">
        <v>6700</v>
      </c>
    </row>
    <row r="3664" spans="1:10" x14ac:dyDescent="0.25">
      <c r="A3664" s="31" t="s">
        <v>698</v>
      </c>
      <c r="B3664" s="443" t="s">
        <v>322</v>
      </c>
      <c r="C3664" s="444" t="s">
        <v>114</v>
      </c>
      <c r="D3664" s="444">
        <v>30</v>
      </c>
      <c r="E3664" s="444" t="s">
        <v>79</v>
      </c>
      <c r="F3664" s="109">
        <v>6.6</v>
      </c>
      <c r="G3664" s="443">
        <f t="shared" ref="G3664:G3669" si="898">F3664*6.3</f>
        <v>41.58</v>
      </c>
      <c r="H3664" s="443">
        <v>24</v>
      </c>
      <c r="I3664" s="445">
        <f t="shared" ref="I3664:I3669" si="899">G3664*H3664</f>
        <v>997.92</v>
      </c>
      <c r="J3664" s="446">
        <v>900</v>
      </c>
    </row>
    <row r="3665" spans="1:10" x14ac:dyDescent="0.25">
      <c r="A3665" s="31" t="s">
        <v>698</v>
      </c>
      <c r="B3665" s="443" t="s">
        <v>323</v>
      </c>
      <c r="C3665" s="444" t="s">
        <v>86</v>
      </c>
      <c r="D3665" s="444">
        <v>0</v>
      </c>
      <c r="E3665" s="444" t="s">
        <v>79</v>
      </c>
      <c r="F3665" s="38">
        <v>9.4</v>
      </c>
      <c r="G3665" s="443">
        <f t="shared" si="898"/>
        <v>59.22</v>
      </c>
      <c r="H3665" s="443">
        <v>24</v>
      </c>
      <c r="I3665" s="445">
        <f t="shared" si="899"/>
        <v>1421.28</v>
      </c>
      <c r="J3665" s="446">
        <v>1400</v>
      </c>
    </row>
    <row r="3666" spans="1:10" x14ac:dyDescent="0.25">
      <c r="A3666" s="31" t="s">
        <v>698</v>
      </c>
      <c r="B3666" s="448" t="s">
        <v>324</v>
      </c>
      <c r="C3666" s="444" t="s">
        <v>443</v>
      </c>
      <c r="D3666" s="444" t="s">
        <v>38</v>
      </c>
      <c r="E3666" s="444" t="s">
        <v>79</v>
      </c>
      <c r="F3666" s="37">
        <v>3.42</v>
      </c>
      <c r="G3666" s="443">
        <f t="shared" si="898"/>
        <v>21.545999999999999</v>
      </c>
      <c r="H3666" s="443">
        <v>24</v>
      </c>
      <c r="I3666" s="445">
        <f t="shared" si="899"/>
        <v>517.10400000000004</v>
      </c>
      <c r="J3666" s="446">
        <v>500</v>
      </c>
    </row>
    <row r="3667" spans="1:10" x14ac:dyDescent="0.25">
      <c r="A3667" s="31" t="s">
        <v>698</v>
      </c>
      <c r="B3667" s="449" t="s">
        <v>317</v>
      </c>
      <c r="C3667" s="450" t="s">
        <v>156</v>
      </c>
      <c r="D3667" s="42">
        <v>48</v>
      </c>
      <c r="E3667" s="450" t="s">
        <v>79</v>
      </c>
      <c r="F3667" s="43">
        <v>11.2</v>
      </c>
      <c r="G3667" s="443">
        <f t="shared" si="898"/>
        <v>70.559999999999988</v>
      </c>
      <c r="H3667" s="443">
        <v>24</v>
      </c>
      <c r="I3667" s="445">
        <f t="shared" si="899"/>
        <v>1693.4399999999996</v>
      </c>
      <c r="J3667" s="446">
        <v>1600</v>
      </c>
    </row>
    <row r="3668" spans="1:10" x14ac:dyDescent="0.25">
      <c r="A3668" s="31" t="s">
        <v>698</v>
      </c>
      <c r="B3668" s="443" t="s">
        <v>325</v>
      </c>
      <c r="C3668" s="444" t="s">
        <v>158</v>
      </c>
      <c r="D3668" s="452">
        <v>38</v>
      </c>
      <c r="E3668" s="444" t="s">
        <v>79</v>
      </c>
      <c r="F3668" s="43">
        <v>7.5</v>
      </c>
      <c r="G3668" s="443">
        <f t="shared" si="898"/>
        <v>47.25</v>
      </c>
      <c r="H3668" s="443">
        <v>24</v>
      </c>
      <c r="I3668" s="445">
        <f t="shared" si="899"/>
        <v>1134</v>
      </c>
      <c r="J3668" s="446">
        <v>1000</v>
      </c>
    </row>
    <row r="3669" spans="1:10" ht="15.75" thickBot="1" x14ac:dyDescent="0.3">
      <c r="A3669" s="31" t="s">
        <v>698</v>
      </c>
      <c r="B3669" s="451" t="s">
        <v>326</v>
      </c>
      <c r="C3669" s="453" t="s">
        <v>152</v>
      </c>
      <c r="D3669" s="454">
        <v>12</v>
      </c>
      <c r="E3669" s="450" t="s">
        <v>79</v>
      </c>
      <c r="F3669" s="73">
        <v>8.8000000000000007</v>
      </c>
      <c r="G3669" s="451">
        <f t="shared" si="898"/>
        <v>55.440000000000005</v>
      </c>
      <c r="H3669" s="443">
        <v>24</v>
      </c>
      <c r="I3669" s="456">
        <f t="shared" si="899"/>
        <v>1330.5600000000002</v>
      </c>
      <c r="J3669" s="457">
        <v>1300</v>
      </c>
    </row>
    <row r="3670" spans="1:10" ht="19.5" thickBot="1" x14ac:dyDescent="0.35">
      <c r="A3670" s="206"/>
      <c r="B3670" s="458"/>
      <c r="C3670" s="458"/>
      <c r="D3670" s="458"/>
      <c r="E3670" s="458"/>
      <c r="F3670" s="458"/>
      <c r="G3670" s="459"/>
      <c r="H3670" s="460" t="s">
        <v>171</v>
      </c>
      <c r="I3670" s="461">
        <f>SUM(I3664:I3669)</f>
        <v>7094.3040000000001</v>
      </c>
      <c r="J3670" s="462">
        <v>6700</v>
      </c>
    </row>
    <row r="3671" spans="1:10" x14ac:dyDescent="0.25">
      <c r="A3671" s="31" t="s">
        <v>700</v>
      </c>
      <c r="B3671" s="443" t="s">
        <v>322</v>
      </c>
      <c r="C3671" s="444" t="s">
        <v>114</v>
      </c>
      <c r="D3671" s="444">
        <v>31</v>
      </c>
      <c r="E3671" s="444" t="s">
        <v>79</v>
      </c>
      <c r="F3671" s="109">
        <v>6.7</v>
      </c>
      <c r="G3671" s="443">
        <f t="shared" ref="G3671:G3676" si="900">F3671*6.3</f>
        <v>42.21</v>
      </c>
      <c r="H3671" s="443">
        <v>24</v>
      </c>
      <c r="I3671" s="445">
        <f t="shared" ref="I3671:I3676" si="901">G3671*H3671</f>
        <v>1013.04</v>
      </c>
      <c r="J3671" s="446">
        <v>900</v>
      </c>
    </row>
    <row r="3672" spans="1:10" x14ac:dyDescent="0.25">
      <c r="A3672" s="31" t="s">
        <v>700</v>
      </c>
      <c r="B3672" s="443" t="s">
        <v>323</v>
      </c>
      <c r="C3672" s="444" t="s">
        <v>86</v>
      </c>
      <c r="D3672" s="444">
        <v>0</v>
      </c>
      <c r="E3672" s="444" t="s">
        <v>79</v>
      </c>
      <c r="F3672" s="38">
        <v>9.5</v>
      </c>
      <c r="G3672" s="443">
        <f t="shared" si="900"/>
        <v>59.85</v>
      </c>
      <c r="H3672" s="443">
        <v>24</v>
      </c>
      <c r="I3672" s="445">
        <f t="shared" si="901"/>
        <v>1436.4</v>
      </c>
      <c r="J3672" s="446">
        <v>1400</v>
      </c>
    </row>
    <row r="3673" spans="1:10" x14ac:dyDescent="0.25">
      <c r="A3673" s="31" t="s">
        <v>700</v>
      </c>
      <c r="B3673" s="448" t="s">
        <v>324</v>
      </c>
      <c r="C3673" s="444" t="s">
        <v>443</v>
      </c>
      <c r="D3673" s="444" t="s">
        <v>38</v>
      </c>
      <c r="E3673" s="444" t="s">
        <v>79</v>
      </c>
      <c r="F3673" s="37">
        <v>3.5</v>
      </c>
      <c r="G3673" s="443">
        <f t="shared" si="900"/>
        <v>22.05</v>
      </c>
      <c r="H3673" s="443">
        <v>24</v>
      </c>
      <c r="I3673" s="445">
        <f t="shared" si="901"/>
        <v>529.20000000000005</v>
      </c>
      <c r="J3673" s="446">
        <v>500</v>
      </c>
    </row>
    <row r="3674" spans="1:10" x14ac:dyDescent="0.25">
      <c r="A3674" s="31" t="s">
        <v>700</v>
      </c>
      <c r="B3674" s="449" t="s">
        <v>317</v>
      </c>
      <c r="C3674" s="450" t="s">
        <v>156</v>
      </c>
      <c r="D3674" s="42">
        <v>49</v>
      </c>
      <c r="E3674" s="450" t="s">
        <v>79</v>
      </c>
      <c r="F3674" s="43">
        <v>11.2</v>
      </c>
      <c r="G3674" s="443">
        <f t="shared" si="900"/>
        <v>70.559999999999988</v>
      </c>
      <c r="H3674" s="443">
        <v>24</v>
      </c>
      <c r="I3674" s="445">
        <f t="shared" si="901"/>
        <v>1693.4399999999996</v>
      </c>
      <c r="J3674" s="446">
        <v>1600</v>
      </c>
    </row>
    <row r="3675" spans="1:10" x14ac:dyDescent="0.25">
      <c r="A3675" s="31" t="s">
        <v>700</v>
      </c>
      <c r="B3675" s="443" t="s">
        <v>325</v>
      </c>
      <c r="C3675" s="444" t="s">
        <v>158</v>
      </c>
      <c r="D3675" s="452">
        <v>39</v>
      </c>
      <c r="E3675" s="444" t="s">
        <v>79</v>
      </c>
      <c r="F3675" s="43">
        <v>7.5</v>
      </c>
      <c r="G3675" s="443">
        <f t="shared" si="900"/>
        <v>47.25</v>
      </c>
      <c r="H3675" s="443">
        <v>24</v>
      </c>
      <c r="I3675" s="445">
        <f t="shared" si="901"/>
        <v>1134</v>
      </c>
      <c r="J3675" s="446">
        <v>1000</v>
      </c>
    </row>
    <row r="3676" spans="1:10" ht="15.75" thickBot="1" x14ac:dyDescent="0.3">
      <c r="A3676" s="31" t="s">
        <v>700</v>
      </c>
      <c r="B3676" s="451" t="s">
        <v>326</v>
      </c>
      <c r="C3676" s="453" t="s">
        <v>152</v>
      </c>
      <c r="D3676" s="454">
        <v>15</v>
      </c>
      <c r="E3676" s="450" t="s">
        <v>79</v>
      </c>
      <c r="F3676" s="73">
        <v>8.8000000000000007</v>
      </c>
      <c r="G3676" s="451">
        <f t="shared" si="900"/>
        <v>55.440000000000005</v>
      </c>
      <c r="H3676" s="443">
        <v>24</v>
      </c>
      <c r="I3676" s="456">
        <f t="shared" si="901"/>
        <v>1330.5600000000002</v>
      </c>
      <c r="J3676" s="457">
        <v>1300</v>
      </c>
    </row>
    <row r="3677" spans="1:10" ht="19.5" thickBot="1" x14ac:dyDescent="0.35">
      <c r="A3677" s="206"/>
      <c r="B3677" s="458"/>
      <c r="C3677" s="458"/>
      <c r="D3677" s="458"/>
      <c r="E3677" s="458"/>
      <c r="F3677" s="458"/>
      <c r="G3677" s="459"/>
      <c r="H3677" s="460" t="s">
        <v>171</v>
      </c>
      <c r="I3677" s="461">
        <f>SUM(I3671:I3676)</f>
        <v>7136.64</v>
      </c>
      <c r="J3677" s="462">
        <v>6700</v>
      </c>
    </row>
    <row r="3678" spans="1:10" x14ac:dyDescent="0.25">
      <c r="A3678" s="31" t="s">
        <v>699</v>
      </c>
      <c r="B3678" s="443" t="s">
        <v>322</v>
      </c>
      <c r="C3678" s="444" t="s">
        <v>114</v>
      </c>
      <c r="D3678" s="444">
        <v>30</v>
      </c>
      <c r="E3678" s="444" t="s">
        <v>79</v>
      </c>
      <c r="F3678" s="109">
        <v>6.7</v>
      </c>
      <c r="G3678" s="443">
        <f t="shared" ref="G3678:G3683" si="902">F3678*6.3</f>
        <v>42.21</v>
      </c>
      <c r="H3678" s="443">
        <v>24</v>
      </c>
      <c r="I3678" s="445">
        <f t="shared" ref="I3678:I3683" si="903">G3678*H3678</f>
        <v>1013.04</v>
      </c>
      <c r="J3678" s="446">
        <v>900</v>
      </c>
    </row>
    <row r="3679" spans="1:10" x14ac:dyDescent="0.25">
      <c r="A3679" s="31" t="s">
        <v>699</v>
      </c>
      <c r="B3679" s="443" t="s">
        <v>323</v>
      </c>
      <c r="C3679" s="444" t="s">
        <v>86</v>
      </c>
      <c r="D3679" s="444">
        <v>0</v>
      </c>
      <c r="E3679" s="444" t="s">
        <v>79</v>
      </c>
      <c r="F3679" s="38">
        <v>9.6</v>
      </c>
      <c r="G3679" s="443">
        <f t="shared" si="902"/>
        <v>60.48</v>
      </c>
      <c r="H3679" s="443">
        <v>24</v>
      </c>
      <c r="I3679" s="445">
        <f t="shared" si="903"/>
        <v>1451.52</v>
      </c>
      <c r="J3679" s="446">
        <v>1400</v>
      </c>
    </row>
    <row r="3680" spans="1:10" x14ac:dyDescent="0.25">
      <c r="A3680" s="31" t="s">
        <v>699</v>
      </c>
      <c r="B3680" s="448" t="s">
        <v>324</v>
      </c>
      <c r="C3680" s="444" t="s">
        <v>443</v>
      </c>
      <c r="D3680" s="444" t="s">
        <v>38</v>
      </c>
      <c r="E3680" s="444" t="s">
        <v>79</v>
      </c>
      <c r="F3680" s="37">
        <v>3.42</v>
      </c>
      <c r="G3680" s="443">
        <f t="shared" si="902"/>
        <v>21.545999999999999</v>
      </c>
      <c r="H3680" s="443">
        <v>24</v>
      </c>
      <c r="I3680" s="445">
        <f t="shared" si="903"/>
        <v>517.10400000000004</v>
      </c>
      <c r="J3680" s="446">
        <v>500</v>
      </c>
    </row>
    <row r="3681" spans="1:10" x14ac:dyDescent="0.25">
      <c r="A3681" s="31" t="s">
        <v>699</v>
      </c>
      <c r="B3681" s="449" t="s">
        <v>317</v>
      </c>
      <c r="C3681" s="450" t="s">
        <v>156</v>
      </c>
      <c r="D3681" s="42">
        <v>48</v>
      </c>
      <c r="E3681" s="450" t="s">
        <v>79</v>
      </c>
      <c r="F3681" s="43">
        <v>11.3</v>
      </c>
      <c r="G3681" s="443">
        <f t="shared" si="902"/>
        <v>71.19</v>
      </c>
      <c r="H3681" s="443">
        <v>24</v>
      </c>
      <c r="I3681" s="445">
        <f t="shared" si="903"/>
        <v>1708.56</v>
      </c>
      <c r="J3681" s="446">
        <v>1600</v>
      </c>
    </row>
    <row r="3682" spans="1:10" x14ac:dyDescent="0.25">
      <c r="A3682" s="31" t="s">
        <v>699</v>
      </c>
      <c r="B3682" s="443" t="s">
        <v>325</v>
      </c>
      <c r="C3682" s="444" t="s">
        <v>158</v>
      </c>
      <c r="D3682" s="452">
        <v>38</v>
      </c>
      <c r="E3682" s="444" t="s">
        <v>79</v>
      </c>
      <c r="F3682" s="43">
        <v>7.4</v>
      </c>
      <c r="G3682" s="443">
        <f t="shared" si="902"/>
        <v>46.62</v>
      </c>
      <c r="H3682" s="443">
        <v>24</v>
      </c>
      <c r="I3682" s="445">
        <f t="shared" si="903"/>
        <v>1118.8799999999999</v>
      </c>
      <c r="J3682" s="446">
        <v>1000</v>
      </c>
    </row>
    <row r="3683" spans="1:10" ht="15.75" thickBot="1" x14ac:dyDescent="0.3">
      <c r="A3683" s="31" t="s">
        <v>699</v>
      </c>
      <c r="B3683" s="451" t="s">
        <v>326</v>
      </c>
      <c r="C3683" s="453" t="s">
        <v>152</v>
      </c>
      <c r="D3683" s="454">
        <v>12</v>
      </c>
      <c r="E3683" s="450" t="s">
        <v>79</v>
      </c>
      <c r="F3683" s="73">
        <v>9</v>
      </c>
      <c r="G3683" s="451">
        <f t="shared" si="902"/>
        <v>56.699999999999996</v>
      </c>
      <c r="H3683" s="443">
        <v>24</v>
      </c>
      <c r="I3683" s="456">
        <f t="shared" si="903"/>
        <v>1360.8</v>
      </c>
      <c r="J3683" s="457">
        <v>1300</v>
      </c>
    </row>
    <row r="3684" spans="1:10" ht="19.5" thickBot="1" x14ac:dyDescent="0.35">
      <c r="A3684" s="206"/>
      <c r="B3684" s="458"/>
      <c r="C3684" s="458"/>
      <c r="D3684" s="458"/>
      <c r="E3684" s="458"/>
      <c r="F3684" s="458"/>
      <c r="G3684" s="459"/>
      <c r="H3684" s="460" t="s">
        <v>171</v>
      </c>
      <c r="I3684" s="461">
        <f>SUM(I3678:I3683)</f>
        <v>7169.9040000000005</v>
      </c>
      <c r="J3684" s="462">
        <v>6700</v>
      </c>
    </row>
    <row r="3685" spans="1:10" x14ac:dyDescent="0.25">
      <c r="A3685" s="31" t="s">
        <v>701</v>
      </c>
      <c r="B3685" s="443" t="s">
        <v>322</v>
      </c>
      <c r="C3685" s="444" t="s">
        <v>114</v>
      </c>
      <c r="D3685" s="444">
        <v>27.5</v>
      </c>
      <c r="E3685" s="444" t="s">
        <v>79</v>
      </c>
      <c r="F3685" s="109">
        <v>6.4</v>
      </c>
      <c r="G3685" s="443">
        <f t="shared" ref="G3685:G3690" si="904">F3685*6.3</f>
        <v>40.32</v>
      </c>
      <c r="H3685" s="443">
        <v>24</v>
      </c>
      <c r="I3685" s="445">
        <f t="shared" ref="I3685:I3690" si="905">G3685*H3685</f>
        <v>967.68000000000006</v>
      </c>
      <c r="J3685" s="446">
        <v>900</v>
      </c>
    </row>
    <row r="3686" spans="1:10" x14ac:dyDescent="0.25">
      <c r="A3686" s="31" t="s">
        <v>701</v>
      </c>
      <c r="B3686" s="443" t="s">
        <v>323</v>
      </c>
      <c r="C3686" s="444" t="s">
        <v>86</v>
      </c>
      <c r="D3686" s="444">
        <v>0.03</v>
      </c>
      <c r="E3686" s="444" t="s">
        <v>79</v>
      </c>
      <c r="F3686" s="38">
        <v>9.5</v>
      </c>
      <c r="G3686" s="443">
        <f t="shared" si="904"/>
        <v>59.85</v>
      </c>
      <c r="H3686" s="443">
        <v>24</v>
      </c>
      <c r="I3686" s="445">
        <f t="shared" si="905"/>
        <v>1436.4</v>
      </c>
      <c r="J3686" s="446">
        <v>1400</v>
      </c>
    </row>
    <row r="3687" spans="1:10" x14ac:dyDescent="0.25">
      <c r="A3687" s="31" t="s">
        <v>701</v>
      </c>
      <c r="B3687" s="448" t="s">
        <v>324</v>
      </c>
      <c r="C3687" s="444" t="s">
        <v>443</v>
      </c>
      <c r="D3687" s="444" t="s">
        <v>38</v>
      </c>
      <c r="E3687" s="444" t="s">
        <v>79</v>
      </c>
      <c r="F3687" s="37">
        <v>3.42</v>
      </c>
      <c r="G3687" s="443">
        <f t="shared" si="904"/>
        <v>21.545999999999999</v>
      </c>
      <c r="H3687" s="443">
        <v>24</v>
      </c>
      <c r="I3687" s="445">
        <f t="shared" si="905"/>
        <v>517.10400000000004</v>
      </c>
      <c r="J3687" s="446">
        <v>500</v>
      </c>
    </row>
    <row r="3688" spans="1:10" x14ac:dyDescent="0.25">
      <c r="A3688" s="31" t="s">
        <v>701</v>
      </c>
      <c r="B3688" s="449" t="s">
        <v>317</v>
      </c>
      <c r="C3688" s="450" t="s">
        <v>156</v>
      </c>
      <c r="D3688" s="42">
        <v>49.06</v>
      </c>
      <c r="E3688" s="450" t="s">
        <v>79</v>
      </c>
      <c r="F3688" s="43">
        <v>11.5</v>
      </c>
      <c r="G3688" s="443">
        <f t="shared" si="904"/>
        <v>72.45</v>
      </c>
      <c r="H3688" s="443">
        <v>24</v>
      </c>
      <c r="I3688" s="445">
        <f t="shared" si="905"/>
        <v>1738.8000000000002</v>
      </c>
      <c r="J3688" s="446">
        <v>1600</v>
      </c>
    </row>
    <row r="3689" spans="1:10" x14ac:dyDescent="0.25">
      <c r="A3689" s="31" t="s">
        <v>701</v>
      </c>
      <c r="B3689" s="443" t="s">
        <v>325</v>
      </c>
      <c r="C3689" s="444" t="s">
        <v>158</v>
      </c>
      <c r="D3689" s="452">
        <v>37.700000000000003</v>
      </c>
      <c r="E3689" s="444" t="s">
        <v>79</v>
      </c>
      <c r="F3689" s="43">
        <v>7</v>
      </c>
      <c r="G3689" s="443">
        <f t="shared" si="904"/>
        <v>44.1</v>
      </c>
      <c r="H3689" s="443">
        <v>24</v>
      </c>
      <c r="I3689" s="445">
        <f t="shared" si="905"/>
        <v>1058.4000000000001</v>
      </c>
      <c r="J3689" s="446">
        <v>1000</v>
      </c>
    </row>
    <row r="3690" spans="1:10" ht="15.75" thickBot="1" x14ac:dyDescent="0.3">
      <c r="A3690" s="31" t="s">
        <v>701</v>
      </c>
      <c r="B3690" s="451" t="s">
        <v>326</v>
      </c>
      <c r="C3690" s="453" t="s">
        <v>152</v>
      </c>
      <c r="D3690" s="454">
        <v>12</v>
      </c>
      <c r="E3690" s="450" t="s">
        <v>79</v>
      </c>
      <c r="F3690" s="73">
        <v>9.5</v>
      </c>
      <c r="G3690" s="451">
        <f t="shared" si="904"/>
        <v>59.85</v>
      </c>
      <c r="H3690" s="443">
        <v>24</v>
      </c>
      <c r="I3690" s="456">
        <f t="shared" si="905"/>
        <v>1436.4</v>
      </c>
      <c r="J3690" s="457">
        <v>1300</v>
      </c>
    </row>
    <row r="3691" spans="1:10" ht="19.5" thickBot="1" x14ac:dyDescent="0.35">
      <c r="A3691" s="206"/>
      <c r="B3691" s="458"/>
      <c r="C3691" s="458"/>
      <c r="D3691" s="458"/>
      <c r="E3691" s="458"/>
      <c r="F3691" s="458"/>
      <c r="G3691" s="459"/>
      <c r="H3691" s="460" t="s">
        <v>171</v>
      </c>
      <c r="I3691" s="461">
        <f>SUM(I3685:I3690)</f>
        <v>7154.7839999999997</v>
      </c>
      <c r="J3691" s="462">
        <v>6700</v>
      </c>
    </row>
    <row r="3692" spans="1:10" x14ac:dyDescent="0.25">
      <c r="A3692" s="31" t="s">
        <v>702</v>
      </c>
      <c r="B3692" s="443" t="s">
        <v>322</v>
      </c>
      <c r="C3692" s="444" t="s">
        <v>114</v>
      </c>
      <c r="D3692" s="444">
        <v>28.5</v>
      </c>
      <c r="E3692" s="444" t="s">
        <v>79</v>
      </c>
      <c r="F3692" s="109">
        <v>6.3</v>
      </c>
      <c r="G3692" s="443">
        <f t="shared" ref="G3692:G3697" si="906">F3692*6.3</f>
        <v>39.69</v>
      </c>
      <c r="H3692" s="443">
        <v>24</v>
      </c>
      <c r="I3692" s="445">
        <f t="shared" ref="I3692:I3697" si="907">G3692*H3692</f>
        <v>952.56</v>
      </c>
      <c r="J3692" s="446">
        <v>900</v>
      </c>
    </row>
    <row r="3693" spans="1:10" x14ac:dyDescent="0.25">
      <c r="A3693" s="31" t="s">
        <v>702</v>
      </c>
      <c r="B3693" s="443" t="s">
        <v>323</v>
      </c>
      <c r="C3693" s="444" t="s">
        <v>86</v>
      </c>
      <c r="D3693" s="444">
        <v>0.03</v>
      </c>
      <c r="E3693" s="444" t="s">
        <v>79</v>
      </c>
      <c r="F3693" s="38">
        <v>9.3800000000000008</v>
      </c>
      <c r="G3693" s="443">
        <f t="shared" si="906"/>
        <v>59.094000000000001</v>
      </c>
      <c r="H3693" s="443">
        <v>24</v>
      </c>
      <c r="I3693" s="445">
        <f t="shared" si="907"/>
        <v>1418.2560000000001</v>
      </c>
      <c r="J3693" s="446">
        <v>1400</v>
      </c>
    </row>
    <row r="3694" spans="1:10" x14ac:dyDescent="0.25">
      <c r="A3694" s="31" t="s">
        <v>702</v>
      </c>
      <c r="B3694" s="448" t="s">
        <v>324</v>
      </c>
      <c r="C3694" s="444" t="s">
        <v>443</v>
      </c>
      <c r="D3694" s="444" t="s">
        <v>38</v>
      </c>
      <c r="E3694" s="444" t="s">
        <v>79</v>
      </c>
      <c r="F3694" s="37">
        <v>3.42</v>
      </c>
      <c r="G3694" s="443">
        <f t="shared" si="906"/>
        <v>21.545999999999999</v>
      </c>
      <c r="H3694" s="443">
        <v>24</v>
      </c>
      <c r="I3694" s="445">
        <f t="shared" si="907"/>
        <v>517.10400000000004</v>
      </c>
      <c r="J3694" s="446">
        <v>500</v>
      </c>
    </row>
    <row r="3695" spans="1:10" x14ac:dyDescent="0.25">
      <c r="A3695" s="31" t="s">
        <v>702</v>
      </c>
      <c r="B3695" s="449" t="s">
        <v>317</v>
      </c>
      <c r="C3695" s="450" t="s">
        <v>156</v>
      </c>
      <c r="D3695" s="42">
        <v>47.8</v>
      </c>
      <c r="E3695" s="450" t="s">
        <v>79</v>
      </c>
      <c r="F3695" s="43">
        <v>11.6</v>
      </c>
      <c r="G3695" s="443">
        <f t="shared" si="906"/>
        <v>73.08</v>
      </c>
      <c r="H3695" s="443">
        <v>24</v>
      </c>
      <c r="I3695" s="445">
        <f t="shared" si="907"/>
        <v>1753.92</v>
      </c>
      <c r="J3695" s="446">
        <v>1600</v>
      </c>
    </row>
    <row r="3696" spans="1:10" x14ac:dyDescent="0.25">
      <c r="A3696" s="31" t="s">
        <v>702</v>
      </c>
      <c r="B3696" s="443" t="s">
        <v>325</v>
      </c>
      <c r="C3696" s="444" t="s">
        <v>158</v>
      </c>
      <c r="D3696" s="452">
        <v>36</v>
      </c>
      <c r="E3696" s="444" t="s">
        <v>79</v>
      </c>
      <c r="F3696" s="43">
        <v>7.2</v>
      </c>
      <c r="G3696" s="443">
        <f t="shared" si="906"/>
        <v>45.36</v>
      </c>
      <c r="H3696" s="443">
        <v>24</v>
      </c>
      <c r="I3696" s="445">
        <f t="shared" si="907"/>
        <v>1088.6399999999999</v>
      </c>
      <c r="J3696" s="446">
        <v>1000</v>
      </c>
    </row>
    <row r="3697" spans="1:10" ht="15.75" thickBot="1" x14ac:dyDescent="0.3">
      <c r="A3697" s="31" t="s">
        <v>702</v>
      </c>
      <c r="B3697" s="451" t="s">
        <v>326</v>
      </c>
      <c r="C3697" s="453" t="s">
        <v>152</v>
      </c>
      <c r="D3697" s="454">
        <v>13</v>
      </c>
      <c r="E3697" s="450" t="s">
        <v>79</v>
      </c>
      <c r="F3697" s="73">
        <v>9.1999999999999993</v>
      </c>
      <c r="G3697" s="451">
        <f t="shared" si="906"/>
        <v>57.959999999999994</v>
      </c>
      <c r="H3697" s="443">
        <v>24</v>
      </c>
      <c r="I3697" s="456">
        <f t="shared" si="907"/>
        <v>1391.04</v>
      </c>
      <c r="J3697" s="457">
        <v>1300</v>
      </c>
    </row>
    <row r="3698" spans="1:10" ht="19.5" thickBot="1" x14ac:dyDescent="0.35">
      <c r="A3698" s="206"/>
      <c r="B3698" s="458"/>
      <c r="C3698" s="458"/>
      <c r="D3698" s="458"/>
      <c r="E3698" s="458"/>
      <c r="F3698" s="458"/>
      <c r="G3698" s="459"/>
      <c r="H3698" s="460" t="s">
        <v>171</v>
      </c>
      <c r="I3698" s="461">
        <f>SUM(I3692:I3697)</f>
        <v>7121.5199999999995</v>
      </c>
      <c r="J3698" s="462">
        <v>6700</v>
      </c>
    </row>
    <row r="3699" spans="1:10" x14ac:dyDescent="0.25">
      <c r="A3699" s="31" t="s">
        <v>703</v>
      </c>
      <c r="B3699" s="443" t="s">
        <v>322</v>
      </c>
      <c r="C3699" s="444" t="s">
        <v>114</v>
      </c>
      <c r="D3699" s="444">
        <v>26.15</v>
      </c>
      <c r="E3699" s="444" t="s">
        <v>79</v>
      </c>
      <c r="F3699" s="109">
        <v>6.25</v>
      </c>
      <c r="G3699" s="443">
        <f t="shared" ref="G3699:G3704" si="908">F3699*6.3</f>
        <v>39.375</v>
      </c>
      <c r="H3699" s="443">
        <v>24</v>
      </c>
      <c r="I3699" s="445">
        <f t="shared" ref="I3699:I3704" si="909">G3699*H3699</f>
        <v>945</v>
      </c>
      <c r="J3699" s="446">
        <v>900</v>
      </c>
    </row>
    <row r="3700" spans="1:10" x14ac:dyDescent="0.25">
      <c r="A3700" s="31" t="s">
        <v>703</v>
      </c>
      <c r="B3700" s="443" t="s">
        <v>323</v>
      </c>
      <c r="C3700" s="444" t="s">
        <v>86</v>
      </c>
      <c r="D3700" s="444">
        <v>0.03</v>
      </c>
      <c r="E3700" s="444" t="s">
        <v>79</v>
      </c>
      <c r="F3700" s="38">
        <v>9.4</v>
      </c>
      <c r="G3700" s="443">
        <f t="shared" si="908"/>
        <v>59.22</v>
      </c>
      <c r="H3700" s="443">
        <v>24</v>
      </c>
      <c r="I3700" s="445">
        <f t="shared" si="909"/>
        <v>1421.28</v>
      </c>
      <c r="J3700" s="446">
        <v>1400</v>
      </c>
    </row>
    <row r="3701" spans="1:10" x14ac:dyDescent="0.25">
      <c r="A3701" s="31" t="s">
        <v>703</v>
      </c>
      <c r="B3701" s="448" t="s">
        <v>324</v>
      </c>
      <c r="C3701" s="444" t="s">
        <v>443</v>
      </c>
      <c r="D3701" s="444" t="s">
        <v>38</v>
      </c>
      <c r="E3701" s="444" t="s">
        <v>79</v>
      </c>
      <c r="F3701" s="37">
        <v>3.2</v>
      </c>
      <c r="G3701" s="443">
        <f t="shared" si="908"/>
        <v>20.16</v>
      </c>
      <c r="H3701" s="443">
        <v>17</v>
      </c>
      <c r="I3701" s="445">
        <f t="shared" si="909"/>
        <v>342.72</v>
      </c>
      <c r="J3701" s="446">
        <v>500</v>
      </c>
    </row>
    <row r="3702" spans="1:10" x14ac:dyDescent="0.25">
      <c r="A3702" s="31" t="s">
        <v>703</v>
      </c>
      <c r="B3702" s="449" t="s">
        <v>317</v>
      </c>
      <c r="C3702" s="450" t="s">
        <v>156</v>
      </c>
      <c r="D3702" s="42">
        <v>48.98</v>
      </c>
      <c r="E3702" s="450" t="s">
        <v>79</v>
      </c>
      <c r="F3702" s="43">
        <v>11.65</v>
      </c>
      <c r="G3702" s="443">
        <f t="shared" si="908"/>
        <v>73.394999999999996</v>
      </c>
      <c r="H3702" s="443">
        <v>17</v>
      </c>
      <c r="I3702" s="445">
        <f t="shared" si="909"/>
        <v>1247.7149999999999</v>
      </c>
      <c r="J3702" s="446">
        <v>1600</v>
      </c>
    </row>
    <row r="3703" spans="1:10" x14ac:dyDescent="0.25">
      <c r="A3703" s="31" t="s">
        <v>703</v>
      </c>
      <c r="B3703" s="443" t="s">
        <v>325</v>
      </c>
      <c r="C3703" s="444" t="s">
        <v>158</v>
      </c>
      <c r="D3703" s="452">
        <v>36.58</v>
      </c>
      <c r="E3703" s="444" t="s">
        <v>79</v>
      </c>
      <c r="F3703" s="43">
        <v>7.2</v>
      </c>
      <c r="G3703" s="443">
        <f t="shared" si="908"/>
        <v>45.36</v>
      </c>
      <c r="H3703" s="443">
        <v>17</v>
      </c>
      <c r="I3703" s="445">
        <f t="shared" si="909"/>
        <v>771.12</v>
      </c>
      <c r="J3703" s="446">
        <v>1000</v>
      </c>
    </row>
    <row r="3704" spans="1:10" ht="15.75" thickBot="1" x14ac:dyDescent="0.3">
      <c r="A3704" s="31" t="s">
        <v>703</v>
      </c>
      <c r="B3704" s="451" t="s">
        <v>326</v>
      </c>
      <c r="C3704" s="453" t="s">
        <v>152</v>
      </c>
      <c r="D3704" s="454">
        <v>10.039999999999999</v>
      </c>
      <c r="E3704" s="450" t="s">
        <v>79</v>
      </c>
      <c r="F3704" s="73">
        <v>9.15</v>
      </c>
      <c r="G3704" s="451">
        <f t="shared" si="908"/>
        <v>57.645000000000003</v>
      </c>
      <c r="H3704" s="451">
        <v>17</v>
      </c>
      <c r="I3704" s="456">
        <f t="shared" si="909"/>
        <v>979.96500000000003</v>
      </c>
      <c r="J3704" s="457">
        <v>1300</v>
      </c>
    </row>
    <row r="3705" spans="1:10" ht="19.5" thickBot="1" x14ac:dyDescent="0.35">
      <c r="A3705" s="206"/>
      <c r="B3705" s="458"/>
      <c r="C3705" s="458"/>
      <c r="D3705" s="458"/>
      <c r="E3705" s="458"/>
      <c r="F3705" s="458"/>
      <c r="G3705" s="459"/>
      <c r="H3705" s="460" t="s">
        <v>171</v>
      </c>
      <c r="I3705" s="461">
        <f>SUM(I3699:I3704)</f>
        <v>5707.8</v>
      </c>
      <c r="J3705" s="462">
        <v>6700</v>
      </c>
    </row>
    <row r="3706" spans="1:10" x14ac:dyDescent="0.25">
      <c r="A3706" s="31" t="s">
        <v>704</v>
      </c>
      <c r="B3706" s="443" t="s">
        <v>322</v>
      </c>
      <c r="C3706" s="444" t="s">
        <v>114</v>
      </c>
      <c r="D3706" s="444">
        <v>26</v>
      </c>
      <c r="E3706" s="444" t="s">
        <v>79</v>
      </c>
      <c r="F3706" s="109">
        <v>6.25</v>
      </c>
      <c r="G3706" s="443">
        <v>39</v>
      </c>
      <c r="H3706" s="443">
        <v>24</v>
      </c>
      <c r="I3706" s="445">
        <v>945</v>
      </c>
      <c r="J3706" s="446">
        <v>900</v>
      </c>
    </row>
    <row r="3707" spans="1:10" x14ac:dyDescent="0.25">
      <c r="A3707" s="31" t="s">
        <v>704</v>
      </c>
      <c r="B3707" s="443" t="s">
        <v>323</v>
      </c>
      <c r="C3707" s="444" t="s">
        <v>86</v>
      </c>
      <c r="D3707" s="444">
        <v>0</v>
      </c>
      <c r="E3707" s="444" t="s">
        <v>79</v>
      </c>
      <c r="F3707" s="38">
        <v>9.4</v>
      </c>
      <c r="G3707" s="443">
        <v>59</v>
      </c>
      <c r="H3707" s="443">
        <v>24</v>
      </c>
      <c r="I3707" s="445">
        <v>1421</v>
      </c>
      <c r="J3707" s="446">
        <v>1400</v>
      </c>
    </row>
    <row r="3708" spans="1:10" x14ac:dyDescent="0.25">
      <c r="A3708" s="31" t="s">
        <v>704</v>
      </c>
      <c r="B3708" s="448" t="s">
        <v>324</v>
      </c>
      <c r="C3708" s="444" t="s">
        <v>443</v>
      </c>
      <c r="D3708" s="444" t="s">
        <v>38</v>
      </c>
      <c r="E3708" s="444" t="s">
        <v>79</v>
      </c>
      <c r="F3708" s="37">
        <v>3.2</v>
      </c>
      <c r="G3708" s="443">
        <v>20</v>
      </c>
      <c r="H3708" s="443">
        <v>17</v>
      </c>
      <c r="I3708" s="445">
        <v>343</v>
      </c>
      <c r="J3708" s="446">
        <v>500</v>
      </c>
    </row>
    <row r="3709" spans="1:10" x14ac:dyDescent="0.25">
      <c r="A3709" s="31" t="s">
        <v>704</v>
      </c>
      <c r="B3709" s="449" t="s">
        <v>317</v>
      </c>
      <c r="C3709" s="450" t="s">
        <v>156</v>
      </c>
      <c r="D3709" s="42">
        <v>48.98</v>
      </c>
      <c r="E3709" s="450" t="s">
        <v>79</v>
      </c>
      <c r="F3709" s="43">
        <v>11.65</v>
      </c>
      <c r="G3709" s="443">
        <v>73</v>
      </c>
      <c r="H3709" s="443">
        <v>17</v>
      </c>
      <c r="I3709" s="445">
        <v>1248</v>
      </c>
      <c r="J3709" s="446">
        <v>1600</v>
      </c>
    </row>
    <row r="3710" spans="1:10" x14ac:dyDescent="0.25">
      <c r="A3710" s="31" t="s">
        <v>704</v>
      </c>
      <c r="B3710" s="443" t="s">
        <v>325</v>
      </c>
      <c r="C3710" s="444" t="s">
        <v>158</v>
      </c>
      <c r="D3710" s="452">
        <v>37</v>
      </c>
      <c r="E3710" s="444" t="s">
        <v>79</v>
      </c>
      <c r="F3710" s="43">
        <v>7.2</v>
      </c>
      <c r="G3710" s="443">
        <v>45</v>
      </c>
      <c r="H3710" s="443">
        <v>17</v>
      </c>
      <c r="I3710" s="445">
        <v>771</v>
      </c>
      <c r="J3710" s="446">
        <v>1000</v>
      </c>
    </row>
    <row r="3711" spans="1:10" ht="15.75" thickBot="1" x14ac:dyDescent="0.3">
      <c r="A3711" s="31" t="s">
        <v>704</v>
      </c>
      <c r="B3711" s="451" t="s">
        <v>326</v>
      </c>
      <c r="C3711" s="453" t="s">
        <v>152</v>
      </c>
      <c r="D3711" s="454">
        <v>10</v>
      </c>
      <c r="E3711" s="450" t="s">
        <v>79</v>
      </c>
      <c r="F3711" s="73">
        <v>9.15</v>
      </c>
      <c r="G3711" s="451">
        <v>58</v>
      </c>
      <c r="H3711" s="451">
        <v>17</v>
      </c>
      <c r="I3711" s="456">
        <v>980</v>
      </c>
      <c r="J3711" s="457">
        <v>1300</v>
      </c>
    </row>
    <row r="3712" spans="1:10" ht="19.5" thickBot="1" x14ac:dyDescent="0.35">
      <c r="A3712" s="206"/>
      <c r="B3712" s="458"/>
      <c r="C3712" s="458"/>
      <c r="D3712" s="458"/>
      <c r="E3712" s="458"/>
      <c r="F3712" s="458"/>
      <c r="G3712" s="459"/>
      <c r="H3712" s="460" t="s">
        <v>171</v>
      </c>
      <c r="I3712" s="461">
        <v>5708</v>
      </c>
      <c r="J3712" s="462">
        <v>6700</v>
      </c>
    </row>
    <row r="3713" spans="1:10" x14ac:dyDescent="0.25">
      <c r="A3713" s="31" t="s">
        <v>705</v>
      </c>
      <c r="B3713" s="443" t="s">
        <v>322</v>
      </c>
      <c r="C3713" s="444" t="s">
        <v>114</v>
      </c>
      <c r="D3713" s="444">
        <v>25.65</v>
      </c>
      <c r="E3713" s="444" t="s">
        <v>79</v>
      </c>
      <c r="F3713" s="109">
        <v>6.25</v>
      </c>
      <c r="G3713" s="443">
        <v>39.375</v>
      </c>
      <c r="H3713" s="443">
        <v>24</v>
      </c>
      <c r="I3713" s="445">
        <v>945</v>
      </c>
      <c r="J3713" s="446">
        <v>900</v>
      </c>
    </row>
    <row r="3714" spans="1:10" x14ac:dyDescent="0.25">
      <c r="A3714" s="31" t="s">
        <v>705</v>
      </c>
      <c r="B3714" s="443" t="s">
        <v>323</v>
      </c>
      <c r="C3714" s="444" t="s">
        <v>86</v>
      </c>
      <c r="D3714" s="444">
        <v>0.03</v>
      </c>
      <c r="E3714" s="444" t="s">
        <v>79</v>
      </c>
      <c r="F3714" s="38">
        <v>9.26</v>
      </c>
      <c r="G3714" s="443">
        <v>58.337999999999994</v>
      </c>
      <c r="H3714" s="443">
        <v>24</v>
      </c>
      <c r="I3714" s="445">
        <v>1400.1119999999999</v>
      </c>
      <c r="J3714" s="446">
        <v>1400</v>
      </c>
    </row>
    <row r="3715" spans="1:10" x14ac:dyDescent="0.25">
      <c r="A3715" s="31" t="s">
        <v>705</v>
      </c>
      <c r="B3715" s="448" t="s">
        <v>324</v>
      </c>
      <c r="C3715" s="444" t="s">
        <v>443</v>
      </c>
      <c r="D3715" s="444" t="s">
        <v>38</v>
      </c>
      <c r="E3715" s="444" t="s">
        <v>79</v>
      </c>
      <c r="F3715" s="37">
        <v>3.28</v>
      </c>
      <c r="G3715" s="443">
        <v>20.663999999999998</v>
      </c>
      <c r="H3715" s="443">
        <v>24</v>
      </c>
      <c r="I3715" s="445">
        <v>495.93599999999992</v>
      </c>
      <c r="J3715" s="446">
        <v>500</v>
      </c>
    </row>
    <row r="3716" spans="1:10" x14ac:dyDescent="0.25">
      <c r="A3716" s="31" t="s">
        <v>705</v>
      </c>
      <c r="B3716" s="449" t="s">
        <v>317</v>
      </c>
      <c r="C3716" s="450" t="s">
        <v>156</v>
      </c>
      <c r="D3716" s="42">
        <v>51.37</v>
      </c>
      <c r="E3716" s="450" t="s">
        <v>79</v>
      </c>
      <c r="F3716" s="43">
        <v>11.67</v>
      </c>
      <c r="G3716" s="443">
        <v>73.521000000000001</v>
      </c>
      <c r="H3716" s="443">
        <v>24</v>
      </c>
      <c r="I3716" s="445">
        <v>1764.5039999999999</v>
      </c>
      <c r="J3716" s="446">
        <v>1600</v>
      </c>
    </row>
    <row r="3717" spans="1:10" x14ac:dyDescent="0.25">
      <c r="A3717" s="31" t="s">
        <v>705</v>
      </c>
      <c r="B3717" s="443" t="s">
        <v>325</v>
      </c>
      <c r="C3717" s="444" t="s">
        <v>158</v>
      </c>
      <c r="D3717" s="452">
        <v>37.225999999999999</v>
      </c>
      <c r="E3717" s="444" t="s">
        <v>79</v>
      </c>
      <c r="F3717" s="43">
        <v>7.25</v>
      </c>
      <c r="G3717" s="443">
        <v>45.674999999999997</v>
      </c>
      <c r="H3717" s="443">
        <v>24</v>
      </c>
      <c r="I3717" s="445">
        <v>1096.1999999999998</v>
      </c>
      <c r="J3717" s="446">
        <v>1000</v>
      </c>
    </row>
    <row r="3718" spans="1:10" ht="15.75" thickBot="1" x14ac:dyDescent="0.3">
      <c r="A3718" s="43" t="s">
        <v>705</v>
      </c>
      <c r="B3718" s="451" t="s">
        <v>326</v>
      </c>
      <c r="C3718" s="453" t="s">
        <v>152</v>
      </c>
      <c r="D3718" s="454">
        <v>10.8</v>
      </c>
      <c r="E3718" s="450" t="s">
        <v>79</v>
      </c>
      <c r="F3718" s="73">
        <v>9.2899999999999991</v>
      </c>
      <c r="G3718" s="451">
        <v>58.526999999999994</v>
      </c>
      <c r="H3718" s="451">
        <v>24</v>
      </c>
      <c r="I3718" s="456">
        <v>1404.6479999999999</v>
      </c>
      <c r="J3718" s="457">
        <v>1300</v>
      </c>
    </row>
    <row r="3719" spans="1:10" ht="19.5" thickBot="1" x14ac:dyDescent="0.35">
      <c r="A3719" s="206"/>
      <c r="B3719" s="458"/>
      <c r="C3719" s="458"/>
      <c r="D3719" s="458"/>
      <c r="E3719" s="458"/>
      <c r="F3719" s="458"/>
      <c r="G3719" s="459"/>
      <c r="H3719" s="460" t="s">
        <v>171</v>
      </c>
      <c r="I3719" s="461">
        <v>7106.4</v>
      </c>
      <c r="J3719" s="462">
        <v>6700</v>
      </c>
    </row>
    <row r="3720" spans="1:10" x14ac:dyDescent="0.25">
      <c r="A3720" s="31" t="s">
        <v>706</v>
      </c>
      <c r="B3720" s="31" t="s">
        <v>322</v>
      </c>
      <c r="C3720" s="31" t="s">
        <v>114</v>
      </c>
      <c r="D3720" s="49">
        <v>0</v>
      </c>
      <c r="E3720" s="31" t="s">
        <v>79</v>
      </c>
      <c r="F3720" s="31">
        <v>6.3</v>
      </c>
      <c r="G3720" s="31">
        <v>40</v>
      </c>
      <c r="H3720" s="31">
        <v>20</v>
      </c>
      <c r="I3720" s="31">
        <v>794</v>
      </c>
      <c r="J3720" s="31">
        <v>900</v>
      </c>
    </row>
    <row r="3721" spans="1:10" x14ac:dyDescent="0.25">
      <c r="A3721" s="31" t="s">
        <v>706</v>
      </c>
      <c r="B3721" s="31" t="s">
        <v>323</v>
      </c>
      <c r="C3721" s="31" t="s">
        <v>86</v>
      </c>
      <c r="D3721" s="46">
        <v>0</v>
      </c>
      <c r="E3721" s="31" t="s">
        <v>79</v>
      </c>
      <c r="F3721" s="31">
        <v>9.2799999999999994</v>
      </c>
      <c r="G3721" s="31">
        <v>58</v>
      </c>
      <c r="H3721" s="31">
        <v>20</v>
      </c>
      <c r="I3721" s="31">
        <v>1169</v>
      </c>
      <c r="J3721" s="31">
        <v>1400</v>
      </c>
    </row>
    <row r="3722" spans="1:10" x14ac:dyDescent="0.25">
      <c r="A3722" s="31" t="s">
        <v>706</v>
      </c>
      <c r="B3722" s="31" t="s">
        <v>324</v>
      </c>
      <c r="C3722" s="31" t="s">
        <v>443</v>
      </c>
      <c r="D3722" s="46" t="s">
        <v>38</v>
      </c>
      <c r="E3722" s="31" t="s">
        <v>79</v>
      </c>
      <c r="F3722" s="31">
        <v>3.4</v>
      </c>
      <c r="G3722" s="31">
        <v>21</v>
      </c>
      <c r="H3722" s="31">
        <v>24</v>
      </c>
      <c r="I3722" s="31">
        <v>514</v>
      </c>
      <c r="J3722" s="31">
        <v>500</v>
      </c>
    </row>
    <row r="3723" spans="1:10" x14ac:dyDescent="0.25">
      <c r="A3723" s="31" t="s">
        <v>706</v>
      </c>
      <c r="B3723" s="31" t="s">
        <v>317</v>
      </c>
      <c r="C3723" s="31" t="s">
        <v>156</v>
      </c>
      <c r="D3723" s="46">
        <v>51.17</v>
      </c>
      <c r="E3723" s="31" t="s">
        <v>79</v>
      </c>
      <c r="F3723" s="31">
        <v>10.5</v>
      </c>
      <c r="G3723" s="31">
        <v>66</v>
      </c>
      <c r="H3723" s="31">
        <v>24</v>
      </c>
      <c r="I3723" s="31">
        <v>1588</v>
      </c>
      <c r="J3723" s="31">
        <v>1600</v>
      </c>
    </row>
    <row r="3724" spans="1:10" x14ac:dyDescent="0.25">
      <c r="A3724" s="31" t="s">
        <v>706</v>
      </c>
      <c r="B3724" s="31" t="s">
        <v>325</v>
      </c>
      <c r="C3724" s="31" t="s">
        <v>158</v>
      </c>
      <c r="D3724" s="46">
        <v>37</v>
      </c>
      <c r="E3724" s="31" t="s">
        <v>79</v>
      </c>
      <c r="F3724" s="31">
        <v>7.05</v>
      </c>
      <c r="G3724" s="31">
        <v>44</v>
      </c>
      <c r="H3724" s="31">
        <v>24</v>
      </c>
      <c r="I3724" s="31">
        <v>1066</v>
      </c>
      <c r="J3724" s="31">
        <v>1000</v>
      </c>
    </row>
    <row r="3725" spans="1:10" ht="15.75" thickBot="1" x14ac:dyDescent="0.3">
      <c r="A3725" s="31" t="s">
        <v>706</v>
      </c>
      <c r="B3725" s="31" t="s">
        <v>326</v>
      </c>
      <c r="C3725" s="31" t="s">
        <v>152</v>
      </c>
      <c r="D3725" s="52">
        <v>9</v>
      </c>
      <c r="E3725" s="31" t="s">
        <v>79</v>
      </c>
      <c r="F3725" s="31">
        <v>9.0500000000000007</v>
      </c>
      <c r="G3725" s="31">
        <v>57</v>
      </c>
      <c r="H3725" s="31">
        <v>24</v>
      </c>
      <c r="I3725" s="31">
        <v>1368</v>
      </c>
      <c r="J3725" s="31">
        <v>1300</v>
      </c>
    </row>
    <row r="3726" spans="1:10" ht="19.5" thickBot="1" x14ac:dyDescent="0.35">
      <c r="A3726" s="220"/>
      <c r="B3726" s="221"/>
      <c r="C3726" s="221"/>
      <c r="D3726" s="221"/>
      <c r="E3726" s="221"/>
      <c r="F3726" s="221"/>
      <c r="G3726" s="221"/>
      <c r="H3726" s="259" t="s">
        <v>171</v>
      </c>
      <c r="I3726" s="221">
        <v>6499</v>
      </c>
      <c r="J3726" s="258">
        <v>6700</v>
      </c>
    </row>
    <row r="3727" spans="1:10" x14ac:dyDescent="0.25">
      <c r="A3727" s="31" t="s">
        <v>707</v>
      </c>
      <c r="B3727" s="443" t="s">
        <v>322</v>
      </c>
      <c r="C3727" s="444" t="s">
        <v>114</v>
      </c>
      <c r="D3727" s="444">
        <v>0</v>
      </c>
      <c r="E3727" s="444" t="s">
        <v>79</v>
      </c>
      <c r="F3727" s="109">
        <v>6.42</v>
      </c>
      <c r="G3727" s="443">
        <f t="shared" ref="G3727:G3732" si="910">F3727*6.3</f>
        <v>40.445999999999998</v>
      </c>
      <c r="H3727" s="443">
        <v>24</v>
      </c>
      <c r="I3727" s="445">
        <f t="shared" ref="I3727:I3732" si="911">G3727*H3727</f>
        <v>970.70399999999995</v>
      </c>
      <c r="J3727" s="446">
        <v>900</v>
      </c>
    </row>
    <row r="3728" spans="1:10" x14ac:dyDescent="0.25">
      <c r="A3728" s="31" t="s">
        <v>707</v>
      </c>
      <c r="B3728" s="443" t="s">
        <v>323</v>
      </c>
      <c r="C3728" s="444" t="s">
        <v>86</v>
      </c>
      <c r="D3728" s="444">
        <v>0</v>
      </c>
      <c r="E3728" s="444" t="s">
        <v>79</v>
      </c>
      <c r="F3728" s="38">
        <v>9.75</v>
      </c>
      <c r="G3728" s="443">
        <f t="shared" si="910"/>
        <v>61.424999999999997</v>
      </c>
      <c r="H3728" s="443">
        <v>24</v>
      </c>
      <c r="I3728" s="445">
        <f t="shared" si="911"/>
        <v>1474.1999999999998</v>
      </c>
      <c r="J3728" s="446">
        <v>1400</v>
      </c>
    </row>
    <row r="3729" spans="1:10" x14ac:dyDescent="0.25">
      <c r="A3729" s="31" t="s">
        <v>707</v>
      </c>
      <c r="B3729" s="448" t="s">
        <v>324</v>
      </c>
      <c r="C3729" s="444" t="s">
        <v>443</v>
      </c>
      <c r="D3729" s="444" t="s">
        <v>38</v>
      </c>
      <c r="E3729" s="444" t="s">
        <v>79</v>
      </c>
      <c r="F3729" s="37">
        <v>3.59</v>
      </c>
      <c r="G3729" s="443">
        <f t="shared" si="910"/>
        <v>22.616999999999997</v>
      </c>
      <c r="H3729" s="443">
        <v>24</v>
      </c>
      <c r="I3729" s="445">
        <f t="shared" si="911"/>
        <v>542.80799999999999</v>
      </c>
      <c r="J3729" s="446">
        <v>500</v>
      </c>
    </row>
    <row r="3730" spans="1:10" x14ac:dyDescent="0.25">
      <c r="A3730" s="31" t="s">
        <v>707</v>
      </c>
      <c r="B3730" s="449" t="s">
        <v>317</v>
      </c>
      <c r="C3730" s="450" t="s">
        <v>156</v>
      </c>
      <c r="D3730" s="42">
        <v>52.27</v>
      </c>
      <c r="E3730" s="450" t="s">
        <v>79</v>
      </c>
      <c r="F3730" s="43">
        <v>10.72</v>
      </c>
      <c r="G3730" s="443">
        <f t="shared" si="910"/>
        <v>67.536000000000001</v>
      </c>
      <c r="H3730" s="443">
        <v>24</v>
      </c>
      <c r="I3730" s="445">
        <f t="shared" si="911"/>
        <v>1620.864</v>
      </c>
      <c r="J3730" s="446">
        <v>1600</v>
      </c>
    </row>
    <row r="3731" spans="1:10" x14ac:dyDescent="0.25">
      <c r="A3731" s="31" t="s">
        <v>707</v>
      </c>
      <c r="B3731" s="443" t="s">
        <v>325</v>
      </c>
      <c r="C3731" s="444" t="s">
        <v>158</v>
      </c>
      <c r="D3731" s="452">
        <v>37.93</v>
      </c>
      <c r="E3731" s="444" t="s">
        <v>79</v>
      </c>
      <c r="F3731" s="43">
        <v>7.28</v>
      </c>
      <c r="G3731" s="443">
        <f t="shared" si="910"/>
        <v>45.863999999999997</v>
      </c>
      <c r="H3731" s="443">
        <v>24</v>
      </c>
      <c r="I3731" s="445">
        <f t="shared" si="911"/>
        <v>1100.7359999999999</v>
      </c>
      <c r="J3731" s="446">
        <v>1000</v>
      </c>
    </row>
    <row r="3732" spans="1:10" ht="15.75" thickBot="1" x14ac:dyDescent="0.3">
      <c r="A3732" s="31" t="s">
        <v>707</v>
      </c>
      <c r="B3732" s="451" t="s">
        <v>326</v>
      </c>
      <c r="C3732" s="453" t="s">
        <v>152</v>
      </c>
      <c r="D3732" s="454">
        <v>9.27</v>
      </c>
      <c r="E3732" s="450" t="s">
        <v>79</v>
      </c>
      <c r="F3732" s="73">
        <v>9.23</v>
      </c>
      <c r="G3732" s="451">
        <f t="shared" si="910"/>
        <v>58.149000000000001</v>
      </c>
      <c r="H3732" s="451">
        <v>24</v>
      </c>
      <c r="I3732" s="456">
        <f t="shared" si="911"/>
        <v>1395.576</v>
      </c>
      <c r="J3732" s="457">
        <v>1300</v>
      </c>
    </row>
    <row r="3733" spans="1:10" ht="19.5" thickBot="1" x14ac:dyDescent="0.35">
      <c r="A3733" s="206"/>
      <c r="B3733" s="458"/>
      <c r="C3733" s="458"/>
      <c r="D3733" s="458"/>
      <c r="E3733" s="458"/>
      <c r="F3733" s="458"/>
      <c r="G3733" s="459"/>
      <c r="H3733" s="460" t="s">
        <v>171</v>
      </c>
      <c r="I3733" s="461">
        <f>SUM(I3727:I3732)</f>
        <v>7104.887999999999</v>
      </c>
      <c r="J3733" s="462">
        <v>6700</v>
      </c>
    </row>
    <row r="3734" spans="1:10" x14ac:dyDescent="0.25">
      <c r="A3734" s="31" t="s">
        <v>709</v>
      </c>
      <c r="B3734" s="443" t="s">
        <v>322</v>
      </c>
      <c r="C3734" s="444" t="s">
        <v>114</v>
      </c>
      <c r="D3734" s="444">
        <v>10.59</v>
      </c>
      <c r="E3734" s="444" t="s">
        <v>79</v>
      </c>
      <c r="F3734" s="109">
        <v>6.38</v>
      </c>
      <c r="G3734" s="443">
        <f t="shared" ref="G3734:G3739" si="912">F3734*6.3</f>
        <v>40.193999999999996</v>
      </c>
      <c r="H3734" s="443">
        <v>24</v>
      </c>
      <c r="I3734" s="445">
        <f t="shared" ref="I3734:I3739" si="913">G3734*H3734</f>
        <v>964.65599999999995</v>
      </c>
      <c r="J3734" s="446">
        <v>900</v>
      </c>
    </row>
    <row r="3735" spans="1:10" x14ac:dyDescent="0.25">
      <c r="A3735" s="31" t="s">
        <v>709</v>
      </c>
      <c r="B3735" s="443" t="s">
        <v>323</v>
      </c>
      <c r="C3735" s="444" t="s">
        <v>86</v>
      </c>
      <c r="D3735" s="444">
        <v>0.03</v>
      </c>
      <c r="E3735" s="444" t="s">
        <v>79</v>
      </c>
      <c r="F3735" s="38">
        <v>9.75</v>
      </c>
      <c r="G3735" s="443">
        <f t="shared" si="912"/>
        <v>61.424999999999997</v>
      </c>
      <c r="H3735" s="443">
        <v>24</v>
      </c>
      <c r="I3735" s="445">
        <f t="shared" si="913"/>
        <v>1474.1999999999998</v>
      </c>
      <c r="J3735" s="446">
        <v>1400</v>
      </c>
    </row>
    <row r="3736" spans="1:10" x14ac:dyDescent="0.25">
      <c r="A3736" s="31" t="s">
        <v>709</v>
      </c>
      <c r="B3736" s="448" t="s">
        <v>324</v>
      </c>
      <c r="C3736" s="444" t="s">
        <v>443</v>
      </c>
      <c r="D3736" s="444" t="s">
        <v>38</v>
      </c>
      <c r="E3736" s="444" t="s">
        <v>79</v>
      </c>
      <c r="F3736" s="37">
        <v>3.6</v>
      </c>
      <c r="G3736" s="443">
        <f t="shared" si="912"/>
        <v>22.68</v>
      </c>
      <c r="H3736" s="443">
        <v>24</v>
      </c>
      <c r="I3736" s="445">
        <f t="shared" si="913"/>
        <v>544.31999999999994</v>
      </c>
      <c r="J3736" s="446">
        <v>500</v>
      </c>
    </row>
    <row r="3737" spans="1:10" x14ac:dyDescent="0.25">
      <c r="A3737" s="31" t="s">
        <v>709</v>
      </c>
      <c r="B3737" s="449" t="s">
        <v>317</v>
      </c>
      <c r="C3737" s="450" t="s">
        <v>156</v>
      </c>
      <c r="D3737" s="42">
        <v>51.74</v>
      </c>
      <c r="E3737" s="450" t="s">
        <v>79</v>
      </c>
      <c r="F3737" s="43">
        <v>10.75</v>
      </c>
      <c r="G3737" s="443">
        <f t="shared" si="912"/>
        <v>67.724999999999994</v>
      </c>
      <c r="H3737" s="443">
        <v>24</v>
      </c>
      <c r="I3737" s="445">
        <f t="shared" si="913"/>
        <v>1625.3999999999999</v>
      </c>
      <c r="J3737" s="446">
        <v>1600</v>
      </c>
    </row>
    <row r="3738" spans="1:10" x14ac:dyDescent="0.25">
      <c r="A3738" s="31" t="s">
        <v>709</v>
      </c>
      <c r="B3738" s="443" t="s">
        <v>325</v>
      </c>
      <c r="C3738" s="444" t="s">
        <v>158</v>
      </c>
      <c r="D3738" s="452">
        <v>37.93</v>
      </c>
      <c r="E3738" s="444" t="s">
        <v>79</v>
      </c>
      <c r="F3738" s="43">
        <v>7.27</v>
      </c>
      <c r="G3738" s="443">
        <f t="shared" si="912"/>
        <v>45.800999999999995</v>
      </c>
      <c r="H3738" s="443">
        <v>24</v>
      </c>
      <c r="I3738" s="445">
        <f t="shared" si="913"/>
        <v>1099.2239999999999</v>
      </c>
      <c r="J3738" s="446">
        <v>1000</v>
      </c>
    </row>
    <row r="3739" spans="1:10" ht="15.75" thickBot="1" x14ac:dyDescent="0.3">
      <c r="A3739" s="31" t="s">
        <v>709</v>
      </c>
      <c r="B3739" s="451" t="s">
        <v>326</v>
      </c>
      <c r="C3739" s="453" t="s">
        <v>152</v>
      </c>
      <c r="D3739" s="454">
        <v>9.27</v>
      </c>
      <c r="E3739" s="450" t="s">
        <v>79</v>
      </c>
      <c r="F3739" s="73">
        <v>9.25</v>
      </c>
      <c r="G3739" s="451">
        <f t="shared" si="912"/>
        <v>58.274999999999999</v>
      </c>
      <c r="H3739" s="451">
        <v>24</v>
      </c>
      <c r="I3739" s="456">
        <f t="shared" si="913"/>
        <v>1398.6</v>
      </c>
      <c r="J3739" s="457">
        <v>1300</v>
      </c>
    </row>
    <row r="3740" spans="1:10" ht="19.5" thickBot="1" x14ac:dyDescent="0.35">
      <c r="A3740" s="206"/>
      <c r="B3740" s="458"/>
      <c r="C3740" s="458"/>
      <c r="D3740" s="458"/>
      <c r="E3740" s="458"/>
      <c r="F3740" s="458"/>
      <c r="G3740" s="459"/>
      <c r="H3740" s="460" t="s">
        <v>171</v>
      </c>
      <c r="I3740" s="461">
        <f>SUM(I3734:I3739)</f>
        <v>7106.4</v>
      </c>
      <c r="J3740" s="462">
        <v>6700</v>
      </c>
    </row>
    <row r="3741" spans="1:10" x14ac:dyDescent="0.25">
      <c r="A3741" s="31" t="s">
        <v>713</v>
      </c>
      <c r="B3741" s="443" t="s">
        <v>322</v>
      </c>
      <c r="C3741" s="444" t="s">
        <v>114</v>
      </c>
      <c r="D3741" s="444">
        <v>27.11</v>
      </c>
      <c r="E3741" s="444" t="s">
        <v>79</v>
      </c>
      <c r="F3741" s="109">
        <v>6.35</v>
      </c>
      <c r="G3741" s="443">
        <f t="shared" ref="G3741:G3746" si="914">F3741*6.3</f>
        <v>40.004999999999995</v>
      </c>
      <c r="H3741" s="443">
        <v>24</v>
      </c>
      <c r="I3741" s="445">
        <f t="shared" ref="I3741:I3746" si="915">G3741*H3741</f>
        <v>960.11999999999989</v>
      </c>
      <c r="J3741" s="446">
        <v>900</v>
      </c>
    </row>
    <row r="3742" spans="1:10" x14ac:dyDescent="0.25">
      <c r="A3742" s="31" t="s">
        <v>713</v>
      </c>
      <c r="B3742" s="443" t="s">
        <v>323</v>
      </c>
      <c r="C3742" s="444" t="s">
        <v>86</v>
      </c>
      <c r="D3742" s="444">
        <v>0.03</v>
      </c>
      <c r="E3742" s="444" t="s">
        <v>79</v>
      </c>
      <c r="F3742" s="38">
        <v>9.6999999999999993</v>
      </c>
      <c r="G3742" s="443">
        <f t="shared" si="914"/>
        <v>61.109999999999992</v>
      </c>
      <c r="H3742" s="443">
        <v>24</v>
      </c>
      <c r="I3742" s="445">
        <f t="shared" si="915"/>
        <v>1466.6399999999999</v>
      </c>
      <c r="J3742" s="446">
        <v>1400</v>
      </c>
    </row>
    <row r="3743" spans="1:10" x14ac:dyDescent="0.25">
      <c r="A3743" s="31" t="s">
        <v>713</v>
      </c>
      <c r="B3743" s="448" t="s">
        <v>324</v>
      </c>
      <c r="C3743" s="444" t="s">
        <v>443</v>
      </c>
      <c r="D3743" s="444" t="s">
        <v>38</v>
      </c>
      <c r="E3743" s="444" t="s">
        <v>79</v>
      </c>
      <c r="F3743" s="37">
        <v>3.56</v>
      </c>
      <c r="G3743" s="443">
        <f t="shared" si="914"/>
        <v>22.428000000000001</v>
      </c>
      <c r="H3743" s="443">
        <v>24</v>
      </c>
      <c r="I3743" s="445">
        <f t="shared" si="915"/>
        <v>538.27200000000005</v>
      </c>
      <c r="J3743" s="446">
        <v>500</v>
      </c>
    </row>
    <row r="3744" spans="1:10" x14ac:dyDescent="0.25">
      <c r="A3744" s="31" t="s">
        <v>713</v>
      </c>
      <c r="B3744" s="449" t="s">
        <v>317</v>
      </c>
      <c r="C3744" s="450" t="s">
        <v>156</v>
      </c>
      <c r="D3744" s="42">
        <v>52.14</v>
      </c>
      <c r="E3744" s="450" t="s">
        <v>79</v>
      </c>
      <c r="F3744" s="43">
        <v>10.63</v>
      </c>
      <c r="G3744" s="443">
        <f t="shared" si="914"/>
        <v>66.969000000000008</v>
      </c>
      <c r="H3744" s="443">
        <v>24</v>
      </c>
      <c r="I3744" s="445">
        <f t="shared" si="915"/>
        <v>1607.2560000000003</v>
      </c>
      <c r="J3744" s="446">
        <v>1600</v>
      </c>
    </row>
    <row r="3745" spans="1:10" x14ac:dyDescent="0.25">
      <c r="A3745" s="31" t="s">
        <v>713</v>
      </c>
      <c r="B3745" s="443" t="s">
        <v>325</v>
      </c>
      <c r="C3745" s="444" t="s">
        <v>158</v>
      </c>
      <c r="D3745" s="452">
        <v>37.44</v>
      </c>
      <c r="E3745" s="444" t="s">
        <v>79</v>
      </c>
      <c r="F3745" s="43">
        <v>7.15</v>
      </c>
      <c r="G3745" s="443">
        <f t="shared" si="914"/>
        <v>45.045000000000002</v>
      </c>
      <c r="H3745" s="443">
        <v>24</v>
      </c>
      <c r="I3745" s="445">
        <f t="shared" si="915"/>
        <v>1081.08</v>
      </c>
      <c r="J3745" s="446">
        <v>1000</v>
      </c>
    </row>
    <row r="3746" spans="1:10" ht="15.75" thickBot="1" x14ac:dyDescent="0.3">
      <c r="A3746" s="31" t="s">
        <v>713</v>
      </c>
      <c r="B3746" s="451" t="s">
        <v>326</v>
      </c>
      <c r="C3746" s="453" t="s">
        <v>152</v>
      </c>
      <c r="D3746" s="454">
        <v>7.67</v>
      </c>
      <c r="E3746" s="450" t="s">
        <v>79</v>
      </c>
      <c r="F3746" s="73">
        <v>9.25</v>
      </c>
      <c r="G3746" s="451">
        <f t="shared" si="914"/>
        <v>58.274999999999999</v>
      </c>
      <c r="H3746" s="451">
        <v>24</v>
      </c>
      <c r="I3746" s="456">
        <f t="shared" si="915"/>
        <v>1398.6</v>
      </c>
      <c r="J3746" s="457">
        <v>1300</v>
      </c>
    </row>
    <row r="3747" spans="1:10" ht="19.5" thickBot="1" x14ac:dyDescent="0.35">
      <c r="A3747" s="206"/>
      <c r="B3747" s="458"/>
      <c r="C3747" s="458"/>
      <c r="D3747" s="458"/>
      <c r="E3747" s="458"/>
      <c r="F3747" s="458"/>
      <c r="G3747" s="459"/>
      <c r="H3747" s="460" t="s">
        <v>171</v>
      </c>
      <c r="I3747" s="461">
        <f>SUM(I3741:I3746)</f>
        <v>7051.9680000000008</v>
      </c>
      <c r="J3747" s="462">
        <v>6700</v>
      </c>
    </row>
    <row r="3748" spans="1:10" x14ac:dyDescent="0.25">
      <c r="A3748" s="31" t="s">
        <v>714</v>
      </c>
      <c r="B3748" s="443" t="s">
        <v>322</v>
      </c>
      <c r="C3748" s="444" t="s">
        <v>114</v>
      </c>
      <c r="D3748" s="444">
        <v>27.11</v>
      </c>
      <c r="E3748" s="444" t="s">
        <v>79</v>
      </c>
      <c r="F3748" s="109">
        <v>6.35</v>
      </c>
      <c r="G3748" s="443">
        <f>F3748*6.3</f>
        <v>40.004999999999995</v>
      </c>
      <c r="H3748" s="443">
        <v>24</v>
      </c>
      <c r="I3748" s="445">
        <f>G3748*H3748</f>
        <v>960.11999999999989</v>
      </c>
      <c r="J3748" s="446">
        <v>900</v>
      </c>
    </row>
    <row r="3749" spans="1:10" x14ac:dyDescent="0.25">
      <c r="A3749" s="31" t="s">
        <v>714</v>
      </c>
      <c r="B3749" s="443" t="s">
        <v>323</v>
      </c>
      <c r="C3749" s="444" t="s">
        <v>86</v>
      </c>
      <c r="D3749" s="444">
        <v>0.03</v>
      </c>
      <c r="E3749" s="444" t="s">
        <v>79</v>
      </c>
      <c r="F3749" s="38">
        <v>9.6999999999999993</v>
      </c>
      <c r="G3749" s="443">
        <f t="shared" ref="G3749:G3753" si="916">F3749*6.3</f>
        <v>61.109999999999992</v>
      </c>
      <c r="H3749" s="443">
        <v>24</v>
      </c>
      <c r="I3749" s="445">
        <f t="shared" ref="I3749:I3753" si="917">G3749*H3749</f>
        <v>1466.6399999999999</v>
      </c>
      <c r="J3749" s="446">
        <v>1400</v>
      </c>
    </row>
    <row r="3750" spans="1:10" x14ac:dyDescent="0.25">
      <c r="A3750" s="31" t="s">
        <v>714</v>
      </c>
      <c r="B3750" s="448" t="s">
        <v>324</v>
      </c>
      <c r="C3750" s="444" t="s">
        <v>443</v>
      </c>
      <c r="D3750" s="444" t="s">
        <v>38</v>
      </c>
      <c r="E3750" s="444" t="s">
        <v>79</v>
      </c>
      <c r="F3750" s="37">
        <v>3.56</v>
      </c>
      <c r="G3750" s="443">
        <f t="shared" si="916"/>
        <v>22.428000000000001</v>
      </c>
      <c r="H3750" s="443">
        <v>24</v>
      </c>
      <c r="I3750" s="445">
        <f t="shared" si="917"/>
        <v>538.27200000000005</v>
      </c>
      <c r="J3750" s="446">
        <v>500</v>
      </c>
    </row>
    <row r="3751" spans="1:10" x14ac:dyDescent="0.25">
      <c r="A3751" s="31" t="s">
        <v>714</v>
      </c>
      <c r="B3751" s="449" t="s">
        <v>317</v>
      </c>
      <c r="C3751" s="450" t="s">
        <v>156</v>
      </c>
      <c r="D3751" s="42">
        <v>52.14</v>
      </c>
      <c r="E3751" s="450" t="s">
        <v>79</v>
      </c>
      <c r="F3751" s="43">
        <v>10.63</v>
      </c>
      <c r="G3751" s="443">
        <f t="shared" si="916"/>
        <v>66.969000000000008</v>
      </c>
      <c r="H3751" s="443">
        <v>24</v>
      </c>
      <c r="I3751" s="445">
        <f t="shared" si="917"/>
        <v>1607.2560000000003</v>
      </c>
      <c r="J3751" s="446">
        <v>1600</v>
      </c>
    </row>
    <row r="3752" spans="1:10" x14ac:dyDescent="0.25">
      <c r="A3752" s="31" t="s">
        <v>714</v>
      </c>
      <c r="B3752" s="443" t="s">
        <v>325</v>
      </c>
      <c r="C3752" s="444" t="s">
        <v>158</v>
      </c>
      <c r="D3752" s="452">
        <v>37.44</v>
      </c>
      <c r="E3752" s="444" t="s">
        <v>79</v>
      </c>
      <c r="F3752" s="43">
        <v>7.15</v>
      </c>
      <c r="G3752" s="443">
        <f t="shared" si="916"/>
        <v>45.045000000000002</v>
      </c>
      <c r="H3752" s="443">
        <v>24</v>
      </c>
      <c r="I3752" s="445">
        <f t="shared" si="917"/>
        <v>1081.08</v>
      </c>
      <c r="J3752" s="446">
        <v>1000</v>
      </c>
    </row>
    <row r="3753" spans="1:10" ht="15.75" thickBot="1" x14ac:dyDescent="0.3">
      <c r="A3753" s="31" t="s">
        <v>714</v>
      </c>
      <c r="B3753" s="451" t="s">
        <v>326</v>
      </c>
      <c r="C3753" s="453" t="s">
        <v>152</v>
      </c>
      <c r="D3753" s="454">
        <v>7.67</v>
      </c>
      <c r="E3753" s="450" t="s">
        <v>79</v>
      </c>
      <c r="F3753" s="73">
        <v>9.25</v>
      </c>
      <c r="G3753" s="451">
        <f t="shared" si="916"/>
        <v>58.274999999999999</v>
      </c>
      <c r="H3753" s="451">
        <v>24</v>
      </c>
      <c r="I3753" s="456">
        <f t="shared" si="917"/>
        <v>1398.6</v>
      </c>
      <c r="J3753" s="457">
        <v>1300</v>
      </c>
    </row>
    <row r="3754" spans="1:10" ht="19.5" thickBot="1" x14ac:dyDescent="0.35">
      <c r="A3754" s="220"/>
      <c r="B3754" s="458"/>
      <c r="C3754" s="458"/>
      <c r="D3754" s="458"/>
      <c r="E3754" s="458"/>
      <c r="F3754" s="458"/>
      <c r="G3754" s="459"/>
      <c r="H3754" s="460" t="s">
        <v>171</v>
      </c>
      <c r="I3754" s="461">
        <f>SUM(I3748:I3753)</f>
        <v>7051.9680000000008</v>
      </c>
      <c r="J3754" s="462">
        <v>6700</v>
      </c>
    </row>
    <row r="3755" spans="1:10" x14ac:dyDescent="0.25">
      <c r="A3755" s="31" t="s">
        <v>715</v>
      </c>
      <c r="B3755" s="443" t="s">
        <v>322</v>
      </c>
      <c r="C3755" s="444" t="s">
        <v>114</v>
      </c>
      <c r="D3755" s="444">
        <v>27.11</v>
      </c>
      <c r="E3755" s="444" t="s">
        <v>79</v>
      </c>
      <c r="F3755" s="109">
        <v>6.31</v>
      </c>
      <c r="G3755" s="443">
        <f t="shared" ref="G3755:G3760" si="918">F3755*6.3</f>
        <v>39.752999999999993</v>
      </c>
      <c r="H3755" s="443">
        <v>24</v>
      </c>
      <c r="I3755" s="445">
        <f t="shared" ref="I3755:I3760" si="919">G3755*H3755</f>
        <v>954.07199999999989</v>
      </c>
      <c r="J3755" s="446">
        <v>900</v>
      </c>
    </row>
    <row r="3756" spans="1:10" x14ac:dyDescent="0.25">
      <c r="A3756" s="31" t="s">
        <v>715</v>
      </c>
      <c r="B3756" s="443" t="s">
        <v>323</v>
      </c>
      <c r="C3756" s="444" t="s">
        <v>86</v>
      </c>
      <c r="D3756" s="444">
        <v>0.03</v>
      </c>
      <c r="E3756" s="444" t="s">
        <v>79</v>
      </c>
      <c r="F3756" s="38">
        <v>9.66</v>
      </c>
      <c r="G3756" s="443">
        <f t="shared" si="918"/>
        <v>60.857999999999997</v>
      </c>
      <c r="H3756" s="443">
        <v>24</v>
      </c>
      <c r="I3756" s="445">
        <f t="shared" si="919"/>
        <v>1460.5919999999999</v>
      </c>
      <c r="J3756" s="446">
        <v>1400</v>
      </c>
    </row>
    <row r="3757" spans="1:10" x14ac:dyDescent="0.25">
      <c r="A3757" s="31" t="s">
        <v>715</v>
      </c>
      <c r="B3757" s="448" t="s">
        <v>324</v>
      </c>
      <c r="C3757" s="444" t="s">
        <v>443</v>
      </c>
      <c r="D3757" s="444" t="s">
        <v>38</v>
      </c>
      <c r="E3757" s="444" t="s">
        <v>79</v>
      </c>
      <c r="F3757" s="37">
        <v>3.52</v>
      </c>
      <c r="G3757" s="443">
        <f t="shared" si="918"/>
        <v>22.175999999999998</v>
      </c>
      <c r="H3757" s="443">
        <v>24</v>
      </c>
      <c r="I3757" s="445">
        <f t="shared" si="919"/>
        <v>532.22399999999993</v>
      </c>
      <c r="J3757" s="446">
        <v>500</v>
      </c>
    </row>
    <row r="3758" spans="1:10" x14ac:dyDescent="0.25">
      <c r="A3758" s="31" t="s">
        <v>715</v>
      </c>
      <c r="B3758" s="449" t="s">
        <v>317</v>
      </c>
      <c r="C3758" s="450" t="s">
        <v>156</v>
      </c>
      <c r="D3758" s="42">
        <v>51.45</v>
      </c>
      <c r="E3758" s="450" t="s">
        <v>79</v>
      </c>
      <c r="F3758" s="43">
        <v>10.59</v>
      </c>
      <c r="G3758" s="443">
        <f t="shared" si="918"/>
        <v>66.716999999999999</v>
      </c>
      <c r="H3758" s="443">
        <v>24</v>
      </c>
      <c r="I3758" s="445">
        <f t="shared" si="919"/>
        <v>1601.2080000000001</v>
      </c>
      <c r="J3758" s="446">
        <v>1600</v>
      </c>
    </row>
    <row r="3759" spans="1:10" x14ac:dyDescent="0.25">
      <c r="A3759" s="31" t="s">
        <v>715</v>
      </c>
      <c r="B3759" s="443" t="s">
        <v>325</v>
      </c>
      <c r="C3759" s="444" t="s">
        <v>158</v>
      </c>
      <c r="D3759" s="452">
        <v>36.090000000000003</v>
      </c>
      <c r="E3759" s="444" t="s">
        <v>79</v>
      </c>
      <c r="F3759" s="43">
        <v>7.31</v>
      </c>
      <c r="G3759" s="443">
        <f t="shared" si="918"/>
        <v>46.052999999999997</v>
      </c>
      <c r="H3759" s="443">
        <v>24</v>
      </c>
      <c r="I3759" s="445">
        <f t="shared" si="919"/>
        <v>1105.2719999999999</v>
      </c>
      <c r="J3759" s="446">
        <v>1000</v>
      </c>
    </row>
    <row r="3760" spans="1:10" ht="15.75" thickBot="1" x14ac:dyDescent="0.3">
      <c r="A3760" s="31" t="s">
        <v>715</v>
      </c>
      <c r="B3760" s="451" t="s">
        <v>326</v>
      </c>
      <c r="C3760" s="453" t="s">
        <v>152</v>
      </c>
      <c r="D3760" s="454">
        <v>7.37</v>
      </c>
      <c r="E3760" s="450" t="s">
        <v>79</v>
      </c>
      <c r="F3760" s="73">
        <v>9.26</v>
      </c>
      <c r="G3760" s="451">
        <f t="shared" si="918"/>
        <v>58.337999999999994</v>
      </c>
      <c r="H3760" s="451">
        <v>24</v>
      </c>
      <c r="I3760" s="456">
        <f t="shared" si="919"/>
        <v>1400.1119999999999</v>
      </c>
      <c r="J3760" s="457">
        <v>1300</v>
      </c>
    </row>
    <row r="3761" spans="1:10" ht="19.5" thickBot="1" x14ac:dyDescent="0.35">
      <c r="A3761" s="206"/>
      <c r="B3761" s="458"/>
      <c r="C3761" s="458"/>
      <c r="D3761" s="458"/>
      <c r="E3761" s="458"/>
      <c r="F3761" s="458"/>
      <c r="G3761" s="459"/>
      <c r="H3761" s="460" t="s">
        <v>171</v>
      </c>
      <c r="I3761" s="461">
        <f>SUM(I3755:I3760)</f>
        <v>7053.48</v>
      </c>
      <c r="J3761" s="462">
        <v>6700</v>
      </c>
    </row>
    <row r="3762" spans="1:10" x14ac:dyDescent="0.25">
      <c r="A3762" s="31" t="s">
        <v>716</v>
      </c>
      <c r="B3762" s="443" t="s">
        <v>322</v>
      </c>
      <c r="C3762" s="444" t="s">
        <v>114</v>
      </c>
      <c r="D3762" s="444">
        <v>27.11</v>
      </c>
      <c r="E3762" s="444" t="s">
        <v>79</v>
      </c>
      <c r="F3762" s="109">
        <v>6.35</v>
      </c>
      <c r="G3762" s="443">
        <f t="shared" ref="G3762:G3767" si="920">F3762*6.3</f>
        <v>40.004999999999995</v>
      </c>
      <c r="H3762" s="443">
        <v>24</v>
      </c>
      <c r="I3762" s="445">
        <f t="shared" ref="I3762:I3767" si="921">G3762*H3762</f>
        <v>960.11999999999989</v>
      </c>
      <c r="J3762" s="446">
        <v>900</v>
      </c>
    </row>
    <row r="3763" spans="1:10" x14ac:dyDescent="0.25">
      <c r="A3763" s="31" t="s">
        <v>716</v>
      </c>
      <c r="B3763" s="443" t="s">
        <v>323</v>
      </c>
      <c r="C3763" s="444" t="s">
        <v>86</v>
      </c>
      <c r="D3763" s="444">
        <v>0.03</v>
      </c>
      <c r="E3763" s="444" t="s">
        <v>79</v>
      </c>
      <c r="F3763" s="38">
        <v>9.67</v>
      </c>
      <c r="G3763" s="443">
        <f t="shared" si="920"/>
        <v>60.920999999999999</v>
      </c>
      <c r="H3763" s="443">
        <v>24</v>
      </c>
      <c r="I3763" s="445">
        <f t="shared" si="921"/>
        <v>1462.104</v>
      </c>
      <c r="J3763" s="446">
        <v>1400</v>
      </c>
    </row>
    <row r="3764" spans="1:10" x14ac:dyDescent="0.25">
      <c r="A3764" s="31" t="s">
        <v>716</v>
      </c>
      <c r="B3764" s="448" t="s">
        <v>324</v>
      </c>
      <c r="C3764" s="444" t="s">
        <v>443</v>
      </c>
      <c r="D3764" s="444" t="s">
        <v>38</v>
      </c>
      <c r="E3764" s="444" t="s">
        <v>79</v>
      </c>
      <c r="F3764" s="37">
        <v>3.58</v>
      </c>
      <c r="G3764" s="443">
        <f t="shared" si="920"/>
        <v>22.553999999999998</v>
      </c>
      <c r="H3764" s="443">
        <v>24</v>
      </c>
      <c r="I3764" s="445">
        <f t="shared" si="921"/>
        <v>541.29599999999994</v>
      </c>
      <c r="J3764" s="446">
        <v>500</v>
      </c>
    </row>
    <row r="3765" spans="1:10" x14ac:dyDescent="0.25">
      <c r="A3765" s="31" t="s">
        <v>716</v>
      </c>
      <c r="B3765" s="449" t="s">
        <v>317</v>
      </c>
      <c r="C3765" s="450" t="s">
        <v>156</v>
      </c>
      <c r="D3765" s="42">
        <v>53.28</v>
      </c>
      <c r="E3765" s="450" t="s">
        <v>79</v>
      </c>
      <c r="F3765" s="43">
        <v>10.68</v>
      </c>
      <c r="G3765" s="443">
        <f t="shared" si="920"/>
        <v>67.283999999999992</v>
      </c>
      <c r="H3765" s="443">
        <v>24</v>
      </c>
      <c r="I3765" s="445">
        <f t="shared" si="921"/>
        <v>1614.8159999999998</v>
      </c>
      <c r="J3765" s="446">
        <v>1600</v>
      </c>
    </row>
    <row r="3766" spans="1:10" x14ac:dyDescent="0.25">
      <c r="A3766" s="31" t="s">
        <v>716</v>
      </c>
      <c r="B3766" s="443" t="s">
        <v>325</v>
      </c>
      <c r="C3766" s="444" t="s">
        <v>158</v>
      </c>
      <c r="D3766" s="452">
        <v>38.29</v>
      </c>
      <c r="E3766" s="444" t="s">
        <v>79</v>
      </c>
      <c r="F3766" s="43">
        <v>7.35</v>
      </c>
      <c r="G3766" s="443">
        <f t="shared" si="920"/>
        <v>46.305</v>
      </c>
      <c r="H3766" s="443">
        <v>24</v>
      </c>
      <c r="I3766" s="445">
        <f t="shared" si="921"/>
        <v>1111.32</v>
      </c>
      <c r="J3766" s="446">
        <v>1000</v>
      </c>
    </row>
    <row r="3767" spans="1:10" ht="15.75" thickBot="1" x14ac:dyDescent="0.3">
      <c r="A3767" s="31" t="s">
        <v>716</v>
      </c>
      <c r="B3767" s="451" t="s">
        <v>326</v>
      </c>
      <c r="C3767" s="453" t="s">
        <v>152</v>
      </c>
      <c r="D3767" s="454">
        <v>8.24</v>
      </c>
      <c r="E3767" s="450" t="s">
        <v>79</v>
      </c>
      <c r="F3767" s="73">
        <v>9.35</v>
      </c>
      <c r="G3767" s="451">
        <f t="shared" si="920"/>
        <v>58.904999999999994</v>
      </c>
      <c r="H3767" s="451">
        <v>24</v>
      </c>
      <c r="I3767" s="456">
        <f t="shared" si="921"/>
        <v>1413.7199999999998</v>
      </c>
      <c r="J3767" s="457">
        <v>1300</v>
      </c>
    </row>
    <row r="3768" spans="1:10" ht="19.5" thickBot="1" x14ac:dyDescent="0.35">
      <c r="A3768" s="206"/>
      <c r="B3768" s="458"/>
      <c r="C3768" s="458"/>
      <c r="D3768" s="458"/>
      <c r="E3768" s="458"/>
      <c r="F3768" s="458"/>
      <c r="G3768" s="459"/>
      <c r="H3768" s="460" t="s">
        <v>171</v>
      </c>
      <c r="I3768" s="461">
        <f>SUM(I3762:I3767)</f>
        <v>7103.3759999999984</v>
      </c>
      <c r="J3768" s="462">
        <v>6700</v>
      </c>
    </row>
    <row r="3769" spans="1:10" x14ac:dyDescent="0.25">
      <c r="A3769" s="31" t="s">
        <v>718</v>
      </c>
      <c r="B3769" s="443" t="s">
        <v>322</v>
      </c>
      <c r="C3769" s="444" t="s">
        <v>114</v>
      </c>
      <c r="D3769" s="444">
        <v>28.77</v>
      </c>
      <c r="E3769" s="444" t="s">
        <v>79</v>
      </c>
      <c r="F3769" s="109">
        <v>6.35</v>
      </c>
      <c r="G3769" s="443">
        <f t="shared" ref="G3769:G3774" si="922">F3769*6.3</f>
        <v>40.004999999999995</v>
      </c>
      <c r="H3769" s="443">
        <v>24</v>
      </c>
      <c r="I3769" s="445">
        <f t="shared" ref="I3769:I3774" si="923">G3769*H3769</f>
        <v>960.11999999999989</v>
      </c>
      <c r="J3769" s="446">
        <v>900</v>
      </c>
    </row>
    <row r="3770" spans="1:10" x14ac:dyDescent="0.25">
      <c r="A3770" s="31" t="s">
        <v>718</v>
      </c>
      <c r="B3770" s="443" t="s">
        <v>323</v>
      </c>
      <c r="C3770" s="444" t="s">
        <v>86</v>
      </c>
      <c r="D3770" s="444">
        <v>0.03</v>
      </c>
      <c r="E3770" s="444" t="s">
        <v>79</v>
      </c>
      <c r="F3770" s="38">
        <v>9.6999999999999993</v>
      </c>
      <c r="G3770" s="443">
        <f t="shared" si="922"/>
        <v>61.109999999999992</v>
      </c>
      <c r="H3770" s="443">
        <v>24</v>
      </c>
      <c r="I3770" s="445">
        <f t="shared" si="923"/>
        <v>1466.6399999999999</v>
      </c>
      <c r="J3770" s="446">
        <v>1400</v>
      </c>
    </row>
    <row r="3771" spans="1:10" x14ac:dyDescent="0.25">
      <c r="A3771" s="31" t="s">
        <v>718</v>
      </c>
      <c r="B3771" s="448" t="s">
        <v>324</v>
      </c>
      <c r="C3771" s="444" t="s">
        <v>443</v>
      </c>
      <c r="D3771" s="444" t="s">
        <v>38</v>
      </c>
      <c r="E3771" s="444" t="s">
        <v>79</v>
      </c>
      <c r="F3771" s="37">
        <v>3.6</v>
      </c>
      <c r="G3771" s="443">
        <f t="shared" si="922"/>
        <v>22.68</v>
      </c>
      <c r="H3771" s="443">
        <v>24</v>
      </c>
      <c r="I3771" s="445">
        <f t="shared" si="923"/>
        <v>544.31999999999994</v>
      </c>
      <c r="J3771" s="446">
        <v>500</v>
      </c>
    </row>
    <row r="3772" spans="1:10" x14ac:dyDescent="0.25">
      <c r="A3772" s="31" t="s">
        <v>718</v>
      </c>
      <c r="B3772" s="449" t="s">
        <v>317</v>
      </c>
      <c r="C3772" s="450" t="s">
        <v>156</v>
      </c>
      <c r="D3772" s="42">
        <v>53.19</v>
      </c>
      <c r="E3772" s="450" t="s">
        <v>79</v>
      </c>
      <c r="F3772" s="43">
        <v>10.71</v>
      </c>
      <c r="G3772" s="443">
        <f t="shared" si="922"/>
        <v>67.472999999999999</v>
      </c>
      <c r="H3772" s="443">
        <v>24</v>
      </c>
      <c r="I3772" s="445">
        <f t="shared" si="923"/>
        <v>1619.3519999999999</v>
      </c>
      <c r="J3772" s="446">
        <v>1600</v>
      </c>
    </row>
    <row r="3773" spans="1:10" x14ac:dyDescent="0.25">
      <c r="A3773" s="31" t="s">
        <v>718</v>
      </c>
      <c r="B3773" s="443" t="s">
        <v>325</v>
      </c>
      <c r="C3773" s="444" t="s">
        <v>158</v>
      </c>
      <c r="D3773" s="452">
        <v>37.93</v>
      </c>
      <c r="E3773" s="444" t="s">
        <v>79</v>
      </c>
      <c r="F3773" s="43">
        <v>7.4</v>
      </c>
      <c r="G3773" s="443">
        <f t="shared" si="922"/>
        <v>46.62</v>
      </c>
      <c r="H3773" s="443">
        <v>24</v>
      </c>
      <c r="I3773" s="445">
        <f t="shared" si="923"/>
        <v>1118.8799999999999</v>
      </c>
      <c r="J3773" s="446">
        <v>1000</v>
      </c>
    </row>
    <row r="3774" spans="1:10" ht="15.75" thickBot="1" x14ac:dyDescent="0.3">
      <c r="A3774" s="31" t="s">
        <v>718</v>
      </c>
      <c r="B3774" s="451" t="s">
        <v>326</v>
      </c>
      <c r="C3774" s="453" t="s">
        <v>152</v>
      </c>
      <c r="D3774" s="454">
        <v>9.39</v>
      </c>
      <c r="E3774" s="450" t="s">
        <v>79</v>
      </c>
      <c r="F3774" s="73">
        <v>9.32</v>
      </c>
      <c r="G3774" s="451">
        <f t="shared" si="922"/>
        <v>58.716000000000001</v>
      </c>
      <c r="H3774" s="451">
        <v>24</v>
      </c>
      <c r="I3774" s="456">
        <f t="shared" si="923"/>
        <v>1409.184</v>
      </c>
      <c r="J3774" s="457">
        <v>1300</v>
      </c>
    </row>
    <row r="3775" spans="1:10" ht="19.5" thickBot="1" x14ac:dyDescent="0.35">
      <c r="A3775" s="206"/>
      <c r="B3775" s="458"/>
      <c r="C3775" s="458"/>
      <c r="D3775" s="458"/>
      <c r="E3775" s="458"/>
      <c r="F3775" s="458"/>
      <c r="G3775" s="459"/>
      <c r="H3775" s="460" t="s">
        <v>171</v>
      </c>
      <c r="I3775" s="461">
        <f>SUM(I3769:I3774)</f>
        <v>7118.4960000000001</v>
      </c>
      <c r="J3775" s="462">
        <v>6700</v>
      </c>
    </row>
    <row r="3776" spans="1:10" x14ac:dyDescent="0.25">
      <c r="A3776" s="31" t="s">
        <v>720</v>
      </c>
      <c r="B3776" s="443" t="s">
        <v>322</v>
      </c>
      <c r="C3776" s="444" t="s">
        <v>114</v>
      </c>
      <c r="D3776" s="444">
        <v>28.77</v>
      </c>
      <c r="E3776" s="444" t="s">
        <v>79</v>
      </c>
      <c r="F3776" s="109">
        <v>6.35</v>
      </c>
      <c r="G3776" s="443">
        <f t="shared" ref="G3776:G3781" si="924">F3776*6.3</f>
        <v>40.004999999999995</v>
      </c>
      <c r="H3776" s="443">
        <v>24</v>
      </c>
      <c r="I3776" s="445">
        <f t="shared" ref="I3776:I3781" si="925">G3776*H3776</f>
        <v>960.11999999999989</v>
      </c>
      <c r="J3776" s="446">
        <v>900</v>
      </c>
    </row>
    <row r="3777" spans="1:10" x14ac:dyDescent="0.25">
      <c r="A3777" s="31" t="s">
        <v>720</v>
      </c>
      <c r="B3777" s="443" t="s">
        <v>323</v>
      </c>
      <c r="C3777" s="444" t="s">
        <v>86</v>
      </c>
      <c r="D3777" s="444">
        <v>0.03</v>
      </c>
      <c r="E3777" s="444" t="s">
        <v>79</v>
      </c>
      <c r="F3777" s="38">
        <v>9.6999999999999993</v>
      </c>
      <c r="G3777" s="443">
        <f t="shared" si="924"/>
        <v>61.109999999999992</v>
      </c>
      <c r="H3777" s="443">
        <v>24</v>
      </c>
      <c r="I3777" s="445">
        <f t="shared" si="925"/>
        <v>1466.6399999999999</v>
      </c>
      <c r="J3777" s="446">
        <v>1400</v>
      </c>
    </row>
    <row r="3778" spans="1:10" x14ac:dyDescent="0.25">
      <c r="A3778" s="31" t="s">
        <v>720</v>
      </c>
      <c r="B3778" s="448" t="s">
        <v>324</v>
      </c>
      <c r="C3778" s="444" t="s">
        <v>443</v>
      </c>
      <c r="D3778" s="444" t="s">
        <v>38</v>
      </c>
      <c r="E3778" s="444" t="s">
        <v>79</v>
      </c>
      <c r="F3778" s="37">
        <v>3.6</v>
      </c>
      <c r="G3778" s="443">
        <f t="shared" si="924"/>
        <v>22.68</v>
      </c>
      <c r="H3778" s="443">
        <v>24</v>
      </c>
      <c r="I3778" s="445">
        <f t="shared" si="925"/>
        <v>544.31999999999994</v>
      </c>
      <c r="J3778" s="446">
        <v>500</v>
      </c>
    </row>
    <row r="3779" spans="1:10" x14ac:dyDescent="0.25">
      <c r="A3779" s="31" t="s">
        <v>720</v>
      </c>
      <c r="B3779" s="449" t="s">
        <v>317</v>
      </c>
      <c r="C3779" s="450" t="s">
        <v>156</v>
      </c>
      <c r="D3779" s="42">
        <v>53.19</v>
      </c>
      <c r="E3779" s="450" t="s">
        <v>79</v>
      </c>
      <c r="F3779" s="43">
        <v>10.71</v>
      </c>
      <c r="G3779" s="443">
        <f t="shared" si="924"/>
        <v>67.472999999999999</v>
      </c>
      <c r="H3779" s="443">
        <v>24</v>
      </c>
      <c r="I3779" s="445">
        <f t="shared" si="925"/>
        <v>1619.3519999999999</v>
      </c>
      <c r="J3779" s="446">
        <v>1600</v>
      </c>
    </row>
    <row r="3780" spans="1:10" x14ac:dyDescent="0.25">
      <c r="A3780" s="31" t="s">
        <v>720</v>
      </c>
      <c r="B3780" s="443" t="s">
        <v>325</v>
      </c>
      <c r="C3780" s="444" t="s">
        <v>158</v>
      </c>
      <c r="D3780" s="452">
        <v>37.93</v>
      </c>
      <c r="E3780" s="444" t="s">
        <v>79</v>
      </c>
      <c r="F3780" s="43">
        <v>7.4</v>
      </c>
      <c r="G3780" s="443">
        <f t="shared" si="924"/>
        <v>46.62</v>
      </c>
      <c r="H3780" s="443">
        <v>24</v>
      </c>
      <c r="I3780" s="445">
        <f t="shared" si="925"/>
        <v>1118.8799999999999</v>
      </c>
      <c r="J3780" s="446">
        <v>1000</v>
      </c>
    </row>
    <row r="3781" spans="1:10" ht="15.75" thickBot="1" x14ac:dyDescent="0.3">
      <c r="A3781" s="31" t="s">
        <v>720</v>
      </c>
      <c r="B3781" s="451" t="s">
        <v>326</v>
      </c>
      <c r="C3781" s="453" t="s">
        <v>152</v>
      </c>
      <c r="D3781" s="454">
        <v>9.39</v>
      </c>
      <c r="E3781" s="450" t="s">
        <v>79</v>
      </c>
      <c r="F3781" s="73">
        <v>9.32</v>
      </c>
      <c r="G3781" s="451">
        <f t="shared" si="924"/>
        <v>58.716000000000001</v>
      </c>
      <c r="H3781" s="451">
        <v>24</v>
      </c>
      <c r="I3781" s="456">
        <f t="shared" si="925"/>
        <v>1409.184</v>
      </c>
      <c r="J3781" s="457">
        <v>1300</v>
      </c>
    </row>
    <row r="3782" spans="1:10" ht="19.5" thickBot="1" x14ac:dyDescent="0.35">
      <c r="A3782" s="206"/>
      <c r="B3782" s="458"/>
      <c r="C3782" s="458"/>
      <c r="D3782" s="458"/>
      <c r="E3782" s="458"/>
      <c r="F3782" s="458"/>
      <c r="G3782" s="459"/>
      <c r="H3782" s="460" t="s">
        <v>171</v>
      </c>
      <c r="I3782" s="461">
        <f>SUM(I3776:I3781)</f>
        <v>7118.4960000000001</v>
      </c>
      <c r="J3782" s="462">
        <v>6700</v>
      </c>
    </row>
    <row r="3783" spans="1:10" x14ac:dyDescent="0.25">
      <c r="A3783" s="31" t="s">
        <v>721</v>
      </c>
      <c r="B3783" s="525" t="s">
        <v>322</v>
      </c>
      <c r="C3783" s="448" t="s">
        <v>114</v>
      </c>
      <c r="D3783" s="448">
        <v>31.77</v>
      </c>
      <c r="E3783" s="448" t="s">
        <v>79</v>
      </c>
      <c r="F3783" s="153">
        <v>6.27</v>
      </c>
      <c r="G3783" s="525">
        <f t="shared" ref="G3783:G3788" si="926">F3783*6.3</f>
        <v>39.500999999999998</v>
      </c>
      <c r="H3783" s="525">
        <v>24</v>
      </c>
      <c r="I3783" s="526">
        <f t="shared" ref="I3783:I3788" si="927">G3783*H3783</f>
        <v>948.02399999999989</v>
      </c>
      <c r="J3783" s="527">
        <v>900</v>
      </c>
    </row>
    <row r="3784" spans="1:10" x14ac:dyDescent="0.25">
      <c r="A3784" s="31" t="s">
        <v>721</v>
      </c>
      <c r="B3784" s="443" t="s">
        <v>323</v>
      </c>
      <c r="C3784" s="444" t="s">
        <v>86</v>
      </c>
      <c r="D3784" s="444">
        <v>0.03</v>
      </c>
      <c r="E3784" s="444" t="s">
        <v>79</v>
      </c>
      <c r="F3784" s="38">
        <v>9.7200000000000006</v>
      </c>
      <c r="G3784" s="443">
        <f t="shared" si="926"/>
        <v>61.236000000000004</v>
      </c>
      <c r="H3784" s="443">
        <v>24</v>
      </c>
      <c r="I3784" s="445">
        <f t="shared" si="927"/>
        <v>1469.6640000000002</v>
      </c>
      <c r="J3784" s="446">
        <v>1400</v>
      </c>
    </row>
    <row r="3785" spans="1:10" x14ac:dyDescent="0.25">
      <c r="A3785" s="31" t="s">
        <v>721</v>
      </c>
      <c r="B3785" s="448" t="s">
        <v>324</v>
      </c>
      <c r="C3785" s="444" t="s">
        <v>443</v>
      </c>
      <c r="D3785" s="444" t="s">
        <v>38</v>
      </c>
      <c r="E3785" s="444" t="s">
        <v>79</v>
      </c>
      <c r="F3785" s="37">
        <v>3.6</v>
      </c>
      <c r="G3785" s="443">
        <f t="shared" si="926"/>
        <v>22.68</v>
      </c>
      <c r="H3785" s="443">
        <v>24</v>
      </c>
      <c r="I3785" s="445">
        <f t="shared" si="927"/>
        <v>544.31999999999994</v>
      </c>
      <c r="J3785" s="446">
        <v>500</v>
      </c>
    </row>
    <row r="3786" spans="1:10" x14ac:dyDescent="0.25">
      <c r="A3786" s="31" t="s">
        <v>721</v>
      </c>
      <c r="B3786" s="449" t="s">
        <v>317</v>
      </c>
      <c r="C3786" s="450" t="s">
        <v>156</v>
      </c>
      <c r="D3786" s="42">
        <v>53.16</v>
      </c>
      <c r="E3786" s="450" t="s">
        <v>79</v>
      </c>
      <c r="F3786" s="43">
        <v>10.72</v>
      </c>
      <c r="G3786" s="443">
        <f t="shared" si="926"/>
        <v>67.536000000000001</v>
      </c>
      <c r="H3786" s="443">
        <v>24</v>
      </c>
      <c r="I3786" s="445">
        <f t="shared" si="927"/>
        <v>1620.864</v>
      </c>
      <c r="J3786" s="446">
        <v>1600</v>
      </c>
    </row>
    <row r="3787" spans="1:10" x14ac:dyDescent="0.25">
      <c r="A3787" s="31" t="s">
        <v>721</v>
      </c>
      <c r="B3787" s="443" t="s">
        <v>325</v>
      </c>
      <c r="C3787" s="444" t="s">
        <v>158</v>
      </c>
      <c r="D3787" s="452">
        <v>37.700000000000003</v>
      </c>
      <c r="E3787" s="444" t="s">
        <v>79</v>
      </c>
      <c r="F3787" s="43">
        <v>7.4</v>
      </c>
      <c r="G3787" s="443">
        <f t="shared" si="926"/>
        <v>46.62</v>
      </c>
      <c r="H3787" s="443">
        <v>24</v>
      </c>
      <c r="I3787" s="445">
        <f t="shared" si="927"/>
        <v>1118.8799999999999</v>
      </c>
      <c r="J3787" s="446">
        <v>1000</v>
      </c>
    </row>
    <row r="3788" spans="1:10" ht="15.75" thickBot="1" x14ac:dyDescent="0.3">
      <c r="A3788" s="31" t="s">
        <v>721</v>
      </c>
      <c r="B3788" s="451" t="s">
        <v>326</v>
      </c>
      <c r="C3788" s="453" t="s">
        <v>152</v>
      </c>
      <c r="D3788" s="454">
        <v>9.34</v>
      </c>
      <c r="E3788" s="450" t="s">
        <v>79</v>
      </c>
      <c r="F3788" s="73">
        <v>9.27</v>
      </c>
      <c r="G3788" s="451">
        <f t="shared" si="926"/>
        <v>58.400999999999996</v>
      </c>
      <c r="H3788" s="451">
        <v>24</v>
      </c>
      <c r="I3788" s="456">
        <f t="shared" si="927"/>
        <v>1401.6239999999998</v>
      </c>
      <c r="J3788" s="457">
        <v>1300</v>
      </c>
    </row>
    <row r="3789" spans="1:10" ht="19.5" thickBot="1" x14ac:dyDescent="0.35">
      <c r="A3789" s="206"/>
      <c r="B3789" s="458"/>
      <c r="C3789" s="458"/>
      <c r="D3789" s="458"/>
      <c r="E3789" s="458"/>
      <c r="F3789" s="458"/>
      <c r="G3789" s="459"/>
      <c r="H3789" s="460" t="s">
        <v>171</v>
      </c>
      <c r="I3789" s="461">
        <f>SUM(I3783:I3788)</f>
        <v>7103.3759999999993</v>
      </c>
      <c r="J3789" s="462">
        <v>6700</v>
      </c>
    </row>
    <row r="3790" spans="1:10" x14ac:dyDescent="0.25">
      <c r="A3790" s="31" t="s">
        <v>722</v>
      </c>
      <c r="B3790" s="443" t="s">
        <v>322</v>
      </c>
      <c r="C3790" s="444" t="s">
        <v>114</v>
      </c>
      <c r="D3790" s="444">
        <v>30.48</v>
      </c>
      <c r="E3790" s="444" t="s">
        <v>79</v>
      </c>
      <c r="F3790" s="109">
        <v>6.3</v>
      </c>
      <c r="G3790" s="443">
        <f t="shared" ref="G3790:G3795" si="928">F3790*6.3</f>
        <v>39.69</v>
      </c>
      <c r="H3790" s="443">
        <v>24</v>
      </c>
      <c r="I3790" s="445">
        <f t="shared" ref="I3790:I3795" si="929">G3790*H3790</f>
        <v>952.56</v>
      </c>
      <c r="J3790" s="446">
        <v>900</v>
      </c>
    </row>
    <row r="3791" spans="1:10" x14ac:dyDescent="0.25">
      <c r="A3791" s="31" t="s">
        <v>722</v>
      </c>
      <c r="B3791" s="443" t="s">
        <v>323</v>
      </c>
      <c r="C3791" s="444" t="s">
        <v>86</v>
      </c>
      <c r="D3791" s="444">
        <v>0.03</v>
      </c>
      <c r="E3791" s="444" t="s">
        <v>79</v>
      </c>
      <c r="F3791" s="38">
        <v>9.73</v>
      </c>
      <c r="G3791" s="443">
        <f t="shared" si="928"/>
        <v>61.298999999999999</v>
      </c>
      <c r="H3791" s="443">
        <v>24</v>
      </c>
      <c r="I3791" s="445">
        <f t="shared" si="929"/>
        <v>1471.1759999999999</v>
      </c>
      <c r="J3791" s="446">
        <v>1400</v>
      </c>
    </row>
    <row r="3792" spans="1:10" x14ac:dyDescent="0.25">
      <c r="A3792" s="31" t="s">
        <v>722</v>
      </c>
      <c r="B3792" s="448" t="s">
        <v>324</v>
      </c>
      <c r="C3792" s="444" t="s">
        <v>443</v>
      </c>
      <c r="D3792" s="444" t="s">
        <v>38</v>
      </c>
      <c r="E3792" s="444" t="s">
        <v>79</v>
      </c>
      <c r="F3792" s="37">
        <v>3.6</v>
      </c>
      <c r="G3792" s="443">
        <f t="shared" si="928"/>
        <v>22.68</v>
      </c>
      <c r="H3792" s="443">
        <v>24</v>
      </c>
      <c r="I3792" s="445">
        <f t="shared" si="929"/>
        <v>544.31999999999994</v>
      </c>
      <c r="J3792" s="446">
        <v>500</v>
      </c>
    </row>
    <row r="3793" spans="1:10" x14ac:dyDescent="0.25">
      <c r="A3793" s="31" t="s">
        <v>722</v>
      </c>
      <c r="B3793" s="449" t="s">
        <v>317</v>
      </c>
      <c r="C3793" s="450" t="s">
        <v>156</v>
      </c>
      <c r="D3793" s="42">
        <v>53.48</v>
      </c>
      <c r="E3793" s="450" t="s">
        <v>79</v>
      </c>
      <c r="F3793" s="43">
        <v>10.75</v>
      </c>
      <c r="G3793" s="443">
        <f t="shared" si="928"/>
        <v>67.724999999999994</v>
      </c>
      <c r="H3793" s="443">
        <v>24</v>
      </c>
      <c r="I3793" s="445">
        <f t="shared" si="929"/>
        <v>1625.3999999999999</v>
      </c>
      <c r="J3793" s="446">
        <v>1600</v>
      </c>
    </row>
    <row r="3794" spans="1:10" x14ac:dyDescent="0.25">
      <c r="A3794" s="31" t="s">
        <v>722</v>
      </c>
      <c r="B3794" s="443" t="s">
        <v>325</v>
      </c>
      <c r="C3794" s="444" t="s">
        <v>158</v>
      </c>
      <c r="D3794" s="452">
        <v>37.93</v>
      </c>
      <c r="E3794" s="444" t="s">
        <v>79</v>
      </c>
      <c r="F3794" s="43">
        <v>7.34</v>
      </c>
      <c r="G3794" s="443">
        <f t="shared" si="928"/>
        <v>46.241999999999997</v>
      </c>
      <c r="H3794" s="443">
        <v>24</v>
      </c>
      <c r="I3794" s="445">
        <f t="shared" si="929"/>
        <v>1109.808</v>
      </c>
      <c r="J3794" s="446">
        <v>1000</v>
      </c>
    </row>
    <row r="3795" spans="1:10" ht="15.75" thickBot="1" x14ac:dyDescent="0.3">
      <c r="A3795" s="31" t="s">
        <v>722</v>
      </c>
      <c r="B3795" s="451" t="s">
        <v>326</v>
      </c>
      <c r="C3795" s="453" t="s">
        <v>152</v>
      </c>
      <c r="D3795" s="454">
        <v>9.34</v>
      </c>
      <c r="E3795" s="450" t="s">
        <v>79</v>
      </c>
      <c r="F3795" s="73">
        <v>9.3000000000000007</v>
      </c>
      <c r="G3795" s="451">
        <f t="shared" si="928"/>
        <v>58.59</v>
      </c>
      <c r="H3795" s="451">
        <v>24</v>
      </c>
      <c r="I3795" s="456">
        <f t="shared" si="929"/>
        <v>1406.16</v>
      </c>
      <c r="J3795" s="457">
        <v>1300</v>
      </c>
    </row>
    <row r="3796" spans="1:10" ht="19.5" thickBot="1" x14ac:dyDescent="0.35">
      <c r="A3796" s="206"/>
      <c r="B3796" s="458"/>
      <c r="C3796" s="458"/>
      <c r="D3796" s="458"/>
      <c r="E3796" s="458"/>
      <c r="F3796" s="458"/>
      <c r="G3796" s="459"/>
      <c r="H3796" s="460" t="s">
        <v>171</v>
      </c>
      <c r="I3796" s="461">
        <f>SUM(I3790:I3795)</f>
        <v>7109.4239999999991</v>
      </c>
      <c r="J3796" s="462">
        <v>6700</v>
      </c>
    </row>
    <row r="3797" spans="1:10" x14ac:dyDescent="0.25">
      <c r="A3797" s="31" t="s">
        <v>723</v>
      </c>
      <c r="B3797" s="443" t="s">
        <v>322</v>
      </c>
      <c r="C3797" s="444" t="s">
        <v>114</v>
      </c>
      <c r="D3797" s="444">
        <v>26.4</v>
      </c>
      <c r="E3797" s="444" t="s">
        <v>79</v>
      </c>
      <c r="F3797" s="109">
        <v>6.2</v>
      </c>
      <c r="G3797" s="443">
        <f t="shared" ref="G3797:G3802" si="930">F3797*6.3</f>
        <v>39.06</v>
      </c>
      <c r="H3797" s="443">
        <v>24</v>
      </c>
      <c r="I3797" s="445">
        <f t="shared" ref="I3797:I3802" si="931">G3797*H3797</f>
        <v>937.44</v>
      </c>
      <c r="J3797" s="446">
        <v>900</v>
      </c>
    </row>
    <row r="3798" spans="1:10" x14ac:dyDescent="0.25">
      <c r="A3798" s="31" t="s">
        <v>723</v>
      </c>
      <c r="B3798" s="443" t="s">
        <v>323</v>
      </c>
      <c r="C3798" s="444" t="s">
        <v>86</v>
      </c>
      <c r="D3798" s="444">
        <v>0.03</v>
      </c>
      <c r="E3798" s="444" t="s">
        <v>79</v>
      </c>
      <c r="F3798" s="38">
        <v>9.4</v>
      </c>
      <c r="G3798" s="443">
        <f t="shared" si="930"/>
        <v>59.22</v>
      </c>
      <c r="H3798" s="443">
        <v>24</v>
      </c>
      <c r="I3798" s="445">
        <f t="shared" si="931"/>
        <v>1421.28</v>
      </c>
      <c r="J3798" s="446">
        <v>1400</v>
      </c>
    </row>
    <row r="3799" spans="1:10" x14ac:dyDescent="0.25">
      <c r="A3799" s="31" t="s">
        <v>723</v>
      </c>
      <c r="B3799" s="448" t="s">
        <v>324</v>
      </c>
      <c r="C3799" s="444" t="s">
        <v>443</v>
      </c>
      <c r="D3799" s="444" t="s">
        <v>38</v>
      </c>
      <c r="E3799" s="444" t="s">
        <v>79</v>
      </c>
      <c r="F3799" s="37">
        <v>3.6</v>
      </c>
      <c r="G3799" s="443">
        <f t="shared" si="930"/>
        <v>22.68</v>
      </c>
      <c r="H3799" s="443">
        <v>24</v>
      </c>
      <c r="I3799" s="445">
        <f t="shared" si="931"/>
        <v>544.31999999999994</v>
      </c>
      <c r="J3799" s="446">
        <v>500</v>
      </c>
    </row>
    <row r="3800" spans="1:10" x14ac:dyDescent="0.25">
      <c r="A3800" s="31" t="s">
        <v>723</v>
      </c>
      <c r="B3800" s="449" t="s">
        <v>317</v>
      </c>
      <c r="C3800" s="450" t="s">
        <v>156</v>
      </c>
      <c r="D3800" s="42">
        <v>49.8</v>
      </c>
      <c r="E3800" s="450" t="s">
        <v>79</v>
      </c>
      <c r="F3800" s="43">
        <v>10.75</v>
      </c>
      <c r="G3800" s="443">
        <f t="shared" si="930"/>
        <v>67.724999999999994</v>
      </c>
      <c r="H3800" s="443">
        <v>24</v>
      </c>
      <c r="I3800" s="445">
        <f t="shared" si="931"/>
        <v>1625.3999999999999</v>
      </c>
      <c r="J3800" s="446">
        <v>1600</v>
      </c>
    </row>
    <row r="3801" spans="1:10" x14ac:dyDescent="0.25">
      <c r="A3801" s="31" t="s">
        <v>723</v>
      </c>
      <c r="B3801" s="443" t="s">
        <v>325</v>
      </c>
      <c r="C3801" s="444" t="s">
        <v>158</v>
      </c>
      <c r="D3801" s="452">
        <v>35</v>
      </c>
      <c r="E3801" s="444" t="s">
        <v>79</v>
      </c>
      <c r="F3801" s="43">
        <v>7.8</v>
      </c>
      <c r="G3801" s="443">
        <f t="shared" si="930"/>
        <v>49.14</v>
      </c>
      <c r="H3801" s="443">
        <v>24</v>
      </c>
      <c r="I3801" s="445">
        <f t="shared" si="931"/>
        <v>1179.3600000000001</v>
      </c>
      <c r="J3801" s="446">
        <v>1000</v>
      </c>
    </row>
    <row r="3802" spans="1:10" ht="15.75" thickBot="1" x14ac:dyDescent="0.3">
      <c r="A3802" s="31" t="s">
        <v>723</v>
      </c>
      <c r="B3802" s="451" t="s">
        <v>326</v>
      </c>
      <c r="C3802" s="453" t="s">
        <v>152</v>
      </c>
      <c r="D3802" s="454">
        <v>8.1999999999999993</v>
      </c>
      <c r="E3802" s="450" t="s">
        <v>79</v>
      </c>
      <c r="F3802" s="73">
        <v>9</v>
      </c>
      <c r="G3802" s="451">
        <f t="shared" si="930"/>
        <v>56.699999999999996</v>
      </c>
      <c r="H3802" s="443">
        <v>24</v>
      </c>
      <c r="I3802" s="456">
        <f t="shared" si="931"/>
        <v>1360.8</v>
      </c>
      <c r="J3802" s="457">
        <v>1300</v>
      </c>
    </row>
    <row r="3803" spans="1:10" ht="19.5" thickBot="1" x14ac:dyDescent="0.35">
      <c r="A3803" s="206"/>
      <c r="B3803" s="458"/>
      <c r="C3803" s="458"/>
      <c r="D3803" s="458"/>
      <c r="E3803" s="458"/>
      <c r="F3803" s="458"/>
      <c r="G3803" s="459"/>
      <c r="H3803" s="460" t="s">
        <v>171</v>
      </c>
      <c r="I3803" s="461">
        <f>SUM(I3797:I3802)</f>
        <v>7068.5999999999995</v>
      </c>
      <c r="J3803" s="462">
        <v>6700</v>
      </c>
    </row>
    <row r="3804" spans="1:10" x14ac:dyDescent="0.25">
      <c r="A3804" s="31" t="s">
        <v>724</v>
      </c>
      <c r="B3804" s="443" t="s">
        <v>322</v>
      </c>
      <c r="C3804" s="444" t="s">
        <v>114</v>
      </c>
      <c r="D3804" s="444">
        <v>21</v>
      </c>
      <c r="E3804" s="444" t="s">
        <v>79</v>
      </c>
      <c r="F3804" s="109">
        <v>6.5</v>
      </c>
      <c r="G3804" s="443">
        <f t="shared" ref="G3804:G3809" si="932">F3804*6.3</f>
        <v>40.949999999999996</v>
      </c>
      <c r="H3804" s="443">
        <v>24</v>
      </c>
      <c r="I3804" s="445">
        <f t="shared" ref="I3804:I3809" si="933">G3804*H3804</f>
        <v>982.8</v>
      </c>
      <c r="J3804" s="446">
        <v>900</v>
      </c>
    </row>
    <row r="3805" spans="1:10" x14ac:dyDescent="0.25">
      <c r="A3805" s="31" t="s">
        <v>724</v>
      </c>
      <c r="B3805" s="443" t="s">
        <v>323</v>
      </c>
      <c r="C3805" s="444" t="s">
        <v>86</v>
      </c>
      <c r="D3805" s="444">
        <v>0.03</v>
      </c>
      <c r="E3805" s="444" t="s">
        <v>79</v>
      </c>
      <c r="F3805" s="38">
        <v>9.4</v>
      </c>
      <c r="G3805" s="443">
        <f t="shared" si="932"/>
        <v>59.22</v>
      </c>
      <c r="H3805" s="443">
        <v>24</v>
      </c>
      <c r="I3805" s="445">
        <f t="shared" si="933"/>
        <v>1421.28</v>
      </c>
      <c r="J3805" s="446">
        <v>1400</v>
      </c>
    </row>
    <row r="3806" spans="1:10" x14ac:dyDescent="0.25">
      <c r="A3806" s="31" t="s">
        <v>724</v>
      </c>
      <c r="B3806" s="448" t="s">
        <v>324</v>
      </c>
      <c r="C3806" s="444" t="s">
        <v>443</v>
      </c>
      <c r="D3806" s="444" t="s">
        <v>38</v>
      </c>
      <c r="E3806" s="444" t="s">
        <v>79</v>
      </c>
      <c r="F3806" s="37">
        <v>3.6</v>
      </c>
      <c r="G3806" s="443">
        <f t="shared" si="932"/>
        <v>22.68</v>
      </c>
      <c r="H3806" s="443">
        <v>24</v>
      </c>
      <c r="I3806" s="445">
        <f t="shared" si="933"/>
        <v>544.31999999999994</v>
      </c>
      <c r="J3806" s="446">
        <v>500</v>
      </c>
    </row>
    <row r="3807" spans="1:10" x14ac:dyDescent="0.25">
      <c r="A3807" s="31" t="s">
        <v>724</v>
      </c>
      <c r="B3807" s="449" t="s">
        <v>317</v>
      </c>
      <c r="C3807" s="450" t="s">
        <v>156</v>
      </c>
      <c r="D3807" s="42">
        <v>52</v>
      </c>
      <c r="E3807" s="450" t="s">
        <v>79</v>
      </c>
      <c r="F3807" s="43">
        <v>10.75</v>
      </c>
      <c r="G3807" s="443">
        <f t="shared" si="932"/>
        <v>67.724999999999994</v>
      </c>
      <c r="H3807" s="443">
        <v>24</v>
      </c>
      <c r="I3807" s="445">
        <f t="shared" si="933"/>
        <v>1625.3999999999999</v>
      </c>
      <c r="J3807" s="446">
        <v>1600</v>
      </c>
    </row>
    <row r="3808" spans="1:10" x14ac:dyDescent="0.25">
      <c r="A3808" s="31" t="s">
        <v>724</v>
      </c>
      <c r="B3808" s="443" t="s">
        <v>325</v>
      </c>
      <c r="C3808" s="444" t="s">
        <v>158</v>
      </c>
      <c r="D3808" s="452">
        <v>36.799999999999997</v>
      </c>
      <c r="E3808" s="444" t="s">
        <v>79</v>
      </c>
      <c r="F3808" s="43">
        <v>7.8</v>
      </c>
      <c r="G3808" s="443">
        <f t="shared" si="932"/>
        <v>49.14</v>
      </c>
      <c r="H3808" s="443">
        <v>24</v>
      </c>
      <c r="I3808" s="445">
        <f t="shared" si="933"/>
        <v>1179.3600000000001</v>
      </c>
      <c r="J3808" s="446">
        <v>1000</v>
      </c>
    </row>
    <row r="3809" spans="1:11" ht="15.75" thickBot="1" x14ac:dyDescent="0.3">
      <c r="A3809" s="31" t="s">
        <v>724</v>
      </c>
      <c r="B3809" s="451" t="s">
        <v>326</v>
      </c>
      <c r="C3809" s="453" t="s">
        <v>152</v>
      </c>
      <c r="D3809" s="454">
        <v>9.1999999999999993</v>
      </c>
      <c r="E3809" s="450" t="s">
        <v>79</v>
      </c>
      <c r="F3809" s="73">
        <v>9.1999999999999993</v>
      </c>
      <c r="G3809" s="451">
        <f t="shared" si="932"/>
        <v>57.959999999999994</v>
      </c>
      <c r="H3809" s="443">
        <v>24</v>
      </c>
      <c r="I3809" s="456">
        <f t="shared" si="933"/>
        <v>1391.04</v>
      </c>
      <c r="J3809" s="457">
        <v>1300</v>
      </c>
    </row>
    <row r="3810" spans="1:11" ht="19.5" thickBot="1" x14ac:dyDescent="0.35">
      <c r="A3810" s="206"/>
      <c r="B3810" s="458"/>
      <c r="C3810" s="458"/>
      <c r="D3810" s="458"/>
      <c r="E3810" s="458"/>
      <c r="F3810" s="458"/>
      <c r="G3810" s="459"/>
      <c r="H3810" s="460" t="s">
        <v>171</v>
      </c>
      <c r="I3810" s="461">
        <f>SUM(I3804:I3809)</f>
        <v>7144.2</v>
      </c>
      <c r="J3810" s="462">
        <v>6700</v>
      </c>
    </row>
    <row r="3811" spans="1:11" x14ac:dyDescent="0.25">
      <c r="A3811" s="31" t="s">
        <v>725</v>
      </c>
      <c r="B3811" s="443" t="s">
        <v>322</v>
      </c>
      <c r="C3811" s="444" t="s">
        <v>114</v>
      </c>
      <c r="D3811" s="444">
        <v>15</v>
      </c>
      <c r="E3811" s="444" t="s">
        <v>79</v>
      </c>
      <c r="F3811" s="109">
        <v>6.2</v>
      </c>
      <c r="G3811" s="443">
        <f t="shared" ref="G3811:G3816" si="934">F3811*6.3</f>
        <v>39.06</v>
      </c>
      <c r="H3811" s="443">
        <v>24</v>
      </c>
      <c r="I3811" s="445">
        <f t="shared" ref="I3811:I3816" si="935">G3811*H3811</f>
        <v>937.44</v>
      </c>
      <c r="J3811" s="446">
        <v>900</v>
      </c>
    </row>
    <row r="3812" spans="1:11" x14ac:dyDescent="0.25">
      <c r="A3812" s="31" t="s">
        <v>725</v>
      </c>
      <c r="B3812" s="443" t="s">
        <v>323</v>
      </c>
      <c r="C3812" s="444" t="s">
        <v>86</v>
      </c>
      <c r="D3812" s="444">
        <v>0.03</v>
      </c>
      <c r="E3812" s="444" t="s">
        <v>79</v>
      </c>
      <c r="F3812" s="38">
        <v>9.6</v>
      </c>
      <c r="G3812" s="443">
        <f t="shared" si="934"/>
        <v>60.48</v>
      </c>
      <c r="H3812" s="443">
        <v>24</v>
      </c>
      <c r="I3812" s="445">
        <f t="shared" si="935"/>
        <v>1451.52</v>
      </c>
      <c r="J3812" s="446">
        <v>1400</v>
      </c>
    </row>
    <row r="3813" spans="1:11" x14ac:dyDescent="0.25">
      <c r="A3813" s="31" t="s">
        <v>725</v>
      </c>
      <c r="B3813" s="448" t="s">
        <v>324</v>
      </c>
      <c r="C3813" s="444" t="s">
        <v>443</v>
      </c>
      <c r="D3813" s="444" t="s">
        <v>38</v>
      </c>
      <c r="E3813" s="444" t="s">
        <v>79</v>
      </c>
      <c r="F3813" s="37">
        <v>3.6</v>
      </c>
      <c r="G3813" s="443">
        <f t="shared" si="934"/>
        <v>22.68</v>
      </c>
      <c r="H3813" s="443">
        <v>24</v>
      </c>
      <c r="I3813" s="445">
        <f t="shared" si="935"/>
        <v>544.31999999999994</v>
      </c>
      <c r="J3813" s="446">
        <v>500</v>
      </c>
    </row>
    <row r="3814" spans="1:11" x14ac:dyDescent="0.25">
      <c r="A3814" s="31" t="s">
        <v>725</v>
      </c>
      <c r="B3814" s="449" t="s">
        <v>317</v>
      </c>
      <c r="C3814" s="450" t="s">
        <v>156</v>
      </c>
      <c r="D3814" s="42">
        <v>52</v>
      </c>
      <c r="E3814" s="450" t="s">
        <v>79</v>
      </c>
      <c r="F3814" s="43">
        <v>10.8</v>
      </c>
      <c r="G3814" s="443">
        <f t="shared" si="934"/>
        <v>68.040000000000006</v>
      </c>
      <c r="H3814" s="443">
        <v>24</v>
      </c>
      <c r="I3814" s="445">
        <f t="shared" si="935"/>
        <v>1632.96</v>
      </c>
      <c r="J3814" s="446">
        <v>1600</v>
      </c>
    </row>
    <row r="3815" spans="1:11" x14ac:dyDescent="0.25">
      <c r="A3815" s="31" t="s">
        <v>725</v>
      </c>
      <c r="B3815" s="443" t="s">
        <v>325</v>
      </c>
      <c r="C3815" s="444" t="s">
        <v>158</v>
      </c>
      <c r="D3815" s="452">
        <v>36.799999999999997</v>
      </c>
      <c r="E3815" s="444" t="s">
        <v>79</v>
      </c>
      <c r="F3815" s="43">
        <v>7.6</v>
      </c>
      <c r="G3815" s="443">
        <f t="shared" si="934"/>
        <v>47.879999999999995</v>
      </c>
      <c r="H3815" s="443">
        <v>24</v>
      </c>
      <c r="I3815" s="445">
        <f t="shared" si="935"/>
        <v>1149.1199999999999</v>
      </c>
      <c r="J3815" s="446">
        <v>1000</v>
      </c>
    </row>
    <row r="3816" spans="1:11" ht="15.75" thickBot="1" x14ac:dyDescent="0.3">
      <c r="A3816" s="31" t="s">
        <v>725</v>
      </c>
      <c r="B3816" s="451" t="s">
        <v>326</v>
      </c>
      <c r="C3816" s="453" t="s">
        <v>152</v>
      </c>
      <c r="D3816" s="454">
        <v>9.1999999999999993</v>
      </c>
      <c r="E3816" s="450" t="s">
        <v>79</v>
      </c>
      <c r="F3816" s="73">
        <v>9.4</v>
      </c>
      <c r="G3816" s="451">
        <f t="shared" si="934"/>
        <v>59.22</v>
      </c>
      <c r="H3816" s="443">
        <v>24</v>
      </c>
      <c r="I3816" s="456">
        <f t="shared" si="935"/>
        <v>1421.28</v>
      </c>
      <c r="J3816" s="457">
        <v>1300</v>
      </c>
    </row>
    <row r="3817" spans="1:11" ht="19.5" thickBot="1" x14ac:dyDescent="0.35">
      <c r="A3817" s="206"/>
      <c r="B3817" s="458"/>
      <c r="C3817" s="458"/>
      <c r="D3817" s="458"/>
      <c r="E3817" s="458"/>
      <c r="F3817" s="458"/>
      <c r="G3817" s="459"/>
      <c r="H3817" s="460" t="s">
        <v>171</v>
      </c>
      <c r="I3817" s="461">
        <f>SUM(I3811:I3816)</f>
        <v>7136.6399999999994</v>
      </c>
      <c r="J3817" s="462">
        <v>6700</v>
      </c>
    </row>
    <row r="3818" spans="1:11" x14ac:dyDescent="0.25">
      <c r="A3818" s="31" t="s">
        <v>727</v>
      </c>
      <c r="B3818" s="443" t="s">
        <v>322</v>
      </c>
      <c r="C3818" s="444" t="s">
        <v>114</v>
      </c>
      <c r="D3818" s="444">
        <v>15</v>
      </c>
      <c r="E3818" s="444" t="s">
        <v>79</v>
      </c>
      <c r="F3818" s="109">
        <v>5.8</v>
      </c>
      <c r="G3818" s="443">
        <f t="shared" ref="G3818:G3823" si="936">F3818*6.3</f>
        <v>36.54</v>
      </c>
      <c r="H3818" s="443">
        <v>16</v>
      </c>
      <c r="I3818" s="445">
        <f t="shared" ref="I3818:I3823" si="937">G3818*H3818</f>
        <v>584.64</v>
      </c>
      <c r="J3818" s="446">
        <v>900</v>
      </c>
    </row>
    <row r="3819" spans="1:11" x14ac:dyDescent="0.25">
      <c r="A3819" s="31" t="s">
        <v>727</v>
      </c>
      <c r="B3819" s="443" t="s">
        <v>323</v>
      </c>
      <c r="C3819" s="444" t="s">
        <v>86</v>
      </c>
      <c r="D3819" s="444">
        <v>0.03</v>
      </c>
      <c r="E3819" s="444" t="s">
        <v>79</v>
      </c>
      <c r="F3819" s="38">
        <v>9.6</v>
      </c>
      <c r="G3819" s="443">
        <f t="shared" si="936"/>
        <v>60.48</v>
      </c>
      <c r="H3819" s="443">
        <v>16</v>
      </c>
      <c r="I3819" s="445">
        <f t="shared" si="937"/>
        <v>967.68</v>
      </c>
      <c r="J3819" s="446">
        <v>1400</v>
      </c>
    </row>
    <row r="3820" spans="1:11" x14ac:dyDescent="0.25">
      <c r="A3820" s="31" t="s">
        <v>727</v>
      </c>
      <c r="B3820" s="448" t="s">
        <v>324</v>
      </c>
      <c r="C3820" s="444" t="s">
        <v>443</v>
      </c>
      <c r="D3820" s="444" t="s">
        <v>38</v>
      </c>
      <c r="E3820" s="444" t="s">
        <v>79</v>
      </c>
      <c r="F3820" s="37">
        <v>3.6</v>
      </c>
      <c r="G3820" s="443">
        <f t="shared" si="936"/>
        <v>22.68</v>
      </c>
      <c r="H3820" s="443">
        <v>16</v>
      </c>
      <c r="I3820" s="445">
        <f t="shared" si="937"/>
        <v>362.88</v>
      </c>
      <c r="J3820" s="446">
        <v>500</v>
      </c>
    </row>
    <row r="3821" spans="1:11" x14ac:dyDescent="0.25">
      <c r="A3821" s="31" t="s">
        <v>727</v>
      </c>
      <c r="B3821" s="449" t="s">
        <v>317</v>
      </c>
      <c r="C3821" s="450" t="s">
        <v>156</v>
      </c>
      <c r="D3821" s="42">
        <v>40</v>
      </c>
      <c r="E3821" s="450" t="s">
        <v>79</v>
      </c>
      <c r="F3821" s="43">
        <v>10.8</v>
      </c>
      <c r="G3821" s="443">
        <f t="shared" si="936"/>
        <v>68.040000000000006</v>
      </c>
      <c r="H3821" s="443">
        <v>16</v>
      </c>
      <c r="I3821" s="445">
        <f t="shared" si="937"/>
        <v>1088.6400000000001</v>
      </c>
      <c r="J3821" s="446">
        <v>1600</v>
      </c>
    </row>
    <row r="3822" spans="1:11" x14ac:dyDescent="0.25">
      <c r="A3822" s="31" t="s">
        <v>727</v>
      </c>
      <c r="B3822" s="443" t="s">
        <v>325</v>
      </c>
      <c r="C3822" s="444" t="s">
        <v>158</v>
      </c>
      <c r="D3822" s="452">
        <v>32</v>
      </c>
      <c r="E3822" s="444" t="s">
        <v>79</v>
      </c>
      <c r="F3822" s="43">
        <v>7.8</v>
      </c>
      <c r="G3822" s="443">
        <f t="shared" si="936"/>
        <v>49.14</v>
      </c>
      <c r="H3822" s="443">
        <v>16</v>
      </c>
      <c r="I3822" s="445">
        <f t="shared" si="937"/>
        <v>786.24</v>
      </c>
      <c r="J3822" s="446">
        <v>1000</v>
      </c>
    </row>
    <row r="3823" spans="1:11" ht="15.75" thickBot="1" x14ac:dyDescent="0.3">
      <c r="A3823" s="31" t="s">
        <v>727</v>
      </c>
      <c r="B3823" s="451" t="s">
        <v>326</v>
      </c>
      <c r="C3823" s="453" t="s">
        <v>152</v>
      </c>
      <c r="D3823" s="454">
        <v>6</v>
      </c>
      <c r="E3823" s="450" t="s">
        <v>79</v>
      </c>
      <c r="F3823" s="73">
        <v>9.5</v>
      </c>
      <c r="G3823" s="451">
        <f t="shared" si="936"/>
        <v>59.85</v>
      </c>
      <c r="H3823" s="443">
        <v>16</v>
      </c>
      <c r="I3823" s="456">
        <f t="shared" si="937"/>
        <v>957.6</v>
      </c>
      <c r="J3823" s="457">
        <v>1300</v>
      </c>
    </row>
    <row r="3824" spans="1:11" ht="19.5" thickBot="1" x14ac:dyDescent="0.35">
      <c r="A3824" s="206"/>
      <c r="B3824" s="458"/>
      <c r="C3824" s="458"/>
      <c r="D3824" s="458"/>
      <c r="E3824" s="458"/>
      <c r="F3824" s="458"/>
      <c r="G3824" s="459"/>
      <c r="H3824" s="460" t="s">
        <v>171</v>
      </c>
      <c r="I3824" s="461">
        <f>SUM(I3818:I3823)</f>
        <v>4747.68</v>
      </c>
      <c r="J3824" s="462">
        <v>6700</v>
      </c>
      <c r="K3824" s="548" t="s">
        <v>726</v>
      </c>
    </row>
    <row r="3825" spans="1:11" x14ac:dyDescent="0.25">
      <c r="A3825" s="31" t="s">
        <v>728</v>
      </c>
      <c r="B3825" s="443" t="s">
        <v>322</v>
      </c>
      <c r="C3825" s="444" t="s">
        <v>114</v>
      </c>
      <c r="D3825" s="444">
        <v>25</v>
      </c>
      <c r="E3825" s="444" t="s">
        <v>79</v>
      </c>
      <c r="F3825" s="109">
        <v>5.9</v>
      </c>
      <c r="G3825" s="443">
        <f t="shared" ref="G3825:G3830" si="938">F3825*6.3</f>
        <v>37.17</v>
      </c>
      <c r="H3825" s="443">
        <v>24</v>
      </c>
      <c r="I3825" s="445">
        <f t="shared" ref="I3825:I3830" si="939">G3825*H3825</f>
        <v>892.08</v>
      </c>
      <c r="J3825" s="446">
        <v>900</v>
      </c>
    </row>
    <row r="3826" spans="1:11" x14ac:dyDescent="0.25">
      <c r="A3826" s="31" t="s">
        <v>728</v>
      </c>
      <c r="B3826" s="443" t="s">
        <v>323</v>
      </c>
      <c r="C3826" s="444" t="s">
        <v>86</v>
      </c>
      <c r="D3826" s="444">
        <v>0.03</v>
      </c>
      <c r="E3826" s="444" t="s">
        <v>79</v>
      </c>
      <c r="F3826" s="38">
        <v>9.5</v>
      </c>
      <c r="G3826" s="443">
        <f t="shared" si="938"/>
        <v>59.85</v>
      </c>
      <c r="H3826" s="443">
        <v>24</v>
      </c>
      <c r="I3826" s="445">
        <f t="shared" si="939"/>
        <v>1436.4</v>
      </c>
      <c r="J3826" s="446">
        <v>1400</v>
      </c>
    </row>
    <row r="3827" spans="1:11" x14ac:dyDescent="0.25">
      <c r="A3827" s="31" t="s">
        <v>728</v>
      </c>
      <c r="B3827" s="448" t="s">
        <v>324</v>
      </c>
      <c r="C3827" s="444" t="s">
        <v>443</v>
      </c>
      <c r="D3827" s="444" t="s">
        <v>38</v>
      </c>
      <c r="E3827" s="444" t="s">
        <v>79</v>
      </c>
      <c r="F3827" s="37">
        <v>3.6</v>
      </c>
      <c r="G3827" s="443">
        <f t="shared" si="938"/>
        <v>22.68</v>
      </c>
      <c r="H3827" s="443">
        <v>24</v>
      </c>
      <c r="I3827" s="445">
        <f t="shared" si="939"/>
        <v>544.31999999999994</v>
      </c>
      <c r="J3827" s="446">
        <v>500</v>
      </c>
    </row>
    <row r="3828" spans="1:11" x14ac:dyDescent="0.25">
      <c r="A3828" s="31" t="s">
        <v>728</v>
      </c>
      <c r="B3828" s="449" t="s">
        <v>317</v>
      </c>
      <c r="C3828" s="450" t="s">
        <v>156</v>
      </c>
      <c r="D3828" s="42">
        <v>45</v>
      </c>
      <c r="E3828" s="450" t="s">
        <v>79</v>
      </c>
      <c r="F3828" s="43">
        <v>10.92</v>
      </c>
      <c r="G3828" s="443">
        <f t="shared" si="938"/>
        <v>68.795999999999992</v>
      </c>
      <c r="H3828" s="443">
        <v>24</v>
      </c>
      <c r="I3828" s="445">
        <f t="shared" si="939"/>
        <v>1651.1039999999998</v>
      </c>
      <c r="J3828" s="446">
        <v>1600</v>
      </c>
    </row>
    <row r="3829" spans="1:11" x14ac:dyDescent="0.25">
      <c r="A3829" s="31" t="s">
        <v>728</v>
      </c>
      <c r="B3829" s="443" t="s">
        <v>325</v>
      </c>
      <c r="C3829" s="444" t="s">
        <v>158</v>
      </c>
      <c r="D3829" s="452">
        <v>35</v>
      </c>
      <c r="E3829" s="444" t="s">
        <v>79</v>
      </c>
      <c r="F3829" s="43">
        <v>7.7</v>
      </c>
      <c r="G3829" s="443">
        <f t="shared" si="938"/>
        <v>48.51</v>
      </c>
      <c r="H3829" s="443">
        <v>24</v>
      </c>
      <c r="I3829" s="445">
        <f t="shared" si="939"/>
        <v>1164.24</v>
      </c>
      <c r="J3829" s="446">
        <v>1000</v>
      </c>
    </row>
    <row r="3830" spans="1:11" ht="15.75" thickBot="1" x14ac:dyDescent="0.3">
      <c r="A3830" s="31" t="s">
        <v>728</v>
      </c>
      <c r="B3830" s="451" t="s">
        <v>326</v>
      </c>
      <c r="C3830" s="453" t="s">
        <v>152</v>
      </c>
      <c r="D3830" s="454">
        <v>9</v>
      </c>
      <c r="E3830" s="450" t="s">
        <v>79</v>
      </c>
      <c r="F3830" s="73">
        <v>9.5</v>
      </c>
      <c r="G3830" s="451">
        <f t="shared" si="938"/>
        <v>59.85</v>
      </c>
      <c r="H3830" s="443">
        <v>24</v>
      </c>
      <c r="I3830" s="456">
        <f t="shared" si="939"/>
        <v>1436.4</v>
      </c>
      <c r="J3830" s="457">
        <v>1300</v>
      </c>
    </row>
    <row r="3831" spans="1:11" ht="19.5" thickBot="1" x14ac:dyDescent="0.35">
      <c r="A3831" s="206"/>
      <c r="B3831" s="458"/>
      <c r="C3831" s="458"/>
      <c r="D3831" s="458"/>
      <c r="E3831" s="458"/>
      <c r="F3831" s="458"/>
      <c r="G3831" s="459"/>
      <c r="H3831" s="460" t="s">
        <v>171</v>
      </c>
      <c r="I3831" s="461">
        <f>SUM(I3825:I3830)</f>
        <v>7124.5439999999999</v>
      </c>
      <c r="J3831" s="462">
        <v>6700</v>
      </c>
    </row>
    <row r="3832" spans="1:11" x14ac:dyDescent="0.25">
      <c r="A3832" s="31" t="s">
        <v>730</v>
      </c>
      <c r="B3832" s="443" t="s">
        <v>322</v>
      </c>
      <c r="C3832" s="444" t="s">
        <v>114</v>
      </c>
      <c r="D3832" s="444">
        <v>20</v>
      </c>
      <c r="E3832" s="444" t="s">
        <v>79</v>
      </c>
      <c r="F3832" s="109">
        <v>6.2</v>
      </c>
      <c r="G3832" s="443">
        <f t="shared" ref="G3832:G3837" si="940">F3832*6.3</f>
        <v>39.06</v>
      </c>
      <c r="H3832" s="443">
        <v>24</v>
      </c>
      <c r="I3832" s="445">
        <f t="shared" ref="I3832:I3837" si="941">G3832*H3832</f>
        <v>937.44</v>
      </c>
      <c r="J3832" s="446">
        <v>900</v>
      </c>
    </row>
    <row r="3833" spans="1:11" x14ac:dyDescent="0.25">
      <c r="A3833" s="31" t="s">
        <v>730</v>
      </c>
      <c r="B3833" s="443" t="s">
        <v>323</v>
      </c>
      <c r="C3833" s="444" t="s">
        <v>86</v>
      </c>
      <c r="D3833" s="444">
        <v>0.03</v>
      </c>
      <c r="E3833" s="444" t="s">
        <v>79</v>
      </c>
      <c r="F3833" s="38">
        <v>9.3000000000000007</v>
      </c>
      <c r="G3833" s="443">
        <f t="shared" si="940"/>
        <v>58.59</v>
      </c>
      <c r="H3833" s="443">
        <v>24</v>
      </c>
      <c r="I3833" s="445">
        <f t="shared" si="941"/>
        <v>1406.16</v>
      </c>
      <c r="J3833" s="446">
        <v>1400</v>
      </c>
    </row>
    <row r="3834" spans="1:11" x14ac:dyDescent="0.25">
      <c r="A3834" s="31" t="s">
        <v>730</v>
      </c>
      <c r="B3834" s="448" t="s">
        <v>324</v>
      </c>
      <c r="C3834" s="444" t="s">
        <v>443</v>
      </c>
      <c r="D3834" s="444" t="s">
        <v>38</v>
      </c>
      <c r="E3834" s="444" t="s">
        <v>79</v>
      </c>
      <c r="F3834" s="37">
        <v>3.6</v>
      </c>
      <c r="G3834" s="443">
        <f t="shared" si="940"/>
        <v>22.68</v>
      </c>
      <c r="H3834" s="443">
        <v>24</v>
      </c>
      <c r="I3834" s="445">
        <f t="shared" si="941"/>
        <v>544.31999999999994</v>
      </c>
      <c r="J3834" s="446">
        <v>500</v>
      </c>
    </row>
    <row r="3835" spans="1:11" x14ac:dyDescent="0.25">
      <c r="A3835" s="31" t="s">
        <v>730</v>
      </c>
      <c r="B3835" s="449" t="s">
        <v>317</v>
      </c>
      <c r="C3835" s="450" t="s">
        <v>156</v>
      </c>
      <c r="D3835" s="42">
        <v>39</v>
      </c>
      <c r="E3835" s="450" t="s">
        <v>79</v>
      </c>
      <c r="F3835" s="43">
        <v>10.8</v>
      </c>
      <c r="G3835" s="443">
        <f t="shared" si="940"/>
        <v>68.040000000000006</v>
      </c>
      <c r="H3835" s="443">
        <v>24</v>
      </c>
      <c r="I3835" s="445">
        <f t="shared" si="941"/>
        <v>1632.96</v>
      </c>
      <c r="J3835" s="446">
        <v>1600</v>
      </c>
    </row>
    <row r="3836" spans="1:11" x14ac:dyDescent="0.25">
      <c r="A3836" s="31" t="s">
        <v>730</v>
      </c>
      <c r="B3836" s="443" t="s">
        <v>325</v>
      </c>
      <c r="C3836" s="444" t="s">
        <v>158</v>
      </c>
      <c r="D3836" s="452">
        <v>29</v>
      </c>
      <c r="E3836" s="444" t="s">
        <v>79</v>
      </c>
      <c r="F3836" s="43">
        <v>7.3</v>
      </c>
      <c r="G3836" s="443">
        <f t="shared" si="940"/>
        <v>45.989999999999995</v>
      </c>
      <c r="H3836" s="443">
        <v>24</v>
      </c>
      <c r="I3836" s="445">
        <f t="shared" si="941"/>
        <v>1103.7599999999998</v>
      </c>
      <c r="J3836" s="446">
        <v>1000</v>
      </c>
    </row>
    <row r="3837" spans="1:11" ht="15.75" thickBot="1" x14ac:dyDescent="0.3">
      <c r="A3837" s="31" t="s">
        <v>730</v>
      </c>
      <c r="B3837" s="451" t="s">
        <v>326</v>
      </c>
      <c r="C3837" s="453" t="s">
        <v>152</v>
      </c>
      <c r="D3837" s="454">
        <v>6</v>
      </c>
      <c r="E3837" s="450" t="s">
        <v>79</v>
      </c>
      <c r="F3837" s="73">
        <v>9.1999999999999993</v>
      </c>
      <c r="G3837" s="451">
        <f t="shared" si="940"/>
        <v>57.959999999999994</v>
      </c>
      <c r="H3837" s="443">
        <v>24</v>
      </c>
      <c r="I3837" s="456">
        <f t="shared" si="941"/>
        <v>1391.04</v>
      </c>
      <c r="J3837" s="457">
        <v>1300</v>
      </c>
    </row>
    <row r="3838" spans="1:11" ht="19.5" thickBot="1" x14ac:dyDescent="0.35">
      <c r="A3838" s="206"/>
      <c r="B3838" s="458"/>
      <c r="C3838" s="458"/>
      <c r="D3838" s="458"/>
      <c r="E3838" s="458"/>
      <c r="F3838" s="458"/>
      <c r="G3838" s="459"/>
      <c r="H3838" s="460" t="s">
        <v>171</v>
      </c>
      <c r="I3838" s="461">
        <f>SUM(I3832:I3837)</f>
        <v>7015.6799999999994</v>
      </c>
      <c r="J3838" s="462">
        <v>6700</v>
      </c>
      <c r="K3838" s="548" t="s">
        <v>729</v>
      </c>
    </row>
    <row r="3839" spans="1:11" x14ac:dyDescent="0.25">
      <c r="A3839" s="31" t="s">
        <v>731</v>
      </c>
      <c r="B3839" s="443" t="s">
        <v>322</v>
      </c>
      <c r="C3839" s="444" t="s">
        <v>114</v>
      </c>
      <c r="D3839" s="444">
        <v>28</v>
      </c>
      <c r="E3839" s="444" t="s">
        <v>79</v>
      </c>
      <c r="F3839" s="109">
        <v>6.4</v>
      </c>
      <c r="G3839" s="443">
        <f t="shared" ref="G3839:G3844" si="942">F3839*6.3</f>
        <v>40.32</v>
      </c>
      <c r="H3839" s="443">
        <v>24</v>
      </c>
      <c r="I3839" s="445">
        <f t="shared" ref="I3839:I3844" si="943">G3839*H3839</f>
        <v>967.68000000000006</v>
      </c>
      <c r="J3839" s="446">
        <v>900</v>
      </c>
    </row>
    <row r="3840" spans="1:11" x14ac:dyDescent="0.25">
      <c r="A3840" s="31" t="s">
        <v>731</v>
      </c>
      <c r="B3840" s="443" t="s">
        <v>323</v>
      </c>
      <c r="C3840" s="444" t="s">
        <v>86</v>
      </c>
      <c r="D3840" s="444">
        <v>0.03</v>
      </c>
      <c r="E3840" s="444" t="s">
        <v>79</v>
      </c>
      <c r="F3840" s="38">
        <v>9.4</v>
      </c>
      <c r="G3840" s="443">
        <f t="shared" si="942"/>
        <v>59.22</v>
      </c>
      <c r="H3840" s="443">
        <v>24</v>
      </c>
      <c r="I3840" s="445">
        <f t="shared" si="943"/>
        <v>1421.28</v>
      </c>
      <c r="J3840" s="446">
        <v>1400</v>
      </c>
    </row>
    <row r="3841" spans="1:10" x14ac:dyDescent="0.25">
      <c r="A3841" s="31" t="s">
        <v>731</v>
      </c>
      <c r="B3841" s="448" t="s">
        <v>324</v>
      </c>
      <c r="C3841" s="444" t="s">
        <v>443</v>
      </c>
      <c r="D3841" s="444" t="s">
        <v>38</v>
      </c>
      <c r="E3841" s="444" t="s">
        <v>79</v>
      </c>
      <c r="F3841" s="37">
        <v>3.6</v>
      </c>
      <c r="G3841" s="443">
        <f t="shared" si="942"/>
        <v>22.68</v>
      </c>
      <c r="H3841" s="443">
        <v>24</v>
      </c>
      <c r="I3841" s="445">
        <f t="shared" si="943"/>
        <v>544.31999999999994</v>
      </c>
      <c r="J3841" s="446">
        <v>500</v>
      </c>
    </row>
    <row r="3842" spans="1:10" x14ac:dyDescent="0.25">
      <c r="A3842" s="31" t="s">
        <v>731</v>
      </c>
      <c r="B3842" s="449" t="s">
        <v>317</v>
      </c>
      <c r="C3842" s="450" t="s">
        <v>156</v>
      </c>
      <c r="D3842" s="42">
        <v>48</v>
      </c>
      <c r="E3842" s="450" t="s">
        <v>79</v>
      </c>
      <c r="F3842" s="43">
        <v>10.8</v>
      </c>
      <c r="G3842" s="443">
        <f t="shared" si="942"/>
        <v>68.040000000000006</v>
      </c>
      <c r="H3842" s="443">
        <v>24</v>
      </c>
      <c r="I3842" s="445">
        <f t="shared" si="943"/>
        <v>1632.96</v>
      </c>
      <c r="J3842" s="446">
        <v>1600</v>
      </c>
    </row>
    <row r="3843" spans="1:10" x14ac:dyDescent="0.25">
      <c r="A3843" s="31" t="s">
        <v>731</v>
      </c>
      <c r="B3843" s="443" t="s">
        <v>325</v>
      </c>
      <c r="C3843" s="444" t="s">
        <v>158</v>
      </c>
      <c r="D3843" s="452">
        <v>36</v>
      </c>
      <c r="E3843" s="444" t="s">
        <v>79</v>
      </c>
      <c r="F3843" s="43">
        <v>7.2</v>
      </c>
      <c r="G3843" s="443">
        <f t="shared" si="942"/>
        <v>45.36</v>
      </c>
      <c r="H3843" s="443">
        <v>24</v>
      </c>
      <c r="I3843" s="445">
        <f t="shared" si="943"/>
        <v>1088.6399999999999</v>
      </c>
      <c r="J3843" s="446">
        <v>1000</v>
      </c>
    </row>
    <row r="3844" spans="1:10" ht="15.75" thickBot="1" x14ac:dyDescent="0.3">
      <c r="A3844" s="31" t="s">
        <v>731</v>
      </c>
      <c r="B3844" s="451" t="s">
        <v>326</v>
      </c>
      <c r="C3844" s="453" t="s">
        <v>152</v>
      </c>
      <c r="D3844" s="454">
        <v>6</v>
      </c>
      <c r="E3844" s="450" t="s">
        <v>79</v>
      </c>
      <c r="F3844" s="73">
        <v>9.1999999999999993</v>
      </c>
      <c r="G3844" s="451">
        <f t="shared" si="942"/>
        <v>57.959999999999994</v>
      </c>
      <c r="H3844" s="443">
        <v>24</v>
      </c>
      <c r="I3844" s="456">
        <f t="shared" si="943"/>
        <v>1391.04</v>
      </c>
      <c r="J3844" s="457">
        <v>1300</v>
      </c>
    </row>
    <row r="3845" spans="1:10" ht="19.5" thickBot="1" x14ac:dyDescent="0.35">
      <c r="A3845" s="206"/>
      <c r="B3845" s="458"/>
      <c r="C3845" s="458"/>
      <c r="D3845" s="458"/>
      <c r="E3845" s="458"/>
      <c r="F3845" s="458"/>
      <c r="G3845" s="459"/>
      <c r="H3845" s="460" t="s">
        <v>171</v>
      </c>
      <c r="I3845" s="461">
        <f>SUM(I3839:I3844)</f>
        <v>7045.9199999999992</v>
      </c>
      <c r="J3845" s="462">
        <v>6700</v>
      </c>
    </row>
    <row r="3846" spans="1:10" x14ac:dyDescent="0.25">
      <c r="A3846" s="31" t="s">
        <v>732</v>
      </c>
      <c r="B3846" s="443" t="s">
        <v>322</v>
      </c>
      <c r="C3846" s="444" t="s">
        <v>114</v>
      </c>
      <c r="D3846" s="444">
        <v>30</v>
      </c>
      <c r="E3846" s="444" t="s">
        <v>79</v>
      </c>
      <c r="F3846" s="109">
        <v>6.4</v>
      </c>
      <c r="G3846" s="443">
        <f t="shared" ref="G3846:G3851" si="944">F3846*6.3</f>
        <v>40.32</v>
      </c>
      <c r="H3846" s="443">
        <v>24</v>
      </c>
      <c r="I3846" s="445">
        <f t="shared" ref="I3846:I3851" si="945">G3846*H3846</f>
        <v>967.68000000000006</v>
      </c>
      <c r="J3846" s="446">
        <v>900</v>
      </c>
    </row>
    <row r="3847" spans="1:10" x14ac:dyDescent="0.25">
      <c r="A3847" s="31" t="s">
        <v>732</v>
      </c>
      <c r="B3847" s="443" t="s">
        <v>323</v>
      </c>
      <c r="C3847" s="444" t="s">
        <v>86</v>
      </c>
      <c r="D3847" s="444">
        <v>0.03</v>
      </c>
      <c r="E3847" s="444" t="s">
        <v>79</v>
      </c>
      <c r="F3847" s="38">
        <v>9.4</v>
      </c>
      <c r="G3847" s="443">
        <f t="shared" si="944"/>
        <v>59.22</v>
      </c>
      <c r="H3847" s="443">
        <v>24</v>
      </c>
      <c r="I3847" s="445">
        <f t="shared" si="945"/>
        <v>1421.28</v>
      </c>
      <c r="J3847" s="446">
        <v>1400</v>
      </c>
    </row>
    <row r="3848" spans="1:10" x14ac:dyDescent="0.25">
      <c r="A3848" s="31" t="s">
        <v>732</v>
      </c>
      <c r="B3848" s="448" t="s">
        <v>324</v>
      </c>
      <c r="C3848" s="444" t="s">
        <v>443</v>
      </c>
      <c r="D3848" s="444" t="s">
        <v>38</v>
      </c>
      <c r="E3848" s="444" t="s">
        <v>79</v>
      </c>
      <c r="F3848" s="37">
        <v>3.6</v>
      </c>
      <c r="G3848" s="443">
        <f t="shared" si="944"/>
        <v>22.68</v>
      </c>
      <c r="H3848" s="443">
        <v>24</v>
      </c>
      <c r="I3848" s="445">
        <f t="shared" si="945"/>
        <v>544.31999999999994</v>
      </c>
      <c r="J3848" s="446">
        <v>500</v>
      </c>
    </row>
    <row r="3849" spans="1:10" x14ac:dyDescent="0.25">
      <c r="A3849" s="31" t="s">
        <v>732</v>
      </c>
      <c r="B3849" s="449" t="s">
        <v>317</v>
      </c>
      <c r="C3849" s="450" t="s">
        <v>156</v>
      </c>
      <c r="D3849" s="42">
        <v>50</v>
      </c>
      <c r="E3849" s="450" t="s">
        <v>79</v>
      </c>
      <c r="F3849" s="43">
        <v>10.8</v>
      </c>
      <c r="G3849" s="443">
        <f t="shared" si="944"/>
        <v>68.040000000000006</v>
      </c>
      <c r="H3849" s="443">
        <v>24</v>
      </c>
      <c r="I3849" s="445">
        <f t="shared" si="945"/>
        <v>1632.96</v>
      </c>
      <c r="J3849" s="446">
        <v>1600</v>
      </c>
    </row>
    <row r="3850" spans="1:10" x14ac:dyDescent="0.25">
      <c r="A3850" s="31" t="s">
        <v>732</v>
      </c>
      <c r="B3850" s="443" t="s">
        <v>325</v>
      </c>
      <c r="C3850" s="444" t="s">
        <v>158</v>
      </c>
      <c r="D3850" s="452">
        <v>36</v>
      </c>
      <c r="E3850" s="444" t="s">
        <v>79</v>
      </c>
      <c r="F3850" s="43">
        <v>7.2</v>
      </c>
      <c r="G3850" s="443">
        <f t="shared" si="944"/>
        <v>45.36</v>
      </c>
      <c r="H3850" s="443">
        <v>24</v>
      </c>
      <c r="I3850" s="445">
        <f t="shared" si="945"/>
        <v>1088.6399999999999</v>
      </c>
      <c r="J3850" s="446">
        <v>1000</v>
      </c>
    </row>
    <row r="3851" spans="1:10" ht="15.75" thickBot="1" x14ac:dyDescent="0.3">
      <c r="A3851" s="31" t="s">
        <v>732</v>
      </c>
      <c r="B3851" s="451" t="s">
        <v>326</v>
      </c>
      <c r="C3851" s="453" t="s">
        <v>152</v>
      </c>
      <c r="D3851" s="454">
        <v>8</v>
      </c>
      <c r="E3851" s="450" t="s">
        <v>79</v>
      </c>
      <c r="F3851" s="73">
        <v>9.4</v>
      </c>
      <c r="G3851" s="451">
        <f t="shared" si="944"/>
        <v>59.22</v>
      </c>
      <c r="H3851" s="443">
        <v>24</v>
      </c>
      <c r="I3851" s="456">
        <f t="shared" si="945"/>
        <v>1421.28</v>
      </c>
      <c r="J3851" s="457">
        <v>1300</v>
      </c>
    </row>
    <row r="3852" spans="1:10" ht="19.5" thickBot="1" x14ac:dyDescent="0.35">
      <c r="A3852" s="206"/>
      <c r="B3852" s="458"/>
      <c r="C3852" s="458"/>
      <c r="D3852" s="458"/>
      <c r="E3852" s="458"/>
      <c r="F3852" s="458"/>
      <c r="G3852" s="459"/>
      <c r="H3852" s="460" t="s">
        <v>171</v>
      </c>
      <c r="I3852" s="461">
        <f>SUM(I3846:I3851)</f>
        <v>7076.1599999999989</v>
      </c>
      <c r="J3852" s="462">
        <v>6700</v>
      </c>
    </row>
    <row r="3853" spans="1:10" x14ac:dyDescent="0.25">
      <c r="A3853" s="31" t="s">
        <v>733</v>
      </c>
      <c r="B3853" s="443" t="s">
        <v>322</v>
      </c>
      <c r="C3853" s="444" t="s">
        <v>114</v>
      </c>
      <c r="D3853" s="444">
        <v>14</v>
      </c>
      <c r="E3853" s="444" t="s">
        <v>79</v>
      </c>
      <c r="F3853" s="109">
        <v>6.3</v>
      </c>
      <c r="G3853" s="443">
        <f t="shared" ref="G3853:G3858" si="946">F3853*6.3</f>
        <v>39.69</v>
      </c>
      <c r="H3853" s="443">
        <v>24</v>
      </c>
      <c r="I3853" s="445">
        <f t="shared" ref="I3853:I3858" si="947">G3853*H3853</f>
        <v>952.56</v>
      </c>
      <c r="J3853" s="446">
        <v>900</v>
      </c>
    </row>
    <row r="3854" spans="1:10" x14ac:dyDescent="0.25">
      <c r="A3854" s="31" t="s">
        <v>733</v>
      </c>
      <c r="B3854" s="443" t="s">
        <v>323</v>
      </c>
      <c r="C3854" s="444" t="s">
        <v>86</v>
      </c>
      <c r="D3854" s="444">
        <v>25</v>
      </c>
      <c r="E3854" s="444" t="s">
        <v>79</v>
      </c>
      <c r="F3854" s="38">
        <v>9.6999999999999993</v>
      </c>
      <c r="G3854" s="443">
        <f t="shared" si="946"/>
        <v>61.109999999999992</v>
      </c>
      <c r="H3854" s="443">
        <v>24</v>
      </c>
      <c r="I3854" s="445">
        <f t="shared" si="947"/>
        <v>1466.6399999999999</v>
      </c>
      <c r="J3854" s="446">
        <v>1400</v>
      </c>
    </row>
    <row r="3855" spans="1:10" x14ac:dyDescent="0.25">
      <c r="A3855" s="31" t="s">
        <v>733</v>
      </c>
      <c r="B3855" s="448" t="s">
        <v>324</v>
      </c>
      <c r="C3855" s="444" t="s">
        <v>443</v>
      </c>
      <c r="D3855" s="444" t="s">
        <v>38</v>
      </c>
      <c r="E3855" s="444" t="s">
        <v>79</v>
      </c>
      <c r="F3855" s="37">
        <v>3.6</v>
      </c>
      <c r="G3855" s="443">
        <f t="shared" si="946"/>
        <v>22.68</v>
      </c>
      <c r="H3855" s="443">
        <v>24</v>
      </c>
      <c r="I3855" s="445">
        <f t="shared" si="947"/>
        <v>544.31999999999994</v>
      </c>
      <c r="J3855" s="446">
        <v>500</v>
      </c>
    </row>
    <row r="3856" spans="1:10" x14ac:dyDescent="0.25">
      <c r="A3856" s="31" t="s">
        <v>733</v>
      </c>
      <c r="B3856" s="449" t="s">
        <v>317</v>
      </c>
      <c r="C3856" s="450" t="s">
        <v>156</v>
      </c>
      <c r="D3856" s="42">
        <v>51</v>
      </c>
      <c r="E3856" s="450" t="s">
        <v>79</v>
      </c>
      <c r="F3856" s="43">
        <v>10.9</v>
      </c>
      <c r="G3856" s="443">
        <f t="shared" si="946"/>
        <v>68.67</v>
      </c>
      <c r="H3856" s="443">
        <v>24</v>
      </c>
      <c r="I3856" s="445">
        <f t="shared" si="947"/>
        <v>1648.08</v>
      </c>
      <c r="J3856" s="446">
        <v>1600</v>
      </c>
    </row>
    <row r="3857" spans="1:10" x14ac:dyDescent="0.25">
      <c r="A3857" s="31" t="s">
        <v>733</v>
      </c>
      <c r="B3857" s="443" t="s">
        <v>325</v>
      </c>
      <c r="C3857" s="444" t="s">
        <v>158</v>
      </c>
      <c r="D3857" s="452">
        <v>39</v>
      </c>
      <c r="E3857" s="444" t="s">
        <v>79</v>
      </c>
      <c r="F3857" s="43">
        <v>7.2</v>
      </c>
      <c r="G3857" s="443">
        <f t="shared" si="946"/>
        <v>45.36</v>
      </c>
      <c r="H3857" s="443">
        <v>24</v>
      </c>
      <c r="I3857" s="445">
        <f t="shared" si="947"/>
        <v>1088.6399999999999</v>
      </c>
      <c r="J3857" s="446">
        <v>1000</v>
      </c>
    </row>
    <row r="3858" spans="1:10" ht="15.75" thickBot="1" x14ac:dyDescent="0.3">
      <c r="A3858" s="31" t="s">
        <v>733</v>
      </c>
      <c r="B3858" s="451" t="s">
        <v>326</v>
      </c>
      <c r="C3858" s="453" t="s">
        <v>152</v>
      </c>
      <c r="D3858" s="454">
        <v>11</v>
      </c>
      <c r="E3858" s="450" t="s">
        <v>79</v>
      </c>
      <c r="F3858" s="73">
        <v>9.4</v>
      </c>
      <c r="G3858" s="451">
        <f t="shared" si="946"/>
        <v>59.22</v>
      </c>
      <c r="H3858" s="443">
        <v>24</v>
      </c>
      <c r="I3858" s="456">
        <f t="shared" si="947"/>
        <v>1421.28</v>
      </c>
      <c r="J3858" s="457">
        <v>1300</v>
      </c>
    </row>
    <row r="3859" spans="1:10" ht="19.5" thickBot="1" x14ac:dyDescent="0.35">
      <c r="A3859" s="206"/>
      <c r="B3859" s="458"/>
      <c r="C3859" s="458"/>
      <c r="D3859" s="458"/>
      <c r="E3859" s="458"/>
      <c r="F3859" s="458"/>
      <c r="G3859" s="459"/>
      <c r="H3859" s="460" t="s">
        <v>171</v>
      </c>
      <c r="I3859" s="461">
        <f>SUM(I3853:I3858)</f>
        <v>7121.5199999999995</v>
      </c>
      <c r="J3859" s="462">
        <v>6700</v>
      </c>
    </row>
    <row r="3860" spans="1:10" x14ac:dyDescent="0.25">
      <c r="A3860" s="31" t="s">
        <v>734</v>
      </c>
      <c r="B3860" s="443" t="s">
        <v>322</v>
      </c>
      <c r="C3860" s="444" t="s">
        <v>114</v>
      </c>
      <c r="D3860" s="444">
        <v>20</v>
      </c>
      <c r="E3860" s="444" t="s">
        <v>79</v>
      </c>
      <c r="F3860" s="109">
        <v>6.42</v>
      </c>
      <c r="G3860" s="443">
        <f t="shared" ref="G3860:G3865" si="948">F3860*6.3</f>
        <v>40.445999999999998</v>
      </c>
      <c r="H3860" s="443">
        <v>24</v>
      </c>
      <c r="I3860" s="445">
        <f t="shared" ref="I3860:I3865" si="949">G3860*H3860</f>
        <v>970.70399999999995</v>
      </c>
      <c r="J3860" s="446">
        <v>900</v>
      </c>
    </row>
    <row r="3861" spans="1:10" x14ac:dyDescent="0.25">
      <c r="A3861" s="31" t="s">
        <v>734</v>
      </c>
      <c r="B3861" s="443" t="s">
        <v>323</v>
      </c>
      <c r="C3861" s="444" t="s">
        <v>86</v>
      </c>
      <c r="D3861" s="444">
        <v>25</v>
      </c>
      <c r="E3861" s="444" t="s">
        <v>79</v>
      </c>
      <c r="F3861" s="38">
        <v>9.85</v>
      </c>
      <c r="G3861" s="443">
        <f t="shared" si="948"/>
        <v>62.054999999999993</v>
      </c>
      <c r="H3861" s="443">
        <v>24</v>
      </c>
      <c r="I3861" s="445">
        <f t="shared" si="949"/>
        <v>1489.3199999999997</v>
      </c>
      <c r="J3861" s="446">
        <v>1400</v>
      </c>
    </row>
    <row r="3862" spans="1:10" x14ac:dyDescent="0.25">
      <c r="A3862" s="31" t="s">
        <v>734</v>
      </c>
      <c r="B3862" s="448" t="s">
        <v>324</v>
      </c>
      <c r="C3862" s="444" t="s">
        <v>443</v>
      </c>
      <c r="D3862" s="444" t="s">
        <v>38</v>
      </c>
      <c r="E3862" s="444" t="s">
        <v>79</v>
      </c>
      <c r="F3862" s="37">
        <v>3.6</v>
      </c>
      <c r="G3862" s="443">
        <f t="shared" si="948"/>
        <v>22.68</v>
      </c>
      <c r="H3862" s="443">
        <v>24</v>
      </c>
      <c r="I3862" s="445">
        <f t="shared" si="949"/>
        <v>544.31999999999994</v>
      </c>
      <c r="J3862" s="446">
        <v>500</v>
      </c>
    </row>
    <row r="3863" spans="1:10" x14ac:dyDescent="0.25">
      <c r="A3863" s="31" t="s">
        <v>734</v>
      </c>
      <c r="B3863" s="449" t="s">
        <v>317</v>
      </c>
      <c r="C3863" s="450" t="s">
        <v>156</v>
      </c>
      <c r="D3863" s="42">
        <v>51</v>
      </c>
      <c r="E3863" s="450" t="s">
        <v>79</v>
      </c>
      <c r="F3863" s="43">
        <v>11</v>
      </c>
      <c r="G3863" s="443">
        <f t="shared" si="948"/>
        <v>69.3</v>
      </c>
      <c r="H3863" s="443">
        <v>24</v>
      </c>
      <c r="I3863" s="445">
        <f t="shared" si="949"/>
        <v>1663.1999999999998</v>
      </c>
      <c r="J3863" s="446">
        <v>1600</v>
      </c>
    </row>
    <row r="3864" spans="1:10" x14ac:dyDescent="0.25">
      <c r="A3864" s="31" t="s">
        <v>734</v>
      </c>
      <c r="B3864" s="443" t="s">
        <v>325</v>
      </c>
      <c r="C3864" s="444" t="s">
        <v>158</v>
      </c>
      <c r="D3864" s="452">
        <v>41</v>
      </c>
      <c r="E3864" s="444" t="s">
        <v>79</v>
      </c>
      <c r="F3864" s="43">
        <v>7</v>
      </c>
      <c r="G3864" s="443">
        <f t="shared" si="948"/>
        <v>44.1</v>
      </c>
      <c r="H3864" s="443">
        <v>24</v>
      </c>
      <c r="I3864" s="445">
        <f t="shared" si="949"/>
        <v>1058.4000000000001</v>
      </c>
      <c r="J3864" s="446">
        <v>1000</v>
      </c>
    </row>
    <row r="3865" spans="1:10" ht="15.75" thickBot="1" x14ac:dyDescent="0.3">
      <c r="A3865" s="31" t="s">
        <v>734</v>
      </c>
      <c r="B3865" s="451" t="s">
        <v>326</v>
      </c>
      <c r="C3865" s="453" t="s">
        <v>152</v>
      </c>
      <c r="D3865" s="454">
        <v>14</v>
      </c>
      <c r="E3865" s="450" t="s">
        <v>79</v>
      </c>
      <c r="F3865" s="73">
        <v>9.1999999999999993</v>
      </c>
      <c r="G3865" s="451">
        <f t="shared" si="948"/>
        <v>57.959999999999994</v>
      </c>
      <c r="H3865" s="443">
        <v>24</v>
      </c>
      <c r="I3865" s="456">
        <f t="shared" si="949"/>
        <v>1391.04</v>
      </c>
      <c r="J3865" s="457">
        <v>1300</v>
      </c>
    </row>
    <row r="3866" spans="1:10" ht="19.5" thickBot="1" x14ac:dyDescent="0.35">
      <c r="A3866" s="206"/>
      <c r="B3866" s="458"/>
      <c r="C3866" s="458"/>
      <c r="D3866" s="458"/>
      <c r="E3866" s="458"/>
      <c r="F3866" s="458"/>
      <c r="G3866" s="459"/>
      <c r="H3866" s="460" t="s">
        <v>171</v>
      </c>
      <c r="I3866" s="461">
        <f>SUM(I3860:I3865)</f>
        <v>7116.9839999999995</v>
      </c>
      <c r="J3866" s="462">
        <v>6700</v>
      </c>
    </row>
    <row r="3867" spans="1:10" x14ac:dyDescent="0.25">
      <c r="A3867" s="31" t="s">
        <v>735</v>
      </c>
      <c r="B3867" s="443" t="s">
        <v>322</v>
      </c>
      <c r="C3867" s="444" t="s">
        <v>114</v>
      </c>
      <c r="D3867" s="444">
        <v>21</v>
      </c>
      <c r="E3867" s="444" t="s">
        <v>79</v>
      </c>
      <c r="F3867" s="109">
        <v>6.4</v>
      </c>
      <c r="G3867" s="443">
        <f t="shared" ref="G3867:G3872" si="950">F3867*6.3</f>
        <v>40.32</v>
      </c>
      <c r="H3867" s="443">
        <v>24</v>
      </c>
      <c r="I3867" s="445">
        <f t="shared" ref="I3867:I3872" si="951">G3867*H3867</f>
        <v>967.68000000000006</v>
      </c>
      <c r="J3867" s="446">
        <v>900</v>
      </c>
    </row>
    <row r="3868" spans="1:10" x14ac:dyDescent="0.25">
      <c r="A3868" s="31" t="s">
        <v>735</v>
      </c>
      <c r="B3868" s="443" t="s">
        <v>323</v>
      </c>
      <c r="C3868" s="444" t="s">
        <v>86</v>
      </c>
      <c r="D3868" s="444">
        <v>26</v>
      </c>
      <c r="E3868" s="444" t="s">
        <v>79</v>
      </c>
      <c r="F3868" s="38">
        <v>9.75</v>
      </c>
      <c r="G3868" s="443">
        <f t="shared" si="950"/>
        <v>61.424999999999997</v>
      </c>
      <c r="H3868" s="443">
        <v>24</v>
      </c>
      <c r="I3868" s="445">
        <f t="shared" si="951"/>
        <v>1474.1999999999998</v>
      </c>
      <c r="J3868" s="446">
        <v>1400</v>
      </c>
    </row>
    <row r="3869" spans="1:10" x14ac:dyDescent="0.25">
      <c r="A3869" s="31" t="s">
        <v>735</v>
      </c>
      <c r="B3869" s="448" t="s">
        <v>324</v>
      </c>
      <c r="C3869" s="444" t="s">
        <v>443</v>
      </c>
      <c r="D3869" s="444" t="s">
        <v>38</v>
      </c>
      <c r="E3869" s="444" t="s">
        <v>79</v>
      </c>
      <c r="F3869" s="37">
        <v>3.6</v>
      </c>
      <c r="G3869" s="443">
        <f t="shared" si="950"/>
        <v>22.68</v>
      </c>
      <c r="H3869" s="443">
        <v>24</v>
      </c>
      <c r="I3869" s="445">
        <f t="shared" si="951"/>
        <v>544.31999999999994</v>
      </c>
      <c r="J3869" s="446">
        <v>500</v>
      </c>
    </row>
    <row r="3870" spans="1:10" x14ac:dyDescent="0.25">
      <c r="A3870" s="31" t="s">
        <v>735</v>
      </c>
      <c r="B3870" s="449" t="s">
        <v>317</v>
      </c>
      <c r="C3870" s="450" t="s">
        <v>156</v>
      </c>
      <c r="D3870" s="42">
        <v>49</v>
      </c>
      <c r="E3870" s="450" t="s">
        <v>79</v>
      </c>
      <c r="F3870" s="43">
        <v>10.91</v>
      </c>
      <c r="G3870" s="443">
        <f t="shared" si="950"/>
        <v>68.733000000000004</v>
      </c>
      <c r="H3870" s="443">
        <v>24</v>
      </c>
      <c r="I3870" s="445">
        <f t="shared" si="951"/>
        <v>1649.5920000000001</v>
      </c>
      <c r="J3870" s="446">
        <v>1600</v>
      </c>
    </row>
    <row r="3871" spans="1:10" x14ac:dyDescent="0.25">
      <c r="A3871" s="31" t="s">
        <v>735</v>
      </c>
      <c r="B3871" s="443" t="s">
        <v>325</v>
      </c>
      <c r="C3871" s="444" t="s">
        <v>158</v>
      </c>
      <c r="D3871" s="452">
        <v>42</v>
      </c>
      <c r="E3871" s="444" t="s">
        <v>79</v>
      </c>
      <c r="F3871" s="43">
        <v>7.15</v>
      </c>
      <c r="G3871" s="443">
        <f t="shared" si="950"/>
        <v>45.045000000000002</v>
      </c>
      <c r="H3871" s="443">
        <v>24</v>
      </c>
      <c r="I3871" s="445">
        <f t="shared" si="951"/>
        <v>1081.08</v>
      </c>
      <c r="J3871" s="446">
        <v>1000</v>
      </c>
    </row>
    <row r="3872" spans="1:10" ht="15.75" thickBot="1" x14ac:dyDescent="0.3">
      <c r="A3872" s="31" t="s">
        <v>735</v>
      </c>
      <c r="B3872" s="451" t="s">
        <v>326</v>
      </c>
      <c r="C3872" s="453" t="s">
        <v>152</v>
      </c>
      <c r="D3872" s="454">
        <v>16</v>
      </c>
      <c r="E3872" s="450" t="s">
        <v>79</v>
      </c>
      <c r="F3872" s="73">
        <v>9.3000000000000007</v>
      </c>
      <c r="G3872" s="451">
        <f t="shared" si="950"/>
        <v>58.59</v>
      </c>
      <c r="H3872" s="443">
        <v>24</v>
      </c>
      <c r="I3872" s="456">
        <f t="shared" si="951"/>
        <v>1406.16</v>
      </c>
      <c r="J3872" s="457">
        <v>1300</v>
      </c>
    </row>
    <row r="3873" spans="1:10" ht="19.5" thickBot="1" x14ac:dyDescent="0.35">
      <c r="A3873" s="206"/>
      <c r="B3873" s="458"/>
      <c r="C3873" s="458"/>
      <c r="D3873" s="458"/>
      <c r="E3873" s="458"/>
      <c r="F3873" s="458"/>
      <c r="G3873" s="459"/>
      <c r="H3873" s="460" t="s">
        <v>171</v>
      </c>
      <c r="I3873" s="461">
        <f>SUM(I3867:I3872)</f>
        <v>7123.0319999999992</v>
      </c>
      <c r="J3873" s="462">
        <v>6700</v>
      </c>
    </row>
    <row r="3874" spans="1:10" x14ac:dyDescent="0.25">
      <c r="A3874" s="31" t="s">
        <v>738</v>
      </c>
      <c r="B3874" s="443" t="s">
        <v>322</v>
      </c>
      <c r="C3874" s="444" t="s">
        <v>114</v>
      </c>
      <c r="D3874" s="444">
        <v>28</v>
      </c>
      <c r="E3874" s="444" t="s">
        <v>79</v>
      </c>
      <c r="F3874" s="109">
        <v>6.5</v>
      </c>
      <c r="G3874" s="443">
        <f t="shared" ref="G3874:G3879" si="952">F3874*6.3</f>
        <v>40.949999999999996</v>
      </c>
      <c r="H3874" s="443">
        <v>24</v>
      </c>
      <c r="I3874" s="445">
        <f t="shared" ref="I3874:I3879" si="953">G3874*H3874</f>
        <v>982.8</v>
      </c>
      <c r="J3874" s="446">
        <v>900</v>
      </c>
    </row>
    <row r="3875" spans="1:10" x14ac:dyDescent="0.25">
      <c r="A3875" s="31" t="s">
        <v>738</v>
      </c>
      <c r="B3875" s="443" t="s">
        <v>323</v>
      </c>
      <c r="C3875" s="444" t="s">
        <v>86</v>
      </c>
      <c r="D3875" s="444">
        <v>1.5</v>
      </c>
      <c r="E3875" s="444" t="s">
        <v>79</v>
      </c>
      <c r="F3875" s="38">
        <v>9.4</v>
      </c>
      <c r="G3875" s="443">
        <f t="shared" si="952"/>
        <v>59.22</v>
      </c>
      <c r="H3875" s="443">
        <v>24</v>
      </c>
      <c r="I3875" s="445">
        <f t="shared" si="953"/>
        <v>1421.28</v>
      </c>
      <c r="J3875" s="446">
        <v>1400</v>
      </c>
    </row>
    <row r="3876" spans="1:10" x14ac:dyDescent="0.25">
      <c r="A3876" s="31" t="s">
        <v>738</v>
      </c>
      <c r="B3876" s="448" t="s">
        <v>324</v>
      </c>
      <c r="C3876" s="444" t="s">
        <v>443</v>
      </c>
      <c r="D3876" s="444" t="s">
        <v>38</v>
      </c>
      <c r="E3876" s="444" t="s">
        <v>79</v>
      </c>
      <c r="F3876" s="37">
        <v>3.6</v>
      </c>
      <c r="G3876" s="443">
        <f t="shared" si="952"/>
        <v>22.68</v>
      </c>
      <c r="H3876" s="443">
        <v>24</v>
      </c>
      <c r="I3876" s="445">
        <f t="shared" si="953"/>
        <v>544.31999999999994</v>
      </c>
      <c r="J3876" s="446">
        <v>500</v>
      </c>
    </row>
    <row r="3877" spans="1:10" x14ac:dyDescent="0.25">
      <c r="A3877" s="31" t="s">
        <v>738</v>
      </c>
      <c r="B3877" s="449" t="s">
        <v>317</v>
      </c>
      <c r="C3877" s="450" t="s">
        <v>156</v>
      </c>
      <c r="D3877" s="42">
        <v>50</v>
      </c>
      <c r="E3877" s="450" t="s">
        <v>79</v>
      </c>
      <c r="F3877" s="43">
        <v>10.6</v>
      </c>
      <c r="G3877" s="443">
        <f t="shared" si="952"/>
        <v>66.78</v>
      </c>
      <c r="H3877" s="443">
        <v>24</v>
      </c>
      <c r="I3877" s="445">
        <f t="shared" si="953"/>
        <v>1602.72</v>
      </c>
      <c r="J3877" s="446">
        <v>1600</v>
      </c>
    </row>
    <row r="3878" spans="1:10" x14ac:dyDescent="0.25">
      <c r="A3878" s="31" t="s">
        <v>738</v>
      </c>
      <c r="B3878" s="443" t="s">
        <v>325</v>
      </c>
      <c r="C3878" s="444" t="s">
        <v>158</v>
      </c>
      <c r="D3878" s="452">
        <v>40</v>
      </c>
      <c r="E3878" s="444" t="s">
        <v>79</v>
      </c>
      <c r="F3878" s="43">
        <v>7.4</v>
      </c>
      <c r="G3878" s="443">
        <f t="shared" si="952"/>
        <v>46.62</v>
      </c>
      <c r="H3878" s="443">
        <v>24</v>
      </c>
      <c r="I3878" s="445">
        <f t="shared" si="953"/>
        <v>1118.8799999999999</v>
      </c>
      <c r="J3878" s="446">
        <v>1000</v>
      </c>
    </row>
    <row r="3879" spans="1:10" ht="15.75" thickBot="1" x14ac:dyDescent="0.3">
      <c r="A3879" s="31" t="s">
        <v>738</v>
      </c>
      <c r="B3879" s="451" t="s">
        <v>326</v>
      </c>
      <c r="C3879" s="453" t="s">
        <v>152</v>
      </c>
      <c r="D3879" s="454">
        <v>1</v>
      </c>
      <c r="E3879" s="450" t="s">
        <v>79</v>
      </c>
      <c r="F3879" s="73">
        <v>9.1999999999999993</v>
      </c>
      <c r="G3879" s="451">
        <f t="shared" si="952"/>
        <v>57.959999999999994</v>
      </c>
      <c r="H3879" s="443">
        <v>24</v>
      </c>
      <c r="I3879" s="456">
        <f t="shared" si="953"/>
        <v>1391.04</v>
      </c>
      <c r="J3879" s="457">
        <v>1300</v>
      </c>
    </row>
    <row r="3880" spans="1:10" ht="19.5" thickBot="1" x14ac:dyDescent="0.35">
      <c r="A3880" s="206"/>
      <c r="B3880" s="458"/>
      <c r="C3880" s="458"/>
      <c r="D3880" s="458"/>
      <c r="E3880" s="458"/>
      <c r="F3880" s="458"/>
      <c r="G3880" s="459"/>
      <c r="H3880" s="460" t="s">
        <v>171</v>
      </c>
      <c r="I3880" s="461">
        <f>SUM(I3874:I3879)</f>
        <v>7061.04</v>
      </c>
      <c r="J3880" s="462">
        <v>6700</v>
      </c>
    </row>
    <row r="3881" spans="1:10" x14ac:dyDescent="0.25">
      <c r="A3881" s="31" t="s">
        <v>739</v>
      </c>
      <c r="B3881" s="443" t="s">
        <v>322</v>
      </c>
      <c r="C3881" s="444" t="s">
        <v>114</v>
      </c>
      <c r="D3881" s="444">
        <v>25</v>
      </c>
      <c r="E3881" s="444" t="s">
        <v>79</v>
      </c>
      <c r="F3881" s="109">
        <v>6.5</v>
      </c>
      <c r="G3881" s="443">
        <f t="shared" ref="G3881:G3886" si="954">F3881*6.3</f>
        <v>40.949999999999996</v>
      </c>
      <c r="H3881" s="443">
        <v>24</v>
      </c>
      <c r="I3881" s="445">
        <f t="shared" ref="I3881:I3886" si="955">G3881*H3881</f>
        <v>982.8</v>
      </c>
      <c r="J3881" s="446">
        <v>900</v>
      </c>
    </row>
    <row r="3882" spans="1:10" x14ac:dyDescent="0.25">
      <c r="A3882" s="31" t="s">
        <v>739</v>
      </c>
      <c r="B3882" s="443" t="s">
        <v>323</v>
      </c>
      <c r="C3882" s="444" t="s">
        <v>86</v>
      </c>
      <c r="D3882" s="444">
        <v>0</v>
      </c>
      <c r="E3882" s="444" t="s">
        <v>79</v>
      </c>
      <c r="F3882" s="38">
        <v>9.6</v>
      </c>
      <c r="G3882" s="443">
        <f t="shared" si="954"/>
        <v>60.48</v>
      </c>
      <c r="H3882" s="443">
        <v>24</v>
      </c>
      <c r="I3882" s="445">
        <f t="shared" si="955"/>
        <v>1451.52</v>
      </c>
      <c r="J3882" s="446">
        <v>1400</v>
      </c>
    </row>
    <row r="3883" spans="1:10" x14ac:dyDescent="0.25">
      <c r="A3883" s="31" t="s">
        <v>739</v>
      </c>
      <c r="B3883" s="448" t="s">
        <v>324</v>
      </c>
      <c r="C3883" s="444" t="s">
        <v>443</v>
      </c>
      <c r="D3883" s="444" t="s">
        <v>38</v>
      </c>
      <c r="E3883" s="444" t="s">
        <v>79</v>
      </c>
      <c r="F3883" s="37">
        <v>3.6</v>
      </c>
      <c r="G3883" s="443">
        <f t="shared" si="954"/>
        <v>22.68</v>
      </c>
      <c r="H3883" s="443">
        <v>24</v>
      </c>
      <c r="I3883" s="445">
        <f t="shared" si="955"/>
        <v>544.31999999999994</v>
      </c>
      <c r="J3883" s="446">
        <v>500</v>
      </c>
    </row>
    <row r="3884" spans="1:10" x14ac:dyDescent="0.25">
      <c r="A3884" s="31" t="s">
        <v>739</v>
      </c>
      <c r="B3884" s="449" t="s">
        <v>317</v>
      </c>
      <c r="C3884" s="450" t="s">
        <v>156</v>
      </c>
      <c r="D3884" s="42">
        <v>50</v>
      </c>
      <c r="E3884" s="450" t="s">
        <v>79</v>
      </c>
      <c r="F3884" s="43">
        <v>10.8</v>
      </c>
      <c r="G3884" s="443">
        <f t="shared" si="954"/>
        <v>68.040000000000006</v>
      </c>
      <c r="H3884" s="443">
        <v>24</v>
      </c>
      <c r="I3884" s="445">
        <f t="shared" si="955"/>
        <v>1632.96</v>
      </c>
      <c r="J3884" s="446">
        <v>1600</v>
      </c>
    </row>
    <row r="3885" spans="1:10" x14ac:dyDescent="0.25">
      <c r="A3885" s="31" t="s">
        <v>739</v>
      </c>
      <c r="B3885" s="443" t="s">
        <v>325</v>
      </c>
      <c r="C3885" s="444" t="s">
        <v>158</v>
      </c>
      <c r="D3885" s="452">
        <v>38.5</v>
      </c>
      <c r="E3885" s="444" t="s">
        <v>79</v>
      </c>
      <c r="F3885" s="43">
        <v>7.2</v>
      </c>
      <c r="G3885" s="443">
        <f t="shared" si="954"/>
        <v>45.36</v>
      </c>
      <c r="H3885" s="443">
        <v>24</v>
      </c>
      <c r="I3885" s="445">
        <f t="shared" si="955"/>
        <v>1088.6399999999999</v>
      </c>
      <c r="J3885" s="446">
        <v>1000</v>
      </c>
    </row>
    <row r="3886" spans="1:10" ht="15.75" thickBot="1" x14ac:dyDescent="0.3">
      <c r="A3886" s="31" t="s">
        <v>739</v>
      </c>
      <c r="B3886" s="451" t="s">
        <v>326</v>
      </c>
      <c r="C3886" s="453" t="s">
        <v>152</v>
      </c>
      <c r="D3886" s="454">
        <v>2</v>
      </c>
      <c r="E3886" s="450" t="s">
        <v>79</v>
      </c>
      <c r="F3886" s="73">
        <v>9.4</v>
      </c>
      <c r="G3886" s="451">
        <f t="shared" si="954"/>
        <v>59.22</v>
      </c>
      <c r="H3886" s="443">
        <v>24</v>
      </c>
      <c r="I3886" s="456">
        <f t="shared" si="955"/>
        <v>1421.28</v>
      </c>
      <c r="J3886" s="457">
        <v>1300</v>
      </c>
    </row>
    <row r="3887" spans="1:10" ht="19.5" thickBot="1" x14ac:dyDescent="0.35">
      <c r="A3887" s="206"/>
      <c r="B3887" s="458"/>
      <c r="C3887" s="458"/>
      <c r="D3887" s="458"/>
      <c r="E3887" s="458"/>
      <c r="F3887" s="458"/>
      <c r="G3887" s="459"/>
      <c r="H3887" s="460" t="s">
        <v>171</v>
      </c>
      <c r="I3887" s="461">
        <f>SUM(I3881:I3886)</f>
        <v>7121.5199999999995</v>
      </c>
      <c r="J3887" s="462">
        <v>6700</v>
      </c>
    </row>
    <row r="3888" spans="1:10" x14ac:dyDescent="0.25">
      <c r="A3888" s="31" t="s">
        <v>740</v>
      </c>
      <c r="B3888" s="443" t="s">
        <v>322</v>
      </c>
      <c r="C3888" s="444" t="s">
        <v>114</v>
      </c>
      <c r="D3888" s="444">
        <v>25</v>
      </c>
      <c r="E3888" s="444" t="s">
        <v>79</v>
      </c>
      <c r="F3888" s="109">
        <v>6</v>
      </c>
      <c r="G3888" s="443">
        <f t="shared" ref="G3888:G3893" si="956">F3888*6.3</f>
        <v>37.799999999999997</v>
      </c>
      <c r="H3888" s="443">
        <v>24</v>
      </c>
      <c r="I3888" s="445">
        <f t="shared" ref="I3888:I3893" si="957">G3888*H3888</f>
        <v>907.19999999999993</v>
      </c>
      <c r="J3888" s="446">
        <v>900</v>
      </c>
    </row>
    <row r="3889" spans="1:10" x14ac:dyDescent="0.25">
      <c r="A3889" s="31" t="s">
        <v>740</v>
      </c>
      <c r="B3889" s="443" t="s">
        <v>323</v>
      </c>
      <c r="C3889" s="444" t="s">
        <v>86</v>
      </c>
      <c r="D3889" s="444">
        <v>0</v>
      </c>
      <c r="E3889" s="444" t="s">
        <v>79</v>
      </c>
      <c r="F3889" s="38">
        <v>9.5</v>
      </c>
      <c r="G3889" s="443">
        <f t="shared" si="956"/>
        <v>59.85</v>
      </c>
      <c r="H3889" s="443">
        <v>24</v>
      </c>
      <c r="I3889" s="445">
        <f t="shared" si="957"/>
        <v>1436.4</v>
      </c>
      <c r="J3889" s="446">
        <v>1400</v>
      </c>
    </row>
    <row r="3890" spans="1:10" x14ac:dyDescent="0.25">
      <c r="A3890" s="31" t="s">
        <v>740</v>
      </c>
      <c r="B3890" s="448" t="s">
        <v>324</v>
      </c>
      <c r="C3890" s="444" t="s">
        <v>443</v>
      </c>
      <c r="D3890" s="444" t="s">
        <v>38</v>
      </c>
      <c r="E3890" s="444" t="s">
        <v>79</v>
      </c>
      <c r="F3890" s="37">
        <v>3.6</v>
      </c>
      <c r="G3890" s="443">
        <f t="shared" si="956"/>
        <v>22.68</v>
      </c>
      <c r="H3890" s="443">
        <v>24</v>
      </c>
      <c r="I3890" s="445">
        <f t="shared" si="957"/>
        <v>544.31999999999994</v>
      </c>
      <c r="J3890" s="446">
        <v>500</v>
      </c>
    </row>
    <row r="3891" spans="1:10" x14ac:dyDescent="0.25">
      <c r="A3891" s="31" t="s">
        <v>740</v>
      </c>
      <c r="B3891" s="449" t="s">
        <v>317</v>
      </c>
      <c r="C3891" s="450" t="s">
        <v>156</v>
      </c>
      <c r="D3891" s="42">
        <v>50</v>
      </c>
      <c r="E3891" s="450" t="s">
        <v>79</v>
      </c>
      <c r="F3891" s="43">
        <v>10.8</v>
      </c>
      <c r="G3891" s="443">
        <f t="shared" si="956"/>
        <v>68.040000000000006</v>
      </c>
      <c r="H3891" s="443">
        <v>24</v>
      </c>
      <c r="I3891" s="445">
        <f t="shared" si="957"/>
        <v>1632.96</v>
      </c>
      <c r="J3891" s="446">
        <v>1600</v>
      </c>
    </row>
    <row r="3892" spans="1:10" x14ac:dyDescent="0.25">
      <c r="A3892" s="31" t="s">
        <v>740</v>
      </c>
      <c r="B3892" s="443" t="s">
        <v>325</v>
      </c>
      <c r="C3892" s="444" t="s">
        <v>158</v>
      </c>
      <c r="D3892" s="452">
        <v>38.5</v>
      </c>
      <c r="E3892" s="444" t="s">
        <v>79</v>
      </c>
      <c r="F3892" s="43">
        <v>7.2</v>
      </c>
      <c r="G3892" s="443">
        <f t="shared" si="956"/>
        <v>45.36</v>
      </c>
      <c r="H3892" s="443">
        <v>24</v>
      </c>
      <c r="I3892" s="445">
        <f t="shared" si="957"/>
        <v>1088.6399999999999</v>
      </c>
      <c r="J3892" s="446">
        <v>1000</v>
      </c>
    </row>
    <row r="3893" spans="1:10" ht="15.75" thickBot="1" x14ac:dyDescent="0.3">
      <c r="A3893" s="31" t="s">
        <v>740</v>
      </c>
      <c r="B3893" s="451" t="s">
        <v>326</v>
      </c>
      <c r="C3893" s="453" t="s">
        <v>152</v>
      </c>
      <c r="D3893" s="454">
        <v>2</v>
      </c>
      <c r="E3893" s="450" t="s">
        <v>79</v>
      </c>
      <c r="F3893" s="73">
        <v>9.4</v>
      </c>
      <c r="G3893" s="451">
        <f t="shared" si="956"/>
        <v>59.22</v>
      </c>
      <c r="H3893" s="443">
        <v>24</v>
      </c>
      <c r="I3893" s="456">
        <f t="shared" si="957"/>
        <v>1421.28</v>
      </c>
      <c r="J3893" s="457">
        <v>1300</v>
      </c>
    </row>
    <row r="3894" spans="1:10" ht="19.5" thickBot="1" x14ac:dyDescent="0.35">
      <c r="A3894" s="549"/>
      <c r="B3894" s="474"/>
      <c r="C3894" s="474"/>
      <c r="D3894" s="474"/>
      <c r="E3894" s="474"/>
      <c r="F3894" s="474"/>
      <c r="G3894" s="475"/>
      <c r="H3894" s="476" t="s">
        <v>171</v>
      </c>
      <c r="I3894" s="477">
        <f>SUM(I3888:I3893)</f>
        <v>7030.8</v>
      </c>
      <c r="J3894" s="478">
        <v>6700</v>
      </c>
    </row>
    <row r="3895" spans="1:10" x14ac:dyDescent="0.25">
      <c r="A3895" s="132" t="s">
        <v>742</v>
      </c>
      <c r="B3895" s="64" t="s">
        <v>322</v>
      </c>
      <c r="C3895" s="64" t="s">
        <v>114</v>
      </c>
      <c r="D3895" s="64">
        <v>13</v>
      </c>
      <c r="E3895" s="64" t="s">
        <v>79</v>
      </c>
      <c r="F3895" s="64">
        <v>6.03</v>
      </c>
      <c r="G3895" s="64">
        <v>38</v>
      </c>
      <c r="H3895" s="64">
        <v>0</v>
      </c>
      <c r="I3895" s="64">
        <v>0</v>
      </c>
      <c r="J3895" s="142">
        <v>900</v>
      </c>
    </row>
    <row r="3896" spans="1:10" x14ac:dyDescent="0.25">
      <c r="A3896" s="133" t="s">
        <v>742</v>
      </c>
      <c r="B3896" s="46" t="s">
        <v>323</v>
      </c>
      <c r="C3896" s="46" t="s">
        <v>86</v>
      </c>
      <c r="D3896" s="46">
        <v>0</v>
      </c>
      <c r="E3896" s="46" t="s">
        <v>79</v>
      </c>
      <c r="F3896" s="46">
        <v>9.42</v>
      </c>
      <c r="G3896" s="46">
        <v>59</v>
      </c>
      <c r="H3896" s="46">
        <v>24</v>
      </c>
      <c r="I3896" s="46">
        <v>1424</v>
      </c>
      <c r="J3896" s="143">
        <v>1400</v>
      </c>
    </row>
    <row r="3897" spans="1:10" x14ac:dyDescent="0.25">
      <c r="A3897" s="133" t="s">
        <v>742</v>
      </c>
      <c r="B3897" s="46" t="s">
        <v>324</v>
      </c>
      <c r="C3897" s="46" t="s">
        <v>443</v>
      </c>
      <c r="D3897" s="46" t="s">
        <v>38</v>
      </c>
      <c r="E3897" s="46" t="s">
        <v>79</v>
      </c>
      <c r="F3897" s="46">
        <v>3.58</v>
      </c>
      <c r="G3897" s="46">
        <v>23</v>
      </c>
      <c r="H3897" s="46">
        <v>24</v>
      </c>
      <c r="I3897" s="46">
        <v>541</v>
      </c>
      <c r="J3897" s="143">
        <v>500</v>
      </c>
    </row>
    <row r="3898" spans="1:10" x14ac:dyDescent="0.25">
      <c r="A3898" s="133" t="s">
        <v>742</v>
      </c>
      <c r="B3898" s="46" t="s">
        <v>317</v>
      </c>
      <c r="C3898" s="46" t="s">
        <v>156</v>
      </c>
      <c r="D3898" s="46">
        <v>50.24</v>
      </c>
      <c r="E3898" s="46" t="s">
        <v>79</v>
      </c>
      <c r="F3898" s="46">
        <v>10.78</v>
      </c>
      <c r="G3898" s="46">
        <v>68</v>
      </c>
      <c r="H3898" s="46">
        <v>24</v>
      </c>
      <c r="I3898" s="46">
        <v>1630</v>
      </c>
      <c r="J3898" s="143">
        <v>1600</v>
      </c>
    </row>
    <row r="3899" spans="1:10" x14ac:dyDescent="0.25">
      <c r="A3899" s="133" t="s">
        <v>742</v>
      </c>
      <c r="B3899" s="46" t="s">
        <v>325</v>
      </c>
      <c r="C3899" s="46" t="s">
        <v>158</v>
      </c>
      <c r="D3899" s="46">
        <v>40</v>
      </c>
      <c r="E3899" s="46" t="s">
        <v>79</v>
      </c>
      <c r="F3899" s="46">
        <v>7.3</v>
      </c>
      <c r="G3899" s="46">
        <v>46</v>
      </c>
      <c r="H3899" s="46">
        <v>24</v>
      </c>
      <c r="I3899" s="46">
        <v>1104</v>
      </c>
      <c r="J3899" s="143">
        <v>1000</v>
      </c>
    </row>
    <row r="3900" spans="1:10" ht="15.75" thickBot="1" x14ac:dyDescent="0.3">
      <c r="A3900" s="140" t="s">
        <v>742</v>
      </c>
      <c r="B3900" s="52" t="s">
        <v>326</v>
      </c>
      <c r="C3900" s="52" t="s">
        <v>152</v>
      </c>
      <c r="D3900" s="52">
        <v>1</v>
      </c>
      <c r="E3900" s="52" t="s">
        <v>79</v>
      </c>
      <c r="F3900" s="52">
        <v>9.3000000000000007</v>
      </c>
      <c r="G3900" s="52">
        <v>59</v>
      </c>
      <c r="H3900" s="52">
        <v>24</v>
      </c>
      <c r="I3900" s="52">
        <v>1406</v>
      </c>
      <c r="J3900" s="550">
        <v>1300</v>
      </c>
    </row>
    <row r="3901" spans="1:10" ht="19.5" thickBot="1" x14ac:dyDescent="0.35">
      <c r="A3901" s="220"/>
      <c r="B3901" s="221"/>
      <c r="C3901" s="221"/>
      <c r="D3901" s="221"/>
      <c r="E3901" s="221"/>
      <c r="F3901" s="221"/>
      <c r="G3901" s="221"/>
      <c r="H3901" s="259" t="s">
        <v>171</v>
      </c>
      <c r="I3901" s="221">
        <v>6105</v>
      </c>
      <c r="J3901" s="258">
        <v>6700</v>
      </c>
    </row>
    <row r="3902" spans="1:10" x14ac:dyDescent="0.25">
      <c r="A3902" s="147" t="s">
        <v>741</v>
      </c>
      <c r="B3902" s="525" t="s">
        <v>322</v>
      </c>
      <c r="C3902" s="448" t="s">
        <v>114</v>
      </c>
      <c r="D3902" s="448">
        <v>12.03</v>
      </c>
      <c r="E3902" s="448" t="s">
        <v>79</v>
      </c>
      <c r="F3902" s="153">
        <v>6.02</v>
      </c>
      <c r="G3902" s="525">
        <f t="shared" ref="G3902:G3907" si="958">F3902*6.3</f>
        <v>37.925999999999995</v>
      </c>
      <c r="H3902" s="525">
        <v>0</v>
      </c>
      <c r="I3902" s="526">
        <f t="shared" ref="I3902:I3907" si="959">G3902*H3902</f>
        <v>0</v>
      </c>
      <c r="J3902" s="527">
        <v>900</v>
      </c>
    </row>
    <row r="3903" spans="1:10" x14ac:dyDescent="0.25">
      <c r="A3903" s="147" t="s">
        <v>741</v>
      </c>
      <c r="B3903" s="443" t="s">
        <v>323</v>
      </c>
      <c r="C3903" s="444" t="s">
        <v>86</v>
      </c>
      <c r="D3903" s="444">
        <v>0</v>
      </c>
      <c r="E3903" s="444" t="s">
        <v>79</v>
      </c>
      <c r="F3903" s="38">
        <v>9.5</v>
      </c>
      <c r="G3903" s="443">
        <f t="shared" si="958"/>
        <v>59.85</v>
      </c>
      <c r="H3903" s="443">
        <v>24</v>
      </c>
      <c r="I3903" s="445">
        <f t="shared" si="959"/>
        <v>1436.4</v>
      </c>
      <c r="J3903" s="446">
        <v>1400</v>
      </c>
    </row>
    <row r="3904" spans="1:10" x14ac:dyDescent="0.25">
      <c r="A3904" s="147" t="s">
        <v>741</v>
      </c>
      <c r="B3904" s="448" t="s">
        <v>324</v>
      </c>
      <c r="C3904" s="444" t="s">
        <v>443</v>
      </c>
      <c r="D3904" s="444" t="s">
        <v>38</v>
      </c>
      <c r="E3904" s="444" t="s">
        <v>79</v>
      </c>
      <c r="F3904" s="37">
        <v>3.64</v>
      </c>
      <c r="G3904" s="443">
        <f t="shared" si="958"/>
        <v>22.931999999999999</v>
      </c>
      <c r="H3904" s="443">
        <v>24</v>
      </c>
      <c r="I3904" s="445">
        <f t="shared" si="959"/>
        <v>550.36799999999994</v>
      </c>
      <c r="J3904" s="446">
        <v>500</v>
      </c>
    </row>
    <row r="3905" spans="1:10" x14ac:dyDescent="0.25">
      <c r="A3905" s="147" t="s">
        <v>741</v>
      </c>
      <c r="B3905" s="449" t="s">
        <v>317</v>
      </c>
      <c r="C3905" s="450" t="s">
        <v>156</v>
      </c>
      <c r="D3905" s="42">
        <v>50</v>
      </c>
      <c r="E3905" s="450" t="s">
        <v>79</v>
      </c>
      <c r="F3905" s="43">
        <v>10.83</v>
      </c>
      <c r="G3905" s="443">
        <f t="shared" si="958"/>
        <v>68.228999999999999</v>
      </c>
      <c r="H3905" s="443">
        <v>24</v>
      </c>
      <c r="I3905" s="445">
        <f t="shared" si="959"/>
        <v>1637.4960000000001</v>
      </c>
      <c r="J3905" s="446">
        <v>1600</v>
      </c>
    </row>
    <row r="3906" spans="1:10" x14ac:dyDescent="0.25">
      <c r="A3906" s="147" t="s">
        <v>741</v>
      </c>
      <c r="B3906" s="443" t="s">
        <v>325</v>
      </c>
      <c r="C3906" s="444" t="s">
        <v>158</v>
      </c>
      <c r="D3906" s="452">
        <v>40.01</v>
      </c>
      <c r="E3906" s="444" t="s">
        <v>79</v>
      </c>
      <c r="F3906" s="43">
        <v>7.23</v>
      </c>
      <c r="G3906" s="443">
        <f t="shared" si="958"/>
        <v>45.548999999999999</v>
      </c>
      <c r="H3906" s="443">
        <v>24</v>
      </c>
      <c r="I3906" s="445">
        <f t="shared" si="959"/>
        <v>1093.1759999999999</v>
      </c>
      <c r="J3906" s="446">
        <v>1000</v>
      </c>
    </row>
    <row r="3907" spans="1:10" ht="15.75" thickBot="1" x14ac:dyDescent="0.3">
      <c r="A3907" s="147" t="s">
        <v>741</v>
      </c>
      <c r="B3907" s="451" t="s">
        <v>326</v>
      </c>
      <c r="C3907" s="453" t="s">
        <v>152</v>
      </c>
      <c r="D3907" s="454">
        <v>1.02</v>
      </c>
      <c r="E3907" s="450" t="s">
        <v>79</v>
      </c>
      <c r="F3907" s="73">
        <v>9.32</v>
      </c>
      <c r="G3907" s="451">
        <f t="shared" si="958"/>
        <v>58.716000000000001</v>
      </c>
      <c r="H3907" s="451">
        <v>24</v>
      </c>
      <c r="I3907" s="456">
        <f t="shared" si="959"/>
        <v>1409.184</v>
      </c>
      <c r="J3907" s="457">
        <v>1300</v>
      </c>
    </row>
    <row r="3908" spans="1:10" ht="19.5" thickBot="1" x14ac:dyDescent="0.35">
      <c r="A3908" s="206"/>
      <c r="B3908" s="458"/>
      <c r="C3908" s="458"/>
      <c r="D3908" s="458"/>
      <c r="E3908" s="458"/>
      <c r="F3908" s="458"/>
      <c r="G3908" s="459"/>
      <c r="H3908" s="469" t="s">
        <v>171</v>
      </c>
      <c r="I3908" s="468">
        <f>SUM(I3902:I3907)</f>
        <v>6126.6240000000007</v>
      </c>
      <c r="J3908" s="462">
        <v>6700</v>
      </c>
    </row>
    <row r="3909" spans="1:10" x14ac:dyDescent="0.25">
      <c r="A3909" s="31" t="s">
        <v>745</v>
      </c>
      <c r="B3909" s="443" t="s">
        <v>322</v>
      </c>
      <c r="C3909" s="444" t="s">
        <v>114</v>
      </c>
      <c r="D3909" s="444">
        <v>23.29</v>
      </c>
      <c r="E3909" s="444" t="s">
        <v>79</v>
      </c>
      <c r="F3909" s="109">
        <v>6</v>
      </c>
      <c r="G3909" s="443">
        <f t="shared" ref="G3909:G3914" si="960">F3909*6.3</f>
        <v>37.799999999999997</v>
      </c>
      <c r="H3909" s="443">
        <v>20</v>
      </c>
      <c r="I3909" s="445">
        <f t="shared" ref="I3909:I3914" si="961">G3909*H3909</f>
        <v>756</v>
      </c>
      <c r="J3909" s="446">
        <v>900</v>
      </c>
    </row>
    <row r="3910" spans="1:10" x14ac:dyDescent="0.25">
      <c r="A3910" s="31" t="s">
        <v>745</v>
      </c>
      <c r="B3910" s="443" t="s">
        <v>323</v>
      </c>
      <c r="C3910" s="444" t="s">
        <v>86</v>
      </c>
      <c r="D3910" s="444">
        <v>0</v>
      </c>
      <c r="E3910" s="444" t="s">
        <v>79</v>
      </c>
      <c r="F3910" s="38">
        <v>9.34</v>
      </c>
      <c r="G3910" s="443">
        <f t="shared" si="960"/>
        <v>58.841999999999999</v>
      </c>
      <c r="H3910" s="443">
        <v>24</v>
      </c>
      <c r="I3910" s="445">
        <f t="shared" si="961"/>
        <v>1412.2080000000001</v>
      </c>
      <c r="J3910" s="446">
        <v>1400</v>
      </c>
    </row>
    <row r="3911" spans="1:10" x14ac:dyDescent="0.25">
      <c r="A3911" s="31" t="s">
        <v>745</v>
      </c>
      <c r="B3911" s="448" t="s">
        <v>324</v>
      </c>
      <c r="C3911" s="444" t="s">
        <v>443</v>
      </c>
      <c r="D3911" s="444" t="s">
        <v>38</v>
      </c>
      <c r="E3911" s="444" t="s">
        <v>79</v>
      </c>
      <c r="F3911" s="37">
        <v>3.45</v>
      </c>
      <c r="G3911" s="443">
        <f t="shared" si="960"/>
        <v>21.734999999999999</v>
      </c>
      <c r="H3911" s="443">
        <v>24</v>
      </c>
      <c r="I3911" s="445">
        <f t="shared" si="961"/>
        <v>521.64</v>
      </c>
      <c r="J3911" s="446">
        <v>500</v>
      </c>
    </row>
    <row r="3912" spans="1:10" x14ac:dyDescent="0.25">
      <c r="A3912" s="31" t="s">
        <v>745</v>
      </c>
      <c r="B3912" s="449" t="s">
        <v>317</v>
      </c>
      <c r="C3912" s="450" t="s">
        <v>156</v>
      </c>
      <c r="D3912" s="42">
        <v>50.4</v>
      </c>
      <c r="E3912" s="450" t="s">
        <v>79</v>
      </c>
      <c r="F3912" s="43">
        <v>10.5</v>
      </c>
      <c r="G3912" s="443">
        <f t="shared" si="960"/>
        <v>66.149999999999991</v>
      </c>
      <c r="H3912" s="443">
        <v>24</v>
      </c>
      <c r="I3912" s="445">
        <f t="shared" si="961"/>
        <v>1587.6</v>
      </c>
      <c r="J3912" s="446">
        <v>1600</v>
      </c>
    </row>
    <row r="3913" spans="1:10" x14ac:dyDescent="0.25">
      <c r="A3913" s="31" t="s">
        <v>745</v>
      </c>
      <c r="B3913" s="443" t="s">
        <v>325</v>
      </c>
      <c r="C3913" s="444" t="s">
        <v>158</v>
      </c>
      <c r="D3913" s="452">
        <v>39.28</v>
      </c>
      <c r="E3913" s="444" t="s">
        <v>79</v>
      </c>
      <c r="F3913" s="43">
        <v>7.12</v>
      </c>
      <c r="G3913" s="443">
        <f t="shared" si="960"/>
        <v>44.856000000000002</v>
      </c>
      <c r="H3913" s="443">
        <v>24</v>
      </c>
      <c r="I3913" s="445">
        <f t="shared" si="961"/>
        <v>1076.5440000000001</v>
      </c>
      <c r="J3913" s="446">
        <v>1000</v>
      </c>
    </row>
    <row r="3914" spans="1:10" ht="15.75" thickBot="1" x14ac:dyDescent="0.3">
      <c r="A3914" s="31" t="s">
        <v>745</v>
      </c>
      <c r="B3914" s="451" t="s">
        <v>326</v>
      </c>
      <c r="C3914" s="453" t="s">
        <v>152</v>
      </c>
      <c r="D3914" s="454">
        <v>1.02</v>
      </c>
      <c r="E3914" s="450" t="s">
        <v>79</v>
      </c>
      <c r="F3914" s="73">
        <v>9.3000000000000007</v>
      </c>
      <c r="G3914" s="451">
        <f t="shared" si="960"/>
        <v>58.59</v>
      </c>
      <c r="H3914" s="451">
        <v>24</v>
      </c>
      <c r="I3914" s="456">
        <f t="shared" si="961"/>
        <v>1406.16</v>
      </c>
      <c r="J3914" s="457">
        <v>1300</v>
      </c>
    </row>
    <row r="3915" spans="1:10" ht="19.5" thickBot="1" x14ac:dyDescent="0.35">
      <c r="A3915" s="206"/>
      <c r="B3915" s="458"/>
      <c r="C3915" s="458"/>
      <c r="D3915" s="458"/>
      <c r="E3915" s="458"/>
      <c r="F3915" s="458"/>
      <c r="G3915" s="459"/>
      <c r="H3915" s="460" t="s">
        <v>171</v>
      </c>
      <c r="I3915" s="461">
        <f>SUM(I3909:I3914)</f>
        <v>6760.152</v>
      </c>
      <c r="J3915" s="462">
        <v>6700</v>
      </c>
    </row>
    <row r="3916" spans="1:10" x14ac:dyDescent="0.25">
      <c r="D3916" s="49"/>
    </row>
  </sheetData>
  <customSheetViews>
    <customSheetView guid="{C25DFEEE-C99A-4236-8B38-5775D1622BC8}">
      <pane ySplit="2" topLeftCell="A532" activePane="bottomLeft" state="frozen"/>
      <selection pane="bottomLeft" activeCell="G551" sqref="G551"/>
      <pageMargins left="0.7" right="0.7" top="0.75" bottom="0.75" header="0.3" footer="0.3"/>
      <pageSetup orientation="portrait" r:id="rId1"/>
    </customSheetView>
    <customSheetView guid="{84BCB69E-2FDC-413F-9E56-82D61B802F23}" topLeftCell="A506">
      <selection activeCell="E517" sqref="E517"/>
      <pageMargins left="0.7" right="0.7" top="0.75" bottom="0.75" header="0.3" footer="0.3"/>
      <pageSetup orientation="portrait" r:id="rId2"/>
    </customSheetView>
    <customSheetView guid="{AA3FA99D-26F1-4DA4-A7B4-C2A14CFF1A72}" hiddenColumns="1" topLeftCell="A255">
      <selection activeCell="A280" sqref="A280"/>
      <pageMargins left="0.7" right="0.7" top="0.75" bottom="0.75" header="0.3" footer="0.3"/>
      <pageSetup orientation="portrait" r:id="rId3"/>
    </customSheetView>
    <customSheetView guid="{8CF3887D-76B9-42DA-9030-D2FDE7A0EE67}" hiddenColumns="1" topLeftCell="A217">
      <selection activeCell="D228" sqref="D228"/>
      <pageMargins left="0.7" right="0.7" top="0.75" bottom="0.75" header="0.3" footer="0.3"/>
      <pageSetup orientation="portrait" r:id="rId4"/>
    </customSheetView>
    <customSheetView guid="{93113985-986B-4DE2-9E04-7E2F87348EC0}" topLeftCell="A254">
      <selection activeCell="A45" sqref="A45:A50"/>
      <pageMargins left="0.7" right="0.7" top="0.75" bottom="0.75" header="0.3" footer="0.3"/>
      <pageSetup orientation="portrait" r:id="rId5"/>
    </customSheetView>
    <customSheetView guid="{5C3B7966-2173-42B9-A6C8-6E8A3E55959D}">
      <pane ySplit="2" topLeftCell="A92" activePane="bottomLeft" state="frozen"/>
      <selection pane="bottomLeft" activeCell="XFD121" sqref="XFD121"/>
      <pageMargins left="0.7" right="0.7" top="0.75" bottom="0.75" header="0.3" footer="0.3"/>
      <pageSetup orientation="portrait" r:id="rId6"/>
    </customSheetView>
    <customSheetView guid="{78ED598E-7F8D-4E8C-A6B9-BABB5EBD4FA6}" topLeftCell="A856">
      <selection activeCell="D882" sqref="D882"/>
      <pageMargins left="0.7" right="0.7" top="0.75" bottom="0.75" header="0.3" footer="0.3"/>
      <pageSetup orientation="portrait" r:id="rId7"/>
    </customSheetView>
    <customSheetView guid="{67D43945-87C9-49F0-B348-E61A6D541E46}">
      <pane ySplit="2" topLeftCell="A1048" activePane="bottomLeft" state="frozen"/>
      <selection pane="bottomLeft" activeCell="C1048" sqref="C1048"/>
      <pageMargins left="0.7" right="0.7" top="0.75" bottom="0.75" header="0.3" footer="0.3"/>
      <pageSetup orientation="portrait" r:id="rId8"/>
    </customSheetView>
    <customSheetView guid="{3D43EA6A-5CA3-482D-8DF3-AD9B0AC39A00}" topLeftCell="A1850">
      <selection activeCell="F1884" sqref="F1884"/>
      <pageMargins left="0.7" right="0.7" top="0.75" bottom="0.75" header="0.3" footer="0.3"/>
      <pageSetup orientation="portrait" r:id="rId9"/>
    </customSheetView>
    <customSheetView guid="{94833610-ABF8-4F5D-AABE-92971246E249}" topLeftCell="A2310">
      <selection activeCell="C2317" sqref="C2317"/>
      <pageMargins left="0.7" right="0.7" top="0.75" bottom="0.75" header="0.3" footer="0.3"/>
      <pageSetup orientation="portrait" r:id="rId10"/>
    </customSheetView>
  </customSheetViews>
  <mergeCells count="12">
    <mergeCell ref="A2949:G2949"/>
    <mergeCell ref="A2942:G2942"/>
    <mergeCell ref="A1:K1"/>
    <mergeCell ref="A9:B9"/>
    <mergeCell ref="A16:B16"/>
    <mergeCell ref="A23:B23"/>
    <mergeCell ref="A30:B30"/>
    <mergeCell ref="K2298:W2298"/>
    <mergeCell ref="K1654:M1654"/>
    <mergeCell ref="K1598:M1598"/>
    <mergeCell ref="K1283:P1283"/>
    <mergeCell ref="A37:B37"/>
  </mergeCells>
  <phoneticPr fontId="23" type="noConversion"/>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Overall_Sheet (Oil Production)</vt:lpstr>
      <vt:lpstr>Sheet1</vt:lpstr>
      <vt:lpstr>Water Injection_Sheet</vt:lpstr>
      <vt:lpstr>Water Injection Sheet (Base)</vt:lpstr>
    </vt:vector>
  </TitlesOfParts>
  <Company>ONGC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RATNA_OFFSHORE_2</cp:lastModifiedBy>
  <cp:lastPrinted>2025-07-01T00:30:12Z</cp:lastPrinted>
  <dcterms:created xsi:type="dcterms:W3CDTF">2023-04-28T14:01:56Z</dcterms:created>
  <dcterms:modified xsi:type="dcterms:W3CDTF">2026-04-18T12:49:02Z</dcterms:modified>
</cp:coreProperties>
</file>